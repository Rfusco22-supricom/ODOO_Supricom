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830" windowHeight="7335" activeTab="1"/>
  </bookViews>
  <sheets>
    <sheet name="Tablas" sheetId="2" r:id="rId1"/>
    <sheet name="Cobros" sheetId="7" r:id="rId2"/>
    <sheet name="Pago de Comisiones" sheetId="4" r:id="rId3"/>
    <sheet name="Facturas Papel" sheetId="8" r:id="rId4"/>
    <sheet name="FACTURA FISCAL" sheetId="12" r:id="rId5"/>
  </sheets>
  <calcPr calcId="144525"/>
  <pivotCaches>
    <pivotCache cacheId="0" r:id="rId6"/>
  </pivotCaches>
</workbook>
</file>

<file path=xl/sharedStrings.xml><?xml version="1.0" encoding="utf-8"?>
<sst xmlns="http://schemas.openxmlformats.org/spreadsheetml/2006/main" count="28882" uniqueCount="5561">
  <si>
    <t>Tipo de Vendedor:</t>
  </si>
  <si>
    <t>Siglas</t>
  </si>
  <si>
    <t>Mes en proceso:</t>
  </si>
  <si>
    <t>Normal</t>
  </si>
  <si>
    <t>N</t>
  </si>
  <si>
    <t>Especial</t>
  </si>
  <si>
    <t>E</t>
  </si>
  <si>
    <t>Outsourcing</t>
  </si>
  <si>
    <t>O</t>
  </si>
  <si>
    <t>Prueba</t>
  </si>
  <si>
    <t>P</t>
  </si>
  <si>
    <t>SuperTech</t>
  </si>
  <si>
    <t>S</t>
  </si>
  <si>
    <t xml:space="preserve">Vendedor </t>
  </si>
  <si>
    <t xml:space="preserve">Meta </t>
  </si>
  <si>
    <t>Tipo %</t>
  </si>
  <si>
    <t>ANDREA MARQUEZ</t>
  </si>
  <si>
    <t>ANGEL MOTA</t>
  </si>
  <si>
    <t>AUGUSTO RUBIO</t>
  </si>
  <si>
    <t>DIEGO  GUERRERO</t>
  </si>
  <si>
    <t>FRANCISCO PEREZ</t>
  </si>
  <si>
    <t>FREDDY ROBLES</t>
  </si>
  <si>
    <t>MARIANGELY CISNEROS</t>
  </si>
  <si>
    <t>Gerente de Venta</t>
  </si>
  <si>
    <t>Comision en base a Meta %</t>
  </si>
  <si>
    <t>Gerente de Ventas</t>
  </si>
  <si>
    <t>% Gerente</t>
  </si>
  <si>
    <t>Desde</t>
  </si>
  <si>
    <t>Hasta</t>
  </si>
  <si>
    <t>Dias despues Pago</t>
  </si>
  <si>
    <t>Tipo</t>
  </si>
  <si>
    <t xml:space="preserve">Desde </t>
  </si>
  <si>
    <t xml:space="preserve">Hasta </t>
  </si>
  <si>
    <t>Porcentaje</t>
  </si>
  <si>
    <t>Contado</t>
  </si>
  <si>
    <t>Credito</t>
  </si>
  <si>
    <t>JULIO</t>
  </si>
  <si>
    <t>JUNIO</t>
  </si>
  <si>
    <t>mayo</t>
  </si>
  <si>
    <t>abril</t>
  </si>
  <si>
    <t>Vendedor %</t>
  </si>
  <si>
    <t>Unidades</t>
  </si>
  <si>
    <t>Venta</t>
  </si>
  <si>
    <t>% De meta</t>
  </si>
  <si>
    <t>c%</t>
  </si>
  <si>
    <t>0</t>
  </si>
  <si>
    <t>1</t>
  </si>
  <si>
    <t>2</t>
  </si>
  <si>
    <t>3</t>
  </si>
  <si>
    <t>Codigo</t>
  </si>
  <si>
    <t>Nombre</t>
  </si>
  <si>
    <t>Columna1</t>
  </si>
  <si>
    <t>Días Plazo</t>
  </si>
  <si>
    <t>x</t>
  </si>
  <si>
    <t>7 días</t>
  </si>
  <si>
    <t>y</t>
  </si>
  <si>
    <t>Pago inmediato</t>
  </si>
  <si>
    <t>J408726742</t>
  </si>
  <si>
    <t>"INVERSIONES SUMITODO", (EXPORTADORA SUMITO) C.A.</t>
  </si>
  <si>
    <t>J409263290</t>
  </si>
  <si>
    <t>"TECNOMAS VENEZUELA, C.A."</t>
  </si>
  <si>
    <t>15 días</t>
  </si>
  <si>
    <t>J316301869</t>
  </si>
  <si>
    <t>2216 APR INVERSIONES ,C.A</t>
  </si>
  <si>
    <t>J501907870</t>
  </si>
  <si>
    <t>3CTI, C.A.</t>
  </si>
  <si>
    <t>J506520230</t>
  </si>
  <si>
    <t>3HENLINEA, C.A.</t>
  </si>
  <si>
    <t>3HENLINEA, C.A., TOMARY</t>
  </si>
  <si>
    <t>J507288358</t>
  </si>
  <si>
    <t>A &amp; E 2025, C.A</t>
  </si>
  <si>
    <t>A &amp; E 2025, C.A, Gender Vanegas</t>
  </si>
  <si>
    <t>J502650563</t>
  </si>
  <si>
    <t>A&amp;D COMPUTER IMPORT, C.A</t>
  </si>
  <si>
    <t>J501820813</t>
  </si>
  <si>
    <t>A&amp;J INVERSIONES, C.A</t>
  </si>
  <si>
    <t>J506817934</t>
  </si>
  <si>
    <t>A&amp;N TECH 1, C.A</t>
  </si>
  <si>
    <t>J001300406</t>
  </si>
  <si>
    <t>A.C. COLEGIO NUESTRA SEñORA DE POMPEI (ASOCIACION CIVIL COLEGIO NUESTRA SEÑORA DE POMPEI)</t>
  </si>
  <si>
    <t>J295313314</t>
  </si>
  <si>
    <t>A.D.F. TECNICA EQUIPOS DE OFICINA, C.A</t>
  </si>
  <si>
    <t>J308275972</t>
  </si>
  <si>
    <t>A.J. LARA SUMINISTROS QUIMICOS CA</t>
  </si>
  <si>
    <t>A.J. LARA SUMINISTROS QUIMICOS CA, Jorge Guerrero</t>
  </si>
  <si>
    <t>J302484065</t>
  </si>
  <si>
    <t>A.T.C. MICROSUPLY C.A.</t>
  </si>
  <si>
    <t>J313611344</t>
  </si>
  <si>
    <t>A2 TECHNOLOGY SOLUTION, C.A</t>
  </si>
  <si>
    <t>J003231282</t>
  </si>
  <si>
    <t>AA LATINOAMERICANA DE SISTEMAS C.A</t>
  </si>
  <si>
    <t>J500411154</t>
  </si>
  <si>
    <t>AA LATINOAMERICANA DE TELECOMUNICACIONES, C.A.</t>
  </si>
  <si>
    <t>J407505939</t>
  </si>
  <si>
    <t>INVERSIONES DENKITEC,CA</t>
  </si>
  <si>
    <t>V061680140</t>
  </si>
  <si>
    <t>ABDEL ALFREDO PUERTA ANTUNEZ</t>
  </si>
  <si>
    <t>V25530244</t>
  </si>
  <si>
    <t>ABELARDO POYER</t>
  </si>
  <si>
    <t>ABONO A PRESTAMO</t>
  </si>
  <si>
    <t>J296167788</t>
  </si>
  <si>
    <t>ABSISCOMP C.A.</t>
  </si>
  <si>
    <t>J500921799</t>
  </si>
  <si>
    <t>ACC TECNOLOGIA, C.A</t>
  </si>
  <si>
    <t>J413051362</t>
  </si>
  <si>
    <t>ACCESORIOS LION TECH C.A.</t>
  </si>
  <si>
    <t>J305431469</t>
  </si>
  <si>
    <t>ACCESORIOS Y CONSUMIBLES PARA LA OFICINA ACOF, C.A.</t>
  </si>
  <si>
    <t>J505246968</t>
  </si>
  <si>
    <t>ACCUMES HOLDINGS AG SUCURSAL VENEZUELA</t>
  </si>
  <si>
    <t>J315056011</t>
  </si>
  <si>
    <t>ACTIVE P.C., C.A</t>
  </si>
  <si>
    <t>J000003505</t>
  </si>
  <si>
    <t>ACUMULADORES DUNCAN, C.A.</t>
  </si>
  <si>
    <t>15572794122022</t>
  </si>
  <si>
    <t>AD STUDIO PANAMA</t>
  </si>
  <si>
    <t>J293915260</t>
  </si>
  <si>
    <t>ADMINISTRADORA CCLE C.A</t>
  </si>
  <si>
    <t>J408838834</t>
  </si>
  <si>
    <t>ADMINISTRADORA MI CARTERA 2016, C.A</t>
  </si>
  <si>
    <t>V13380178-9</t>
  </si>
  <si>
    <t>ADRIANA RAVELO</t>
  </si>
  <si>
    <t>V13380178</t>
  </si>
  <si>
    <t>ADRIANA RAVELO ALVAREZ</t>
  </si>
  <si>
    <t>689051-1-466033</t>
  </si>
  <si>
    <t>ADUANA SANTOS, S.A</t>
  </si>
  <si>
    <t>J40609587</t>
  </si>
  <si>
    <t>ADUANERA HABACUC, C.A.</t>
  </si>
  <si>
    <t>J296651566</t>
  </si>
  <si>
    <t>ADVANTAGE TECHNOLOGY, C.A</t>
  </si>
  <si>
    <t>J410938900</t>
  </si>
  <si>
    <t>AFH POWER C.A.</t>
  </si>
  <si>
    <t>J316015076</t>
  </si>
  <si>
    <t>AGENTES ADUANALES DANJOR, C.A</t>
  </si>
  <si>
    <t>J294095550</t>
  </si>
  <si>
    <t>AGENTES LUISIHAM, C.A.</t>
  </si>
  <si>
    <t>J411319856</t>
  </si>
  <si>
    <t>AGOBIAN CITY C.A</t>
  </si>
  <si>
    <t>V061148422</t>
  </si>
  <si>
    <t>AGOSTINHO DOS SANTOS FERNANDES BERNARDETE</t>
  </si>
  <si>
    <t>J293596670</t>
  </si>
  <si>
    <t>AITEC,O&amp;G DE VENEZUELA, C.A</t>
  </si>
  <si>
    <t>J506961580</t>
  </si>
  <si>
    <t>AJ QUANTICO, C.A</t>
  </si>
  <si>
    <t>AJBP</t>
  </si>
  <si>
    <t>AJBP IMPORT &amp; EXPORT LLC</t>
  </si>
  <si>
    <t>J411398314</t>
  </si>
  <si>
    <t>AKALIA SOLUCIONES, C.A</t>
  </si>
  <si>
    <t>J315714566</t>
  </si>
  <si>
    <t>AL GIORNO CYBER CAFE, C.A</t>
  </si>
  <si>
    <t>45 días</t>
  </si>
  <si>
    <t>ALCIDES GIMENEZ</t>
  </si>
  <si>
    <t>J503276983</t>
  </si>
  <si>
    <t>ALDI 2022 C.A</t>
  </si>
  <si>
    <t>V295996885</t>
  </si>
  <si>
    <t>ALEJANDRO JOSE ANDRADE LEAL(ANDRADE ACCESORIOS ZONA ENERGY, F.P)</t>
  </si>
  <si>
    <t>V23558842</t>
  </si>
  <si>
    <t>ALEJANDRO ROA</t>
  </si>
  <si>
    <t>V136004049</t>
  </si>
  <si>
    <t>ALEX JOSE CAMPOS ACEVEDO</t>
  </si>
  <si>
    <t>J505605739</t>
  </si>
  <si>
    <t>ALGE SOLUTIONS 2024, C.A.</t>
  </si>
  <si>
    <t>J411789003</t>
  </si>
  <si>
    <t>ALIVE CORPORACION DE VZLA,C.A</t>
  </si>
  <si>
    <t>J411804037</t>
  </si>
  <si>
    <t>ALL COPY INVERSIONES C.A</t>
  </si>
  <si>
    <t>J503777478</t>
  </si>
  <si>
    <t>ALL PRINT SYSTEM 5201, C.A</t>
  </si>
  <si>
    <t>J502693033</t>
  </si>
  <si>
    <t>ALMAR TECNOLOGY, C.A.</t>
  </si>
  <si>
    <t>J508449878</t>
  </si>
  <si>
    <t>ALMO STORE MULTITIENDA, C.A</t>
  </si>
  <si>
    <t>ALMO STORE MULTITIENDA, C.A, ALEX MORENO</t>
  </si>
  <si>
    <t>E819981917</t>
  </si>
  <si>
    <t>ALONZO YOVANY SANCHEZ CHAPARRO</t>
  </si>
  <si>
    <t>J293828368</t>
  </si>
  <si>
    <t>ALPHA-SIGMA, C.A</t>
  </si>
  <si>
    <t>J297019570</t>
  </si>
  <si>
    <t>ALPLANELCA GLOBAL SERVICE, C.A.</t>
  </si>
  <si>
    <t>J297727639</t>
  </si>
  <si>
    <t>ALQUI EQUIPOS G. P. C.A</t>
  </si>
  <si>
    <t>ALQUI EQUIPOS G. P. C.A, Mariangel</t>
  </si>
  <si>
    <t>J502228985</t>
  </si>
  <si>
    <t>ALQUI EQUIPOS MBO CA</t>
  </si>
  <si>
    <t>ALQUI EQUIPOS MBO CA, MARIANGEL</t>
  </si>
  <si>
    <t>J304854382</t>
  </si>
  <si>
    <t>ALQUILERES MONTACARGAS C.A</t>
  </si>
  <si>
    <t>J504624420</t>
  </si>
  <si>
    <t>ALTERNO TECH 2023, C.A.</t>
  </si>
  <si>
    <t>J408819120</t>
  </si>
  <si>
    <t>AMAIRAPULIDO DESIGN, C.A</t>
  </si>
  <si>
    <t>J407534572</t>
  </si>
  <si>
    <t>AMAZING GEEKS, C.A.</t>
  </si>
  <si>
    <t>J507217353</t>
  </si>
  <si>
    <t>AMB SERVICIOS INTERNACIONALES, C.A.</t>
  </si>
  <si>
    <t>J506966743</t>
  </si>
  <si>
    <t>AMERISTORE J&amp;C, C.A.</t>
  </si>
  <si>
    <t>J307472596</t>
  </si>
  <si>
    <t>AMPLEXCORP C.A</t>
  </si>
  <si>
    <t>J413024462</t>
  </si>
  <si>
    <t>AMZ INTERNATIONAL COMMERCE CORP</t>
  </si>
  <si>
    <t>J308966827</t>
  </si>
  <si>
    <t>ANACO COMPUTER, C.A. (ACCA)</t>
  </si>
  <si>
    <t>ANACO COMPUTER, C.A. (ACCA), PORFIRIO</t>
  </si>
  <si>
    <t>J302400554</t>
  </si>
  <si>
    <t>ANALISIS MARQUEZ &amp; ASOCIADOS, C. A.</t>
  </si>
  <si>
    <t>J316035921</t>
  </si>
  <si>
    <t>ANDINA DE SISTEMAS C.A. ( ANDISIST, C.A)</t>
  </si>
  <si>
    <t>V267748442</t>
  </si>
  <si>
    <t>V20066642</t>
  </si>
  <si>
    <t>ANDRES GIMÉNEZ</t>
  </si>
  <si>
    <t>J313430706</t>
  </si>
  <si>
    <t>ANDY CORPORACION C.A</t>
  </si>
  <si>
    <t>J411907421</t>
  </si>
  <si>
    <t>ANFER GROUP, C.A.</t>
  </si>
  <si>
    <t>V277939319</t>
  </si>
  <si>
    <t>ANGEL MOTA RODRIGUEZ</t>
  </si>
  <si>
    <t>V-16.497.149-6</t>
  </si>
  <si>
    <t>ANGEL OSWALDO SEIJAS FLORES</t>
  </si>
  <si>
    <t>V18223170</t>
  </si>
  <si>
    <t>ANGELICA RAMIREZ</t>
  </si>
  <si>
    <t>J503981547</t>
  </si>
  <si>
    <t>ANLO SHOP MODA, C.A.</t>
  </si>
  <si>
    <t>ANLO SHOP MODA, C.A., ROXI ANTONELLA CARUCI CAPACHO</t>
  </si>
  <si>
    <t>V11029085</t>
  </si>
  <si>
    <t>ANTONELLA ZAMPETTI</t>
  </si>
  <si>
    <t>V110290850</t>
  </si>
  <si>
    <t>J294728685</t>
  </si>
  <si>
    <t>ANYWARE VENEZUELA, C.A.</t>
  </si>
  <si>
    <t>J501904030</t>
  </si>
  <si>
    <t>APOFIS, C.A.</t>
  </si>
  <si>
    <t>J507893138</t>
  </si>
  <si>
    <t>APUESTALA 2025, C.A.</t>
  </si>
  <si>
    <t>J500399260</t>
  </si>
  <si>
    <t>AR ELECTRONICS, C.A.</t>
  </si>
  <si>
    <t>AR ELECTRONICS, C.A., José alvado</t>
  </si>
  <si>
    <t>J504694959</t>
  </si>
  <si>
    <t>ARLOGA 2023, C.A</t>
  </si>
  <si>
    <t>V6136649</t>
  </si>
  <si>
    <t>ARNELLYS BARRIOS</t>
  </si>
  <si>
    <t>V061366497</t>
  </si>
  <si>
    <t>ARNELYS DE JESUS BARRIOS</t>
  </si>
  <si>
    <t>V056778353</t>
  </si>
  <si>
    <t>AROLDO JOSE CECILIO ALVIAREZ(PAPELERIA DOBLE A. AROLDO ALVIAREZ)</t>
  </si>
  <si>
    <t>J306992162</t>
  </si>
  <si>
    <t>AROMA.COM, C.A</t>
  </si>
  <si>
    <t>J308318590</t>
  </si>
  <si>
    <t>ARQUIDATA,C.A.</t>
  </si>
  <si>
    <t>J505153315</t>
  </si>
  <si>
    <t>ARTECO 286., C.A.</t>
  </si>
  <si>
    <t>ARTECO 286., C.A., Jailenys gonzalez</t>
  </si>
  <si>
    <t>J090379860</t>
  </si>
  <si>
    <t>ARTELASER C.A.</t>
  </si>
  <si>
    <t>J301640764</t>
  </si>
  <si>
    <t>ARTICULOS DE OFICINA OFIONCE, C.A</t>
  </si>
  <si>
    <t>J503184515</t>
  </si>
  <si>
    <t>ARYP TECNOPOLIS, C.A</t>
  </si>
  <si>
    <t>J405124890</t>
  </si>
  <si>
    <t>ASG-Z SECURITY LANTECH, C.A</t>
  </si>
  <si>
    <t>J502442618</t>
  </si>
  <si>
    <t>ASIA TROPICAL, C.A.</t>
  </si>
  <si>
    <t>J507047792</t>
  </si>
  <si>
    <t>ASIMETRIX SOLUCIONES TECNÓLOGICAS,C.A</t>
  </si>
  <si>
    <t>J001330275</t>
  </si>
  <si>
    <t>ASOCIACION CIVIL FE Y ALEGRIA</t>
  </si>
  <si>
    <t>J401838391</t>
  </si>
  <si>
    <t>ASOCIACION COOPERATIVA LA SOBERANIA DE SEGUROS RCV 1090, R.L</t>
  </si>
  <si>
    <t>J315457342</t>
  </si>
  <si>
    <t>ASOCIACIÓN COOPERATIVA RAFITOS FASHION RL</t>
  </si>
  <si>
    <t>J001170383</t>
  </si>
  <si>
    <t>ASOCIACIÓN VENEZOLANA DE LA IGLESIA DE JESUCRISTO DE LOS</t>
  </si>
  <si>
    <t>J407616269</t>
  </si>
  <si>
    <t>ASOCIACIÓN VENEZOLANA DE SISTEMAS DE DEFENSA INTEGRAL (SISDEIN)</t>
  </si>
  <si>
    <t>ASOCIACIÓN VENEZOLANA DE SISTEMAS DE DEFENSA INTEGRAL (SISDEIN), Gustavo Masso</t>
  </si>
  <si>
    <t>J503729660</t>
  </si>
  <si>
    <t>ATARAXIA TECHNOLOGY, C.A.</t>
  </si>
  <si>
    <t>J506208229</t>
  </si>
  <si>
    <t>ATELECOMUNICACIONESVAL, C.A</t>
  </si>
  <si>
    <t>ATELECOMUNICACIONESVAL, C.A, ORLAIGNNE NARVAEZ</t>
  </si>
  <si>
    <t>J313475270</t>
  </si>
  <si>
    <t>AUDIO MATCH, C.A.</t>
  </si>
  <si>
    <t>V29741004</t>
  </si>
  <si>
    <t>10 días</t>
  </si>
  <si>
    <t>V138863820</t>
  </si>
  <si>
    <t>AURA M. GARCIA MEDRANDA</t>
  </si>
  <si>
    <t>J295654073</t>
  </si>
  <si>
    <t>AUTO SERVICIO MARCMARC, C.A.</t>
  </si>
  <si>
    <t>J315797860</t>
  </si>
  <si>
    <t>AUTOPARTES 2006 C.A.</t>
  </si>
  <si>
    <t>J309046578</t>
  </si>
  <si>
    <t>AUTOPARTES LARA, C.A</t>
  </si>
  <si>
    <t>J297180192</t>
  </si>
  <si>
    <t>AUTOPARTS ASIAMERICA C.A.</t>
  </si>
  <si>
    <t>J506870614</t>
  </si>
  <si>
    <t>AV STORE TU MUNDO ELECTRONICO, C.A</t>
  </si>
  <si>
    <t>J505119036</t>
  </si>
  <si>
    <t>AVANCOPY CORPORACION, C.A</t>
  </si>
  <si>
    <t>J296511845</t>
  </si>
  <si>
    <t>AVANSERVICES DOCUMENTS SOLUTIONS, C.A</t>
  </si>
  <si>
    <t>J400477883</t>
  </si>
  <si>
    <t>AVILA MARKET, C.A</t>
  </si>
  <si>
    <t>J503803380</t>
  </si>
  <si>
    <t>AVILATECHNOLOGY, C.A.</t>
  </si>
  <si>
    <t>Aaron Jaramillo (v)</t>
  </si>
  <si>
    <t>Administrator</t>
  </si>
  <si>
    <t>Alexander Hidalgo</t>
  </si>
  <si>
    <t>Amilcar Fuentes (v)</t>
  </si>
  <si>
    <t>Angel  Rodriguez</t>
  </si>
  <si>
    <t>Angela Vidal</t>
  </si>
  <si>
    <t>Arquimides Retali</t>
  </si>
  <si>
    <t>Arturo Aray</t>
  </si>
  <si>
    <t>Asistente de Ventas</t>
  </si>
  <si>
    <t>Asistente de Ventas CCS</t>
  </si>
  <si>
    <t>Auditoria SENIAT</t>
  </si>
  <si>
    <t>J000029490</t>
  </si>
  <si>
    <t>BANCO DEL CARIBE, C.A. BANCO UNIVERSAL</t>
  </si>
  <si>
    <t>155586044-2-2014</t>
  </si>
  <si>
    <t>BANNABA MERCARI, S.A</t>
  </si>
  <si>
    <t>J500811365</t>
  </si>
  <si>
    <t>BARAKI BODEGON VALENCIA, C.A</t>
  </si>
  <si>
    <t>J505467905</t>
  </si>
  <si>
    <t>BARATO PC 07, C.A</t>
  </si>
  <si>
    <t>J408228068</t>
  </si>
  <si>
    <t>BARFRA GROUP INTERNATIONAL, S.A</t>
  </si>
  <si>
    <t>J295802340</t>
  </si>
  <si>
    <t>BCK TRADING COMPUTER, C.A.</t>
  </si>
  <si>
    <t>J401660991</t>
  </si>
  <si>
    <t>BEREA INTERNACIONAL MINISTERIO ESPIRITU SANTO Y FUEGO, A.C.</t>
  </si>
  <si>
    <t>J400798566</t>
  </si>
  <si>
    <t>BEST SERVICES TECHNOLOGIES, C.A.</t>
  </si>
  <si>
    <t>J412312731</t>
  </si>
  <si>
    <t>BEYOND CONTACT CENTER, C.A.</t>
  </si>
  <si>
    <t>J299868833</t>
  </si>
  <si>
    <t>BIG BANG ELECTRIC, C.A.</t>
  </si>
  <si>
    <t>J500544014</t>
  </si>
  <si>
    <t>BIG SMART DESTINY, C.A.</t>
  </si>
  <si>
    <t>BIG SMART DESTINY, C.A., JOSUE RIVERO</t>
  </si>
  <si>
    <t>J296692343</t>
  </si>
  <si>
    <t>BIOFARMACIA RIO DE ORO, C.A.</t>
  </si>
  <si>
    <t>J504298506</t>
  </si>
  <si>
    <t>BLACK IMPRESSIONS, C.A</t>
  </si>
  <si>
    <t>BLACK IMPRESSIONS, C.A, JUAN MENDEZ</t>
  </si>
  <si>
    <t>V11027056</t>
  </si>
  <si>
    <t>BLADIMIR VILLAMIZAR</t>
  </si>
  <si>
    <t>J500484429</t>
  </si>
  <si>
    <t>BLUE STAR AVIATION C.A.</t>
  </si>
  <si>
    <t>BLUE STAR AVIATION C.A., Carlos Mata</t>
  </si>
  <si>
    <t>J302951704</t>
  </si>
  <si>
    <t>BONILLA MULTISERVICIOS, C.A.</t>
  </si>
  <si>
    <t>BONO JEAN PIERRE</t>
  </si>
  <si>
    <t>J501679860</t>
  </si>
  <si>
    <t>BOOST SHOP ELECTRONIC, C. A.</t>
  </si>
  <si>
    <t>J500688067</t>
  </si>
  <si>
    <t>BRACHO IMPORT 21, C.A.</t>
  </si>
  <si>
    <t>J312089881</t>
  </si>
  <si>
    <t>BRAINCORP TECNOLOGIA R INFORMATICA, S.A.</t>
  </si>
  <si>
    <t>J310681074</t>
  </si>
  <si>
    <t>BRANDCOM, C.A.</t>
  </si>
  <si>
    <t>J507756467</t>
  </si>
  <si>
    <t>BRANDING TECHNOLOGY, C.A</t>
  </si>
  <si>
    <t>BRANDING TECHNOLOGY, C.A, José García</t>
  </si>
  <si>
    <t>J400838843</t>
  </si>
  <si>
    <t>BRANZA 1800, C.A.</t>
  </si>
  <si>
    <t>J504038776</t>
  </si>
  <si>
    <t>BRIMAD MULTISERVICIOS 2023, C.A</t>
  </si>
  <si>
    <t>J502869280</t>
  </si>
  <si>
    <t>BRIMONT TECNOELECTRONICA. C.A</t>
  </si>
  <si>
    <t>J507234487</t>
  </si>
  <si>
    <t>BRUT'S STORE 1, C.A.</t>
  </si>
  <si>
    <t>BRUT'S STORE 1, C.A., musset brutus</t>
  </si>
  <si>
    <t>J501851964</t>
  </si>
  <si>
    <t>BTY MERCANTIL VZLA, C.A.</t>
  </si>
  <si>
    <t>J410815957</t>
  </si>
  <si>
    <t>BUFALO NETWORK, C.A</t>
  </si>
  <si>
    <t>Bladimir</t>
  </si>
  <si>
    <t>Bladimir Ramirez</t>
  </si>
  <si>
    <t>V134508953</t>
  </si>
  <si>
    <t>Bladimir Vasquez</t>
  </si>
  <si>
    <t>J000213763</t>
  </si>
  <si>
    <t>C N A DE SEGUROS LA PREVISORA</t>
  </si>
  <si>
    <t>J298069996</t>
  </si>
  <si>
    <t>C.H. SISTEMAS, C.A.</t>
  </si>
  <si>
    <t>J501517649</t>
  </si>
  <si>
    <t>CA3 TEAM CARGO C.A</t>
  </si>
  <si>
    <t>155632298-2-2016</t>
  </si>
  <si>
    <t>CAFECITO 507, S.A (MIXI CLEANER)</t>
  </si>
  <si>
    <t>J001357335</t>
  </si>
  <si>
    <t>CAJA DE AHORROS DE TRAB DE LA C.A. METRO DE CARACAS</t>
  </si>
  <si>
    <t>J502251219</t>
  </si>
  <si>
    <t>CANDELARIA TECNO CENTER, C.A.</t>
  </si>
  <si>
    <t>J505218034</t>
  </si>
  <si>
    <t>CANELON ARANZAZU I, C.A</t>
  </si>
  <si>
    <t>CANELON ARANZAZU I, C.A, Willie Marin</t>
  </si>
  <si>
    <t>655-128-131711</t>
  </si>
  <si>
    <t>CANON PANAMA, S.A.</t>
  </si>
  <si>
    <t>V262599236</t>
  </si>
  <si>
    <t>CANOPUS SOLUCIONES TECNOLOGICAS DE ROBERT ALEXIS ZAMBRANO ROJAS</t>
  </si>
  <si>
    <t>J503888660</t>
  </si>
  <si>
    <t>CARABOBO AUTO GLOBAL, C.A</t>
  </si>
  <si>
    <t>V139108309</t>
  </si>
  <si>
    <t>CARLOS A. PORRAS C.</t>
  </si>
  <si>
    <t>V14037732</t>
  </si>
  <si>
    <t>CARLOS ALEXANDER DE ALMEIDA MORGADO</t>
  </si>
  <si>
    <t>V138845717</t>
  </si>
  <si>
    <t>CARLOS BRITO MARCANO</t>
  </si>
  <si>
    <t>V94873750</t>
  </si>
  <si>
    <t>CARLOS DAVID LEONZI LOPEZ</t>
  </si>
  <si>
    <t>V172737567</t>
  </si>
  <si>
    <t>CARLOS EDUARDO SOSA</t>
  </si>
  <si>
    <t>V094661559</t>
  </si>
  <si>
    <t>CARLOS ESTEBAN CARVAJAL SOTO</t>
  </si>
  <si>
    <t>V250773192</t>
  </si>
  <si>
    <t>CARLOS MARIO PARRA SUAREZ</t>
  </si>
  <si>
    <t>V12067822</t>
  </si>
  <si>
    <t>CARLOS PUIG</t>
  </si>
  <si>
    <t>J504338141</t>
  </si>
  <si>
    <t>CARMAN OFIC, CA</t>
  </si>
  <si>
    <t>J312607092</t>
  </si>
  <si>
    <t>CARTUCHOMANIA, C.A</t>
  </si>
  <si>
    <t>J309482548</t>
  </si>
  <si>
    <t>CASETEL (COMPAÑIA ANONIMA DE SERVICIOS Y TELECOMUNICACIONES)</t>
  </si>
  <si>
    <t>J296456119</t>
  </si>
  <si>
    <t>CASH REGISTER AND SYSTEMS,C. A.</t>
  </si>
  <si>
    <t>J0022499249</t>
  </si>
  <si>
    <t>CCO APOYO EMPRESARIAL S.A</t>
  </si>
  <si>
    <t>J501589380</t>
  </si>
  <si>
    <t>CCO APOYO SOLUCIONES TECNOLOGICAS INTEGRALES, C.A.</t>
  </si>
  <si>
    <t>J311819495</t>
  </si>
  <si>
    <t>CDL COMPUTER C.A.</t>
  </si>
  <si>
    <t>CDL COMPUTER C.A., Kimberly secim</t>
  </si>
  <si>
    <t>8-747-719</t>
  </si>
  <si>
    <t>CECILIA MICHEL CUETO</t>
  </si>
  <si>
    <t>J317225767</t>
  </si>
  <si>
    <t>CECOIMPRE MISAEL, C.A. (CECOIMPRE, CENTRO COMERCIAL DE IMPRESORAS C.A)</t>
  </si>
  <si>
    <t>J501515670</t>
  </si>
  <si>
    <t>CELL SOLUTIONS J.A., C.A.</t>
  </si>
  <si>
    <t>8-812-1716</t>
  </si>
  <si>
    <t>CELLELECTRONIC ALBERTO MUNOZ RODRIGUEZ</t>
  </si>
  <si>
    <t>J412924001</t>
  </si>
  <si>
    <t>CELLTRADE EURO C.A.</t>
  </si>
  <si>
    <t>J308290610</t>
  </si>
  <si>
    <t>CENCOMUN DE VENEZUELA, C.A.</t>
  </si>
  <si>
    <t>J301675002</t>
  </si>
  <si>
    <t>CENCOMUN VIDEO C A</t>
  </si>
  <si>
    <t>J297079025</t>
  </si>
  <si>
    <t>CENTRO DE COMUNICACIONES D.J.D., CA</t>
  </si>
  <si>
    <t>J403019886</t>
  </si>
  <si>
    <t>CENTRO DE COPIADO ALL PRINT EXPRESS, C.A</t>
  </si>
  <si>
    <t>J313679879</t>
  </si>
  <si>
    <t>CENTRO DE NAVEGACION GYGAPC, C.A.</t>
  </si>
  <si>
    <t>J301859375</t>
  </si>
  <si>
    <t>CENTRO DE REPRODUCCION COPICENTRO, C.A</t>
  </si>
  <si>
    <t>J293761476</t>
  </si>
  <si>
    <t>CENTRO HOGAR 3 ELEFANTES, C.A.</t>
  </si>
  <si>
    <t>21 días</t>
  </si>
  <si>
    <t>J401637051</t>
  </si>
  <si>
    <t>CENTRO TECNOLOGICO CHACAO, C.A.</t>
  </si>
  <si>
    <t>J000465177</t>
  </si>
  <si>
    <t>CENTROBECO, C.A.</t>
  </si>
  <si>
    <t>J299035998</t>
  </si>
  <si>
    <t>CERRAJERÍA LLAVES EL HATILLO MMX, C.A.</t>
  </si>
  <si>
    <t>J407920561</t>
  </si>
  <si>
    <t>CERRO VERDE DIGITAL, C.A.</t>
  </si>
  <si>
    <t>V135353767</t>
  </si>
  <si>
    <t>CHENYS CARLOS FAGUNDEZ OROPEZA</t>
  </si>
  <si>
    <t>3 días</t>
  </si>
  <si>
    <t>CHENYS FAGUNDEZ</t>
  </si>
  <si>
    <t>J308906980</t>
  </si>
  <si>
    <t>CIBERESPACIO TECHNOLOGIE C.A.</t>
  </si>
  <si>
    <t>J306679448</t>
  </si>
  <si>
    <t>CINTAS Y ROLLOS RIOS, S.A.</t>
  </si>
  <si>
    <t>J315575604</t>
  </si>
  <si>
    <t>CIO'S SOLUCIONES IT C.A</t>
  </si>
  <si>
    <t>J507240878</t>
  </si>
  <si>
    <t>CIPHER R.F., C.A.</t>
  </si>
  <si>
    <t>J314635310</t>
  </si>
  <si>
    <t>CIRO`S COPY, C.A</t>
  </si>
  <si>
    <t>J293506727</t>
  </si>
  <si>
    <t>CISPONET C.A.</t>
  </si>
  <si>
    <t>J302760488</t>
  </si>
  <si>
    <t>CITY COMPUTER J.D., C.A</t>
  </si>
  <si>
    <t>J505725440</t>
  </si>
  <si>
    <t>CITYCHIP.VE, C.A</t>
  </si>
  <si>
    <t>CITYCHIP.VE, C.A, CRISTOPHER GODOS</t>
  </si>
  <si>
    <t>J293619866</t>
  </si>
  <si>
    <t>CIUDAD DIGITAL, C.A.</t>
  </si>
  <si>
    <t>30 días</t>
  </si>
  <si>
    <t>CIUDAD DIGITAL, C.A., AIMARY</t>
  </si>
  <si>
    <t>V145347609</t>
  </si>
  <si>
    <t>CLARENCEN JOSE LAMUS MOYA</t>
  </si>
  <si>
    <t>J504859788</t>
  </si>
  <si>
    <t>CLASICO Y BASICO, C.A</t>
  </si>
  <si>
    <t>J502374825</t>
  </si>
  <si>
    <t>CLIP COMPUTER, C.A</t>
  </si>
  <si>
    <t>J500195540</t>
  </si>
  <si>
    <t>CLUB TECHNOLOGY, C.A.</t>
  </si>
  <si>
    <t>CLUB TECHNOLOGY, C.A., Daniela Laguna</t>
  </si>
  <si>
    <t>J314096796</t>
  </si>
  <si>
    <t>CLYC COMPUTACIÓN Y SISTEMAS, C.A</t>
  </si>
  <si>
    <t>V165125572</t>
  </si>
  <si>
    <t>CN RECARGAS, F.P</t>
  </si>
  <si>
    <t>J403827222</t>
  </si>
  <si>
    <t>COLOR TINTA EXPRESS, C.A</t>
  </si>
  <si>
    <t>J507192989</t>
  </si>
  <si>
    <t>COMERCIAL 212, C.A</t>
  </si>
  <si>
    <t>J075137639</t>
  </si>
  <si>
    <t>COMERCIAL ARLOAS, C.A</t>
  </si>
  <si>
    <t>J505787926</t>
  </si>
  <si>
    <t>COMERCIAL CREDI NORTE C.A.</t>
  </si>
  <si>
    <t>COMERCIAL CREDI NORTE C.A., CARLOS BARRERA</t>
  </si>
  <si>
    <t>COMERCIAL CREDI NORTE C.A., GERENCIA ANDES CREDINORT</t>
  </si>
  <si>
    <t>J312518766</t>
  </si>
  <si>
    <t>COMERCIAL LA CARTILLA XXI, C.A.</t>
  </si>
  <si>
    <t>J00190836</t>
  </si>
  <si>
    <t>COMERCIAL LOS RUICES C.A</t>
  </si>
  <si>
    <t>V126722687</t>
  </si>
  <si>
    <t>COMERCIAL PRINTER COMPUTER</t>
  </si>
  <si>
    <t>COMERCIAL PRINTER COMPUTER, PEDRO HERNÁNDEZ</t>
  </si>
  <si>
    <t>J308244562</t>
  </si>
  <si>
    <t>COMERCIAL SARA III C.A</t>
  </si>
  <si>
    <t>COMERCIAL SARA III C.A, Daniel Bohórquez</t>
  </si>
  <si>
    <t>J401313442</t>
  </si>
  <si>
    <t>COMERCIALIZADORA 1110, C.A</t>
  </si>
  <si>
    <t>J400163994</t>
  </si>
  <si>
    <t>COMERCIALIZADORA 2014, C.A.</t>
  </si>
  <si>
    <t>COMERCIALIZADORA 2014, C.A., CARLETH ESCORCHA</t>
  </si>
  <si>
    <t>J403954674</t>
  </si>
  <si>
    <t>COMERCIALIZADORA CARIBE 1302, C.A</t>
  </si>
  <si>
    <t>J401253911</t>
  </si>
  <si>
    <t>COMERCIALIZADORA DE TECNOLOGIAS HERGAM 74, CA</t>
  </si>
  <si>
    <t>J294530338</t>
  </si>
  <si>
    <t>COMERCIALIZADORA DORALIAN C.A</t>
  </si>
  <si>
    <t>J503181826</t>
  </si>
  <si>
    <t>COMERCIALIZADORA DURBRIS 2022, C.A</t>
  </si>
  <si>
    <t>J500782349</t>
  </si>
  <si>
    <t>COMERCIALIZADORA ENCARGALO AQUI, C.A</t>
  </si>
  <si>
    <t>J502281991</t>
  </si>
  <si>
    <t>COMERCIALIZADORA GIOTECH, C.A PYMES</t>
  </si>
  <si>
    <t>J409807428</t>
  </si>
  <si>
    <t>COMERCIALIZADORA J&amp;M 2016, C.A.</t>
  </si>
  <si>
    <t>COMERCIALIZADORA J&amp;M 2016, C.A., MILBER GARCIA</t>
  </si>
  <si>
    <t>J306865276</t>
  </si>
  <si>
    <t>COMERCIALIZADORA LA GITANA, C.A</t>
  </si>
  <si>
    <t>J503199393</t>
  </si>
  <si>
    <t>COMERCIALIZADORA MARFAR 2008,C.A</t>
  </si>
  <si>
    <t>COMERCIALIZADORA MARFAR 2008,C.A, Mauro Caballero</t>
  </si>
  <si>
    <t>J306732500</t>
  </si>
  <si>
    <t>COMERCIALIZADORA PERIJA C.A</t>
  </si>
  <si>
    <t>J504099740</t>
  </si>
  <si>
    <t>COMERCIALIZADORA REZZ GONCALVES, C.A</t>
  </si>
  <si>
    <t>J409062317</t>
  </si>
  <si>
    <t>COMERCIALIZADORA RUFARCA, C.A.</t>
  </si>
  <si>
    <t>J407044265</t>
  </si>
  <si>
    <t>COMERCIALIZADORA SANTANA 689 C.A</t>
  </si>
  <si>
    <t>J500874316</t>
  </si>
  <si>
    <t>COMERCIALIZADORA SD99, C.A</t>
  </si>
  <si>
    <t>J296382697</t>
  </si>
  <si>
    <t>COMERCIALIZADORA SEGCOM 3D, C.A</t>
  </si>
  <si>
    <t>J501754721</t>
  </si>
  <si>
    <t>COMERCIALIZADORA STORE COMPUTER C.A</t>
  </si>
  <si>
    <t>J410705850</t>
  </si>
  <si>
    <t>COMERCIALIZADORA TIARES, C.A</t>
  </si>
  <si>
    <t>J505714490</t>
  </si>
  <si>
    <t>COMERCIALIZADORA TS MOVIL 2024, C.A</t>
  </si>
  <si>
    <t>J501682968</t>
  </si>
  <si>
    <t>COMERCIALIZADORA VECXEL,C .A</t>
  </si>
  <si>
    <t>V137277383</t>
  </si>
  <si>
    <t>COMERCIALIZADORA Y SUMINISTROS ZARATE 2009 FP</t>
  </si>
  <si>
    <t>155738603-2-2023</t>
  </si>
  <si>
    <t>COMFY</t>
  </si>
  <si>
    <t>J296215901</t>
  </si>
  <si>
    <t>COMPU CENTER, C.A.</t>
  </si>
  <si>
    <t>J308190802</t>
  </si>
  <si>
    <t>COMPU DEPOT C.A</t>
  </si>
  <si>
    <t>J401917046</t>
  </si>
  <si>
    <t>COMPU EXPERTOS VALENCIA, C.A</t>
  </si>
  <si>
    <t>J504014613</t>
  </si>
  <si>
    <t>COMPU GAMER VZLA, C.A.</t>
  </si>
  <si>
    <t>J501211450</t>
  </si>
  <si>
    <t>COMPU GAMER, C.A.</t>
  </si>
  <si>
    <t>J313800864</t>
  </si>
  <si>
    <t>COMPU HOUSE C.A</t>
  </si>
  <si>
    <t>J310156140</t>
  </si>
  <si>
    <t>COMPU OFERTAS T&amp;T, C.A.</t>
  </si>
  <si>
    <t>J296233888</t>
  </si>
  <si>
    <t>COMPUBIT ELECTRONICS 10159 C.A.</t>
  </si>
  <si>
    <t>J298675640</t>
  </si>
  <si>
    <t>COMPUBLIK, C.A.</t>
  </si>
  <si>
    <t>J501848149</t>
  </si>
  <si>
    <t>COMPUEXITO, C.A</t>
  </si>
  <si>
    <t>J409706010</t>
  </si>
  <si>
    <t>COMPUEXPRESS SERVICES 626 C.A.</t>
  </si>
  <si>
    <t>J297071300</t>
  </si>
  <si>
    <t>COMPUFUTURO DIGITAL,C.A.</t>
  </si>
  <si>
    <t>J306060332</t>
  </si>
  <si>
    <t>COMPUGLOB COMPUTACION GLOBAL, C.A.</t>
  </si>
  <si>
    <t>J298118105</t>
  </si>
  <si>
    <t>COMPUJEIS26, C.A.</t>
  </si>
  <si>
    <t>J503254300</t>
  </si>
  <si>
    <t>COMPUMORCA, J.M. C.A.</t>
  </si>
  <si>
    <t>J412478273</t>
  </si>
  <si>
    <t>COMPUNAR C.A.</t>
  </si>
  <si>
    <t>J295041985</t>
  </si>
  <si>
    <t>COMPUNET SERVICIOS 2905 C.A</t>
  </si>
  <si>
    <t>J501992509</t>
  </si>
  <si>
    <t>COMPUNIVERSO RF22 C.A</t>
  </si>
  <si>
    <t>J404228586</t>
  </si>
  <si>
    <t>COMPUORDEN, C.A</t>
  </si>
  <si>
    <t>J406774774</t>
  </si>
  <si>
    <t>COMPUPARTS DIGITAL 2015, C.A.</t>
  </si>
  <si>
    <t>J297107746</t>
  </si>
  <si>
    <t>COMPUPLAZA ACARIGUA C.A</t>
  </si>
  <si>
    <t>J406490474</t>
  </si>
  <si>
    <t>COMPUPRO MERIDA C.A.</t>
  </si>
  <si>
    <t>J309735160</t>
  </si>
  <si>
    <t>COMPURAMA</t>
  </si>
  <si>
    <t>J501096910</t>
  </si>
  <si>
    <t>COMPURAMPZO, C.A</t>
  </si>
  <si>
    <t>COMPURAMPZO, C.A, Other Address</t>
  </si>
  <si>
    <t>J296154724</t>
  </si>
  <si>
    <t>COMPUREDCAG, C.A.</t>
  </si>
  <si>
    <t>COMPUREDCAG, C.A., Williams Aira</t>
  </si>
  <si>
    <t>V185382431</t>
  </si>
  <si>
    <t>COMPUTACION E INFORMATICA JOSE C HERNANDEZ B 777</t>
  </si>
  <si>
    <t>COMPUTACION E INFORMATICA JOSE C HERNANDEZ B 777, José Hernández</t>
  </si>
  <si>
    <t>J312729384</t>
  </si>
  <si>
    <t>COMPUTACION Y SISTEMAS KLK, C.A.</t>
  </si>
  <si>
    <t>J401472036</t>
  </si>
  <si>
    <t>COMPUTACION Y TECNOLOGIA SV,C.A.</t>
  </si>
  <si>
    <t>J303157475</t>
  </si>
  <si>
    <t>COMPUTACION Y TELECOMUNICACIONES ODALIS, C.A.</t>
  </si>
  <si>
    <t>J002762845</t>
  </si>
  <si>
    <t>COMPUTADORAS MAGNABYTE C.A.</t>
  </si>
  <si>
    <t>J504330027</t>
  </si>
  <si>
    <t>COMPUTER BUY 7</t>
  </si>
  <si>
    <t>J405775319</t>
  </si>
  <si>
    <t>COMPUTER INK, CA</t>
  </si>
  <si>
    <t>J407499270</t>
  </si>
  <si>
    <t>COMPUTER JH 1009, C.A.</t>
  </si>
  <si>
    <t>J306204067</t>
  </si>
  <si>
    <t>COMPUTER OVNIS, C.A.</t>
  </si>
  <si>
    <t>J315234157</t>
  </si>
  <si>
    <t>COMPUTRONIC DE VENEZUELA, C.A.</t>
  </si>
  <si>
    <t>COMPUTRONIC DE VENEZUELA, C.A., Other Address</t>
  </si>
  <si>
    <t>J308373478</t>
  </si>
  <si>
    <t>COMSITE, C.A.</t>
  </si>
  <si>
    <t>J306746170</t>
  </si>
  <si>
    <t>COMUNICACIONES INTEGRALES FUTURO, C.A.</t>
  </si>
  <si>
    <t>J295598548</t>
  </si>
  <si>
    <t>COMUNICACIONES RDJR GROUP,C.A.</t>
  </si>
  <si>
    <t>J502659099</t>
  </si>
  <si>
    <t>CONCEPTO DIGITAL, C.A</t>
  </si>
  <si>
    <t>J410950455</t>
  </si>
  <si>
    <t>CONDOMINIO PARQUE CERRO VERDE</t>
  </si>
  <si>
    <t>J413012855</t>
  </si>
  <si>
    <t>CONECTIP, C.A.</t>
  </si>
  <si>
    <t>J504936090</t>
  </si>
  <si>
    <t>CONEXION CELESTIAL JF, C.A.</t>
  </si>
  <si>
    <t>J308084247</t>
  </si>
  <si>
    <t>CONGRIO, C.A.</t>
  </si>
  <si>
    <t>J507115321</t>
  </si>
  <si>
    <t>CONNECT CONSULTING, C.A.</t>
  </si>
  <si>
    <t>J085020217</t>
  </si>
  <si>
    <t>CONSORCIO OLEAGINOSO PORTUGUESA S. A. (COPOSA)</t>
  </si>
  <si>
    <t>J301662229</t>
  </si>
  <si>
    <t>CONSORCIO PROMOTING, C.A.</t>
  </si>
  <si>
    <t>J317306198</t>
  </si>
  <si>
    <t>CONSTRUCCIONES Y SUMINISTROS JME 2021, CA</t>
  </si>
  <si>
    <t>J402137826</t>
  </si>
  <si>
    <t>CONSTRUCTORA M.E.V 2021, C.A.</t>
  </si>
  <si>
    <t>J506028719</t>
  </si>
  <si>
    <t>CONSTRUMURALES VZ, C.A</t>
  </si>
  <si>
    <t>J314600206</t>
  </si>
  <si>
    <t>CONSTRUSERVI TECNOLOGIA, C.A</t>
  </si>
  <si>
    <t>J408422786</t>
  </si>
  <si>
    <t>CONSULTORES BICORP SERVICES, C.A.</t>
  </si>
  <si>
    <t>V092305100</t>
  </si>
  <si>
    <t>CONSULTORES DE ARQUITECTURA Y CONSTRUCCION (CODARCO)</t>
  </si>
  <si>
    <t>J402830149</t>
  </si>
  <si>
    <t>CONSULTORES GREB 2013, C.A</t>
  </si>
  <si>
    <t>J403756201</t>
  </si>
  <si>
    <t>CONSULTORES RJD 2018, C.A.</t>
  </si>
  <si>
    <t>J500442394</t>
  </si>
  <si>
    <t>CONSULTORES T.A.J.M. &amp; 2407 C.A</t>
  </si>
  <si>
    <t>J401108490</t>
  </si>
  <si>
    <t>CONSUMIBLE DALFO, C.A</t>
  </si>
  <si>
    <t>J401851819</t>
  </si>
  <si>
    <t>CONSUMIBLE STORE</t>
  </si>
  <si>
    <t>J405044535</t>
  </si>
  <si>
    <t>CONSUMIBLES 0326, C.A.</t>
  </si>
  <si>
    <t>J406219886</t>
  </si>
  <si>
    <t>CONSUMIBLES RJD C.A</t>
  </si>
  <si>
    <t>J411960071</t>
  </si>
  <si>
    <t>CONSUMIBLES Y SERVICIOS PRINT YOU WORD, C.A.</t>
  </si>
  <si>
    <t>CONTADOR USA</t>
  </si>
  <si>
    <t>J309364391</t>
  </si>
  <si>
    <t>CONTROLES ELECTRICOS DIASA S.A.</t>
  </si>
  <si>
    <t>J313966142</t>
  </si>
  <si>
    <t>COOPERATIVA MULTISERVICOS EDUCATIVOS CORPORATIVOS HNOS BUITRAGO 820</t>
  </si>
  <si>
    <t>J001591575</t>
  </si>
  <si>
    <t>COPIADORA COLISA S R L</t>
  </si>
  <si>
    <t>J312030356</t>
  </si>
  <si>
    <t>COPIADORA VALLE ABAJO, C.A.</t>
  </si>
  <si>
    <t>J302120900</t>
  </si>
  <si>
    <t>COPIATODO C A</t>
  </si>
  <si>
    <t>E-8-228393</t>
  </si>
  <si>
    <t>COPIER AND SERVICE</t>
  </si>
  <si>
    <t>J410892161</t>
  </si>
  <si>
    <t>COPIKAG GLOBAL, C.A.</t>
  </si>
  <si>
    <t>J402225237</t>
  </si>
  <si>
    <t>COPTUM LATINOAMERICA, C.A.</t>
  </si>
  <si>
    <t>J300247414</t>
  </si>
  <si>
    <t>COPY SPEED HALIFAX C.A.</t>
  </si>
  <si>
    <t>1-26-245</t>
  </si>
  <si>
    <t>CORNELYO GASLYN (STAR COMPUTERS)</t>
  </si>
  <si>
    <t>V143846020</t>
  </si>
  <si>
    <t>CORP 7GLOBAL, F.P.</t>
  </si>
  <si>
    <t>J305304858</t>
  </si>
  <si>
    <t>CORPIS COMPUTERS CA</t>
  </si>
  <si>
    <t>J310836531</t>
  </si>
  <si>
    <t>CORPORACION 3H, C.A</t>
  </si>
  <si>
    <t>J501662673</t>
  </si>
  <si>
    <t>CORPORACION ALLAVEN, C.A.</t>
  </si>
  <si>
    <t>J298785675</t>
  </si>
  <si>
    <t>CORPORACION ARAS PET C.A.</t>
  </si>
  <si>
    <t>J501108064</t>
  </si>
  <si>
    <t>CORPORACION BANYAN, C.A.</t>
  </si>
  <si>
    <t>J503585730</t>
  </si>
  <si>
    <t>CORPORACION BLNZ 2023,CA</t>
  </si>
  <si>
    <t>J411502332</t>
  </si>
  <si>
    <t>CORPORACION BUSINESS AND DEVELOPMENT MG, C.A</t>
  </si>
  <si>
    <t>J500962568</t>
  </si>
  <si>
    <t>CORPORACION CATECHNOLOGY, C.A.</t>
  </si>
  <si>
    <t>J501666300</t>
  </si>
  <si>
    <t>CORPORACION CBM TECHNOLOGY, C.A.</t>
  </si>
  <si>
    <t>60 días</t>
  </si>
  <si>
    <t>J412213237</t>
  </si>
  <si>
    <t>CORPORACION CCCTECHNOLOGY 1000, C.A</t>
  </si>
  <si>
    <t>J313636720</t>
  </si>
  <si>
    <t>CORPORACION CELLTEK, C.A</t>
  </si>
  <si>
    <t>J310821704</t>
  </si>
  <si>
    <t>CORPORACION COPYCORP C.A</t>
  </si>
  <si>
    <t>J500694369</t>
  </si>
  <si>
    <t>CORPORACION CRA, C.A</t>
  </si>
  <si>
    <t>J408627175</t>
  </si>
  <si>
    <t>CORPORACION CTRONIC, C.A.</t>
  </si>
  <si>
    <t>J405283491</t>
  </si>
  <si>
    <t>CORPORACION DAF 132, C.A</t>
  </si>
  <si>
    <t>J507270467</t>
  </si>
  <si>
    <t>CORPORACION DAICO 2024, C.A.</t>
  </si>
  <si>
    <t>J003082902</t>
  </si>
  <si>
    <t>CORPORACION DELCOP, C.A.</t>
  </si>
  <si>
    <t>J308789038</t>
  </si>
  <si>
    <t>CORPORACION DIGITAL DE TELECOMUNICACIONES CORDITEL</t>
  </si>
  <si>
    <t>J501072817</t>
  </si>
  <si>
    <t>CORPORACION DIGITAL VP 04, C.A.</t>
  </si>
  <si>
    <t>J304689713</t>
  </si>
  <si>
    <t>CORPORACION DIGITEL, C.A.</t>
  </si>
  <si>
    <t>J500132905</t>
  </si>
  <si>
    <t>CORPORACION DIVERSA 2021 C.A</t>
  </si>
  <si>
    <t>J294735215</t>
  </si>
  <si>
    <t>CORPORACION DJ COMPUTER C.A.</t>
  </si>
  <si>
    <t>J298162074</t>
  </si>
  <si>
    <t>CORPORACION DT 15 V6, C.A</t>
  </si>
  <si>
    <t>J298825049</t>
  </si>
  <si>
    <t>CORPORACION ELECTRO MALL AYM, C.A</t>
  </si>
  <si>
    <t>J406472646</t>
  </si>
  <si>
    <t>CORPORACION ELECTROTEC 2015 C.A</t>
  </si>
  <si>
    <t>J308792730</t>
  </si>
  <si>
    <t>CORPORACION EMINENT PC, C. A.</t>
  </si>
  <si>
    <t>J407334743</t>
  </si>
  <si>
    <t>CORPORACION ESSERVITF,V&amp;A C.A</t>
  </si>
  <si>
    <t>J308182516</t>
  </si>
  <si>
    <t>CORPORACION FIBEX TELECOM, C.A.</t>
  </si>
  <si>
    <t>J313303526</t>
  </si>
  <si>
    <t>CORPORACION GERALEJO, C.A.</t>
  </si>
  <si>
    <t>J501842930</t>
  </si>
  <si>
    <t>CORPORACION GOLD TECH, C.A.</t>
  </si>
  <si>
    <t>J403885583</t>
  </si>
  <si>
    <t>CORPORACION HARDCORE COMPUTER, C.A.</t>
  </si>
  <si>
    <t>J500980116</t>
  </si>
  <si>
    <t>CORPORACION HYPER DE OCCIDENTE C.A.</t>
  </si>
  <si>
    <t>CORPORACION HYPER DE OCCIDENTE C.A., Jorge Navas</t>
  </si>
  <si>
    <t>J410065389</t>
  </si>
  <si>
    <t>CORPORACION ILUMYNA NETWORKS, C.A</t>
  </si>
  <si>
    <t>J305436754</t>
  </si>
  <si>
    <t>CORPORACION KEYDEX S.A</t>
  </si>
  <si>
    <t>J500691645</t>
  </si>
  <si>
    <t>CORPORACION LA REINA 2021, C.A.</t>
  </si>
  <si>
    <t>J306713166</t>
  </si>
  <si>
    <t>CORPORACION LASAR C.A.</t>
  </si>
  <si>
    <t>J411304905</t>
  </si>
  <si>
    <t>CORPORACION LATINOAMERICANA D &amp; J, C.A</t>
  </si>
  <si>
    <t>J313063975</t>
  </si>
  <si>
    <t>CORPORACION LENOVO, C.A</t>
  </si>
  <si>
    <t>J409054594</t>
  </si>
  <si>
    <t>CORPORACION LOGIMAX, C.A.</t>
  </si>
  <si>
    <t>J408265494</t>
  </si>
  <si>
    <t>CORPORACION LUNASIL, C.A.</t>
  </si>
  <si>
    <t>J001146938</t>
  </si>
  <si>
    <t>CORPORACION MABONE Y ASOCIADOS C A</t>
  </si>
  <si>
    <t>J316855040</t>
  </si>
  <si>
    <t>CORPORACION MACROPRINTERS, C.A</t>
  </si>
  <si>
    <t>J298816538</t>
  </si>
  <si>
    <t>CORPORACION MARACE 1979,C.A.</t>
  </si>
  <si>
    <t>J507412865</t>
  </si>
  <si>
    <t>CORPORACION METALINK, C.A.</t>
  </si>
  <si>
    <t>J501743690</t>
  </si>
  <si>
    <t>CORPORACION NATAN ELECTRONICS, C.A.</t>
  </si>
  <si>
    <t>J405254696</t>
  </si>
  <si>
    <t>CORPORACION NOVELTY A1, C.A.</t>
  </si>
  <si>
    <t>J294334528</t>
  </si>
  <si>
    <t>CORPORACION OPC, C.A</t>
  </si>
  <si>
    <t>J307302445</t>
  </si>
  <si>
    <t>CORPORACION OTIESCA COMPUTACION, C.A</t>
  </si>
  <si>
    <t>CORPORACION OTIESCA COMPUTACION, C.A, JESUS GARCÍA</t>
  </si>
  <si>
    <t>J409044874</t>
  </si>
  <si>
    <t>CORPORACION REDEXCOM, C.A.</t>
  </si>
  <si>
    <t>CORPORACION REDEXCOM, C.A., Alejandro Delgado</t>
  </si>
  <si>
    <t>J294315356</t>
  </si>
  <si>
    <t>CORPORACION ROCIEL CA</t>
  </si>
  <si>
    <t>J400683319</t>
  </si>
  <si>
    <t>CORPORACION SERVICIOS EN LINEA 2012 C.A</t>
  </si>
  <si>
    <t>J308604976</t>
  </si>
  <si>
    <t>CORPORACION SERVITEMS C. A.</t>
  </si>
  <si>
    <t>J312144700</t>
  </si>
  <si>
    <t>CORPORACION SOINCOPY, C.A.</t>
  </si>
  <si>
    <t>J406124168</t>
  </si>
  <si>
    <t>CORPORACION SONSE, C.A</t>
  </si>
  <si>
    <t>J501328102</t>
  </si>
  <si>
    <t>CORPORACION SOYTECHNO OUTLET, C.A.</t>
  </si>
  <si>
    <t>J296893845</t>
  </si>
  <si>
    <t>CORPORACION STI, C.A.</t>
  </si>
  <si>
    <t>J407269844</t>
  </si>
  <si>
    <t>CORPORACION TAYLOR, C.A.</t>
  </si>
  <si>
    <t>J503746025</t>
  </si>
  <si>
    <t>CORPORACION TECH4PRIME, C.A</t>
  </si>
  <si>
    <t>J406053813</t>
  </si>
  <si>
    <t>CORPORACION TECHNO SHOP V, C.A</t>
  </si>
  <si>
    <t>J294437214</t>
  </si>
  <si>
    <t>CORPORACION TECNICA OMICRON C.A.</t>
  </si>
  <si>
    <t>J411868418</t>
  </si>
  <si>
    <t>CORPORACION TECNOLOGICA  SELMAR C.A</t>
  </si>
  <si>
    <t>J405167904</t>
  </si>
  <si>
    <t>CORPORACION TECNOLOGICA DE EQUIPOS COMPUTACIONALES COTECA,CA</t>
  </si>
  <si>
    <t>J502323830</t>
  </si>
  <si>
    <t>CORPORACION TURISTICA COROMOTO,C.A</t>
  </si>
  <si>
    <t>J000089337</t>
  </si>
  <si>
    <t>CORPORACION VENEZOLANA DE TELEVISION, C.A.</t>
  </si>
  <si>
    <t>J407023608</t>
  </si>
  <si>
    <t>CORPORACION YOOBAO CCS, C.A</t>
  </si>
  <si>
    <t>J501276382</t>
  </si>
  <si>
    <t>CORPORACIÓN CREA 21, C.A.</t>
  </si>
  <si>
    <t>J504978680</t>
  </si>
  <si>
    <t>CORPORACIÓN DIGIPRO, C.A</t>
  </si>
  <si>
    <t>J409125980</t>
  </si>
  <si>
    <t>CORPORACIÓN EL CAMPESINO C.A.</t>
  </si>
  <si>
    <t>J500750951</t>
  </si>
  <si>
    <t>CORPORACIÓN ENVISIÓN JR 0406, C.A.</t>
  </si>
  <si>
    <t>J407496824</t>
  </si>
  <si>
    <t>CORPORACIÓN IMAC 3101, C.A.</t>
  </si>
  <si>
    <t>J298785586</t>
  </si>
  <si>
    <t>CORPORACIÓN PRO PETS C.A. (MAXIPET)</t>
  </si>
  <si>
    <t>CORPORACIÓN PRO PETS C.A. (MAXIPET), Daniela Martinez</t>
  </si>
  <si>
    <t>J500677782</t>
  </si>
  <si>
    <t>CORPORACIÓN TECNOLÓGICA CRT 2010, C.A.</t>
  </si>
  <si>
    <t>J500685866</t>
  </si>
  <si>
    <t>CORPORACIÓN TIERRAS DEL SUR,C.A</t>
  </si>
  <si>
    <t>J070056002</t>
  </si>
  <si>
    <t>COSTA NORTE CONSTRUCCIONES, C.A.</t>
  </si>
  <si>
    <t>J400113733</t>
  </si>
  <si>
    <t>CP GROUP LATAM CORPORACION, S.R.L</t>
  </si>
  <si>
    <t>J407335189</t>
  </si>
  <si>
    <t>CPM HOLDING, C.A.</t>
  </si>
  <si>
    <t>J409722171</t>
  </si>
  <si>
    <t>CREACIONES SERVINTEGRAL MARTIPACH, C.A</t>
  </si>
  <si>
    <t>J412615190</t>
  </si>
  <si>
    <t>CRIKET, C.A</t>
  </si>
  <si>
    <t>J312044667</t>
  </si>
  <si>
    <t>CTRO. DE SIST. DE TELEC. Y COMPUT. (CENSISTELCA) C.A</t>
  </si>
  <si>
    <t>J506544440</t>
  </si>
  <si>
    <t>CUMPU MASTER 2024, C.A</t>
  </si>
  <si>
    <t>J405106085</t>
  </si>
  <si>
    <t>CYBER COPIA´S LINDA M, C. A.</t>
  </si>
  <si>
    <t>CYBER COPIA´S LINDA M, C. A., LINDA SALAZAR</t>
  </si>
  <si>
    <t>J307252120</t>
  </si>
  <si>
    <t>CYBERTECH PROJECTS C.A</t>
  </si>
  <si>
    <t>J503622539</t>
  </si>
  <si>
    <t>CYBERTECHNO, C.A</t>
  </si>
  <si>
    <t>J401833683</t>
  </si>
  <si>
    <t>CYTIMAC DIGITAL, C.A.</t>
  </si>
  <si>
    <t>Contabilidad Contabilidad</t>
  </si>
  <si>
    <t>J309659014</t>
  </si>
  <si>
    <t>D &amp; L SOLUCIONES INTEGRALES C.A</t>
  </si>
  <si>
    <t>J502047930</t>
  </si>
  <si>
    <t>D&amp;D REAL TECHNOLOGIES, C.A.</t>
  </si>
  <si>
    <t>J408507153</t>
  </si>
  <si>
    <t>D-NETWORK SYSTEMS, C.A.</t>
  </si>
  <si>
    <t>J312519916</t>
  </si>
  <si>
    <t>D.A.T. DESIGNER AND TECNOLOGY CA</t>
  </si>
  <si>
    <t>J314802763</t>
  </si>
  <si>
    <t>D.F. SUPLIDORES GRAFICOS, C.A.</t>
  </si>
  <si>
    <t>J407887823</t>
  </si>
  <si>
    <t>DAMARK AVANCORP, C.A</t>
  </si>
  <si>
    <t>DAMARK AVANCORP, C.A, GLAUDYS GARCIA</t>
  </si>
  <si>
    <t>J501971129</t>
  </si>
  <si>
    <t>DAMECREA C.A</t>
  </si>
  <si>
    <t>V30149374</t>
  </si>
  <si>
    <t>DAMERIS ROJAS</t>
  </si>
  <si>
    <t>V204441201</t>
  </si>
  <si>
    <t>DANIEL ESPINOZA</t>
  </si>
  <si>
    <t>DANIELA  SUAREZ</t>
  </si>
  <si>
    <t>J409546128</t>
  </si>
  <si>
    <t>DARTETT TECNO PUNDA, C.A.</t>
  </si>
  <si>
    <t>DARTETT TECNO PUNDA, C.A., Orlin Garcia</t>
  </si>
  <si>
    <t>J310394512</t>
  </si>
  <si>
    <t>DATA COLOR 754, C.A.</t>
  </si>
  <si>
    <t>J306223053</t>
  </si>
  <si>
    <t>DATA SERVICE PRINT, C.A.</t>
  </si>
  <si>
    <t>J302589460</t>
  </si>
  <si>
    <t>DATADEHU SERVICIOS C.A.</t>
  </si>
  <si>
    <t>J403887284</t>
  </si>
  <si>
    <t>DATALINK,C.A</t>
  </si>
  <si>
    <t>J298980184</t>
  </si>
  <si>
    <t>DBS SISTEMAS &amp; CONSULTORES, C.A</t>
  </si>
  <si>
    <t>J501871930</t>
  </si>
  <si>
    <t>DC LASERJ CARTRIDGE, C.A</t>
  </si>
  <si>
    <t>J503459972</t>
  </si>
  <si>
    <t>DC NOVO PHARMA, C.A</t>
  </si>
  <si>
    <t>J293897050</t>
  </si>
  <si>
    <t>DCS POWER TECHNOLOGY C.A.</t>
  </si>
  <si>
    <t>DCS POWER TECHNOLOGY C.A., JOSE MARTINEZ</t>
  </si>
  <si>
    <t>IN00007</t>
  </si>
  <si>
    <t>DE LA HOZ, PEREZ &amp; BARBEITO PLLC</t>
  </si>
  <si>
    <t>J313380342</t>
  </si>
  <si>
    <t>DELIVERY COPY CENTRO DE COPIADO 004, C.A.</t>
  </si>
  <si>
    <t>J504661376</t>
  </si>
  <si>
    <t>DELUXE PC, C.A</t>
  </si>
  <si>
    <t>J303241654</t>
  </si>
  <si>
    <t>DEOFICINAS,CA</t>
  </si>
  <si>
    <t>V143310171</t>
  </si>
  <si>
    <t>DERVIN ARTURO. AUDRINES SANCHEZ.(SERVICIOS Y SUMINISTROS AUDRINES D.A.F.P )</t>
  </si>
  <si>
    <t>J003403903</t>
  </si>
  <si>
    <t>DESARROLLOS MULTICOMP, C. A.</t>
  </si>
  <si>
    <t>J295317069</t>
  </si>
  <si>
    <t>DESARROLLOS TURISTICOS 22 S.C.S</t>
  </si>
  <si>
    <t>J506886731</t>
  </si>
  <si>
    <t>DESIGN SPACE, C.A</t>
  </si>
  <si>
    <t>DESIGN SPACE, C.A, ADELCHI RUGGIERO</t>
  </si>
  <si>
    <t>J000724040</t>
  </si>
  <si>
    <t>DI STASI MOTORS C.A.</t>
  </si>
  <si>
    <t>J501373833</t>
  </si>
  <si>
    <t>DIAMOND PRINT TECHNOLOGY, C.A.</t>
  </si>
  <si>
    <t>V252201307</t>
  </si>
  <si>
    <t>J3164492701</t>
  </si>
  <si>
    <t>DIGATEL, C.A.</t>
  </si>
  <si>
    <t>J501924163</t>
  </si>
  <si>
    <t>DIGIBYTEX CORP, C. A.</t>
  </si>
  <si>
    <t>J413054345</t>
  </si>
  <si>
    <t>DIGIPRO VZLA, C.A.</t>
  </si>
  <si>
    <t>J406699128</t>
  </si>
  <si>
    <t>DIGITAL BLESS, C.A.</t>
  </si>
  <si>
    <t>J504881210</t>
  </si>
  <si>
    <t>DIGITAL DLJ, C.A.</t>
  </si>
  <si>
    <t>DIGITAL DLJ, C.A., LUIS JIMENEZ</t>
  </si>
  <si>
    <t>J507080595</t>
  </si>
  <si>
    <t>DIGITAL PRINT V&amp;P, C.A</t>
  </si>
  <si>
    <t>J502917497</t>
  </si>
  <si>
    <t>DIGITAL SOLUCION, C.A</t>
  </si>
  <si>
    <t>DIGITAL SOLUCION, C.A, Andres ramos</t>
  </si>
  <si>
    <t>J501422915</t>
  </si>
  <si>
    <t>DILLINGER IMPORT PC VENEZUELA, C.A.</t>
  </si>
  <si>
    <t>J400391016</t>
  </si>
  <si>
    <t>DILO,C.A</t>
  </si>
  <si>
    <t>DISAVEN IMPORT, C.A</t>
  </si>
  <si>
    <t>J300169448</t>
  </si>
  <si>
    <t>DISKCOMPUTER J M A S, C.A.</t>
  </si>
  <si>
    <t>J506170493</t>
  </si>
  <si>
    <t>DISPRO AMERICA 2024, C.A</t>
  </si>
  <si>
    <t>J002011173</t>
  </si>
  <si>
    <t>DISTORBERA SRL</t>
  </si>
  <si>
    <t>J406911577</t>
  </si>
  <si>
    <t>DISTRI 28, C.A</t>
  </si>
  <si>
    <t>J500591020</t>
  </si>
  <si>
    <t>DISTRIBUCIONES AGV C.A</t>
  </si>
  <si>
    <t>J403074461</t>
  </si>
  <si>
    <t>DISTRIBUCIONES JUACO, CA</t>
  </si>
  <si>
    <t>J003068357</t>
  </si>
  <si>
    <t>DISTRIBUIDOR INTEGRAL DE SOLUCIONES PARA OFICINAS DISOFI C. A.</t>
  </si>
  <si>
    <t>J501244561</t>
  </si>
  <si>
    <t>DISTRIBUIDORA ACTIVA 77, C.A</t>
  </si>
  <si>
    <t>DISTRIBUIDORA ACTIVA 77, C.A, PEDRO HADID</t>
  </si>
  <si>
    <t>J299002208</t>
  </si>
  <si>
    <t>DISTRIBUIDORA ADELINA, C.A.</t>
  </si>
  <si>
    <t>J408270200</t>
  </si>
  <si>
    <t>DISTRIBUIDORA ARASEN 2016, C.A</t>
  </si>
  <si>
    <t>J500689292</t>
  </si>
  <si>
    <t>DISTRIBUIDORA ARCHER 20, C.A.</t>
  </si>
  <si>
    <t>J305875162</t>
  </si>
  <si>
    <t>DISTRIBUIDORA ATRACHE,C.A</t>
  </si>
  <si>
    <t>J410861258</t>
  </si>
  <si>
    <t>DISTRIBUIDORA BORUSH, C.A.</t>
  </si>
  <si>
    <t>J409899764</t>
  </si>
  <si>
    <t>DISTRIBUIDORA CHARITO 3011 CA</t>
  </si>
  <si>
    <t>J404536299</t>
  </si>
  <si>
    <t>DISTRIBUIDORA COMPU OFFICE C.A.</t>
  </si>
  <si>
    <t>J408592312</t>
  </si>
  <si>
    <t>DISTRIBUIDORA COMPU PAPEL 2016,C.A.</t>
  </si>
  <si>
    <t>J506426331</t>
  </si>
  <si>
    <t>DISTRIBUIDORA COMPU TONER 3000, C.A.</t>
  </si>
  <si>
    <t>J502749292</t>
  </si>
  <si>
    <t>DISTRIBUIDORA COMPUINPRES,C.A</t>
  </si>
  <si>
    <t>J296560870</t>
  </si>
  <si>
    <t>DISTRIBUIDORA COMPUMEQ, C.A</t>
  </si>
  <si>
    <t>J410726539</t>
  </si>
  <si>
    <t>DISTRIBUIDORA DOBLE RR C.A.</t>
  </si>
  <si>
    <t>J410739185</t>
  </si>
  <si>
    <t>DISTRIBUIDORA EL PATRON 2020, C.A.</t>
  </si>
  <si>
    <t>J412207512</t>
  </si>
  <si>
    <t>DISTRIBUIDORA ELISUPLY, C.A.</t>
  </si>
  <si>
    <t>J003065749</t>
  </si>
  <si>
    <t>DISTRIBUIDORA EQUIOFICA, C.A.</t>
  </si>
  <si>
    <t>DISTRIBUIDORA EQUIOFICA, C.A., Héctor Reyes</t>
  </si>
  <si>
    <t>J317258142</t>
  </si>
  <si>
    <t>DISTRIBUIDORA FIRST SYSTEM, CA</t>
  </si>
  <si>
    <t>J500990600</t>
  </si>
  <si>
    <t>DISTRIBUIDORA GATES AUTOMOTIVE, C.A</t>
  </si>
  <si>
    <t>J298626054</t>
  </si>
  <si>
    <t>DISTRIBUIDORA GRAN ATLÁNTICO 2010, C.A.</t>
  </si>
  <si>
    <t>J404526994</t>
  </si>
  <si>
    <t>DISTRIBUIDORA GROUPG 2014, C.A</t>
  </si>
  <si>
    <t>J294144632</t>
  </si>
  <si>
    <t>DISTRIBUIDORA H I D VENEZUELA, S.A</t>
  </si>
  <si>
    <t>J411846856</t>
  </si>
  <si>
    <t>DISTRIBUIDORA HHAA, C.A.</t>
  </si>
  <si>
    <t>J001688170</t>
  </si>
  <si>
    <t>DISTRIBUIDORA HORNO RIO, C.A.</t>
  </si>
  <si>
    <t>J502363939</t>
  </si>
  <si>
    <t>DISTRIBUIDORA KING 18, C.A.</t>
  </si>
  <si>
    <t>J307806320</t>
  </si>
  <si>
    <t>DISTRIBUIDORA KTDC, C..A.</t>
  </si>
  <si>
    <t>J002898267</t>
  </si>
  <si>
    <t>DISTRIBUIDORA LA BILBAINA, C. A.</t>
  </si>
  <si>
    <t>J317344596</t>
  </si>
  <si>
    <t>DISTRIBUIDORA LEZ-GER C.A</t>
  </si>
  <si>
    <t>J309160486</t>
  </si>
  <si>
    <t>DISTRIBUIDORA MICHELIBROS 2009. C.A.</t>
  </si>
  <si>
    <t>J412390902</t>
  </si>
  <si>
    <t>DISTRIBUIDORA MR. VELOZ 13, C.A</t>
  </si>
  <si>
    <t>J298483784</t>
  </si>
  <si>
    <t>DISTRIBUIDORA NEMESIS 1117 C.A</t>
  </si>
  <si>
    <t>J501934894</t>
  </si>
  <si>
    <t>DISTRIBUIDORA NUEVO MUNDO 2000, C.A</t>
  </si>
  <si>
    <t>J409040542</t>
  </si>
  <si>
    <t>DISTRIBUIDORA PAPELMIN C.A</t>
  </si>
  <si>
    <t>J501297711</t>
  </si>
  <si>
    <t>DISTRIBUIDORA PARTNER ONE, C.A</t>
  </si>
  <si>
    <t>J405073101</t>
  </si>
  <si>
    <t>DISTRIBUIDORA ROHEMAR, C.A.</t>
  </si>
  <si>
    <t>J503674849</t>
  </si>
  <si>
    <t>DISTRIBUIDORA RULZU23; C.A.</t>
  </si>
  <si>
    <t>J304247605</t>
  </si>
  <si>
    <t>DISTRIBUIDORA SEGURA</t>
  </si>
  <si>
    <t>J311865144</t>
  </si>
  <si>
    <t>DISTRIBUIDORA SEIKON 777,C. A.</t>
  </si>
  <si>
    <t>J403021651</t>
  </si>
  <si>
    <t>DISTRIBUIDORA SHARYSOFI, C.A.</t>
  </si>
  <si>
    <t>J408966247</t>
  </si>
  <si>
    <t>DISTRIBUIDORA SSEK 79, C.A.</t>
  </si>
  <si>
    <t>J409140628</t>
  </si>
  <si>
    <t>DISTRIBUIDORA TODO COMPATIBLE.COM C.A.</t>
  </si>
  <si>
    <t>J298940786</t>
  </si>
  <si>
    <t>DISTRIBUIDORA TODO OFICINA 2010, C.A</t>
  </si>
  <si>
    <t>J299461270</t>
  </si>
  <si>
    <t>DISTRIBUIDORA TODO TONER, C.A.</t>
  </si>
  <si>
    <t>J402741812</t>
  </si>
  <si>
    <t>DISTRIBUIDORA TONNER 1599, C.A.</t>
  </si>
  <si>
    <t>J308515094</t>
  </si>
  <si>
    <t>DISTRIBUIDORA VAN SPORT C.A</t>
  </si>
  <si>
    <t>J507166260</t>
  </si>
  <si>
    <t>DISTRIBUIDORA VECXEL, C.A.</t>
  </si>
  <si>
    <t>J500856199</t>
  </si>
  <si>
    <t>DISTRIBUIDORA VENEPRINT, C.A</t>
  </si>
  <si>
    <t>J500994940</t>
  </si>
  <si>
    <t>DISTRIBUIDORA Y COMERCIALIZADORA 1818 ARGOM TECH, C.A.</t>
  </si>
  <si>
    <t>J409395677</t>
  </si>
  <si>
    <t>DISTRIBUIDORA YLCAR, C.A.</t>
  </si>
  <si>
    <t>J297284435</t>
  </si>
  <si>
    <t>DISTRIBUIDORAS EK 2021, C.A.</t>
  </si>
  <si>
    <t>J308565202</t>
  </si>
  <si>
    <t>DISTRICUEROS EL CANGURO CA</t>
  </si>
  <si>
    <t>J412157256</t>
  </si>
  <si>
    <t>DISTRUIBUIDOR PAL DDR4, C.A.</t>
  </si>
  <si>
    <t>J315449099</t>
  </si>
  <si>
    <t>DISVEPRO C.A.</t>
  </si>
  <si>
    <t>J502909354</t>
  </si>
  <si>
    <t>DJSILVAESHOP, C.A.</t>
  </si>
  <si>
    <t>DJSILVAESHOP, C.A., JESUS SILVA</t>
  </si>
  <si>
    <t>J295939515</t>
  </si>
  <si>
    <t>DKO SERVICES PC C.A.</t>
  </si>
  <si>
    <t>J501577668</t>
  </si>
  <si>
    <t>DMZ COMPUTER 2020, C.A</t>
  </si>
  <si>
    <t>J502237305</t>
  </si>
  <si>
    <t>DOCTOR PANTALLA DEL ESTE, C.A</t>
  </si>
  <si>
    <t>V248172297</t>
  </si>
  <si>
    <t>DOMINGO ALEXANDER GUZMAN MONASTERIO</t>
  </si>
  <si>
    <t>J407552007</t>
  </si>
  <si>
    <t>DON BOSCO FULL PRINT Y ALGO MAS, C.A</t>
  </si>
  <si>
    <t>V094724232</t>
  </si>
  <si>
    <t>DORA HILDA MOLINA</t>
  </si>
  <si>
    <t>V121153790</t>
  </si>
  <si>
    <t>DOUGLAS SEGOVIA</t>
  </si>
  <si>
    <t>J294187196</t>
  </si>
  <si>
    <t>DR CAUCHO CCS C.A</t>
  </si>
  <si>
    <t>J405473223</t>
  </si>
  <si>
    <t>DR JAD C.A.</t>
  </si>
  <si>
    <t>DR JAD C.A., JASSID DELGADO</t>
  </si>
  <si>
    <t>J502226036</t>
  </si>
  <si>
    <t>DREAMSTECH2, C.A</t>
  </si>
  <si>
    <t>J307302186</t>
  </si>
  <si>
    <t>DROGUERIA DEGAR C.A</t>
  </si>
  <si>
    <t>J501408084</t>
  </si>
  <si>
    <t>DSM DIGITAL MARKETING, C.A</t>
  </si>
  <si>
    <t>J302905494</t>
  </si>
  <si>
    <t>DUDAMEL DE VENEZUELA C.A</t>
  </si>
  <si>
    <t>V149429898</t>
  </si>
  <si>
    <t>DUDMAN ADOLFO MEDINA ORTIZ</t>
  </si>
  <si>
    <t>Danyella  Cardenas</t>
  </si>
  <si>
    <t>V26951970</t>
  </si>
  <si>
    <t>Danyely Carvajal</t>
  </si>
  <si>
    <t>Dario Medina</t>
  </si>
  <si>
    <t>V10339772</t>
  </si>
  <si>
    <t>Donato Vodola</t>
  </si>
  <si>
    <t>Doris Itzel Ramos Valderrama</t>
  </si>
  <si>
    <t>J411090727</t>
  </si>
  <si>
    <t>D´TODO PLUS C.A</t>
  </si>
  <si>
    <t>J002487259</t>
  </si>
  <si>
    <t>EAGLEBURMANN VENEZUELA, C.A</t>
  </si>
  <si>
    <t>EDELYN  ESCALONA</t>
  </si>
  <si>
    <t>V15700407</t>
  </si>
  <si>
    <t>EDELYN ELENA ESCALONA GLOTT</t>
  </si>
  <si>
    <t>J504615510</t>
  </si>
  <si>
    <t>EDGO INVERSIONES, C.A.</t>
  </si>
  <si>
    <t>J000590109</t>
  </si>
  <si>
    <t>EL CORTIJO EXPRESS C.A</t>
  </si>
  <si>
    <t>J502333657</t>
  </si>
  <si>
    <t>EL MUNDO DE FER, C.A</t>
  </si>
  <si>
    <t>J506550075</t>
  </si>
  <si>
    <t>EL MUNDO DEL COLOR BELLO MONTE,C.A.</t>
  </si>
  <si>
    <t>J305749442</t>
  </si>
  <si>
    <t>EL NUEVO MERCADO DE PETARE II, C.A.</t>
  </si>
  <si>
    <t>J502756574</t>
  </si>
  <si>
    <t>EL REY DE LAS IMPRESORAS</t>
  </si>
  <si>
    <t>J401868207</t>
  </si>
  <si>
    <t>ELECTRISERVICE JL TECNOLOGY C.A</t>
  </si>
  <si>
    <t>J311453342</t>
  </si>
  <si>
    <t>ELECTRO COMPUTER J.C. DEL LITORAL, C. A.</t>
  </si>
  <si>
    <t>J313931357</t>
  </si>
  <si>
    <t>ELECTRO MIX. CA</t>
  </si>
  <si>
    <t>J506323702</t>
  </si>
  <si>
    <t>ELECTRO PC 2023,C.A</t>
  </si>
  <si>
    <t>J316375773</t>
  </si>
  <si>
    <t>ELECTRO PC 3001 C.A</t>
  </si>
  <si>
    <t>J407394517</t>
  </si>
  <si>
    <t>ELECTROCOMUNICACIONES Y SERVICIOS JA&amp;CA, C.A</t>
  </si>
  <si>
    <t>J409655539</t>
  </si>
  <si>
    <t>ELECTRONET 0316, C.A.</t>
  </si>
  <si>
    <t>J404979182</t>
  </si>
  <si>
    <t>ELECTRONIC 3109 C.A.</t>
  </si>
  <si>
    <t>ELECTRONIC 3109 C.A., ENRIQUE ÁLVAREZ</t>
  </si>
  <si>
    <t>J406347892</t>
  </si>
  <si>
    <t>ELECTRONIC TOOLS, C.A.</t>
  </si>
  <si>
    <t>J407213130</t>
  </si>
  <si>
    <t>ELECTRONICA COMPU SOL, C.A</t>
  </si>
  <si>
    <t>J299619612</t>
  </si>
  <si>
    <t>ELECTRONICA D.E. 2010, C.A.</t>
  </si>
  <si>
    <t>J404486810</t>
  </si>
  <si>
    <t>ELECTRONICA DATACOM, C.A.</t>
  </si>
  <si>
    <t>J298349239</t>
  </si>
  <si>
    <t>ELECTRONICA STORE C.A.</t>
  </si>
  <si>
    <t>J408837250</t>
  </si>
  <si>
    <t>ELECTROSHOP 2025, C.A.</t>
  </si>
  <si>
    <t>J503135492</t>
  </si>
  <si>
    <t>ELECTROSYS STORE, C.A</t>
  </si>
  <si>
    <t>J404374892</t>
  </si>
  <si>
    <t>EMDOM, C.A</t>
  </si>
  <si>
    <t>V19604806</t>
  </si>
  <si>
    <t>EMILI BRICEÑO.</t>
  </si>
  <si>
    <t>V131588689</t>
  </si>
  <si>
    <t>EMILIO JOSE GONZALEZ MENDOZA</t>
  </si>
  <si>
    <t>J508240324</t>
  </si>
  <si>
    <t>EMPREDIMIENTO JHON POLO</t>
  </si>
  <si>
    <t>EMPREDIMIENTO JHON POLO, JHON POLO</t>
  </si>
  <si>
    <t>J507289567</t>
  </si>
  <si>
    <t>EMPRENDE CON RIDERY, C.A.</t>
  </si>
  <si>
    <t>J507085066</t>
  </si>
  <si>
    <t>EMPRENDIMIENTO BETANIA DIAZ 4</t>
  </si>
  <si>
    <t>J505038508</t>
  </si>
  <si>
    <t>EMPRENDIMIENTO CARLOS PEREA 2</t>
  </si>
  <si>
    <t>J506100258</t>
  </si>
  <si>
    <t>EMPRENDIMIENTO DANIEL LOPEZ 15</t>
  </si>
  <si>
    <t>EMPRENDIMIENTO DANIEL LOPEZ 15, Anthony Villaparedes</t>
  </si>
  <si>
    <t>J507485633</t>
  </si>
  <si>
    <t>EMPRENDIMIENTO ELIO SOTO 3</t>
  </si>
  <si>
    <t>J504632309</t>
  </si>
  <si>
    <t>EMPRENDIMIENTO ENCLI VELASQUEZ</t>
  </si>
  <si>
    <t>J503521767</t>
  </si>
  <si>
    <t>EMPRENDIMIENTO GIOVANNI ABREU.</t>
  </si>
  <si>
    <t>J507346030</t>
  </si>
  <si>
    <t>EMPRENDIMIENTO HECTOR JIMENEZ 6</t>
  </si>
  <si>
    <t>J505705741</t>
  </si>
  <si>
    <t>EMPRENDIMIENTO HERNAN TORRES 2</t>
  </si>
  <si>
    <t>J505696092</t>
  </si>
  <si>
    <t>EMPRENDIMIENTO JELIS ALVARADO</t>
  </si>
  <si>
    <t>J503864133</t>
  </si>
  <si>
    <t>EMPRENDIMIENTO JESUS GONZALEZ 2</t>
  </si>
  <si>
    <t>J504434728</t>
  </si>
  <si>
    <t>EMPRENDIMIENTO JOSE VERENZUELA 2</t>
  </si>
  <si>
    <t>J505977393</t>
  </si>
  <si>
    <t>EMPRENDIMIENTO JUAN GUERRA 14</t>
  </si>
  <si>
    <t>J507010872</t>
  </si>
  <si>
    <t>EMPRENDIMIENTO KIMBERLYN MENDEZ</t>
  </si>
  <si>
    <t>J506775000</t>
  </si>
  <si>
    <t>EMPRENDIMIENTO LAURANAILETH NUÑEZ</t>
  </si>
  <si>
    <t>J507233227</t>
  </si>
  <si>
    <t>EMPRENDIMIENTO LUIS VILLARREAL 7</t>
  </si>
  <si>
    <t>J505108727</t>
  </si>
  <si>
    <t>EMPRENDIMIENTO MARIA SEIJAS 5</t>
  </si>
  <si>
    <t>J505700308</t>
  </si>
  <si>
    <t>EMPRENDIMIENTO MIGUEL AVILA 5</t>
  </si>
  <si>
    <t>J506954370</t>
  </si>
  <si>
    <t>EMPRENDIMIENTO MIGUEL AZUAJE 5.</t>
  </si>
  <si>
    <t>J508196872</t>
  </si>
  <si>
    <t>EMPRENDIMIENTO NELLYS HIDALGO</t>
  </si>
  <si>
    <t>J508458613</t>
  </si>
  <si>
    <t>EMPRENDIMIENTO ROSSIELL PALENCIA</t>
  </si>
  <si>
    <t>EMPRENDIMIENTO ROSSIELL PALENCIA, ROSSIELL PALENCIA</t>
  </si>
  <si>
    <t>J506357682</t>
  </si>
  <si>
    <t>EMPRENDIMIENTO SAN YARACUY</t>
  </si>
  <si>
    <t>J505338714</t>
  </si>
  <si>
    <t>EMPRENDIMIENTO SARA BELLO</t>
  </si>
  <si>
    <t>J508386019</t>
  </si>
  <si>
    <t>EMPRENDIMIENTO WINDER CAPOTE</t>
  </si>
  <si>
    <t>EMPRENDIMIENTO WINDER CAPOTE, WINDER CAPOTE</t>
  </si>
  <si>
    <t>J505397532</t>
  </si>
  <si>
    <t>EMPRENDIMIENTO YENDERSON PEREZ</t>
  </si>
  <si>
    <t>J504309320</t>
  </si>
  <si>
    <t>EMPRENDIMIENTO YGOR GUERRERO</t>
  </si>
  <si>
    <t>G200105224</t>
  </si>
  <si>
    <t>EMPRESA DE DISTRIBUCION DE PRODUCTOS E INSUMOS "VENEZUELA PRODUCTIVA, C.A."</t>
  </si>
  <si>
    <t>J00126438</t>
  </si>
  <si>
    <t>EMPRESARIAL SAN ANTONIO CA</t>
  </si>
  <si>
    <t>J503595922</t>
  </si>
  <si>
    <t>EMPRESAS JJ21, C.A</t>
  </si>
  <si>
    <t>J501557020</t>
  </si>
  <si>
    <t>EMPROTECHNO C.A</t>
  </si>
  <si>
    <t>J411681261</t>
  </si>
  <si>
    <t>ENVIOS CINDY 11, C.A</t>
  </si>
  <si>
    <t>J001219021</t>
  </si>
  <si>
    <t>EPROTEL EQUIPOS Y SISTEMAS ELECTRONICOS, C.A.</t>
  </si>
  <si>
    <t>J306148973</t>
  </si>
  <si>
    <t>EQUIP OFFICE COMPUTERS, C.A.</t>
  </si>
  <si>
    <t>J315760240</t>
  </si>
  <si>
    <t>EQUIP SERVICES 1025, C.A</t>
  </si>
  <si>
    <t>J299845299</t>
  </si>
  <si>
    <t>EQUIPOS Y SOLUCIONES TECNOLOGICAS, C.A.</t>
  </si>
  <si>
    <t>J411301558</t>
  </si>
  <si>
    <t>EQUIPROGRAM C.A</t>
  </si>
  <si>
    <t>J504993387</t>
  </si>
  <si>
    <t>ESKINA ARQUETIPO C.A</t>
  </si>
  <si>
    <t>J505044575</t>
  </si>
  <si>
    <t>ESPACIO CREATIVO SS, C.A</t>
  </si>
  <si>
    <t>J502297413</t>
  </si>
  <si>
    <t>ESPACIO INDUSTRIAL C.A.</t>
  </si>
  <si>
    <t>J408064715</t>
  </si>
  <si>
    <t>ESTACIONAMIENTO PRIMAVERA 1955,C.A</t>
  </si>
  <si>
    <t>V092600897</t>
  </si>
  <si>
    <t>ESTRADA PUNTOGLOW BUSINESS FP</t>
  </si>
  <si>
    <t>ESTRADA PUNTOGLOW BUSINESS FP, Andrés Estrada</t>
  </si>
  <si>
    <t>ESTRADA PUNTOGLOW BUSINESS FP, Douglas Lares</t>
  </si>
  <si>
    <t>J314220209</t>
  </si>
  <si>
    <t>ESTUDIOS Y PROYECTOS SERCOM, C.A</t>
  </si>
  <si>
    <t>J407882333</t>
  </si>
  <si>
    <t>EX-CLE SOLUCIONES BIOMETRICAS, C.A. (EX-CLÉ)</t>
  </si>
  <si>
    <t>J301420608</t>
  </si>
  <si>
    <t>EXCELSIOR GAMA SUPERMERCADOS, C.A.</t>
  </si>
  <si>
    <t>J297993517</t>
  </si>
  <si>
    <t>EXIPAPEL, C.A.</t>
  </si>
  <si>
    <t>J404143220</t>
  </si>
  <si>
    <t>EYOOR</t>
  </si>
  <si>
    <t>Enrique Sanchez</t>
  </si>
  <si>
    <t>J410969733</t>
  </si>
  <si>
    <t>F.L. INTERNATIONAL CONSULTING GROUP, C.A.</t>
  </si>
  <si>
    <t>J312660767</t>
  </si>
  <si>
    <t>F.M. COMPUTER PLANET, C.A</t>
  </si>
  <si>
    <t>V107830649</t>
  </si>
  <si>
    <t>F.R.DELON</t>
  </si>
  <si>
    <t>FACEBOOK</t>
  </si>
  <si>
    <t>J001980873</t>
  </si>
  <si>
    <t>FACIL DATA C.A.</t>
  </si>
  <si>
    <t>J095045706</t>
  </si>
  <si>
    <t>FAPCO, C.A.</t>
  </si>
  <si>
    <t>J412161350</t>
  </si>
  <si>
    <t>FARMACONSIGO 55, C.A</t>
  </si>
  <si>
    <t>J408201810</t>
  </si>
  <si>
    <t>FCC MOVIL, C.A</t>
  </si>
  <si>
    <t>V8107638</t>
  </si>
  <si>
    <t>FELIX NIETO</t>
  </si>
  <si>
    <t>J314330993</t>
  </si>
  <si>
    <t>FENIX ADVERTISING C.A.</t>
  </si>
  <si>
    <t>FENIX ADVERTISING C.A., JAVIER MENDEZ</t>
  </si>
  <si>
    <t>J501459568</t>
  </si>
  <si>
    <t>FENIX STORE, C.A.</t>
  </si>
  <si>
    <t>J505442112</t>
  </si>
  <si>
    <t>FENIXX DIGITAL C.A</t>
  </si>
  <si>
    <t>V259736311</t>
  </si>
  <si>
    <t>FERNANDO JAVIER PARRA GOMEZ</t>
  </si>
  <si>
    <t>J402969899</t>
  </si>
  <si>
    <t>FERRELECTRICOS DAU, C.A.</t>
  </si>
  <si>
    <t>J503326387</t>
  </si>
  <si>
    <t>FERREMATERIALES EXPRESS, GP, C.A.</t>
  </si>
  <si>
    <t>J002711442</t>
  </si>
  <si>
    <t>FERRETERIA EPA, C.A</t>
  </si>
  <si>
    <t>J413210010</t>
  </si>
  <si>
    <t>FIRMA DIGITAL, C.A.</t>
  </si>
  <si>
    <t>J413038021</t>
  </si>
  <si>
    <t>FLC,C.A</t>
  </si>
  <si>
    <t>V132883935</t>
  </si>
  <si>
    <t>FLORANGEL DUBRASKA FUENTES RODRIGUEZ</t>
  </si>
  <si>
    <t>J505939742</t>
  </si>
  <si>
    <t>FLOW OFFICES, C.A</t>
  </si>
  <si>
    <t>J309068350</t>
  </si>
  <si>
    <t>FMSG NETWORK, C.A</t>
  </si>
  <si>
    <t>J501851050</t>
  </si>
  <si>
    <t>FOOD SUPLIES 21 CORP, C.A</t>
  </si>
  <si>
    <t>J500199759</t>
  </si>
  <si>
    <t>FORUM SUPER MAYORISTA,C.A</t>
  </si>
  <si>
    <t>J400609356</t>
  </si>
  <si>
    <t>FOTOCOPIAS, COMPUTACION Y EMPASTADOS L &amp; L, C. A.</t>
  </si>
  <si>
    <t>J405437502</t>
  </si>
  <si>
    <t>FOTOGRAFIA Y SUBLIMACION Y.B.J, C. A.</t>
  </si>
  <si>
    <t>J507648982</t>
  </si>
  <si>
    <t>FOTOTECNO SERVICIOS, C.A</t>
  </si>
  <si>
    <t>V062629381</t>
  </si>
  <si>
    <t>FRANCISCO JOSE BORGES GALVIS</t>
  </si>
  <si>
    <t>V18528270-4</t>
  </si>
  <si>
    <t>V107458286</t>
  </si>
  <si>
    <t>FRANKLY JESUS DUQUE (OFIANDINA)</t>
  </si>
  <si>
    <t>J503181451</t>
  </si>
  <si>
    <t>FRANLIZ TECH, C.A</t>
  </si>
  <si>
    <t>J500264739</t>
  </si>
  <si>
    <t>FRANRO 2020, C.A.</t>
  </si>
  <si>
    <t>J501077525</t>
  </si>
  <si>
    <t>FRAVI CONTADORES, C.A.</t>
  </si>
  <si>
    <t>V18906123</t>
  </si>
  <si>
    <t>FREDDY BENITO ROBLES VASQUEZ</t>
  </si>
  <si>
    <t>J306070508</t>
  </si>
  <si>
    <t>FRIGORIFICO LA REINA 98, C.A.</t>
  </si>
  <si>
    <t>J408614421</t>
  </si>
  <si>
    <t>FULL TECNO 2017, C.A</t>
  </si>
  <si>
    <t>J410277610</t>
  </si>
  <si>
    <t>FULL TONER Y TINTAS 2018 C.A.</t>
  </si>
  <si>
    <t>J298895624</t>
  </si>
  <si>
    <t>FULLMARK C.A</t>
  </si>
  <si>
    <t>J503241810</t>
  </si>
  <si>
    <t>FUNDACION AVSI VENEZUELA</t>
  </si>
  <si>
    <t>J501324646</t>
  </si>
  <si>
    <t>FURIA ENERGY DRINK PRO C.A</t>
  </si>
  <si>
    <t>J411150762</t>
  </si>
  <si>
    <t>FUSION DIGITAL GP SUMINISTROS, C.A</t>
  </si>
  <si>
    <t>J402400403</t>
  </si>
  <si>
    <t>FUTUROOFFICE</t>
  </si>
  <si>
    <t>J311083367</t>
  </si>
  <si>
    <t>G. FINAZZO &amp; HIJOS IMPRESORES CA</t>
  </si>
  <si>
    <t>J310829047</t>
  </si>
  <si>
    <t>G.S.M. MB ABIERTO MILLENIUM, C.A.</t>
  </si>
  <si>
    <t>J316585824</t>
  </si>
  <si>
    <t>G3 LOGISTICA, C.A.</t>
  </si>
  <si>
    <t>G3 LOGISTICA, C.A., Kenya guaramato</t>
  </si>
  <si>
    <t>GABRIEL SANCHEZ</t>
  </si>
  <si>
    <t>15571979822022DV33</t>
  </si>
  <si>
    <t>GALERIAS AVANTI, S.A.</t>
  </si>
  <si>
    <t>J304709927</t>
  </si>
  <si>
    <t>GALLERY COMPUTER, C.A</t>
  </si>
  <si>
    <t>J307291184</t>
  </si>
  <si>
    <t>GALLERY COMPUTER, EL TIGRE, C.A</t>
  </si>
  <si>
    <t>J317298004</t>
  </si>
  <si>
    <t>GALLERY COMPUTER, PZO, C.A</t>
  </si>
  <si>
    <t>J504956244</t>
  </si>
  <si>
    <t>GALYS DIGITAL, C.A</t>
  </si>
  <si>
    <t>J501992398</t>
  </si>
  <si>
    <t>GAMETREND MARGARITA, C.A.</t>
  </si>
  <si>
    <t>J502041435</t>
  </si>
  <si>
    <t>GAMING SPOT C.A</t>
  </si>
  <si>
    <t>J507467813</t>
  </si>
  <si>
    <t>GARAY SYSTEMS GROUP, C.A.</t>
  </si>
  <si>
    <t>J501260702</t>
  </si>
  <si>
    <t>GECO AUTOPARTS, C.A</t>
  </si>
  <si>
    <t>J401639836</t>
  </si>
  <si>
    <t>GENERAL COMPUTER CARACAS, C.A.</t>
  </si>
  <si>
    <t>J298641630</t>
  </si>
  <si>
    <t>GENSYS CONSULTORES GERENCIALES, C. A.</t>
  </si>
  <si>
    <t>V10548785</t>
  </si>
  <si>
    <t>GEORGE TORRES</t>
  </si>
  <si>
    <t>V116744941</t>
  </si>
  <si>
    <t>GERARDO NUNEZ</t>
  </si>
  <si>
    <t>J408556090</t>
  </si>
  <si>
    <t>GERENCIA TECNICA TECTON SAKAL, C.A</t>
  </si>
  <si>
    <t>J137012002</t>
  </si>
  <si>
    <t>GERMAI OMAR MONTILLA CATAMO</t>
  </si>
  <si>
    <t>V187327730</t>
  </si>
  <si>
    <t>GERMAN ENRIQUE DE LA TORRE ABREU</t>
  </si>
  <si>
    <t>GERMAN ENRIQUE DE LA TORRE ABREU, GERMAN DE LA TORRE ABREU</t>
  </si>
  <si>
    <t>J314520148</t>
  </si>
  <si>
    <t>GESCO SOFTWARE, C.A.</t>
  </si>
  <si>
    <t>J500603800</t>
  </si>
  <si>
    <t>GFIVETECH, C. A</t>
  </si>
  <si>
    <t>J507488934</t>
  </si>
  <si>
    <t>GIGABYTE STORE, C.A</t>
  </si>
  <si>
    <t>J501329214</t>
  </si>
  <si>
    <t>GIGAHERTZ STORE, C.A</t>
  </si>
  <si>
    <t>J203650732</t>
  </si>
  <si>
    <t>GILMAR DOMINGUEZ</t>
  </si>
  <si>
    <t>J315372142</t>
  </si>
  <si>
    <t>GLOBAL ACCESS WLL, C.A</t>
  </si>
  <si>
    <t>GLOBAL ACCESS WLL, C.A, Luis Suárez</t>
  </si>
  <si>
    <t>J297557628</t>
  </si>
  <si>
    <t>GLOBAL CARGO SOLUCIONES &amp; LOGISTICA G.C.S. L., C.A</t>
  </si>
  <si>
    <t>J411805890</t>
  </si>
  <si>
    <t>GLOBAL COMPANY SYSTEM, C.A</t>
  </si>
  <si>
    <t>J406854492</t>
  </si>
  <si>
    <t>GLOBAL IT SYSTEM, C.A</t>
  </si>
  <si>
    <t>J501281157</t>
  </si>
  <si>
    <t>GLOBAL PC VZLA, C.A.</t>
  </si>
  <si>
    <t>J504013390</t>
  </si>
  <si>
    <t>GLOBAL PRINT 1994, C.A.</t>
  </si>
  <si>
    <t>J501391130</t>
  </si>
  <si>
    <t>GLOBAL PRO CCS, C.A.</t>
  </si>
  <si>
    <t>J506843242</t>
  </si>
  <si>
    <t>GLOBAL STAR TECNOLOGIA, C,A</t>
  </si>
  <si>
    <t>GLOBAL STAR TECNOLOGIA, C,A, Carlos Graterol</t>
  </si>
  <si>
    <t>J311825304</t>
  </si>
  <si>
    <t>GLOBAL VIDEO, C.A.</t>
  </si>
  <si>
    <t>J412400096</t>
  </si>
  <si>
    <t>GLODI, C.A.</t>
  </si>
  <si>
    <t>J297069259</t>
  </si>
  <si>
    <t>GLS SOLUCIONES,C. A.</t>
  </si>
  <si>
    <t>J316432610</t>
  </si>
  <si>
    <t>GOD SYSTEM, C.A</t>
  </si>
  <si>
    <t>J002748745</t>
  </si>
  <si>
    <t>GOMAS COBRA, C.A.</t>
  </si>
  <si>
    <t>J000456968</t>
  </si>
  <si>
    <t>GONZALES  TIZON C.A</t>
  </si>
  <si>
    <t>J412329669</t>
  </si>
  <si>
    <t>GRAFICA MONTECRISTO MP, C.A.</t>
  </si>
  <si>
    <t>J402127340</t>
  </si>
  <si>
    <t>GRAFICO Y VIRTUAL SERVICIOS C.A</t>
  </si>
  <si>
    <t>J500744137</t>
  </si>
  <si>
    <t>GRAFIX DIGITAL,C.A.</t>
  </si>
  <si>
    <t>J000596891</t>
  </si>
  <si>
    <t>GRANITERA VENEZIA UNIDA, C.A.</t>
  </si>
  <si>
    <t>J311613196</t>
  </si>
  <si>
    <t>GREISA CARD, C.A.</t>
  </si>
  <si>
    <t>V24807184</t>
  </si>
  <si>
    <t>GRESIMAR SUAREZ</t>
  </si>
  <si>
    <t>V283492768</t>
  </si>
  <si>
    <t>GRIMAN INVERSIONES COOLTECH, F.P,</t>
  </si>
  <si>
    <t>J507222047</t>
  </si>
  <si>
    <t>GROUP TEC 2224,C.A. PYME</t>
  </si>
  <si>
    <t>GROUP TEC 2224,C.A. PYME, Adrián ramirez</t>
  </si>
  <si>
    <t>J505199480</t>
  </si>
  <si>
    <t>GRUPO 3 AUTOMOTRIZ CA</t>
  </si>
  <si>
    <t>J408455358</t>
  </si>
  <si>
    <t>GRUPO 8487, C.A.</t>
  </si>
  <si>
    <t>J501533598</t>
  </si>
  <si>
    <t>GRUPO AS TECHNOLOGY, C.A.</t>
  </si>
  <si>
    <t>J410719869</t>
  </si>
  <si>
    <t>GRUPO BIILIGO, C.A.</t>
  </si>
  <si>
    <t>J296810508</t>
  </si>
  <si>
    <t>GRUPO BLUETECH 1315, C.A</t>
  </si>
  <si>
    <t>J401652344</t>
  </si>
  <si>
    <t>GRUPO C Y 21, C.A</t>
  </si>
  <si>
    <t>J312271698</t>
  </si>
  <si>
    <t>GRUPO CORE ITECH 2023 C.A.</t>
  </si>
  <si>
    <t>J408924528</t>
  </si>
  <si>
    <t>GRUPO CREASTAR,C.A</t>
  </si>
  <si>
    <t>J295354401</t>
  </si>
  <si>
    <t>GRUPO D&amp;DV, C.A.</t>
  </si>
  <si>
    <t>J410681675</t>
  </si>
  <si>
    <t>GRUPO DASALPRO, C.A.</t>
  </si>
  <si>
    <t>J502140077</t>
  </si>
  <si>
    <t>GRUPO DUNOVO, C.A</t>
  </si>
  <si>
    <t>J405260300</t>
  </si>
  <si>
    <t>GRUPO ECO PAPELERO MJ, C.A</t>
  </si>
  <si>
    <t>J403536996</t>
  </si>
  <si>
    <t>GRUPO EMPRESARIAL H.D., C. A.</t>
  </si>
  <si>
    <t>J408638924</t>
  </si>
  <si>
    <t>GRUPO EXPETRAKON 2008, C.A</t>
  </si>
  <si>
    <t>J402294638</t>
  </si>
  <si>
    <t>GRUPO FRAGA, C.A.</t>
  </si>
  <si>
    <t>J500883277</t>
  </si>
  <si>
    <t>GRUPO GLOBALNEK 33, C.A</t>
  </si>
  <si>
    <t>J411738867</t>
  </si>
  <si>
    <t>GRUPO GLOBALTEC 2724, C.A.</t>
  </si>
  <si>
    <t>J500114613</t>
  </si>
  <si>
    <t>GRUPO IARAS, C.A.</t>
  </si>
  <si>
    <t>J500576935</t>
  </si>
  <si>
    <t>GRUPO IKUNIN 636 C.A</t>
  </si>
  <si>
    <t>J501212511</t>
  </si>
  <si>
    <t>GRUPO JEB, C.A.</t>
  </si>
  <si>
    <t>J410168811</t>
  </si>
  <si>
    <t>GRUPO JECEL, C.A</t>
  </si>
  <si>
    <t>J413234700</t>
  </si>
  <si>
    <t>GRUPO KAPANY CA</t>
  </si>
  <si>
    <t>J412582526</t>
  </si>
  <si>
    <t>GRUPO KEDIRA, C. A.</t>
  </si>
  <si>
    <t>J310647755</t>
  </si>
  <si>
    <t>GRUPO LINACA, C.A</t>
  </si>
  <si>
    <t>J501045984</t>
  </si>
  <si>
    <t>GRUPO MDS, C.A.</t>
  </si>
  <si>
    <t>J309185110</t>
  </si>
  <si>
    <t>GRUPO MILLPC, C.A.</t>
  </si>
  <si>
    <t>J506234424</t>
  </si>
  <si>
    <t>GRUPO MINVEN, C.A</t>
  </si>
  <si>
    <t>J501025061</t>
  </si>
  <si>
    <t>GRUPO MIRANDA 2021, C.A</t>
  </si>
  <si>
    <t>J405098910</t>
  </si>
  <si>
    <t>GRUPO NEOSUMTEC, C.A.</t>
  </si>
  <si>
    <t>J500173458</t>
  </si>
  <si>
    <t>GRUPO NOFA, C.A.</t>
  </si>
  <si>
    <t>J508004841</t>
  </si>
  <si>
    <t>GRUPO NOVA 2025, C.A</t>
  </si>
  <si>
    <t>GRUPO NOVA 2025, C.A, KENNY SILVA</t>
  </si>
  <si>
    <t>GRUPO NOVA 2025, C.A, Yuraima Castillo</t>
  </si>
  <si>
    <t>J297076794</t>
  </si>
  <si>
    <t>GRUPO NOXIS, C.A.</t>
  </si>
  <si>
    <t>J302601754</t>
  </si>
  <si>
    <t>GRUPO ORBITRONIC C.A</t>
  </si>
  <si>
    <t>J504140406</t>
  </si>
  <si>
    <t>GRUPO PAPEL D&amp;J,C.A</t>
  </si>
  <si>
    <t>GRUPO PAPEL D&amp;J,C.A, JESUS BERMUDEZ</t>
  </si>
  <si>
    <t>J500783795</t>
  </si>
  <si>
    <t>GRUPO PLUS MARKET C.A</t>
  </si>
  <si>
    <t>J400661463</t>
  </si>
  <si>
    <t>GRUPO SIMIX C.A</t>
  </si>
  <si>
    <t>J406120820</t>
  </si>
  <si>
    <t>GRUPO SINERGIOS, C.A.</t>
  </si>
  <si>
    <t>J302878187</t>
  </si>
  <si>
    <t>GRUPO SISEVENCA, CA</t>
  </si>
  <si>
    <t>GRUPO SISEVENCA, CA, Maria Omaña</t>
  </si>
  <si>
    <t>J505620428</t>
  </si>
  <si>
    <t>GRUPO SOLUCIONES 360, C.A</t>
  </si>
  <si>
    <t>J501224684</t>
  </si>
  <si>
    <t>GRUPO SR&amp;C 2418, C.A</t>
  </si>
  <si>
    <t>J312368861</t>
  </si>
  <si>
    <t>GRUPO STC C.A</t>
  </si>
  <si>
    <t>J503281162</t>
  </si>
  <si>
    <t>GRUPO TECHNOLOGY AC, C.A.</t>
  </si>
  <si>
    <t>J502967630</t>
  </si>
  <si>
    <t>GRUPO TECNO GEEK C.A.</t>
  </si>
  <si>
    <t>J508186435</t>
  </si>
  <si>
    <t>GRUPO TU LIBRITO, C.A.</t>
  </si>
  <si>
    <t>GRUPO TU LIBRITO, C.A., Soleil Belisario</t>
  </si>
  <si>
    <t>J317411838</t>
  </si>
  <si>
    <t>GRUPO VENECOR, C.A</t>
  </si>
  <si>
    <t>J503859253</t>
  </si>
  <si>
    <t>GRUPOSOMA 2023, C.A</t>
  </si>
  <si>
    <t>J298712783</t>
  </si>
  <si>
    <t>GSM SB TELECOM III C.A.</t>
  </si>
  <si>
    <t>J402597010</t>
  </si>
  <si>
    <t>GUERRAMOTOR S C.A</t>
  </si>
  <si>
    <t>V6242395</t>
  </si>
  <si>
    <t>GUSTAVO RAMIREZ</t>
  </si>
  <si>
    <t>Gabriel Camacho</t>
  </si>
  <si>
    <t>J307382856</t>
  </si>
  <si>
    <t>H.L COMPUTER ORIENTE, C.A</t>
  </si>
  <si>
    <t>J500617232</t>
  </si>
  <si>
    <t>HAIKO, C.A</t>
  </si>
  <si>
    <t>V202809460</t>
  </si>
  <si>
    <t>HAROLD DAVID HERNANDEZ QUERO(MITINTA DE HAROLD DAVID HERNANDEZ QUERO)</t>
  </si>
  <si>
    <t>HCL 7/24 ACCIONES</t>
  </si>
  <si>
    <t>V23411699</t>
  </si>
  <si>
    <t>HERMES TARAZONA</t>
  </si>
  <si>
    <t>J410953446</t>
  </si>
  <si>
    <t>HEY PROFIT SERVICES &amp; PRODUCTS, C.A.</t>
  </si>
  <si>
    <t>J305872112</t>
  </si>
  <si>
    <t>HI-FI ELECTRONIC'S, C.A</t>
  </si>
  <si>
    <t>J295182520</t>
  </si>
  <si>
    <t>HIGH TECH SYSTEMS, C.A</t>
  </si>
  <si>
    <t>ID15567574722019DV60</t>
  </si>
  <si>
    <t>HIKVISION CENTRAL AMERICA S.A (PANAMA)</t>
  </si>
  <si>
    <t>2174906-1-769395</t>
  </si>
  <si>
    <t>HILLY HOLDINGS CORP</t>
  </si>
  <si>
    <t>J503913010</t>
  </si>
  <si>
    <t>HOGAR TIC, C.A.</t>
  </si>
  <si>
    <t>J501897654</t>
  </si>
  <si>
    <t>HONOR BENGALA 2040, C.A</t>
  </si>
  <si>
    <t>J819981919</t>
  </si>
  <si>
    <t>HQINKJET</t>
  </si>
  <si>
    <t>J506163640</t>
  </si>
  <si>
    <t>HUBBLE ELECTRONICS, C.A.</t>
  </si>
  <si>
    <t>V82297119</t>
  </si>
  <si>
    <t>HUGO BALANTA VIAFARA</t>
  </si>
  <si>
    <t>J411872040</t>
  </si>
  <si>
    <t>HYPER SYSTEMS OCCIDENTE, C.A</t>
  </si>
  <si>
    <t>J316254488</t>
  </si>
  <si>
    <t>HYPER SYSTEMS, C.A.</t>
  </si>
  <si>
    <t>V157468479</t>
  </si>
  <si>
    <t>Hercilio  Camacho</t>
  </si>
  <si>
    <t>Hercilio Camacho</t>
  </si>
  <si>
    <t>J407082817</t>
  </si>
  <si>
    <t>IDEALTIC 2406, C.A</t>
  </si>
  <si>
    <t>3101258797</t>
  </si>
  <si>
    <t>IDEAS MCW COMUNICACION</t>
  </si>
  <si>
    <t>J504455644</t>
  </si>
  <si>
    <t>IFOX CELL, C.A</t>
  </si>
  <si>
    <t>J298424117</t>
  </si>
  <si>
    <t>IMAT, CREATIVOS COMUNICACIONALES, C.A</t>
  </si>
  <si>
    <t>J504736201</t>
  </si>
  <si>
    <t>IMOROVERDE, C.A.</t>
  </si>
  <si>
    <t>J312353864</t>
  </si>
  <si>
    <t>IMPEREXPRESS 2.003, C.A.</t>
  </si>
  <si>
    <t>J502115145</t>
  </si>
  <si>
    <t>IMPORT MISOL, C.A</t>
  </si>
  <si>
    <t>J410522399</t>
  </si>
  <si>
    <t>IMPORTACION KYRA TECHNOLOGY, C.A.</t>
  </si>
  <si>
    <t>J501833664</t>
  </si>
  <si>
    <t>IMPORTADORA AVZ 365, C.A</t>
  </si>
  <si>
    <t>J404615962</t>
  </si>
  <si>
    <t>IMPORTADORA JC 777, C.A</t>
  </si>
  <si>
    <t>J407276760</t>
  </si>
  <si>
    <t>IMPORTADORA MULTINETPRO, C. A.</t>
  </si>
  <si>
    <t>J408745445</t>
  </si>
  <si>
    <t>IMPORTADORA NET STAR 16, C.A</t>
  </si>
  <si>
    <t>J294602363</t>
  </si>
  <si>
    <t>IMPORTADORA POS SUPPLIES DE VENEZUELA, C. A.</t>
  </si>
  <si>
    <t>J314227521</t>
  </si>
  <si>
    <t>IMPORTADORA TOP 2000, C.A.</t>
  </si>
  <si>
    <t>J313232335</t>
  </si>
  <si>
    <t>IMPORTADORA Y DISTRIBUIDORA CONNECTIX, C. A.</t>
  </si>
  <si>
    <t>J407821482</t>
  </si>
  <si>
    <t>IMPRECOPY CAPITAL,C.A</t>
  </si>
  <si>
    <t>IMPRECOPY CAPITAL,C.A, FLORENCIO HERNANDEZ</t>
  </si>
  <si>
    <t>J402625685</t>
  </si>
  <si>
    <t>IMPREMAR 0409, C.A.</t>
  </si>
  <si>
    <t>J401000061</t>
  </si>
  <si>
    <t>IMPREPAL SOLUTIONS, C.A.</t>
  </si>
  <si>
    <t>J300790223</t>
  </si>
  <si>
    <t>IMPRESORA LITHOBAR C A</t>
  </si>
  <si>
    <t>J502084100</t>
  </si>
  <si>
    <t>IMPRESOS &amp; DISEÑOS LA TINTA, C.A.</t>
  </si>
  <si>
    <t>J295299184</t>
  </si>
  <si>
    <t>IMPRESOS BERE, C.A</t>
  </si>
  <si>
    <t>J403648190</t>
  </si>
  <si>
    <t>IMPRESOS LA IMAGEN 54C, C.A</t>
  </si>
  <si>
    <t>J297916695</t>
  </si>
  <si>
    <t>IMPRIMETE, C.A.</t>
  </si>
  <si>
    <t>J410166096</t>
  </si>
  <si>
    <t>IMPROCOM SOLUCIONES TECNOLOGICAS, C.A</t>
  </si>
  <si>
    <t>J507608301</t>
  </si>
  <si>
    <t>INDIGO GSM C.A</t>
  </si>
  <si>
    <t>INDIGO GSM C.A, Douglas Lares</t>
  </si>
  <si>
    <t>J301123760</t>
  </si>
  <si>
    <t>INDUSTRIAL PAPELERO I.P.A.C.A., C.A.</t>
  </si>
  <si>
    <t>J406984957</t>
  </si>
  <si>
    <t>INDUSTRIAS JAI, C.A.</t>
  </si>
  <si>
    <t>INDUSTRIAS JAI, C.A., ISAAC CHOCRON</t>
  </si>
  <si>
    <t>J075432150</t>
  </si>
  <si>
    <t>INFOCENT C A</t>
  </si>
  <si>
    <t>J30560155-0</t>
  </si>
  <si>
    <t>INFORCAL, C.A.</t>
  </si>
  <si>
    <t>J309538306</t>
  </si>
  <si>
    <t>INFORMATICA MIL TRECE C.A</t>
  </si>
  <si>
    <t>J406709247</t>
  </si>
  <si>
    <t>INFRAESTRUCTURA Y CONSTRUCCIONES DELTA (INCODELTA), C.A</t>
  </si>
  <si>
    <t>J293573998</t>
  </si>
  <si>
    <t>INFRASOFT BUSINESS SOLUTIONS,C.A</t>
  </si>
  <si>
    <t>J501018740</t>
  </si>
  <si>
    <t>INFRASOFT TECNOLOGIAS, C.A.</t>
  </si>
  <si>
    <t>INFRASOFT TECNOLOGIAS, C.A., Tania Viscaíno</t>
  </si>
  <si>
    <t>J407734385</t>
  </si>
  <si>
    <t>INGENIERIA METALINKS, C.A</t>
  </si>
  <si>
    <t>INGENIERIA METALINKS, C.A, JOHANDER GUEDEZ</t>
  </si>
  <si>
    <t>INGENIERIA METALINKS, C.A, Manuel Guédez</t>
  </si>
  <si>
    <t>J405610379</t>
  </si>
  <si>
    <t>INKBOSS, C.A.</t>
  </si>
  <si>
    <t>J407311824</t>
  </si>
  <si>
    <t>INNOVACION DIGITAL BP 2015, C.A</t>
  </si>
  <si>
    <t>J317376900</t>
  </si>
  <si>
    <t>INNOVACIÓN DIGITAL, C. A.</t>
  </si>
  <si>
    <t>J507024679</t>
  </si>
  <si>
    <t>INNOVITE.VE 2025, C.A.</t>
  </si>
  <si>
    <t>J-50702467-9</t>
  </si>
  <si>
    <t>INNOVITE.VE 2025, C.A.|</t>
  </si>
  <si>
    <t>7-711-259</t>
  </si>
  <si>
    <t>INOVATEC INC</t>
  </si>
  <si>
    <t>J305626243</t>
  </si>
  <si>
    <t>INSTALACIONES REDES CENTER</t>
  </si>
  <si>
    <t>J503747870</t>
  </si>
  <si>
    <t>INSTALADORES_TELECOM 23,C.A.</t>
  </si>
  <si>
    <t>J502528296</t>
  </si>
  <si>
    <t>INSTEGE, C.A</t>
  </si>
  <si>
    <t>J009124739</t>
  </si>
  <si>
    <t>INSTITUTO LATINOAMERICANO DE INVESTIGACIONES SOCIALES (ILDIS)</t>
  </si>
  <si>
    <t>J503391774</t>
  </si>
  <si>
    <t>INSUMOS MAZZ CA</t>
  </si>
  <si>
    <t>J295102950</t>
  </si>
  <si>
    <t>INSUMOS PETROLEROS ARVAS, (ARVAS) C.A</t>
  </si>
  <si>
    <t>J070250410</t>
  </si>
  <si>
    <t>INT. UNIV DE TECNOLOGIA ANTONIO JOSE DE SUCRE</t>
  </si>
  <si>
    <t>J411972509</t>
  </si>
  <si>
    <t>INTECSERVI RX, C.A.</t>
  </si>
  <si>
    <t>J501916500</t>
  </si>
  <si>
    <t>INTEGRA STORE RETAIL,C.A</t>
  </si>
  <si>
    <t>J504387436</t>
  </si>
  <si>
    <t>INTEGRA TECNOLOGY, C.A</t>
  </si>
  <si>
    <t>J401012078</t>
  </si>
  <si>
    <t>INTEGRAL COLOURS CMY C.A</t>
  </si>
  <si>
    <t>J295894880</t>
  </si>
  <si>
    <t>INTELECTA SERVICIOS, C.A.</t>
  </si>
  <si>
    <t>J314352229</t>
  </si>
  <si>
    <t>INTERCOMPUTO MC, C.A</t>
  </si>
  <si>
    <t>J403264503</t>
  </si>
  <si>
    <t>INTERCOMUNICACIONES BLINS 301218,C.A.</t>
  </si>
  <si>
    <t>J405404895</t>
  </si>
  <si>
    <t>INTERNATIONAL COMPUTERS FMF, C. A.</t>
  </si>
  <si>
    <t>J400061121</t>
  </si>
  <si>
    <t>INTERNATIONAL MULTI SUPPLY LLC, C.A.</t>
  </si>
  <si>
    <t>INTERNATIONAL MULTI SUPPLY LLC, C.A., NESTOR DOMINGUEZ</t>
  </si>
  <si>
    <t>J501521832</t>
  </si>
  <si>
    <t>INV COMPUTER WORLD, C.A.</t>
  </si>
  <si>
    <t>J505077880</t>
  </si>
  <si>
    <t>INVER 22-22, C.A</t>
  </si>
  <si>
    <t>J296624984</t>
  </si>
  <si>
    <t>INVERSIONES &amp; INGENIERIA TECNO RHC C.A</t>
  </si>
  <si>
    <t>J500367341</t>
  </si>
  <si>
    <t>INVERSIONES &amp; SUMINISTROS ESV, C.A</t>
  </si>
  <si>
    <t>J503210958</t>
  </si>
  <si>
    <t>INVERSIONES 2005 BGA, C.A</t>
  </si>
  <si>
    <t>J296726922</t>
  </si>
  <si>
    <t>INVERSIONES 72953, C.A.</t>
  </si>
  <si>
    <t>J310093474</t>
  </si>
  <si>
    <t>INVERSIONES @ JAVCAME CA</t>
  </si>
  <si>
    <t>J405944803</t>
  </si>
  <si>
    <t>INVERSIONES ABRAHAM SPORT 2015 C.A</t>
  </si>
  <si>
    <t>J306624260</t>
  </si>
  <si>
    <t>INVERSIONES ADANET, C.A</t>
  </si>
  <si>
    <t>J502771077</t>
  </si>
  <si>
    <t>INVERSIONES AHMP 1, C.A.</t>
  </si>
  <si>
    <t>INVERSIONES AHMP 1, C.A., NESTOR ZAMBANO</t>
  </si>
  <si>
    <t>J407414623</t>
  </si>
  <si>
    <t>INVERSIONES AHYMARA 0409 C.A</t>
  </si>
  <si>
    <t>J500774117</t>
  </si>
  <si>
    <t>INVERSIONES ALACARTAYA</t>
  </si>
  <si>
    <t>J507491390</t>
  </si>
  <si>
    <t>INVERSIONES ALAGWANA TECHNOLOGY. C.A</t>
  </si>
  <si>
    <t>J410965266</t>
  </si>
  <si>
    <t>INVERSIONES ALDAYO C.A</t>
  </si>
  <si>
    <t>J306628266</t>
  </si>
  <si>
    <t>INVERSIONES ALEXYARY, C.A</t>
  </si>
  <si>
    <t>J410414456</t>
  </si>
  <si>
    <t>INVERSIONES ALL TECH, C.A.</t>
  </si>
  <si>
    <t>J405322411</t>
  </si>
  <si>
    <t>INVERSIONES ALL THAT PRINT XXI, C.A</t>
  </si>
  <si>
    <t>J506781905</t>
  </si>
  <si>
    <t>INVERSIONES ANDREAS 9499 C.A</t>
  </si>
  <si>
    <t>J501207585</t>
  </si>
  <si>
    <t>INVERSIONES ANGAMI, C.A.</t>
  </si>
  <si>
    <t>J501056005</t>
  </si>
  <si>
    <t>INVERSIONES ANGEL &amp; LIBARES 2910, C.A.</t>
  </si>
  <si>
    <t>INVERSIONES ANGEL &amp; LIBARES 2910, C.A., NOBERT</t>
  </si>
  <si>
    <t>J405435852</t>
  </si>
  <si>
    <t>INVERSIONES ANGELES N.M 5000, C.A</t>
  </si>
  <si>
    <t>J402195869</t>
  </si>
  <si>
    <t>INVERSIONES ANTEJOCA, C.A.</t>
  </si>
  <si>
    <t>INVERSIONES ANTEJOCA, C.A., Teresa Carolina Sozzi</t>
  </si>
  <si>
    <t>J500725078</t>
  </si>
  <si>
    <t>INVERSIONES APY, C.A.</t>
  </si>
  <si>
    <t>J406132764</t>
  </si>
  <si>
    <t>INVERSIONES ARCSERVICIOS 200, C.A.</t>
  </si>
  <si>
    <t>J408924145</t>
  </si>
  <si>
    <t>INVERSIONES ARK 1606, C.A.</t>
  </si>
  <si>
    <t>J501638799</t>
  </si>
  <si>
    <t>INVERSIONES ARTHA TECHNOLOGY, C.A</t>
  </si>
  <si>
    <t>J505925571</t>
  </si>
  <si>
    <t>INVERSIONES ARTIGOS 2024, C.A.</t>
  </si>
  <si>
    <t>J500201036</t>
  </si>
  <si>
    <t>INVERSIONES ARTIGOS II 2020, C.A.</t>
  </si>
  <si>
    <t>J317321766</t>
  </si>
  <si>
    <t>INVERSIONES ARTIGOS, C.A.</t>
  </si>
  <si>
    <t>J315733170</t>
  </si>
  <si>
    <t>INVERSIONES AVEL DRIVE,C.A.</t>
  </si>
  <si>
    <t>J500801726</t>
  </si>
  <si>
    <t>INVERSIONES AVISAL, C.A.</t>
  </si>
  <si>
    <t>INVERSIONES AVISAL, C.A., Other Address</t>
  </si>
  <si>
    <t>J500704232</t>
  </si>
  <si>
    <t>INVERSIONES B&amp;Y 2627, C.A</t>
  </si>
  <si>
    <t>J502179801</t>
  </si>
  <si>
    <t>INVERSIONES BAZAR FERRETERIA JC 2200, C.A</t>
  </si>
  <si>
    <t>J315183005</t>
  </si>
  <si>
    <t>INVERSIONES BELLYCOPY, C.A.</t>
  </si>
  <si>
    <t>J403721971</t>
  </si>
  <si>
    <t>INVERSIONES BJR 2013, C.A</t>
  </si>
  <si>
    <t>J315644550</t>
  </si>
  <si>
    <t>INVERSIONES BLACKCELL, C.A</t>
  </si>
  <si>
    <t>J500704461</t>
  </si>
  <si>
    <t>INVERSIONES BLUECORE 2021, C.A.</t>
  </si>
  <si>
    <t>J299001252</t>
  </si>
  <si>
    <t>INVERSIONES BORA-BORA COMPUTER,C.A</t>
  </si>
  <si>
    <t>J503078979</t>
  </si>
  <si>
    <t>INVERSIONES BP NET 5225,C.A</t>
  </si>
  <si>
    <t>J310686009</t>
  </si>
  <si>
    <t>INVERSIONES BR 102012, C.A.</t>
  </si>
  <si>
    <t>J500516444</t>
  </si>
  <si>
    <t>INVERSIONES BRENIER CAMPUTER 123, C.A</t>
  </si>
  <si>
    <t>J405125250</t>
  </si>
  <si>
    <t>INVERSIONES C.J. 2014 C.A</t>
  </si>
  <si>
    <t>J507935400</t>
  </si>
  <si>
    <t>INVERSIONES CAPITAL PAPER, C.A.</t>
  </si>
  <si>
    <t>J299685330</t>
  </si>
  <si>
    <t>INVERSIONES CAR, LMR, C.A.</t>
  </si>
  <si>
    <t>J411217263</t>
  </si>
  <si>
    <t>INVERSIONES CARFAVE 24, C.A</t>
  </si>
  <si>
    <t>J299624063</t>
  </si>
  <si>
    <t>INVERSIONES CASTELL 523, C. A.</t>
  </si>
  <si>
    <t>V122971690</t>
  </si>
  <si>
    <t>INVERSIONES CLEMTRONICS</t>
  </si>
  <si>
    <t>J314333070</t>
  </si>
  <si>
    <t>INVERSIONES CLINITELL DACF, C.A.</t>
  </si>
  <si>
    <t>J406277266</t>
  </si>
  <si>
    <t>INVERSIONES COMPLEX 2015, C.A.</t>
  </si>
  <si>
    <t>J504579572</t>
  </si>
  <si>
    <t>INVERSIONES COMPU TECH 07, C.A</t>
  </si>
  <si>
    <t>J403396493</t>
  </si>
  <si>
    <t>INVERSIONES COMPU TONER 3000, C.A.</t>
  </si>
  <si>
    <t>J299959162</t>
  </si>
  <si>
    <t>INVERSIONES COMPU-ALL 212 C.A</t>
  </si>
  <si>
    <t>J401526586</t>
  </si>
  <si>
    <t>INVERSIONES COMPUATLANTIC, C.A.</t>
  </si>
  <si>
    <t>J298216778</t>
  </si>
  <si>
    <t>INVERSIONES COMPUGRAFIC C.A</t>
  </si>
  <si>
    <t>J298173254</t>
  </si>
  <si>
    <t>INVERSIONES COMPUMAR 2030 C.A.</t>
  </si>
  <si>
    <t>J403895350</t>
  </si>
  <si>
    <t>INVERSIONES COMPUREDES R&amp;J 2030, C.A.</t>
  </si>
  <si>
    <t>J405318759</t>
  </si>
  <si>
    <t>INVERSIONES COMPUSTAR 3000, C.A</t>
  </si>
  <si>
    <t>J404426043</t>
  </si>
  <si>
    <t>INVERSIONES CONAIZEN, C.A.</t>
  </si>
  <si>
    <t>J315200341</t>
  </si>
  <si>
    <t>INVERSIONES CONALMO 2010, C.A</t>
  </si>
  <si>
    <t>J505307550</t>
  </si>
  <si>
    <t>INVERSIONES CONTIMARKET 168 C.A</t>
  </si>
  <si>
    <t>J412851993</t>
  </si>
  <si>
    <t>INVERSIONES CORIDAR, C.A</t>
  </si>
  <si>
    <t>J504342327</t>
  </si>
  <si>
    <t>INVERSIONES CORP OFI 76. C.A.</t>
  </si>
  <si>
    <t>J295766238</t>
  </si>
  <si>
    <t>INVERSIONES CORPOVENCE C.A</t>
  </si>
  <si>
    <t>J315292688</t>
  </si>
  <si>
    <t>INVERSIONES CRISTAL.COM, C.A.</t>
  </si>
  <si>
    <t>J298323604</t>
  </si>
  <si>
    <t>INVERSIONES DANNABYTE PC 80 CA</t>
  </si>
  <si>
    <t>INVERSIONES DENKITEC,CA, Oswaldo Aranguren</t>
  </si>
  <si>
    <t>J404954961</t>
  </si>
  <si>
    <t>INVERSIONES DENMARK, C.A</t>
  </si>
  <si>
    <t>J413111004</t>
  </si>
  <si>
    <t>INVERSIONES DIGITAL PRINT 2.0, C.A.</t>
  </si>
  <si>
    <t>J507871088</t>
  </si>
  <si>
    <t>INVERSIONES DIGITAL WORLD, C.A</t>
  </si>
  <si>
    <t>INVERSIONES DIGITAL WORLD, C.A, Kleyburth Mantilla Nunes</t>
  </si>
  <si>
    <t>J401415130</t>
  </si>
  <si>
    <t>INVERSIONES DINORATH 721, C.A</t>
  </si>
  <si>
    <t>J500605374</t>
  </si>
  <si>
    <t>INVERSIONES E. BARRIOS 2019, C.A</t>
  </si>
  <si>
    <t>J306918310</t>
  </si>
  <si>
    <t>INVERSIONES E. Y. L. 312, C.A</t>
  </si>
  <si>
    <t>J294352111</t>
  </si>
  <si>
    <t>INVERSIONES E.R.A 2014, C.A.</t>
  </si>
  <si>
    <t>V146005477</t>
  </si>
  <si>
    <t>INVERSIONES ECRT TECNOLOGIA DE ROSA TORO, F.P</t>
  </si>
  <si>
    <t>J315884720</t>
  </si>
  <si>
    <t>INVERSIONES ELCURE C.A</t>
  </si>
  <si>
    <t>J299926612</t>
  </si>
  <si>
    <t>INVERSIONES ELEDWINYIT 2010, C.A.</t>
  </si>
  <si>
    <t>J501036250</t>
  </si>
  <si>
    <t>INVERSIONES ELKIRI, C.A.</t>
  </si>
  <si>
    <t>INVERSIONES ELKIRI, C.A., Zubraycarth cuenca</t>
  </si>
  <si>
    <t>J504783218</t>
  </si>
  <si>
    <t>INVERSIONES EMA LIAH BARQUISIMETO C.A</t>
  </si>
  <si>
    <t>J408007070</t>
  </si>
  <si>
    <t>INVERSIONES EPICENTRO 657, C.A</t>
  </si>
  <si>
    <t>J306788999</t>
  </si>
  <si>
    <t>INVERSIONES ESCARTO EL RECREO.C.A</t>
  </si>
  <si>
    <t>J317376994</t>
  </si>
  <si>
    <t>INVERSIONES EVS TECH, C.A</t>
  </si>
  <si>
    <t>J412228935</t>
  </si>
  <si>
    <t>INVERSIONES FAVICON, C. A</t>
  </si>
  <si>
    <t>J500440871</t>
  </si>
  <si>
    <t>INVERSIONES FERRETODO 2020, C.A.</t>
  </si>
  <si>
    <t>J412908227</t>
  </si>
  <si>
    <t>INVERSIONES FERRETODO E. R 2019, C.A</t>
  </si>
  <si>
    <t>J402220227</t>
  </si>
  <si>
    <t>INVERSIONES FIROGO, C.A.</t>
  </si>
  <si>
    <t>J299849308</t>
  </si>
  <si>
    <t>INVERSIONES FORJADO LORENZO, C.A.</t>
  </si>
  <si>
    <t>J412401777</t>
  </si>
  <si>
    <t>INVERSIONES FRANCIS. FULL COLOR 2019, C.A</t>
  </si>
  <si>
    <t>J405120827</t>
  </si>
  <si>
    <t>INVERSIONES FRANDONY, C.A</t>
  </si>
  <si>
    <t>J298147210</t>
  </si>
  <si>
    <t>INVERSIONES FULL TONOS CJSG, C.A</t>
  </si>
  <si>
    <t>J501401578</t>
  </si>
  <si>
    <t>INVERSIONES FULLSER MCS,CA</t>
  </si>
  <si>
    <t>INVERSIONES FULLSER MCS,CA, LUIS GUEVARA</t>
  </si>
  <si>
    <t>J412883879</t>
  </si>
  <si>
    <t>INVERSIONES FUTSAL MARKET, C.A.</t>
  </si>
  <si>
    <t>J406959219</t>
  </si>
  <si>
    <t>INVERSIONES GERANGI, C.A.</t>
  </si>
  <si>
    <t>J295148917</t>
  </si>
  <si>
    <t>INVERSIONES GMMC, C.A.</t>
  </si>
  <si>
    <t>J313304565</t>
  </si>
  <si>
    <t>INVERSIONES HELP COMPUTER, C. A.</t>
  </si>
  <si>
    <t>J296420700</t>
  </si>
  <si>
    <t>INVERSIONES HERMANOS VALERO, C.A</t>
  </si>
  <si>
    <t>J500546416</t>
  </si>
  <si>
    <t>INVERSIONES HOLO 2020, C.A.</t>
  </si>
  <si>
    <t>J304948352</t>
  </si>
  <si>
    <t>INVERSIONES HOTELERAS 7070, C.A.</t>
  </si>
  <si>
    <t>J301698550</t>
  </si>
  <si>
    <t>INVERSIONES I.N.L.G.S. C.A.</t>
  </si>
  <si>
    <t>INVERSIONES I.N.L.G.S. C.A., LUIS RAMIREZ GUZMAN</t>
  </si>
  <si>
    <t>J297250042</t>
  </si>
  <si>
    <t>INVERSIONES IMPREFOT 09 C.A.</t>
  </si>
  <si>
    <t>J308533025</t>
  </si>
  <si>
    <t>INVERSIONES INDICOM 4 C.A</t>
  </si>
  <si>
    <t>J313833614</t>
  </si>
  <si>
    <t>INVERSIONES INSERCOMP J.R, C.A</t>
  </si>
  <si>
    <t>J311282378</t>
  </si>
  <si>
    <t>INVERSIONES INSTRUMENTAL ATLAS C.A.</t>
  </si>
  <si>
    <t>J298110112</t>
  </si>
  <si>
    <t>INVERSIONES IP-LAN, C.A.</t>
  </si>
  <si>
    <t>J404983112</t>
  </si>
  <si>
    <t>INVERSIONES ITZAE, C.A</t>
  </si>
  <si>
    <t>J412108891</t>
  </si>
  <si>
    <t>INVERSIONES IÑANI 05 TEHCNOLOGY, C.A.</t>
  </si>
  <si>
    <t>J405068604</t>
  </si>
  <si>
    <t>INVERSIONES JAH SERVER C.A</t>
  </si>
  <si>
    <t>J504167177</t>
  </si>
  <si>
    <t>INVERSIONES JAVIER.23, C.A</t>
  </si>
  <si>
    <t>J412732935</t>
  </si>
  <si>
    <t>INVERSIONES JC PCS  2018. C.A</t>
  </si>
  <si>
    <t>J406892769</t>
  </si>
  <si>
    <t>INVERSIONES JDMIR, C.A.</t>
  </si>
  <si>
    <t>J316045854</t>
  </si>
  <si>
    <t>INVERSIONES JHAIMAR, C.A.</t>
  </si>
  <si>
    <t>30</t>
  </si>
  <si>
    <t>J403920290</t>
  </si>
  <si>
    <t>INVERSIONES JJF 3050,C.A</t>
  </si>
  <si>
    <t>J503643455</t>
  </si>
  <si>
    <t>INVERSIONES JL &amp; M16, C.A.</t>
  </si>
  <si>
    <t>J409665860</t>
  </si>
  <si>
    <t>INVERSIONES JM 2017, C.A</t>
  </si>
  <si>
    <t>J313964530</t>
  </si>
  <si>
    <t>INVERSIONES JOR-ROD C.A</t>
  </si>
  <si>
    <t>J404365524</t>
  </si>
  <si>
    <t>INVERSIONES JUDOR 2013 C.A.</t>
  </si>
  <si>
    <t>J401512283</t>
  </si>
  <si>
    <t>INVERSIONES JULPER C.A.</t>
  </si>
  <si>
    <t>J402824831</t>
  </si>
  <si>
    <t>INVERSIONES JVL SUPPLY, C.A.</t>
  </si>
  <si>
    <t>J503093951</t>
  </si>
  <si>
    <t>INVERSIONES KATEFER22, C.A.</t>
  </si>
  <si>
    <t>J413151685</t>
  </si>
  <si>
    <t>INVERSIONES KTHULU 81, C.A.</t>
  </si>
  <si>
    <t>J500470630</t>
  </si>
  <si>
    <t>INVERSIONES L.G.L COMPUTER C.A</t>
  </si>
  <si>
    <t>J408388537</t>
  </si>
  <si>
    <t>INVERSIONES LA GRAN FAMILIA 2016 C.A.</t>
  </si>
  <si>
    <t>INVERSIONES LA GRAN FAMILIA 2016 C.A., Ivan Navarro</t>
  </si>
  <si>
    <t>V283135922</t>
  </si>
  <si>
    <t>INVERSIONES LA MARCA DE ELYMAR</t>
  </si>
  <si>
    <t>J408114399</t>
  </si>
  <si>
    <t>INVERSIONES LANDES MG, C.A</t>
  </si>
  <si>
    <t>V121526324</t>
  </si>
  <si>
    <t>INVERSIONES LORENA TERESA ARIAS</t>
  </si>
  <si>
    <t>INVERSIONES LORENA TERESA ARIAS, Other Address</t>
  </si>
  <si>
    <t>J401856357</t>
  </si>
  <si>
    <t>INVERSIONES LOS JUANES BARINAS, C.A.</t>
  </si>
  <si>
    <t>J500686919</t>
  </si>
  <si>
    <t>INVERSIONES LUISIHAM, C.A</t>
  </si>
  <si>
    <t>J413030179</t>
  </si>
  <si>
    <t>INVERSIONES LUVSEB8 C.A.</t>
  </si>
  <si>
    <t>INVERSIONES LUVSEB8 C.A., SUHAM EL BADICHE CHACON</t>
  </si>
  <si>
    <t>J402678827</t>
  </si>
  <si>
    <t>INVERSIONES M&amp;N 2912 C. A.</t>
  </si>
  <si>
    <t>J400049024</t>
  </si>
  <si>
    <t>INVERSIONES MANAGO 88, C.A.</t>
  </si>
  <si>
    <t>J317252233</t>
  </si>
  <si>
    <t>INVERSIONES MARCELIS, C.A.</t>
  </si>
  <si>
    <t>J406852546</t>
  </si>
  <si>
    <t>INVERSIONES MARVISION, C.A</t>
  </si>
  <si>
    <t>J506970309</t>
  </si>
  <si>
    <t>INVERSIONES MAX OFFICE 1608, C.A</t>
  </si>
  <si>
    <t>J308081221</t>
  </si>
  <si>
    <t>INVERSIONES MEGAOFFICE 2001 C.A</t>
  </si>
  <si>
    <t>J413058391</t>
  </si>
  <si>
    <t>INVERSIONES MICARTPLUS 2020, C.A.</t>
  </si>
  <si>
    <t>J313304336</t>
  </si>
  <si>
    <t>INVERSIONES MICRO PLUS, C.A.</t>
  </si>
  <si>
    <t>J294115306</t>
  </si>
  <si>
    <t>INVERSIONES MINROD 777, C.A</t>
  </si>
  <si>
    <t>J408182033</t>
  </si>
  <si>
    <t>INVERSIONES MJZO 2016, C.A</t>
  </si>
  <si>
    <t>J407203649</t>
  </si>
  <si>
    <t>INVERSIONES MK GROUP, C.A.</t>
  </si>
  <si>
    <t>J401219233</t>
  </si>
  <si>
    <t>INVERSIONES MOLICAS 1957 C.A</t>
  </si>
  <si>
    <t>INVERSIONES MOLICAS 1957 C.A, ADELCHI RUGGIERO</t>
  </si>
  <si>
    <t>J402670125</t>
  </si>
  <si>
    <t>INVERSIONES MONKEY IMPORT, C.A</t>
  </si>
  <si>
    <t>J506026481</t>
  </si>
  <si>
    <t>INVERSIONES MOTO SPA, C.A.</t>
  </si>
  <si>
    <t>J408076772</t>
  </si>
  <si>
    <t>INVERSIONES MULTISERVICIOS AC0803, C.A.</t>
  </si>
  <si>
    <t>J296214700</t>
  </si>
  <si>
    <t>INVERSIONES MUNDO TECNOLEMZ, C.A</t>
  </si>
  <si>
    <t>J403698694</t>
  </si>
  <si>
    <t>INVERSIONES NAIDA HOGAR, C.A.</t>
  </si>
  <si>
    <t>J295015810</t>
  </si>
  <si>
    <t>INVERSIONES NALTEX, C.A.</t>
  </si>
  <si>
    <t>J406135208</t>
  </si>
  <si>
    <t>INVERSIONES NANDO 0710, C.A.</t>
  </si>
  <si>
    <t>J412298283</t>
  </si>
  <si>
    <t>INVERSIONES NAT-G, C.A.</t>
  </si>
  <si>
    <t>J405493887</t>
  </si>
  <si>
    <t>INVERSIONES NUEVAS TECNOLOGIA C &amp; A, C.A</t>
  </si>
  <si>
    <t>J400983045</t>
  </si>
  <si>
    <t>INVERSIONES OFFICE ONLINE 057, C.A.</t>
  </si>
  <si>
    <t>J313183520</t>
  </si>
  <si>
    <t>INVERSIONES ORIDELTON, C.A.</t>
  </si>
  <si>
    <t>J501097542</t>
  </si>
  <si>
    <t>INVERSIONES PAPELES WILFREDO, C.A</t>
  </si>
  <si>
    <t>J296694222</t>
  </si>
  <si>
    <t>INVERSIONES PARDEL</t>
  </si>
  <si>
    <t>J307484900</t>
  </si>
  <si>
    <t>INVERSIONES PASEO ELECTRONICA, C.A.</t>
  </si>
  <si>
    <t>J407268880</t>
  </si>
  <si>
    <t>INVERSIONES PCELLJC.2015, C.A.</t>
  </si>
  <si>
    <t>30 Días</t>
  </si>
  <si>
    <t>J500944209</t>
  </si>
  <si>
    <t>INVERSIONES PERSEPLUS C A</t>
  </si>
  <si>
    <t>J306164251</t>
  </si>
  <si>
    <t>INVERSIONES PLUSERVICE C.A.</t>
  </si>
  <si>
    <t>J410006234</t>
  </si>
  <si>
    <t>INVERSIONES PROBS, C.A.</t>
  </si>
  <si>
    <t>J405641789</t>
  </si>
  <si>
    <t>INVERSIONES PROC-2,C.A.</t>
  </si>
  <si>
    <t>J308805734</t>
  </si>
  <si>
    <t>INVERSIONES PROSETEL, C.A.</t>
  </si>
  <si>
    <t>J410686219</t>
  </si>
  <si>
    <t>INVERSIONES PULSAR ALIANZA, C.A</t>
  </si>
  <si>
    <t>J501622493</t>
  </si>
  <si>
    <t>INVERSIONES RAMGUT 2021, C.A.</t>
  </si>
  <si>
    <t>V175297495</t>
  </si>
  <si>
    <t>INVERSIONES RANDY L.R.S1004,FP</t>
  </si>
  <si>
    <t>J500494432</t>
  </si>
  <si>
    <t>INVERSIONES RED LOGIKA, C.A</t>
  </si>
  <si>
    <t>J403039992</t>
  </si>
  <si>
    <t>INVERSIONES REGENERACION DE TONER Y SUMINISTROS RTS, C.A.</t>
  </si>
  <si>
    <t>J500751990</t>
  </si>
  <si>
    <t>INVERSIONES RGB 2020, C.A.</t>
  </si>
  <si>
    <t>J401100066</t>
  </si>
  <si>
    <t>INVERSIONES RICOPY, C.A.</t>
  </si>
  <si>
    <t>J505769090</t>
  </si>
  <si>
    <t>INVERSIONES ROCA FIRME, C.A</t>
  </si>
  <si>
    <t>J309337319</t>
  </si>
  <si>
    <t>INVERSIONES RUIZ PAREDES C.A</t>
  </si>
  <si>
    <t>INVERSIONES RUIZ PAREDES C.A, Luis Rueda</t>
  </si>
  <si>
    <t>J504449270</t>
  </si>
  <si>
    <t>INVERSIONES SANMI 2023, C.A</t>
  </si>
  <si>
    <t>J407055674</t>
  </si>
  <si>
    <t>INVERSIONES SEBAS &amp; MADE, C.A.</t>
  </si>
  <si>
    <t>J412692186</t>
  </si>
  <si>
    <t>INVERSIONES SERVITORNADO 2019, C.A.</t>
  </si>
  <si>
    <t>J500662998</t>
  </si>
  <si>
    <t>INVERSIONES SHOP COMPUTER 2020 C.A</t>
  </si>
  <si>
    <t>J409937631</t>
  </si>
  <si>
    <t>INVERSIONES SIMOBI 498, C.A.</t>
  </si>
  <si>
    <t>J508317556</t>
  </si>
  <si>
    <t>INVERSIONES SIVIRA CALDERON 2026 C.A</t>
  </si>
  <si>
    <t>J405908920</t>
  </si>
  <si>
    <t>INVERSIONES SMMRED, C.A.</t>
  </si>
  <si>
    <t>J412644815</t>
  </si>
  <si>
    <t>INVERSIONES SOLU-CELL C.A</t>
  </si>
  <si>
    <t>J408658259</t>
  </si>
  <si>
    <t>INVERSIONES SPADARO JA, C.A</t>
  </si>
  <si>
    <t>J500998627</t>
  </si>
  <si>
    <t>INVERSIONES SPC HARBOR, C.A</t>
  </si>
  <si>
    <t>J296993530</t>
  </si>
  <si>
    <t>INVERSIONES START PRINT AG, C.A.</t>
  </si>
  <si>
    <t>J405027851</t>
  </si>
  <si>
    <t>INVERSIONES STEMACK, C.A.</t>
  </si>
  <si>
    <t>J500832184</t>
  </si>
  <si>
    <t>INVERSIONES STOCKSUPPLIES 2020, C.A</t>
  </si>
  <si>
    <t>V180453594</t>
  </si>
  <si>
    <t>INVERSIONES SUMINISTROS MONSALVES PC</t>
  </si>
  <si>
    <t>J412061534</t>
  </si>
  <si>
    <t>INVERSIONES SURA IMPORT 3000, C.A</t>
  </si>
  <si>
    <t>J407387944</t>
  </si>
  <si>
    <t>INVERSIONES TARSA 1721 C.A</t>
  </si>
  <si>
    <t>J411691755</t>
  </si>
  <si>
    <t>INVERSIONES TECHNO OP33 2018, C.A</t>
  </si>
  <si>
    <t>J501345481</t>
  </si>
  <si>
    <t>INVERSIONES TECHNOLOGY GMA C.A</t>
  </si>
  <si>
    <t>J410689200</t>
  </si>
  <si>
    <t>INVERSIONES TECNOBERRYCA, C.A.</t>
  </si>
  <si>
    <t>INVERSIONES TECNOBERRYCA, C.A., Carlos Manzanilla</t>
  </si>
  <si>
    <t>J411444022</t>
  </si>
  <si>
    <t>INVERSIONES TECNOLASER MG CA</t>
  </si>
  <si>
    <t>J508257405</t>
  </si>
  <si>
    <t>INVERSIONES TECNOLOGICAS MYM, C.A</t>
  </si>
  <si>
    <t>J405514710</t>
  </si>
  <si>
    <t>INVERSIONES TECNOLOGICAS R.C.R.C., C.A.</t>
  </si>
  <si>
    <t>J507366936</t>
  </si>
  <si>
    <t>INVERSIONES TECNOMATH, C.A</t>
  </si>
  <si>
    <t>J409926788</t>
  </si>
  <si>
    <t>INVERSIONES TECNORED 417, C.A.</t>
  </si>
  <si>
    <t>J406851264</t>
  </si>
  <si>
    <t>INVERSIONES TECNOSERVICE, C.A.</t>
  </si>
  <si>
    <t>J408657392</t>
  </si>
  <si>
    <t>INVERSIONES TELECOMUNICACIONES Y ELECTRONICA, C.A</t>
  </si>
  <si>
    <t>J411479993</t>
  </si>
  <si>
    <t>INVERSIONES THECNO MAC, C.A</t>
  </si>
  <si>
    <t>J412637576</t>
  </si>
  <si>
    <t>INVERSIONES TIR TECH C.A</t>
  </si>
  <si>
    <t>J409847845</t>
  </si>
  <si>
    <t>INVERSIONES TITAN TECNOLOGY, C.A.</t>
  </si>
  <si>
    <t>J508240413</t>
  </si>
  <si>
    <t>INVERSIONES TONER EXPRESS 11-01. C.A</t>
  </si>
  <si>
    <t>INVERSIONES TONER EXPRESS 11-01. C.A, JORGE</t>
  </si>
  <si>
    <t>J503341513</t>
  </si>
  <si>
    <t>INVERSIONES TURÍSTICAS VIDA BY FURIA, C. A.</t>
  </si>
  <si>
    <t>J407469207</t>
  </si>
  <si>
    <t>INVERSIONES TUSCANA, C.A</t>
  </si>
  <si>
    <t>J501249997</t>
  </si>
  <si>
    <t>INVERSIONES V.D 204, C.A.</t>
  </si>
  <si>
    <t>J412239961</t>
  </si>
  <si>
    <t>INVERSIONES VALCASAR 2010, C.A.</t>
  </si>
  <si>
    <t>V128904057</t>
  </si>
  <si>
    <t>INVERSIONES VALLADARES BETANCOURT 2021, F.P.</t>
  </si>
  <si>
    <t>J408276755</t>
  </si>
  <si>
    <t>INVERSIONES VALORARTY RCV 01-20 C.A.</t>
  </si>
  <si>
    <t>J406786950</t>
  </si>
  <si>
    <t>INVERSIONES VARBRA 2013, C.A.</t>
  </si>
  <si>
    <t>V075681727</t>
  </si>
  <si>
    <t>INVERSIONES VEA, F.P.</t>
  </si>
  <si>
    <t>J411509418</t>
  </si>
  <si>
    <t>INVERSIONES VICELI 1414,C.A</t>
  </si>
  <si>
    <t>J404632573</t>
  </si>
  <si>
    <t>INVERSIONES VPNET, C.A</t>
  </si>
  <si>
    <t>J409078914</t>
  </si>
  <si>
    <t>INVERSIONES W&amp;A ASOCIADOS , C.A</t>
  </si>
  <si>
    <t>J411170062</t>
  </si>
  <si>
    <t>INVERSIONES WAVESYSTEM, C.A.</t>
  </si>
  <si>
    <t>J412845632</t>
  </si>
  <si>
    <t>INVERSIONES WENCAR 2004, C.A.</t>
  </si>
  <si>
    <t>J407331787</t>
  </si>
  <si>
    <t>INVERSIONES WIXIA, C.A.</t>
  </si>
  <si>
    <t>J501307261</t>
  </si>
  <si>
    <t>INVERSIONES WORK GROUP 1063, C.A.</t>
  </si>
  <si>
    <t>V111128339</t>
  </si>
  <si>
    <t>INVERSIONES Y DISTRIBUIDORA FVA</t>
  </si>
  <si>
    <t>J185608774</t>
  </si>
  <si>
    <t>INVERSIONES Y FOTOCOPIADORA 36</t>
  </si>
  <si>
    <t>J504368946</t>
  </si>
  <si>
    <t>INVERSIONES Y SERVICIOS "ELITHE" C.A</t>
  </si>
  <si>
    <t>J411166707</t>
  </si>
  <si>
    <t>INVERSIONES Y SERVICIOS FCJ 17, C.A</t>
  </si>
  <si>
    <t>J298642920</t>
  </si>
  <si>
    <t>INVERSIONES Y SERVICIOS PC 3 NET, C.A.</t>
  </si>
  <si>
    <t>INVERSIONES Y SERVICIOS PC 3 NET, C.A. , WILLIAM LOPEZ</t>
  </si>
  <si>
    <t>J401529500</t>
  </si>
  <si>
    <t>INVERSIONES Y SUMINISTROS FORTHUNA 1977, C.A</t>
  </si>
  <si>
    <t>J298661798</t>
  </si>
  <si>
    <t>INVERSIONES Y SUMINISTROS TI, C.A</t>
  </si>
  <si>
    <t>J404309063</t>
  </si>
  <si>
    <t>INVERSIONES YANAY Y 3 A, C.A</t>
  </si>
  <si>
    <t>J305981868</t>
  </si>
  <si>
    <t>INVERSIONES YARYUR C. A.</t>
  </si>
  <si>
    <t>J500154330</t>
  </si>
  <si>
    <t>INVERSIONES YESIWILL 521, C.A</t>
  </si>
  <si>
    <t>J505768310</t>
  </si>
  <si>
    <t>INVERSIONES YOUR COMPUTER MC, C.A</t>
  </si>
  <si>
    <t>J408923432</t>
  </si>
  <si>
    <t>INVERSIONES YOUYU, C.A.</t>
  </si>
  <si>
    <t>J412504320</t>
  </si>
  <si>
    <t>INVERSIONES ZAHORI 1104, C.A.</t>
  </si>
  <si>
    <t>J314489704</t>
  </si>
  <si>
    <t>INVERSORA TURISTICA CAPAYACUAR, C.A.</t>
  </si>
  <si>
    <t>J507530787</t>
  </si>
  <si>
    <t>INVERTECH 2025, C.A.</t>
  </si>
  <si>
    <t>J500509405</t>
  </si>
  <si>
    <t>IOT WHITE TECHNOLOGIES, C.A.</t>
  </si>
  <si>
    <t>J408837242</t>
  </si>
  <si>
    <t>IP &amp; S TECNOLOGIA, C.A</t>
  </si>
  <si>
    <t>J508049179</t>
  </si>
  <si>
    <t>IPTECH SERVICES, C.A</t>
  </si>
  <si>
    <t>IPTECH SERVICES, C.A, Angel Jose</t>
  </si>
  <si>
    <t>J402909497</t>
  </si>
  <si>
    <t>IQUANTICA, C.A.</t>
  </si>
  <si>
    <t>J500375000</t>
  </si>
  <si>
    <t>IT CONECTAS, C.A</t>
  </si>
  <si>
    <t>J408027291</t>
  </si>
  <si>
    <t>IT GLOBAL SUPPORT 2, C.A.</t>
  </si>
  <si>
    <t>J306109099</t>
  </si>
  <si>
    <t>ITC GLOBAL SERVICE, C.A</t>
  </si>
  <si>
    <t>J001297723</t>
  </si>
  <si>
    <t>IZCARAGUA COUNTRY CLUB A.C</t>
  </si>
  <si>
    <t>J410549378</t>
  </si>
  <si>
    <t>J &amp; A COMPUTER 2021, C.A.</t>
  </si>
  <si>
    <t>J407023195</t>
  </si>
  <si>
    <t>J,R. STUDIO APP, C.A.</t>
  </si>
  <si>
    <t>J401151428</t>
  </si>
  <si>
    <t>JAMC SECURITY SYSTEMS, C.A</t>
  </si>
  <si>
    <t>J299174564</t>
  </si>
  <si>
    <t>JANSCAR SUPPLY, C. A.</t>
  </si>
  <si>
    <t>J310178909</t>
  </si>
  <si>
    <t>JARL CONSULTORES &amp; ASOCIADOS, C. A.</t>
  </si>
  <si>
    <t>V10183749</t>
  </si>
  <si>
    <t>JAVIER ALFREDO ARTEGA GOMEZ SISTEMAS JAAG</t>
  </si>
  <si>
    <t>V144645517</t>
  </si>
  <si>
    <t>JAVIER CALDERON</t>
  </si>
  <si>
    <t>V16713873</t>
  </si>
  <si>
    <t>JAVIER DIAZ</t>
  </si>
  <si>
    <t>J500481705</t>
  </si>
  <si>
    <t>JD7 DRILLING,C.A</t>
  </si>
  <si>
    <t>J501515778</t>
  </si>
  <si>
    <t>JDSMART TECHNOLOGY, C.A</t>
  </si>
  <si>
    <t>JEAN PIEERE</t>
  </si>
  <si>
    <t>V272947453</t>
  </si>
  <si>
    <t>JEFFERSON JOSUE MORA VILLAMIZAR</t>
  </si>
  <si>
    <t>V213779148</t>
  </si>
  <si>
    <t>JEHISON FLORIDA</t>
  </si>
  <si>
    <t>JEHSIO</t>
  </si>
  <si>
    <t>JEIMI  BLANCO</t>
  </si>
  <si>
    <t>JEIMI BLANCO</t>
  </si>
  <si>
    <t>V175877831</t>
  </si>
  <si>
    <t>JEIMI ROSSANA BLANCO MARRERO</t>
  </si>
  <si>
    <t>V178588903</t>
  </si>
  <si>
    <t>JESUS MANUEL CORTEZ ESCALONA</t>
  </si>
  <si>
    <t>V103430476</t>
  </si>
  <si>
    <t>JESUS MANUEL OTERO FRAGA</t>
  </si>
  <si>
    <t>JESUS MANUEL OTERO FRAGA, JESUS OTERO</t>
  </si>
  <si>
    <t>V099654623</t>
  </si>
  <si>
    <t>JESÚS DAVID ROJAS HERNANDEZ</t>
  </si>
  <si>
    <t>J501055459</t>
  </si>
  <si>
    <t>JG TECNOLOGIA 3000, C.A.</t>
  </si>
  <si>
    <t>J313633828</t>
  </si>
  <si>
    <t>JGNT SISTEMAS &amp; SERVICIOS NET, C.A</t>
  </si>
  <si>
    <t>V21612514</t>
  </si>
  <si>
    <t>JHORDAN ALFREDO ORTEGA LIZARDO</t>
  </si>
  <si>
    <t>J295375450</t>
  </si>
  <si>
    <t>JJ PAPER C.A.</t>
  </si>
  <si>
    <t>J402380186</t>
  </si>
  <si>
    <t>JLKCompute</t>
  </si>
  <si>
    <t>J406524549</t>
  </si>
  <si>
    <t>JN GLOBAL CELULAR 2015, C.A.</t>
  </si>
  <si>
    <t>V6826824</t>
  </si>
  <si>
    <t>JOAQUIN BUONAGURO</t>
  </si>
  <si>
    <t>V203115888</t>
  </si>
  <si>
    <t>JOAQUIN EDUARDO GAGLIO RUBINO</t>
  </si>
  <si>
    <t>JOHAN  BERROTERAN</t>
  </si>
  <si>
    <t>V194327885</t>
  </si>
  <si>
    <t>JONATHAN JOSE PIÑA TERAN</t>
  </si>
  <si>
    <t>V131392903</t>
  </si>
  <si>
    <t>JONATHAN MARIN JIMENEZ</t>
  </si>
  <si>
    <t>J302884667</t>
  </si>
  <si>
    <t>JORFEL COMPUTER SYSTEM C.A</t>
  </si>
  <si>
    <t>V17284157</t>
  </si>
  <si>
    <t>JOSBEL GUEDEZ</t>
  </si>
  <si>
    <t>V242108988</t>
  </si>
  <si>
    <t>JOSE ANTONIO DOLINSKI NUNEZ</t>
  </si>
  <si>
    <t>V204318561</t>
  </si>
  <si>
    <t>JOSE GABRIEL MORALES HURTADO (JM INVERSIONES)</t>
  </si>
  <si>
    <t>V135011548</t>
  </si>
  <si>
    <t>JOSE GREGORIO HIDALGO SALAS</t>
  </si>
  <si>
    <t>J298012641</t>
  </si>
  <si>
    <t>JOSEP SUPLY,C.A</t>
  </si>
  <si>
    <t>J503276045</t>
  </si>
  <si>
    <t>JOTAS TECHNOLOGY</t>
  </si>
  <si>
    <t>JOVANA ELLIS</t>
  </si>
  <si>
    <t>J410280425</t>
  </si>
  <si>
    <t>JOXASACO 2017 INVERSIONES, C.A.</t>
  </si>
  <si>
    <t>J312345403</t>
  </si>
  <si>
    <t>JOYERIA BELLAGIO, C.A.</t>
  </si>
  <si>
    <t>V140412747</t>
  </si>
  <si>
    <t>JUAN CARLOS ACOSTA BRACAMONTE</t>
  </si>
  <si>
    <t>V8834671</t>
  </si>
  <si>
    <t>JUAN CARLOS LOSADA</t>
  </si>
  <si>
    <t>V15843750</t>
  </si>
  <si>
    <t>JUAN CARLOS MOLINA ALFARO</t>
  </si>
  <si>
    <t>V6398728</t>
  </si>
  <si>
    <t>JUAN CARLOS PRATO ROMER0</t>
  </si>
  <si>
    <t>V19001452</t>
  </si>
  <si>
    <t>JUAN MANEL VELAZQUEZ CONTRERAS</t>
  </si>
  <si>
    <t>J296506159</t>
  </si>
  <si>
    <t>JWM COMPUTACIÓN Y TELECOMUNICACIONES, C.A.</t>
  </si>
  <si>
    <t>Jeimi blanco</t>
  </si>
  <si>
    <t>Jose Lopez</t>
  </si>
  <si>
    <t>Jose Poggioli</t>
  </si>
  <si>
    <t>Joseph Perez</t>
  </si>
  <si>
    <t>José Padilla</t>
  </si>
  <si>
    <t>Juan Villanueva</t>
  </si>
  <si>
    <t>Jussely Davila</t>
  </si>
  <si>
    <t>J411991848</t>
  </si>
  <si>
    <t>KALOO ELECTRONICS, C.A.</t>
  </si>
  <si>
    <t>KALOO ELECTRONICS, C.A., MIGUEL TOUMA</t>
  </si>
  <si>
    <t>J315051435</t>
  </si>
  <si>
    <t>KAMAL CYBER &amp; SERVICE, C.A</t>
  </si>
  <si>
    <t>J409804089</t>
  </si>
  <si>
    <t>KAMAR 2529, C.A.</t>
  </si>
  <si>
    <t>J408472279</t>
  </si>
  <si>
    <t>KAMILO, C.A.</t>
  </si>
  <si>
    <t>J302625068</t>
  </si>
  <si>
    <t>KANSEI MOTORS C.A</t>
  </si>
  <si>
    <t>KANSEI MOTORS C.A, Other Address</t>
  </si>
  <si>
    <t>V6719925</t>
  </si>
  <si>
    <t>KAREM PEÑA</t>
  </si>
  <si>
    <t>J406445916</t>
  </si>
  <si>
    <t>KEY CLASS COMPUTER OFFICE, C.A.</t>
  </si>
  <si>
    <t>J4125151241</t>
  </si>
  <si>
    <t>KING OCEAN SERVICES LTD</t>
  </si>
  <si>
    <t>J502984542</t>
  </si>
  <si>
    <t>KINGTEC STORE, C.A</t>
  </si>
  <si>
    <t>J502995781</t>
  </si>
  <si>
    <t>KINPE TECNOLOGIA,C.A</t>
  </si>
  <si>
    <t>J309416146</t>
  </si>
  <si>
    <t>KOCU S, C.A.Q</t>
  </si>
  <si>
    <t>J503981830</t>
  </si>
  <si>
    <t>KODEX PLUS GUAYANA C.A.</t>
  </si>
  <si>
    <t>J500138245</t>
  </si>
  <si>
    <t>KRONOTEK CORPORATION, C.A.</t>
  </si>
  <si>
    <t>J402703970</t>
  </si>
  <si>
    <t>KRUPIJ IMPORT C.A</t>
  </si>
  <si>
    <t>J500766408</t>
  </si>
  <si>
    <t>KYRIOX TECH, C.A</t>
  </si>
  <si>
    <t>Katherine Barrera</t>
  </si>
  <si>
    <t>J309015737</t>
  </si>
  <si>
    <t>L'ATRIOS CLUB, C.A.</t>
  </si>
  <si>
    <t>J300364119</t>
  </si>
  <si>
    <t>LA LIBROTECA, C.A</t>
  </si>
  <si>
    <t>J502931783</t>
  </si>
  <si>
    <t>LA NUEVA POST DATA 2022, C.A.</t>
  </si>
  <si>
    <t>J298933127</t>
  </si>
  <si>
    <t>LA TIENDA DEL CELULAR VI</t>
  </si>
  <si>
    <t>J408326779</t>
  </si>
  <si>
    <t>LABORATORIO LAPTOPS 2016, C.A</t>
  </si>
  <si>
    <t>J309118498</t>
  </si>
  <si>
    <t>LACTEOS JAREMA C.A.</t>
  </si>
  <si>
    <t>J314233289</t>
  </si>
  <si>
    <t>LAG SYSTEMS, C.A.</t>
  </si>
  <si>
    <t>LAG SYSTEMS, C.A., LUIS GUEDEZ</t>
  </si>
  <si>
    <t>J314872168</t>
  </si>
  <si>
    <t>LAGO PRINT</t>
  </si>
  <si>
    <t>J411047112</t>
  </si>
  <si>
    <t>LAMINADO DECORATIVO SUPERFORMICA, C.A</t>
  </si>
  <si>
    <t>J402459149</t>
  </si>
  <si>
    <t>LAN ONLINE CA</t>
  </si>
  <si>
    <t>J408055457</t>
  </si>
  <si>
    <t>LANDER COPY DIGITAL, C.A</t>
  </si>
  <si>
    <t>J500449984</t>
  </si>
  <si>
    <t>LAPTO.ANA,C.A</t>
  </si>
  <si>
    <t>J404598243</t>
  </si>
  <si>
    <t>LAPTOP EXPRESS, C.A</t>
  </si>
  <si>
    <t>J408336731</t>
  </si>
  <si>
    <t>LARA ONLINE SHOP, C.A</t>
  </si>
  <si>
    <t>J298860510</t>
  </si>
  <si>
    <t>LASER PRINT SOLUCIONES,C.A.</t>
  </si>
  <si>
    <t>LAURI+</t>
  </si>
  <si>
    <t>J312601060</t>
  </si>
  <si>
    <t>LDC COMPUTER C.A</t>
  </si>
  <si>
    <t>J504540048</t>
  </si>
  <si>
    <t>LE MOT COFFEE &amp; BAR, C.A.</t>
  </si>
  <si>
    <t>J501492140</t>
  </si>
  <si>
    <t>LED.NET FJ, C.A.</t>
  </si>
  <si>
    <t>V137376535</t>
  </si>
  <si>
    <t>LENNY YUMARI MORA CASTELLANOS</t>
  </si>
  <si>
    <t>V6111274</t>
  </si>
  <si>
    <t>LEONARDO LUGO</t>
  </si>
  <si>
    <t>V121027166</t>
  </si>
  <si>
    <t>LESLHY QUIÑONES</t>
  </si>
  <si>
    <t>LIAX SOLUTIONS</t>
  </si>
  <si>
    <t>J001785671</t>
  </si>
  <si>
    <t>LIBRERIA DON QUIJOTE, C.A</t>
  </si>
  <si>
    <t>V064810282</t>
  </si>
  <si>
    <t>LIBRERIA LIBRADOR`S N.S.</t>
  </si>
  <si>
    <t>J300796655</t>
  </si>
  <si>
    <t>LIBRERIA NUEVO MUNDO C A</t>
  </si>
  <si>
    <t>J312655038</t>
  </si>
  <si>
    <t>LIBRERIA Y PAPELERIA 9 DE DICIEMBRE C.A.</t>
  </si>
  <si>
    <t>J307001909</t>
  </si>
  <si>
    <t>LIBRERIA Y PAPELERIA ARTE Y ESTUDIO, C. A.</t>
  </si>
  <si>
    <t>J317582284</t>
  </si>
  <si>
    <t>LIBRERIA Y PAPELERIA EL MUNDO DEL LIBRO 2011, C.A.</t>
  </si>
  <si>
    <t>J297790993</t>
  </si>
  <si>
    <t>LIBRERIA Y PAPELERIA J.D.R. 38, C.A.</t>
  </si>
  <si>
    <t>J409242595</t>
  </si>
  <si>
    <t>LIBRERIA Y PAPELERIA LA ESTUDIANTINA, C. A.</t>
  </si>
  <si>
    <t>J501994641</t>
  </si>
  <si>
    <t>LIBRERIA Y PAPELERIA LA NUEVA TURRIS, C.A.</t>
  </si>
  <si>
    <t>V11310950</t>
  </si>
  <si>
    <t>LILIANA ZAVATTI</t>
  </si>
  <si>
    <t>J403405328</t>
  </si>
  <si>
    <t>LINKTIC SOLUCIONES, C.A</t>
  </si>
  <si>
    <t>J506190273</t>
  </si>
  <si>
    <t>LIQUID C.C.S., C.A</t>
  </si>
  <si>
    <t>E82107139</t>
  </si>
  <si>
    <t>LLIRSON PALACIOS RENTERIA</t>
  </si>
  <si>
    <t>J408349779</t>
  </si>
  <si>
    <t>LM BUSSINES GROUP 21, C.A</t>
  </si>
  <si>
    <t>J406059846</t>
  </si>
  <si>
    <t>LOGISTICA Y SUMINISTRO LOYSUM C.A.</t>
  </si>
  <si>
    <t>J506658844</t>
  </si>
  <si>
    <t>LOGITRADING ENTERPRISES, C.A.</t>
  </si>
  <si>
    <t>V197846956</t>
  </si>
  <si>
    <t>LOPEZ INNOVACELL, F.P.</t>
  </si>
  <si>
    <t>J412972995</t>
  </si>
  <si>
    <t>LS85 GRUPO TECNOLOGICO, C.A</t>
  </si>
  <si>
    <t>J310028940</t>
  </si>
  <si>
    <t>LUBRICANTES MBA C.A</t>
  </si>
  <si>
    <t>LUIGIBORIA</t>
  </si>
  <si>
    <t>LUIGI BORIA</t>
  </si>
  <si>
    <t>V250386962</t>
  </si>
  <si>
    <t>LUIS ALEJANDRO AMAYA CASTELLANOS( NEXUS PC DE LUIS ALEJANDRO AMAYA CASTELLANOS)</t>
  </si>
  <si>
    <t>V205208115</t>
  </si>
  <si>
    <t>LUIS ALEJANDRO CAMACHO QUIÑONES</t>
  </si>
  <si>
    <t>V172987105</t>
  </si>
  <si>
    <t>LUIS GUILLERMO IZQUIERDO MOYA(METALURGICA EL IZQUIERDO)</t>
  </si>
  <si>
    <t>V203739229</t>
  </si>
  <si>
    <t>LUIS OCTAVIO LEZAMA GARELLI(LEZAMA INVERSIONES MAV, F.P)</t>
  </si>
  <si>
    <t>J309655922</t>
  </si>
  <si>
    <t>LUISIHAM COMPANY 0414, C.A. (LUISIHAM COMPANY 0414, C.A.)</t>
  </si>
  <si>
    <t>J506264730</t>
  </si>
  <si>
    <t>LUMEN GROUP, C.A</t>
  </si>
  <si>
    <t>J001944621</t>
  </si>
  <si>
    <t>M G COMPUTER C.A</t>
  </si>
  <si>
    <t>J294712509</t>
  </si>
  <si>
    <t>M&amp;G SERVICIOS ,C.A</t>
  </si>
  <si>
    <t>J297622152</t>
  </si>
  <si>
    <t>M.C. INGENIERIA Y PROYECTOS DE VENEZUELA, C.A</t>
  </si>
  <si>
    <t>J307389796</t>
  </si>
  <si>
    <t>M.N.S TRADING, C.A</t>
  </si>
  <si>
    <t>J314229001</t>
  </si>
  <si>
    <t>M.P.F. ASESORIA Y CONSULTORIA, C.A.</t>
  </si>
  <si>
    <t>J501415331</t>
  </si>
  <si>
    <t>MACH COMPUTER, C.A</t>
  </si>
  <si>
    <t>J405595973</t>
  </si>
  <si>
    <t>MACHSECURITY 64, C.A</t>
  </si>
  <si>
    <t>J311798625</t>
  </si>
  <si>
    <t>MAKTUB COM, C.A.</t>
  </si>
  <si>
    <t>J298979828</t>
  </si>
  <si>
    <t>MANDARINA´S PC JJI 2010, C.A</t>
  </si>
  <si>
    <t>J299682950</t>
  </si>
  <si>
    <t>MANGOCENTER C.A</t>
  </si>
  <si>
    <t>J505008218</t>
  </si>
  <si>
    <t>MANTIS DIGITAL CA</t>
  </si>
  <si>
    <t>J506155206</t>
  </si>
  <si>
    <t>MARAMAX PET C.A. (MAXIPET)</t>
  </si>
  <si>
    <t>MARAMAX PET C.A. (MAXIPET), Daniela Martinez</t>
  </si>
  <si>
    <t>J400394988</t>
  </si>
  <si>
    <t>MARAMBIO, RIVILLO, PEREZ, PINEDA, CONTADORES PUBLICOS, S.C.</t>
  </si>
  <si>
    <t>MARAMBIO, RIVILLO, PEREZ, PINEDA, CONTADORES PUBLICOS, S.C., Mirtha Valera</t>
  </si>
  <si>
    <t>J503663790</t>
  </si>
  <si>
    <t>MARCONSUMIBLES, C.A</t>
  </si>
  <si>
    <t>V11306956</t>
  </si>
  <si>
    <t>MARIA ALEJANDRA GONZALEZ VARGAS</t>
  </si>
  <si>
    <t>V12927633</t>
  </si>
  <si>
    <t>MARIA EUGENIA SEGOVIA</t>
  </si>
  <si>
    <t>MARIA FERNANDA MUGICA</t>
  </si>
  <si>
    <t>V16227986</t>
  </si>
  <si>
    <t>MARIANA BRANCO</t>
  </si>
  <si>
    <t>J502997172</t>
  </si>
  <si>
    <t>MARKET PARTS &amp; SUPPLIES, C.A</t>
  </si>
  <si>
    <t>V15911003</t>
  </si>
  <si>
    <t>MARLENE PESTAÑA</t>
  </si>
  <si>
    <t>J501184410</t>
  </si>
  <si>
    <t>MARWHITE INNOVATION SA</t>
  </si>
  <si>
    <t>J407671405</t>
  </si>
  <si>
    <t>MASPRO SOLUCIONES, C.A</t>
  </si>
  <si>
    <t>V193679419</t>
  </si>
  <si>
    <t>MAUREEN VILLEGAS</t>
  </si>
  <si>
    <t>155591597-2-2015</t>
  </si>
  <si>
    <t>MAXINDUSTRIAS, S.A.</t>
  </si>
  <si>
    <t>J501381844</t>
  </si>
  <si>
    <t>MAXISUPPLIES C.A</t>
  </si>
  <si>
    <t>J500447930</t>
  </si>
  <si>
    <t>MAYE IMPORT, C.A</t>
  </si>
  <si>
    <t>MAYO 2025</t>
  </si>
  <si>
    <t>MAYO 2026</t>
  </si>
  <si>
    <t>J507880818</t>
  </si>
  <si>
    <t>MAYOREO 888, C.A.</t>
  </si>
  <si>
    <t>MAYRA BARRAGAN</t>
  </si>
  <si>
    <t>J503590467</t>
  </si>
  <si>
    <t>MEDANO TECHNO, C.A</t>
  </si>
  <si>
    <t>V124354591</t>
  </si>
  <si>
    <t>MEDIOMUNDO COMERCIALIZADORA 2014</t>
  </si>
  <si>
    <t>J502597220</t>
  </si>
  <si>
    <t>MEGA CENTER TECNOLOGIA E INNOVACION C.A. (MEGA CENTER TECNOLOGIA E INNOVACION C.A.)</t>
  </si>
  <si>
    <t>J412544578</t>
  </si>
  <si>
    <t>MEGA CONSTRUCCIONES SANDU, C.A.</t>
  </si>
  <si>
    <t>J297455540</t>
  </si>
  <si>
    <t>MEGABYTES STORE, C. A</t>
  </si>
  <si>
    <t>J410472839</t>
  </si>
  <si>
    <t>MEGAPIXEL STORE, C.A.</t>
  </si>
  <si>
    <t>J501499942</t>
  </si>
  <si>
    <t>MEGATIK C.A.</t>
  </si>
  <si>
    <t>V96328067</t>
  </si>
  <si>
    <t>MELENDEZ MULTISERVICIOS TST</t>
  </si>
  <si>
    <t>J293514002</t>
  </si>
  <si>
    <t>MERCA FACIL AUTOMERCADO C.A.</t>
  </si>
  <si>
    <t>J000901805</t>
  </si>
  <si>
    <t>MERCANTIL SEGUROS, C.A.</t>
  </si>
  <si>
    <t>J304554141</t>
  </si>
  <si>
    <t>MERCOSUR CASA DE BOLSA S.A</t>
  </si>
  <si>
    <t>J506055856</t>
  </si>
  <si>
    <t>MESRAM.2024, C.A.</t>
  </si>
  <si>
    <t>J503295465</t>
  </si>
  <si>
    <t>MF TECH COMPUTER, C.A</t>
  </si>
  <si>
    <t>J500487720</t>
  </si>
  <si>
    <t>MG TECHNOLOGY, C.A</t>
  </si>
  <si>
    <t>MG TECHNOLOGY, C.A, Other Address</t>
  </si>
  <si>
    <t>J407339621</t>
  </si>
  <si>
    <t>MI TIENDA VENEZUELA, C.A</t>
  </si>
  <si>
    <t>V125018366</t>
  </si>
  <si>
    <t>MIA ANGELA</t>
  </si>
  <si>
    <t>J405444274</t>
  </si>
  <si>
    <t>MICROBYTE TECHNOLOGY, C.A.</t>
  </si>
  <si>
    <t>J302761565</t>
  </si>
  <si>
    <t>MICROSISTEMAS C A</t>
  </si>
  <si>
    <t>V6398729</t>
  </si>
  <si>
    <t>MIGUEL DAVID PRATO</t>
  </si>
  <si>
    <t>V074463637</t>
  </si>
  <si>
    <t>MILAGROS CORBOS</t>
  </si>
  <si>
    <t>J410688807</t>
  </si>
  <si>
    <t>MILANOS DE VENEZUELA, C.A</t>
  </si>
  <si>
    <t>J296063230</t>
  </si>
  <si>
    <t>MILFRAN SISTEMAS C.A</t>
  </si>
  <si>
    <t>J500265344</t>
  </si>
  <si>
    <t>MINIMARKET EL AMIRR, C.A.</t>
  </si>
  <si>
    <t>J001724958</t>
  </si>
  <si>
    <t>MOBIL CHIC, C.A.</t>
  </si>
  <si>
    <t>J500249144</t>
  </si>
  <si>
    <t>MOBILE IMPORT 909, C.A</t>
  </si>
  <si>
    <t>J405569808</t>
  </si>
  <si>
    <t>MONSTER PC 2015, C.A.</t>
  </si>
  <si>
    <t>J409974952</t>
  </si>
  <si>
    <t>MONSTERN TECHNOLOGY SYSTEM 2017, C.A.</t>
  </si>
  <si>
    <t>MONSTERN TECHNOLOGY SYSTEM 2017, C.A., cristian jesus</t>
  </si>
  <si>
    <t>J403125830</t>
  </si>
  <si>
    <t>MOTO REPUESTOS CHINA, C.A.</t>
  </si>
  <si>
    <t>J500976488</t>
  </si>
  <si>
    <t>MOVILTREND C.A</t>
  </si>
  <si>
    <t>MS XPRESS LLC</t>
  </si>
  <si>
    <t>J501732582</t>
  </si>
  <si>
    <t>MSDCOPYSUPPLIES7 C.A.</t>
  </si>
  <si>
    <t>J312647507</t>
  </si>
  <si>
    <t>MT 2005 INTEGRADORES Y CONSULTORES, S.A.</t>
  </si>
  <si>
    <t>J30685384</t>
  </si>
  <si>
    <t>MUJICAM`S SECURITY, C.A.</t>
  </si>
  <si>
    <t>J501821631</t>
  </si>
  <si>
    <t>MULTI CONFORT CA</t>
  </si>
  <si>
    <t>J409002268</t>
  </si>
  <si>
    <t>MULTI EXPRESS DEL ESTE 2016, C.A.</t>
  </si>
  <si>
    <t>J312748648</t>
  </si>
  <si>
    <t>MULTI INVERSIONES KILOGRAMO (MULTIKOLOR) C.A</t>
  </si>
  <si>
    <t>J501365822</t>
  </si>
  <si>
    <t>MULTI PC VENEZUELA, C.A.</t>
  </si>
  <si>
    <t>J309953591</t>
  </si>
  <si>
    <t>MULTI TONER DE VENEZUELA, C.A.</t>
  </si>
  <si>
    <t>J400353300</t>
  </si>
  <si>
    <t>MULTIACCESORIOS IMG C. A.</t>
  </si>
  <si>
    <t>J402691092</t>
  </si>
  <si>
    <t>MULTIEC SERVICIOS, C.A.</t>
  </si>
  <si>
    <t>J306805168</t>
  </si>
  <si>
    <t>MULTIEQUI CA</t>
  </si>
  <si>
    <t>J296348758</t>
  </si>
  <si>
    <t>MULTIMAX II, C.A</t>
  </si>
  <si>
    <t>MULTIMAX II, C.A, ZEINA EL SAHLI</t>
  </si>
  <si>
    <t>J295714785</t>
  </si>
  <si>
    <t>MULTIMEDIA DJ 10, C.A.</t>
  </si>
  <si>
    <t>J502114483</t>
  </si>
  <si>
    <t>MULTIMEDIA GAMING, C.A.</t>
  </si>
  <si>
    <t>J503702494</t>
  </si>
  <si>
    <t>MULTIPC CORP, C.A</t>
  </si>
  <si>
    <t>J406889474</t>
  </si>
  <si>
    <t>MULTISERVICIOS 26L, C.A</t>
  </si>
  <si>
    <t>J411519588</t>
  </si>
  <si>
    <t>MULTISERVICIOS 4D, C.A</t>
  </si>
  <si>
    <t>J299164607</t>
  </si>
  <si>
    <t>MULTISERVICIOS AARON 115, C.A</t>
  </si>
  <si>
    <t>J500765584</t>
  </si>
  <si>
    <t>MULTISERVICIOS BELLO CAMPO, C.A.</t>
  </si>
  <si>
    <t>J317266501</t>
  </si>
  <si>
    <t>MULTISERVICIOS CASA LAI, C.A.</t>
  </si>
  <si>
    <t>J412126750</t>
  </si>
  <si>
    <t>MULTISERVICIOS FEARAN, S.A</t>
  </si>
  <si>
    <t>J402762879</t>
  </si>
  <si>
    <t>MULTISERVICIOS FIRE STAR PLAZA C.A</t>
  </si>
  <si>
    <t>J412364138</t>
  </si>
  <si>
    <t>MULTISERVICIOS GAEN, C.A (GAB ESTRATEGY)</t>
  </si>
  <si>
    <t>J407983636</t>
  </si>
  <si>
    <t>MULTISERVICIOS GAMG XV, C.A</t>
  </si>
  <si>
    <t>J409182541</t>
  </si>
  <si>
    <t>MULTISERVICIOS GRUPOCYBERS, C.A</t>
  </si>
  <si>
    <t>J502175520</t>
  </si>
  <si>
    <t>MULTISERVICIOS ISP.YOVI, C.A.</t>
  </si>
  <si>
    <t>J295519133</t>
  </si>
  <si>
    <t>MULTISERVICIOS J. G. CONTINENTAL, C. A.</t>
  </si>
  <si>
    <t>J404846590</t>
  </si>
  <si>
    <t>MULTISERVICIOS KASP NETWORK, C.A.</t>
  </si>
  <si>
    <t>J400359872</t>
  </si>
  <si>
    <t>MULTISERVICIOS L.M.H, C.A.</t>
  </si>
  <si>
    <t>MULTISERVICIOS L.M.H, C.A., NESTOR DOMINGUEZ</t>
  </si>
  <si>
    <t>J412342720</t>
  </si>
  <si>
    <t>MULTISERVICIOS LIMANCA 2019 C.A</t>
  </si>
  <si>
    <t>J402725655</t>
  </si>
  <si>
    <t>MULTISERVICIOS MJT3001, C.A.</t>
  </si>
  <si>
    <t>J405424524</t>
  </si>
  <si>
    <t>MULTISERVICIOS OIKODOME PC 2018, C.A.</t>
  </si>
  <si>
    <t>J410593350</t>
  </si>
  <si>
    <t>MULTISERVICIOS OKINAWA, C.A</t>
  </si>
  <si>
    <t>J409999475</t>
  </si>
  <si>
    <t>MULTISERVICIOS SAMUEL CHIRINOS 1801, CA</t>
  </si>
  <si>
    <t>J410038047</t>
  </si>
  <si>
    <t>MULTISERVICIOS SISTEM-JEDE, C.A.</t>
  </si>
  <si>
    <t>J407739204</t>
  </si>
  <si>
    <t>MULTISERVICIOS SURTTYFULL 2819, C. A.</t>
  </si>
  <si>
    <t>J403628815</t>
  </si>
  <si>
    <t>MULTISERVICIOS SYSTEN-FRANK, C.A.</t>
  </si>
  <si>
    <t>J298801727</t>
  </si>
  <si>
    <t>MULTISERVICIOS TECNO INTEGRALES E.C., C.A.</t>
  </si>
  <si>
    <t>J402578954</t>
  </si>
  <si>
    <t>MULTISERVICIOS VMYG,C.A</t>
  </si>
  <si>
    <t>J502428925</t>
  </si>
  <si>
    <t>MULTISERVICIOS Y DISTRIBUIDORA ROMAR, C.A</t>
  </si>
  <si>
    <t>MULTISERVICIOS Y DISTRIBUIDORA ROMAR, C.A, CARLOS JULIO ROMERO</t>
  </si>
  <si>
    <t>J503900229</t>
  </si>
  <si>
    <t>MULTISERVICIOS Y PROCURA P&amp;G, C.A</t>
  </si>
  <si>
    <t>MULTISERVICIOS Y PROCURA P&amp;G, C.A, Eduardo</t>
  </si>
  <si>
    <t>J500161719</t>
  </si>
  <si>
    <t>MULTISOLUCIONES XL 2020, CA</t>
  </si>
  <si>
    <t>J501865965</t>
  </si>
  <si>
    <t>MULTITIENDA "TECHNO WU" C.A</t>
  </si>
  <si>
    <t>J500373660</t>
  </si>
  <si>
    <t>MULTITRADE EMC 21812, C.A.</t>
  </si>
  <si>
    <t>9-720-1463</t>
  </si>
  <si>
    <t>MULTIVENTAS ISABEL</t>
  </si>
  <si>
    <t>J405457937</t>
  </si>
  <si>
    <t>MULTIVENTAS OASIS 123, C.A.</t>
  </si>
  <si>
    <t>MULTIVENTAS OASIS 123, C.A., Julio César Pinto</t>
  </si>
  <si>
    <t>J310268843</t>
  </si>
  <si>
    <t>MUNDO BLACK C.A</t>
  </si>
  <si>
    <t>J299543110</t>
  </si>
  <si>
    <t>MUNDO DE IMPRESIONES 2010 CA</t>
  </si>
  <si>
    <t>J504567752</t>
  </si>
  <si>
    <t>MUNDO DE SOLUCIONES J &amp; J, C.A.</t>
  </si>
  <si>
    <t>J400595185</t>
  </si>
  <si>
    <t>MUNDO ELECTRONIC ZYL, C.A</t>
  </si>
  <si>
    <t>J307872012</t>
  </si>
  <si>
    <t>MUNDO PAPEL 2001 C. A.</t>
  </si>
  <si>
    <t>J401387918</t>
  </si>
  <si>
    <t>MUNDO RECARGA FAST, C.A</t>
  </si>
  <si>
    <t>J401082807</t>
  </si>
  <si>
    <t>MUNDO RIPA, C.A.</t>
  </si>
  <si>
    <t>J306489878</t>
  </si>
  <si>
    <t>MUNDOFERTA, CA</t>
  </si>
  <si>
    <t>J411595705</t>
  </si>
  <si>
    <t>MYACCESORIOS69</t>
  </si>
  <si>
    <t>J296125368</t>
  </si>
  <si>
    <t>MYS IMPRESOS GRAFICOS C.A</t>
  </si>
  <si>
    <t>Marcos Romero</t>
  </si>
  <si>
    <t>Maria Auxiliadora Tovar Caro</t>
  </si>
  <si>
    <t>Maria Fernanda Mugica</t>
  </si>
  <si>
    <t>Marketing Panama</t>
  </si>
  <si>
    <t>Marlyn Baute</t>
  </si>
  <si>
    <t>V19773570</t>
  </si>
  <si>
    <t>Maryori Villanueva</t>
  </si>
  <si>
    <t>Miriam Ramos</t>
  </si>
  <si>
    <t>J312986395</t>
  </si>
  <si>
    <t>N.G.S. NETWORK COMMUNICATION SYSTEM, C.A.</t>
  </si>
  <si>
    <t>N.G.S. NETWORK COMMUNICATION SYSTEM, C.A., ESTEBAN POTH</t>
  </si>
  <si>
    <t>J308661201</t>
  </si>
  <si>
    <t>NAPNET SOLUTION CENTER, C.A</t>
  </si>
  <si>
    <t>J408465191</t>
  </si>
  <si>
    <t>NATVAL SOLUCIONES, C.A.</t>
  </si>
  <si>
    <t>J411807770</t>
  </si>
  <si>
    <t>NC PHONE, C.A.</t>
  </si>
  <si>
    <t>J298152931</t>
  </si>
  <si>
    <t>NEITHAN COPY, C.A.</t>
  </si>
  <si>
    <t>V270217873</t>
  </si>
  <si>
    <t>NELLYMAR RAMIREZ MARQUEZ</t>
  </si>
  <si>
    <t>V038618535</t>
  </si>
  <si>
    <t>NESTOR JOSE PINEDA SANTANA</t>
  </si>
  <si>
    <t>J299525022</t>
  </si>
  <si>
    <t>NET COMPUTER INTEGRAL SOLUTION, C.A.</t>
  </si>
  <si>
    <t>J400066522</t>
  </si>
  <si>
    <t>NETWORK WORLD TECHNOLOGYS NWT, C.A</t>
  </si>
  <si>
    <t>J297534458</t>
  </si>
  <si>
    <t>NETXUS DIGITAL COMUNICACIONES, C.A</t>
  </si>
  <si>
    <t>J312294426</t>
  </si>
  <si>
    <t>NEVERI PHONE C A</t>
  </si>
  <si>
    <t>J502538119</t>
  </si>
  <si>
    <t>NEWJOC SYSTEM, C.A</t>
  </si>
  <si>
    <t>J506836114</t>
  </si>
  <si>
    <t>NEXO58, C.A.</t>
  </si>
  <si>
    <t>J508109805</t>
  </si>
  <si>
    <t>NEXUS COMERCIO Y SUMINISTROS, C.A</t>
  </si>
  <si>
    <t>NEXUS COMERCIO Y SUMINISTROS, C.A, KEVIN GODOY</t>
  </si>
  <si>
    <t>J502282203</t>
  </si>
  <si>
    <t>NFT SHOP INC</t>
  </si>
  <si>
    <t>J294876935</t>
  </si>
  <si>
    <t>NICOM SYSTEM C.A.</t>
  </si>
  <si>
    <t>NOMINA 31/05/2026</t>
  </si>
  <si>
    <t>J402166028</t>
  </si>
  <si>
    <t>NORTE, PROYECTOS Y SERVICIOS C.A.</t>
  </si>
  <si>
    <t>V272422369</t>
  </si>
  <si>
    <t>NOUEL INVERSIONES NN STORE BARINAS FP</t>
  </si>
  <si>
    <t>J410117141</t>
  </si>
  <si>
    <t>NOVEDADES ANGELUZ 2.377, C.A.</t>
  </si>
  <si>
    <t>J501326681</t>
  </si>
  <si>
    <t>NUESTRO FUTURO TEXTIL 2021, C.A</t>
  </si>
  <si>
    <t>J413108640</t>
  </si>
  <si>
    <t>NVERSIONES M&amp;S XIV, C.A</t>
  </si>
  <si>
    <t>J301083350</t>
  </si>
  <si>
    <t>Netuno C.A.</t>
  </si>
  <si>
    <t>Neylin Centeno</t>
  </si>
  <si>
    <t>22204981776393</t>
  </si>
  <si>
    <t>OCEAN NETWORK</t>
  </si>
  <si>
    <t>1680130897092</t>
  </si>
  <si>
    <t>ODEVELOPER INC AMPLEXUS INTERNATIONAL</t>
  </si>
  <si>
    <t>J297326146</t>
  </si>
  <si>
    <t>OFFICE IT SOLUCIONES OITS, C.A.</t>
  </si>
  <si>
    <t>J311631151</t>
  </si>
  <si>
    <t>OFFICE SOLUTIONS CENTER 2004, C.A</t>
  </si>
  <si>
    <t>J-31163115-1</t>
  </si>
  <si>
    <t>OFFICE SOLUTIONS CENTER 2004, C.A. (OSC - ASTA).</t>
  </si>
  <si>
    <t>J407321560</t>
  </si>
  <si>
    <t>OFFICEPRINT C.A</t>
  </si>
  <si>
    <t>J308452025</t>
  </si>
  <si>
    <t>OFFICOMP C.A.</t>
  </si>
  <si>
    <t>J5011977539</t>
  </si>
  <si>
    <t>OFFISHOP II, C.A.</t>
  </si>
  <si>
    <t>J504391115</t>
  </si>
  <si>
    <t>OFIC SCHOOL, C.A</t>
  </si>
  <si>
    <t>J304855052</t>
  </si>
  <si>
    <t>OFICINA REGALADO C.A.</t>
  </si>
  <si>
    <t>J501597820</t>
  </si>
  <si>
    <t>OFIPLUS BARINAS C.A.</t>
  </si>
  <si>
    <t>J402914601</t>
  </si>
  <si>
    <t>OFIPRINTER.COM, C.A.</t>
  </si>
  <si>
    <t>J294802362</t>
  </si>
  <si>
    <t>OFIPROYECTOS K.G., C.A</t>
  </si>
  <si>
    <t>J002249153</t>
  </si>
  <si>
    <t>OFISANZ, C.A.</t>
  </si>
  <si>
    <t>J505716972</t>
  </si>
  <si>
    <t>OFISUMINISTROS 1701, C.A</t>
  </si>
  <si>
    <t>J504348783</t>
  </si>
  <si>
    <t>OIKODOME PC C.A</t>
  </si>
  <si>
    <t>J506167956</t>
  </si>
  <si>
    <t>OLIV TECNO, C.A</t>
  </si>
  <si>
    <t>J501605475</t>
  </si>
  <si>
    <t>OMNI TELECOM 27, C.A.</t>
  </si>
  <si>
    <t>J501580146</t>
  </si>
  <si>
    <t>OMNIA SUPPLIES C.A</t>
  </si>
  <si>
    <t>J500598165</t>
  </si>
  <si>
    <t>ONE TECH VZLA, C.A.</t>
  </si>
  <si>
    <t>J314675257</t>
  </si>
  <si>
    <t>OPEN GLOBAL C.A.</t>
  </si>
  <si>
    <t>J302004454</t>
  </si>
  <si>
    <t>OPENLINK SISTEMAS DE REDES DE DATOS, C. A.</t>
  </si>
  <si>
    <t>J308529648</t>
  </si>
  <si>
    <t>ORGANIZCION COPY MULT, C.A.</t>
  </si>
  <si>
    <t>J304783914</t>
  </si>
  <si>
    <t>OUT SOURCING XOREXCOPI C.A.</t>
  </si>
  <si>
    <t>Ofimaster Panama</t>
  </si>
  <si>
    <t>Olimar Contreras</t>
  </si>
  <si>
    <t>Oneyda Matamoros</t>
  </si>
  <si>
    <t>J411588911</t>
  </si>
  <si>
    <t>P&amp;R ELECTRONIC,C.A</t>
  </si>
  <si>
    <t>P&amp;R ELECTRONIC,C.A, PEDRO HERNÁNDEZ</t>
  </si>
  <si>
    <t>V109500786</t>
  </si>
  <si>
    <t>PABLO CESAR RAMIREZ PEREZ</t>
  </si>
  <si>
    <t>PABLO CESAR RAMIREZ PEREZ, Pablo Cesar</t>
  </si>
  <si>
    <t>J505161660</t>
  </si>
  <si>
    <t>PANADERIA CANELA CAFE</t>
  </si>
  <si>
    <t>J505246054</t>
  </si>
  <si>
    <t>PANASWEB,C.A</t>
  </si>
  <si>
    <t>J307016493</t>
  </si>
  <si>
    <t>PAPELERIA LA NUBE AZUL VALENCIA, C.A.</t>
  </si>
  <si>
    <t>J301850971</t>
  </si>
  <si>
    <t>PAPELERIA LA NUBE AZUL, C.A.</t>
  </si>
  <si>
    <t>J295381921</t>
  </si>
  <si>
    <t>PAPELERIA MILENARIA 2010, C.A.</t>
  </si>
  <si>
    <t>J411984388</t>
  </si>
  <si>
    <t>PAPELERIA MULTISERVICIOS E INVERSIONES EDMAR, C.A.</t>
  </si>
  <si>
    <t>J405429151</t>
  </si>
  <si>
    <t>PAPELERIA VIMAO VAL 2010, C.A.</t>
  </si>
  <si>
    <t>J001595481</t>
  </si>
  <si>
    <t>PAPELERIA Y LIBRERIA NURIA PALINURIA C.A</t>
  </si>
  <si>
    <t>J000281408</t>
  </si>
  <si>
    <t>PARAGON C A</t>
  </si>
  <si>
    <t>J314873032</t>
  </si>
  <si>
    <t>PARTES D Y D, C.A</t>
  </si>
  <si>
    <t>PARTES D Y D, C.A, DAVID GONZÁLEZ</t>
  </si>
  <si>
    <t>J408347342</t>
  </si>
  <si>
    <t>PATCH CELL, C.A</t>
  </si>
  <si>
    <t>PATCH CELL, C.A, MARLON MARQUEZ</t>
  </si>
  <si>
    <t>J501450994</t>
  </si>
  <si>
    <t>PC BARINAS</t>
  </si>
  <si>
    <t>J307663847</t>
  </si>
  <si>
    <t>PC CENTER MARGARITA, C.A.</t>
  </si>
  <si>
    <t>J298012404</t>
  </si>
  <si>
    <t>PC COMPIUTER 2020 C.A.</t>
  </si>
  <si>
    <t>J401369812</t>
  </si>
  <si>
    <t>PC EXPERTS C.A</t>
  </si>
  <si>
    <t>J315095076</t>
  </si>
  <si>
    <t>PC MALL, C.A.</t>
  </si>
  <si>
    <t>PC MALL, C.A., HYLLARY MONTILBA</t>
  </si>
  <si>
    <t>J305646864</t>
  </si>
  <si>
    <t>PC MANIA C.A.</t>
  </si>
  <si>
    <t>J400419859</t>
  </si>
  <si>
    <t>PC MAT, C.A</t>
  </si>
  <si>
    <t>J299619426</t>
  </si>
  <si>
    <t>PC MOBILE STORE, CA</t>
  </si>
  <si>
    <t>J310095493</t>
  </si>
  <si>
    <t>PC PLATINIUM C.A.</t>
  </si>
  <si>
    <t>J306056513</t>
  </si>
  <si>
    <t>PC RAM CORPORACION, C. A.</t>
  </si>
  <si>
    <t>J403551448</t>
  </si>
  <si>
    <t>PC SHOP DE VENEZUELA, C.A.</t>
  </si>
  <si>
    <t>J501020299</t>
  </si>
  <si>
    <t>PC ZERO STORE, C.A.</t>
  </si>
  <si>
    <t>J314082485</t>
  </si>
  <si>
    <t>PERFEC PAPEL INVERSIONES, C. A.</t>
  </si>
  <si>
    <t>J314792237</t>
  </si>
  <si>
    <t>PERFUMERIA Y COSMETICOS DANIEL C.A</t>
  </si>
  <si>
    <t>J164777517</t>
  </si>
  <si>
    <t>PEÑA GISBEL &amp; TECNET F.P</t>
  </si>
  <si>
    <t>J500636750</t>
  </si>
  <si>
    <t>PHONE CELL VEM II, C.A.</t>
  </si>
  <si>
    <t>J309193759</t>
  </si>
  <si>
    <t>PHONE MARKET STAR C.A</t>
  </si>
  <si>
    <t>V094813766</t>
  </si>
  <si>
    <t>PIETRO CHIOMMINO PC NETWORK CONSULTING</t>
  </si>
  <si>
    <t>J413256355</t>
  </si>
  <si>
    <t>PINTURAS IPM, C.A</t>
  </si>
  <si>
    <t>J404284249</t>
  </si>
  <si>
    <t>PIU COLORE, C.A</t>
  </si>
  <si>
    <t>J293535026</t>
  </si>
  <si>
    <t>PLANCTON TOURS C.A.</t>
  </si>
  <si>
    <t>J504734560</t>
  </si>
  <si>
    <t>PLANETA VIBRANTE 888, C.A.</t>
  </si>
  <si>
    <t>J311589520</t>
  </si>
  <si>
    <t>PLUS ELECTRONICS, C.A</t>
  </si>
  <si>
    <t>J500222378</t>
  </si>
  <si>
    <t>POCKET BV, C.A.</t>
  </si>
  <si>
    <t>J002197528</t>
  </si>
  <si>
    <t>PREPARADOS ALIMENTICIOS INTERNACIONALES PAICA, C.A.</t>
  </si>
  <si>
    <t>J403908036</t>
  </si>
  <si>
    <t>PRINT CARTUCHO, C.A.</t>
  </si>
  <si>
    <t>J298628405</t>
  </si>
  <si>
    <t>PRINTCOM TECNOLOGY C.A</t>
  </si>
  <si>
    <t>J308689840</t>
  </si>
  <si>
    <t>PRINTER ARAGUA C.A.</t>
  </si>
  <si>
    <t>J409733351</t>
  </si>
  <si>
    <t>PRINTER INK 2017, C.A</t>
  </si>
  <si>
    <t>J501580650</t>
  </si>
  <si>
    <t>PRO GAMING WORLD, C.A</t>
  </si>
  <si>
    <t>J501451931</t>
  </si>
  <si>
    <t>PRODUCTOS PERSONALIZA2, C.A.</t>
  </si>
  <si>
    <t>J400023017</t>
  </si>
  <si>
    <t>PROIMCO TECH, C.A.</t>
  </si>
  <si>
    <t>J001425764</t>
  </si>
  <si>
    <t>PROMOTORA PADOVA, C.A.</t>
  </si>
  <si>
    <t>J407061399</t>
  </si>
  <si>
    <t>PROSERVICIOS , C.A</t>
  </si>
  <si>
    <t>J507163350</t>
  </si>
  <si>
    <t>PROTIRES GROUP., C.A</t>
  </si>
  <si>
    <t>J317194195</t>
  </si>
  <si>
    <t>PROVEEDURIA SERVISUMS HRP, C.A.</t>
  </si>
  <si>
    <t>J409447464</t>
  </si>
  <si>
    <t>PROVIDVEN, C.A.</t>
  </si>
  <si>
    <t>PROVIDVEN, C.A., KATHERINE</t>
  </si>
  <si>
    <t>J297422200</t>
  </si>
  <si>
    <t>PROXICOM TECHNOLOGY, C.A</t>
  </si>
  <si>
    <t>J298561696</t>
  </si>
  <si>
    <t>PROY3CT SYSTEM, C.A.</t>
  </si>
  <si>
    <t>J500278365</t>
  </si>
  <si>
    <t>PROYECTOS E INVERSIONES ACAM 16, C.A</t>
  </si>
  <si>
    <t>J293496659</t>
  </si>
  <si>
    <t>PROYECTOS OCAS C A</t>
  </si>
  <si>
    <t>J310178933</t>
  </si>
  <si>
    <t>PROYECTOS Y CONSTRUCCIONES INTEGRALES CONFORT 2064, C.A</t>
  </si>
  <si>
    <t>J503216883</t>
  </si>
  <si>
    <t>PROYECTOS Y REMODELACIONES SISCA, C.A</t>
  </si>
  <si>
    <t>J507900452</t>
  </si>
  <si>
    <t>PROYECTOS Y SOLUCIONES INTEGRALES J3, C.A</t>
  </si>
  <si>
    <t>J411453048</t>
  </si>
  <si>
    <t>PSP TECHNOLOGY &amp; SYSTEM, C.A</t>
  </si>
  <si>
    <t>J409118851</t>
  </si>
  <si>
    <t>PUBLI ARTES GLOBAL,C.A</t>
  </si>
  <si>
    <t>J400066360</t>
  </si>
  <si>
    <t>PUBLI EVENTOS FLASH, C.A</t>
  </si>
  <si>
    <t>J298903201</t>
  </si>
  <si>
    <t>PUERTO VENTAS C A</t>
  </si>
  <si>
    <t>PUERTO VENTAS C A, JOSÉ MARTINEZ</t>
  </si>
  <si>
    <t>J409446638</t>
  </si>
  <si>
    <t>QUANTUM IMPORTACIONES, C.A.</t>
  </si>
  <si>
    <t>J297583750</t>
  </si>
  <si>
    <t>R&amp;G TECHNOLOGY GROUP, C.A</t>
  </si>
  <si>
    <t>V104881897</t>
  </si>
  <si>
    <t>R.A. SYSTEMS 23</t>
  </si>
  <si>
    <t>V11485798</t>
  </si>
  <si>
    <t>RABELIA PETTI</t>
  </si>
  <si>
    <t>J309254812</t>
  </si>
  <si>
    <t>RAMIREZ, PRATO Y ASOCIADOS</t>
  </si>
  <si>
    <t>J505285831</t>
  </si>
  <si>
    <t>RARDI CONSTRUCCIONES, C.A</t>
  </si>
  <si>
    <t>J313964166</t>
  </si>
  <si>
    <t>RAZAS EXPRESS C.A.</t>
  </si>
  <si>
    <t>RAZAS EXPRESS C.A., Daniela Martinez</t>
  </si>
  <si>
    <t>V22772274</t>
  </si>
  <si>
    <t>REBECA ARANGURE</t>
  </si>
  <si>
    <t>J504073067</t>
  </si>
  <si>
    <t>RECARGATE LAS AMERICAS C.A</t>
  </si>
  <si>
    <t>J400544335</t>
  </si>
  <si>
    <t>REDES Y COMPUTADORAS 100% J.R. C.A</t>
  </si>
  <si>
    <t>J294877001</t>
  </si>
  <si>
    <t>REDIELECA, C.A</t>
  </si>
  <si>
    <t>J307838140</t>
  </si>
  <si>
    <t>REGALO MANIA, C.A.</t>
  </si>
  <si>
    <t>REGALO MANIA, C.A., HAMIDE AL MASRI</t>
  </si>
  <si>
    <t>REGION 27/04/2026</t>
  </si>
  <si>
    <t>J502001026</t>
  </si>
  <si>
    <t>REHOBOT CORP, C.A</t>
  </si>
  <si>
    <t>V169053754</t>
  </si>
  <si>
    <t>REINALDO JOSE DOMINGUEZ LOPEZ</t>
  </si>
  <si>
    <t>V6322241</t>
  </si>
  <si>
    <t>RENE SANTANA</t>
  </si>
  <si>
    <t>J501967393</t>
  </si>
  <si>
    <t>REPRESENTACIONES ALIANZA Y&amp;T, C.A.</t>
  </si>
  <si>
    <t>J312567120</t>
  </si>
  <si>
    <t>REPRESENTACIONES DASARA,C.A</t>
  </si>
  <si>
    <t>J401229255</t>
  </si>
  <si>
    <t>REPRESENTACIONES MIS ANGELE`S  NET, C.A</t>
  </si>
  <si>
    <t>J001314814</t>
  </si>
  <si>
    <t>REPRESENTACIONES NELCAR, C.A.</t>
  </si>
  <si>
    <t>J505787381</t>
  </si>
  <si>
    <t>REPRESENTACIONES OFIMAX ORIENTE C.A</t>
  </si>
  <si>
    <t>J003384259</t>
  </si>
  <si>
    <t>REPRESENTACIONES OPS, C.A</t>
  </si>
  <si>
    <t>J314683969</t>
  </si>
  <si>
    <t>REPRESENTACIONES PC-SHOP, C.A.</t>
  </si>
  <si>
    <t>J406011690</t>
  </si>
  <si>
    <t>REPRESENTACIONES RAGAZZI 5000, C.A.</t>
  </si>
  <si>
    <t>J506906562</t>
  </si>
  <si>
    <t>REPRESENTACIONES RD SOLUTIONS C.A.</t>
  </si>
  <si>
    <t>J505534130</t>
  </si>
  <si>
    <t>REPRESENTACIONES S.T 2024, C.A.</t>
  </si>
  <si>
    <t>J311404635</t>
  </si>
  <si>
    <t>REPRESENTACIONES SEROMI, C.A.</t>
  </si>
  <si>
    <t>REPRESENTACIONES SEROMI, C.A., Sergio Illarramendi</t>
  </si>
  <si>
    <t>J500929170</t>
  </si>
  <si>
    <t>REPUESTO TALENTO, C.A.</t>
  </si>
  <si>
    <t>J503400323</t>
  </si>
  <si>
    <t>REPUESTOS LOS COMPADRES DE LA 60, C.A</t>
  </si>
  <si>
    <t>J505139487</t>
  </si>
  <si>
    <t>RGH CORP 0112, C.A</t>
  </si>
  <si>
    <t>V125000947</t>
  </si>
  <si>
    <t>RICHARD MONTILLA</t>
  </si>
  <si>
    <t>J507741630</t>
  </si>
  <si>
    <t>RLT INFINITY TECNOLOGY, C.A.</t>
  </si>
  <si>
    <t>V125539765</t>
  </si>
  <si>
    <t>ROA SAMIS SISTEM INSTALACIONES, F.P.</t>
  </si>
  <si>
    <t>V27032094</t>
  </si>
  <si>
    <t>ROBERT JOSE MENDEZ HERRERA</t>
  </si>
  <si>
    <t>V108165746</t>
  </si>
  <si>
    <t>ROBERTO GUALTIERI</t>
  </si>
  <si>
    <t>V8777574</t>
  </si>
  <si>
    <t>ROBERTO PEÑA</t>
  </si>
  <si>
    <t>J503373954</t>
  </si>
  <si>
    <t>ROBLOMARKET, C.A</t>
  </si>
  <si>
    <t>V10501881</t>
  </si>
  <si>
    <t>ROCIO GONZALEZ</t>
  </si>
  <si>
    <t>V148661991</t>
  </si>
  <si>
    <t>ROGER ARMANDO VALERO MARIN (VARIEDADES NEIDY.COM)</t>
  </si>
  <si>
    <t>J307629797</t>
  </si>
  <si>
    <t>ROHANS COMPUTER C.A</t>
  </si>
  <si>
    <t>V173861091</t>
  </si>
  <si>
    <t>RONALD JOSE YAÑEZ, F.P</t>
  </si>
  <si>
    <t>J504806609</t>
  </si>
  <si>
    <t>ROSELAB COSMETICS, C.A.</t>
  </si>
  <si>
    <t>V12618056</t>
  </si>
  <si>
    <t>ROSELYNN PEREZ</t>
  </si>
  <si>
    <t>J507654753</t>
  </si>
  <si>
    <t>RPA 18,C.A.</t>
  </si>
  <si>
    <t>J503351039</t>
  </si>
  <si>
    <t>RSTECNOLOGIAPC, C.A</t>
  </si>
  <si>
    <t>J413066319</t>
  </si>
  <si>
    <t>RT SISTEMAS TECNOLOGICOS C.A</t>
  </si>
  <si>
    <t>J500178557</t>
  </si>
  <si>
    <t>RTP SOLUCIONES INTEGRALES, C.A</t>
  </si>
  <si>
    <t>J315264412</t>
  </si>
  <si>
    <t>RUBERNET, C.A.</t>
  </si>
  <si>
    <t>V12032221</t>
  </si>
  <si>
    <t>Rangel Hernandez</t>
  </si>
  <si>
    <t>V27022233</t>
  </si>
  <si>
    <t>Riccardo Fusco</t>
  </si>
  <si>
    <t>J295321570</t>
  </si>
  <si>
    <t>S&amp;S ZUSE CONSULTING, C.A</t>
  </si>
  <si>
    <t>J309798421</t>
  </si>
  <si>
    <t>S.C. MARQUEZ ,PERDOMO &amp; ASOCIADOS</t>
  </si>
  <si>
    <t>J298068906</t>
  </si>
  <si>
    <t>SACATUCOPIA, C. A.</t>
  </si>
  <si>
    <t>J314294270</t>
  </si>
  <si>
    <t>SACELCA</t>
  </si>
  <si>
    <t>J408496020</t>
  </si>
  <si>
    <t>SAFETY WORLD COMPAÑIA ANONIMA</t>
  </si>
  <si>
    <t>J310866040</t>
  </si>
  <si>
    <t>SALO CORPORATION C.A.</t>
  </si>
  <si>
    <t>J403561753</t>
  </si>
  <si>
    <t>SAMIS SISTEM, C.A.</t>
  </si>
  <si>
    <t>J412850997</t>
  </si>
  <si>
    <t>SAN MIGUEL DE TODO UN POCO,C.A</t>
  </si>
  <si>
    <t>J400010209</t>
  </si>
  <si>
    <t>SANNET SOLUTIONS, C.A</t>
  </si>
  <si>
    <t>SANNET SOLUTIONS, C.A, Jelitza Borges</t>
  </si>
  <si>
    <t>V061589917</t>
  </si>
  <si>
    <t>SANOJA MANUEL</t>
  </si>
  <si>
    <t>V27748606</t>
  </si>
  <si>
    <t>SANTIAGO CHAMBUCO</t>
  </si>
  <si>
    <t>J504234311</t>
  </si>
  <si>
    <t>SCAROLA IMPORT, C.A.</t>
  </si>
  <si>
    <t>J508064437</t>
  </si>
  <si>
    <t>SDK CONSULTANS, C.A.</t>
  </si>
  <si>
    <t>SDK CONSULTANS, C.A., DONATELA MELO</t>
  </si>
  <si>
    <t>J406277991</t>
  </si>
  <si>
    <t>SEGURITY NETWORW C.A</t>
  </si>
  <si>
    <t>SEGURITY NETWORW C.A, Other Address</t>
  </si>
  <si>
    <t>J410319828</t>
  </si>
  <si>
    <t>SEGUTEC FJ, C.A.</t>
  </si>
  <si>
    <t>J408142490</t>
  </si>
  <si>
    <t>SEINTEC, C.A.</t>
  </si>
  <si>
    <t>J505469029</t>
  </si>
  <si>
    <t>SEJS SYSTEMS CORP. C.A</t>
  </si>
  <si>
    <t>J506375273</t>
  </si>
  <si>
    <t>SERTSATEL STORE, C.A</t>
  </si>
  <si>
    <t>J412633651</t>
  </si>
  <si>
    <t>SERTSATEL, C.A</t>
  </si>
  <si>
    <t>J407555243</t>
  </si>
  <si>
    <t>SERVI PC 2016, C.A.</t>
  </si>
  <si>
    <t>J303166342</t>
  </si>
  <si>
    <t>SERVI-EQUIPOS LARA, C.A.</t>
  </si>
  <si>
    <t>SERVI-EQUIPOS LARA, C.A., MIRNA SERVI</t>
  </si>
  <si>
    <t>J413199068</t>
  </si>
  <si>
    <t>SERVICE ELECTRONIC COMPUTER, C.A</t>
  </si>
  <si>
    <t>J299338516</t>
  </si>
  <si>
    <t>SERVICE SUPPLY LM C.A</t>
  </si>
  <si>
    <t>J401338216</t>
  </si>
  <si>
    <t>SERVICIO DE ELECTRICIDAD Y ELECTRONICA LENINCOMPU 2012,C.A.</t>
  </si>
  <si>
    <t>J312058781</t>
  </si>
  <si>
    <t>SERVICIO DE SUMINISTRO Y PROCURA SANMAR, C.A.</t>
  </si>
  <si>
    <t>SERVICIO DE SUMINISTRO Y PROCURA SANMAR, C.A., Sanmar</t>
  </si>
  <si>
    <t>J307140208</t>
  </si>
  <si>
    <t>SERVICIOS ARTE PLUS,C. A.</t>
  </si>
  <si>
    <t>J314309676</t>
  </si>
  <si>
    <t>SERVICIOS A`S COMPUTER PC, C. A.</t>
  </si>
  <si>
    <t>J502538895</t>
  </si>
  <si>
    <t>SERVICIOS C PLUS TECH C.A.</t>
  </si>
  <si>
    <t>J401245161</t>
  </si>
  <si>
    <t>SERVICIOS COMAC COMPUTER, C.A.</t>
  </si>
  <si>
    <t>J411172634</t>
  </si>
  <si>
    <t>SERVICIOS DE ASESORIA INMOBILIARIA ARIZA, C.A</t>
  </si>
  <si>
    <t>J409207471</t>
  </si>
  <si>
    <t>SERVICIOS DE SEGURIDAD INTEGRAL TELECOMUNICACIONES Y TECNOLOGIA T &amp; F, C.A</t>
  </si>
  <si>
    <t>J507358925</t>
  </si>
  <si>
    <t>SERVICIOS E INVERSIONES VERTEX, C.A.</t>
  </si>
  <si>
    <t>J306649590</t>
  </si>
  <si>
    <t>SERVICIOS G.Z, C.A.</t>
  </si>
  <si>
    <t>J507107876</t>
  </si>
  <si>
    <t>SERVICIOS L&amp;A COPY 2025, C.A</t>
  </si>
  <si>
    <t>J308567019</t>
  </si>
  <si>
    <t>SERVICIOS OFI-KARL 1504, C.A</t>
  </si>
  <si>
    <t>J408157373</t>
  </si>
  <si>
    <t>SERVICIOS RESUCON, CA</t>
  </si>
  <si>
    <t>J304595204</t>
  </si>
  <si>
    <t>SERVICIOS TECHLINK 3000, C.A.</t>
  </si>
  <si>
    <t>J316403254</t>
  </si>
  <si>
    <t>SERVICIOS TECNICO COPY VARGAS, C.A.</t>
  </si>
  <si>
    <t>J501912190</t>
  </si>
  <si>
    <t>SERVICIOS TECNOLOGICOS JVA, C.A.</t>
  </si>
  <si>
    <t>J500426054</t>
  </si>
  <si>
    <t>SERVICIOS TECNOLOGICOS TECHNOFIX, C.A</t>
  </si>
  <si>
    <t>J503386827</t>
  </si>
  <si>
    <t>SERVICIOS TECNORED-LAG, C.A.</t>
  </si>
  <si>
    <t>J407446177</t>
  </si>
  <si>
    <t>SERVICIOS Y SUMINISTROS DROITEC, C.A</t>
  </si>
  <si>
    <t>J299490024</t>
  </si>
  <si>
    <t>SERVICIOS Y SUMINISTROS GLOBALES 3030, C.A.</t>
  </si>
  <si>
    <t>J312826835</t>
  </si>
  <si>
    <t>SERVICIOS Y SUMINISTROS HARKI 2011, C. A.</t>
  </si>
  <si>
    <t>J400422310</t>
  </si>
  <si>
    <t>SERVICIOS Y SUMINISTROS RIVER, C.A</t>
  </si>
  <si>
    <t>J402133189</t>
  </si>
  <si>
    <t>SERVICIOS Y SUMINISTROS TEB, C.A.</t>
  </si>
  <si>
    <t>J307037296</t>
  </si>
  <si>
    <t>SERVICIOS Y TELECOMUNICACIONES SERYTEL, C.A.</t>
  </si>
  <si>
    <t>J404313150</t>
  </si>
  <si>
    <t>SERVICOLOR ROMMER, C.A.</t>
  </si>
  <si>
    <t>J508511069</t>
  </si>
  <si>
    <t>SERVICPRINTER, C. A.</t>
  </si>
  <si>
    <t>SERVICPRINTER, C. A., LAURA NAILETH NUÑEZ</t>
  </si>
  <si>
    <t>J301883780</t>
  </si>
  <si>
    <t>SERVIHECMIR, C.A.</t>
  </si>
  <si>
    <t>J295804431</t>
  </si>
  <si>
    <t>SERVILAPTOP CE, C.A.</t>
  </si>
  <si>
    <t>J403986533</t>
  </si>
  <si>
    <t>SERVISUMINISTROS GUTIERREZ C.A</t>
  </si>
  <si>
    <t>SERVISUMINISTROS GUTIERREZ C.A, WILLIANS GUTIERREZ</t>
  </si>
  <si>
    <t>J402290179</t>
  </si>
  <si>
    <t>SERVITEC R &amp; M, C.A.</t>
  </si>
  <si>
    <t>SERVITEC R &amp; M, C.A., Richard Maldonado</t>
  </si>
  <si>
    <t>J296471002</t>
  </si>
  <si>
    <t>SETRYS C.A.</t>
  </si>
  <si>
    <t>J405650613</t>
  </si>
  <si>
    <t>SHADDAY ELECTRONIC, C.A.</t>
  </si>
  <si>
    <t>J312548886</t>
  </si>
  <si>
    <t>SHENZHEN ELECTRONICS, C.A.</t>
  </si>
  <si>
    <t>J297757635</t>
  </si>
  <si>
    <t>SHOP PAPEL COMPUTER C.A</t>
  </si>
  <si>
    <t>J412058541</t>
  </si>
  <si>
    <t>SIDDHI TECNOLOGIA, C.A</t>
  </si>
  <si>
    <t>J302844673</t>
  </si>
  <si>
    <t>SIDNEY PRODUCCIONES C.A</t>
  </si>
  <si>
    <t>J503305576</t>
  </si>
  <si>
    <t>SIGMA TIENDAS JC FP, C.A.</t>
  </si>
  <si>
    <t>J405807598</t>
  </si>
  <si>
    <t>SIGMATECH GROUP, C.A.</t>
  </si>
  <si>
    <t>J408479028</t>
  </si>
  <si>
    <t>SILVERMANIA C.A.</t>
  </si>
  <si>
    <t>J501643377</t>
  </si>
  <si>
    <t>SINACEMOSAIS GROUP, CA</t>
  </si>
  <si>
    <t>SINACEMOSAIS GROUP, CA, Diego</t>
  </si>
  <si>
    <t>J400991170</t>
  </si>
  <si>
    <t>SISEINT 2012, C.A.</t>
  </si>
  <si>
    <t>SISEINT 2012, C.A., Tomas Alejandro Marrero Morao</t>
  </si>
  <si>
    <t>J317274776</t>
  </si>
  <si>
    <t>SISTELCA 2011 CA</t>
  </si>
  <si>
    <t>J309944452</t>
  </si>
  <si>
    <t>SISTELRED, C.A.</t>
  </si>
  <si>
    <t>J306886230</t>
  </si>
  <si>
    <t>SISTEMA DIGITAL, C.A</t>
  </si>
  <si>
    <t>J310754888</t>
  </si>
  <si>
    <t>SISTEMA LA GOTA C.A</t>
  </si>
  <si>
    <t>J405508183</t>
  </si>
  <si>
    <t>SISTEMAS ELECTRONICOS RS, C.A.</t>
  </si>
  <si>
    <t>J411279609</t>
  </si>
  <si>
    <t>SISTEMAS RJD, C.A.</t>
  </si>
  <si>
    <t>J408966611</t>
  </si>
  <si>
    <t>SISTEMAS Y SERVICIOS SSEK, C.A</t>
  </si>
  <si>
    <t>J410857676</t>
  </si>
  <si>
    <t>SL COMPUSERVICIO 95, C.A</t>
  </si>
  <si>
    <t>J505744054</t>
  </si>
  <si>
    <t>SMA CUSTOMS AGENTS, C.A</t>
  </si>
  <si>
    <t>J410293306</t>
  </si>
  <si>
    <t>SMART CITY CORP, C.A</t>
  </si>
  <si>
    <t>J315942917</t>
  </si>
  <si>
    <t>SMART COMPUTER, C.A</t>
  </si>
  <si>
    <t>SMART COMPUTER, C.A, JOSE BARRIOS</t>
  </si>
  <si>
    <t>J294266045</t>
  </si>
  <si>
    <t>SMART CONEXIONES, C.A</t>
  </si>
  <si>
    <t>J500242816</t>
  </si>
  <si>
    <t>SMART FIX 168, C.A</t>
  </si>
  <si>
    <t>J501598533</t>
  </si>
  <si>
    <t>SMART PRINT, CA</t>
  </si>
  <si>
    <t>SMARBIT</t>
  </si>
  <si>
    <t>SMARTBIT</t>
  </si>
  <si>
    <t>J410091479</t>
  </si>
  <si>
    <t>SNM TECNOLOGIA, C.A</t>
  </si>
  <si>
    <t>J503445475</t>
  </si>
  <si>
    <t>SOAL T COMPUTER, C.A.</t>
  </si>
  <si>
    <t>J307725427</t>
  </si>
  <si>
    <t>SOLO HARDWARE, C.A.</t>
  </si>
  <si>
    <t>J405207710</t>
  </si>
  <si>
    <t>SOLSETECA SOLUCIONES Y SERVICIOS TECNICOS, C.A.</t>
  </si>
  <si>
    <t>J316469956</t>
  </si>
  <si>
    <t>SOLUCIONES ADMINISTRATIVAS COBREMEX, C.A</t>
  </si>
  <si>
    <t>J297170782</t>
  </si>
  <si>
    <t>SOLUCIONES CLEAR LIGHT 54, C.A.</t>
  </si>
  <si>
    <t>J405827076</t>
  </si>
  <si>
    <t>SOLUCIONES COMPUT TONER 3000, C.A.</t>
  </si>
  <si>
    <t>J501576378</t>
  </si>
  <si>
    <t>SOLUCIONES CONSUMIBLES H&amp;R, C.A</t>
  </si>
  <si>
    <t>J406901547</t>
  </si>
  <si>
    <t>SOLUCIONES CONTREMARKET, C.A.</t>
  </si>
  <si>
    <t>J504134910</t>
  </si>
  <si>
    <t>SOLUCIONES DOBLE AA COMPUTER, C.A.</t>
  </si>
  <si>
    <t>SOLUCIONES DOBLE AA COMPUTER, C.A., Other Address</t>
  </si>
  <si>
    <t>J500127499</t>
  </si>
  <si>
    <t>SOLUCIONES DRECCOS C.A.</t>
  </si>
  <si>
    <t>J406420816</t>
  </si>
  <si>
    <t>SOLUCIONES ELECTROCOM 21, C.A</t>
  </si>
  <si>
    <t>J317176715</t>
  </si>
  <si>
    <t>SOLUCIONES GABOGAR, C.A.</t>
  </si>
  <si>
    <t>J507020010</t>
  </si>
  <si>
    <t>SOLUCIONES HR 585 C.A.</t>
  </si>
  <si>
    <t>J300954218</t>
  </si>
  <si>
    <t>SOLUCIONES INTEGRALES C.A</t>
  </si>
  <si>
    <t>J-31453186-7</t>
  </si>
  <si>
    <t>SOLUCIONES INTEGRALES DE TECNOLOGIA VENEZUELA SITVEN ,C.A.</t>
  </si>
  <si>
    <t>J406305820</t>
  </si>
  <si>
    <t>SOLUCIONES INTEGRALES FIN-LEGAL ORINOCO, SRL</t>
  </si>
  <si>
    <t>J295593953</t>
  </si>
  <si>
    <t>SOLUCIONES INTEGRALES HL 2008, C.A.</t>
  </si>
  <si>
    <t>J402950560</t>
  </si>
  <si>
    <t>SOLUCIONES INTEGRALES PC XPRESS, C.A</t>
  </si>
  <si>
    <t>J506667967</t>
  </si>
  <si>
    <t>SOLUCIONES INTEGRALES TECNOCOMPU SERVICES, C.A.</t>
  </si>
  <si>
    <t>J405189045</t>
  </si>
  <si>
    <t>SOLUCIONES INTEGRALES TECNOLOGICAS SOLITECH, C.A</t>
  </si>
  <si>
    <t>SOLUCIONES INTEGRALES TECNOLOGICAS SOLITECH, C.A, DAVID YAJURIS</t>
  </si>
  <si>
    <t>J408904250</t>
  </si>
  <si>
    <t>SOLUCIONES INTEGRALES TECNOSUCRE, C.A.</t>
  </si>
  <si>
    <t>J503443839</t>
  </si>
  <si>
    <t>SOLUCIONES INVTECHNET, C.A</t>
  </si>
  <si>
    <t>J501422192</t>
  </si>
  <si>
    <t>SOLUCIONES INVTECHNET, C.A, Starle Poveda</t>
  </si>
  <si>
    <t>SOLUCIONES INVTECHNET, C.A, Willie Marín</t>
  </si>
  <si>
    <t>J506578131</t>
  </si>
  <si>
    <t>SOLUCIONES ITS.COM, C.A.</t>
  </si>
  <si>
    <t>SOLUCIONES ITS.COM, C.A., DAVID GONZÁLEZ</t>
  </si>
  <si>
    <t>J412276166</t>
  </si>
  <si>
    <t>SOLUCIONES JAYVE C.A.</t>
  </si>
  <si>
    <t>J500931093</t>
  </si>
  <si>
    <t>SOLUCIONES JJ 2021 C.A</t>
  </si>
  <si>
    <t>J409216594</t>
  </si>
  <si>
    <t>SOLUCIONES MAESTRIKO 365 C.A.</t>
  </si>
  <si>
    <t>J314428691</t>
  </si>
  <si>
    <t>SOLUCIONES MMW, C.A</t>
  </si>
  <si>
    <t>J400340756</t>
  </si>
  <si>
    <t>SOLUCIONES MOVILES 2012, C.A.</t>
  </si>
  <si>
    <t>SOLUCIONES NETREADY.COM, C.A.</t>
  </si>
  <si>
    <t>SOLUCIONES NETREADY.COM, C.A., NEY CHIQUINQUIRA PAZ TOLEDO</t>
  </si>
  <si>
    <t>J410056533</t>
  </si>
  <si>
    <t>SOLUCIONES OFIRAI, C.A</t>
  </si>
  <si>
    <t>J294999670</t>
  </si>
  <si>
    <t>SOLUCIONES POP PRINT 74 C.A.</t>
  </si>
  <si>
    <t>J505965670</t>
  </si>
  <si>
    <t>SOLUCIONES RORAIMA, C.A.</t>
  </si>
  <si>
    <t>SOLUCIONES RORAIMA, C.A., KELVIN CANDANOZA</t>
  </si>
  <si>
    <t>J403607222</t>
  </si>
  <si>
    <t>SOLUCIONES S&amp;S IT C.A.</t>
  </si>
  <si>
    <t>J315291231</t>
  </si>
  <si>
    <t>SOLUCIONES SISNET C.A</t>
  </si>
  <si>
    <t>J506200562</t>
  </si>
  <si>
    <t>SOLUCIONES TECNOLOGICAS C.LARA, C.A. (SOLUTEC)</t>
  </si>
  <si>
    <t>J403802351</t>
  </si>
  <si>
    <t>SOLUCIONES TECNOLOGICAS HERSA C.A</t>
  </si>
  <si>
    <t>J409917541</t>
  </si>
  <si>
    <t>SOLUCIONES TECNOLOGICAS LEBO, C.A</t>
  </si>
  <si>
    <t>J311823719</t>
  </si>
  <si>
    <t>SOLUCIONES VAFER, C. A.</t>
  </si>
  <si>
    <t>J500022697</t>
  </si>
  <si>
    <t>SOLUCIONES Y SERVICIOS COGNITIVOS, C.A</t>
  </si>
  <si>
    <t>J404093532</t>
  </si>
  <si>
    <t>SOLUCIONES Y SERVICIOS TECNOSEGURA, C.A</t>
  </si>
  <si>
    <t>J505050877</t>
  </si>
  <si>
    <t>SOLUCIONES ZENTEK, C.A.</t>
  </si>
  <si>
    <t>J504795461</t>
  </si>
  <si>
    <t>SOLUTIONS PLANET, C.A.</t>
  </si>
  <si>
    <t>J316877884</t>
  </si>
  <si>
    <t>SONIDO SALVADOR CENTER, C.A.</t>
  </si>
  <si>
    <t>J294207871</t>
  </si>
  <si>
    <t>SONS DREAMS 032718, C.A.</t>
  </si>
  <si>
    <t>J411078050</t>
  </si>
  <si>
    <t>SORITECNO PLUS C.A.</t>
  </si>
  <si>
    <t>J313990060</t>
  </si>
  <si>
    <t>SPARTAN TECH'S C.A</t>
  </si>
  <si>
    <t>J309143204</t>
  </si>
  <si>
    <t>SPAZIO CREATIVO 3000, C.A</t>
  </si>
  <si>
    <t>J294445861</t>
  </si>
  <si>
    <t>SPEED OFFICE, C.A.</t>
  </si>
  <si>
    <t>J408783061</t>
  </si>
  <si>
    <t>SPEED STORE, C.A</t>
  </si>
  <si>
    <t>J411421049</t>
  </si>
  <si>
    <t>SRS SOLUCIONES 360 C. A.</t>
  </si>
  <si>
    <t>J317338197</t>
  </si>
  <si>
    <t>START COPY 5000, C.A</t>
  </si>
  <si>
    <t>J310552304</t>
  </si>
  <si>
    <t>STELLIONET, C.A</t>
  </si>
  <si>
    <t>J404312480</t>
  </si>
  <si>
    <t>STORE SYSTEM WR, C.A.</t>
  </si>
  <si>
    <t>J501580383</t>
  </si>
  <si>
    <t>STRIG TECHNOLOGY, C.A</t>
  </si>
  <si>
    <t>J410425849</t>
  </si>
  <si>
    <t>SUMA SERVICIOS 17, C.A</t>
  </si>
  <si>
    <t>J410690780</t>
  </si>
  <si>
    <t>SUMIAGA, C.A.</t>
  </si>
  <si>
    <t>J501346623</t>
  </si>
  <si>
    <t>SUMICOMP SERVICIOS RL, C.A.</t>
  </si>
  <si>
    <t>J411273422</t>
  </si>
  <si>
    <t>SUMINISTRAV, C.A.</t>
  </si>
  <si>
    <t>J315566591</t>
  </si>
  <si>
    <t>SUMINISTRO J.E.V.J, C.A</t>
  </si>
  <si>
    <t>J407566636</t>
  </si>
  <si>
    <t>SUMINISTROS 1979 C.A</t>
  </si>
  <si>
    <t>J296452687</t>
  </si>
  <si>
    <t>SUMINISTROS AGT C.A</t>
  </si>
  <si>
    <t>J295163436</t>
  </si>
  <si>
    <t>SUMINISTROS BASE20, C.A.</t>
  </si>
  <si>
    <t>J410322586</t>
  </si>
  <si>
    <t>SUMINISTROS CREDIMPORT, C.A.</t>
  </si>
  <si>
    <t>J505694707</t>
  </si>
  <si>
    <t>SUMINISTROS EL CHATO, C.A</t>
  </si>
  <si>
    <t>J317046587</t>
  </si>
  <si>
    <t>SUMINISTROS FULL COLOR,C.A.</t>
  </si>
  <si>
    <t>J400284848</t>
  </si>
  <si>
    <t>SUMINISTROS GRA 2011, C.A.</t>
  </si>
  <si>
    <t>8-935-1159</t>
  </si>
  <si>
    <t>SUMINISTROS GRAU (JOSUE MARIN GRAU)</t>
  </si>
  <si>
    <t>J298358513</t>
  </si>
  <si>
    <t>SUMINISTROS IGNOTO, C.A.</t>
  </si>
  <si>
    <t>SUMINISTROS IGNOTO, C.A., JOHN MOIZZ</t>
  </si>
  <si>
    <t>J503449411</t>
  </si>
  <si>
    <t>SUMINISTROS LA FORTALEZA JIREH ..,C.A.</t>
  </si>
  <si>
    <t>J316872378</t>
  </si>
  <si>
    <t>SUMINISTROS MACRO AMERICA, C.A</t>
  </si>
  <si>
    <t>J405841982</t>
  </si>
  <si>
    <t>SUMINISTROS MEDICOS ALTHYMED, C.A</t>
  </si>
  <si>
    <t>J293714974</t>
  </si>
  <si>
    <t>SUMINISTROS MULTIPLES JRO 3002, C.A.</t>
  </si>
  <si>
    <t>J400350832</t>
  </si>
  <si>
    <t>SUMINISTROS OFIMAX 2012, C.A</t>
  </si>
  <si>
    <t>J500876610</t>
  </si>
  <si>
    <t>SUMINISTROS P&amp;M, C.A</t>
  </si>
  <si>
    <t>J311282858</t>
  </si>
  <si>
    <t>SUMINISTROS TECNICOS CANOCOSMO CA</t>
  </si>
  <si>
    <t>V298878282</t>
  </si>
  <si>
    <t>SUMINISTROS TIMBRESCOPY, C.A.</t>
  </si>
  <si>
    <t>J297515127</t>
  </si>
  <si>
    <t>SUMINISTROS UNIVERSALES OTASAN, C.A</t>
  </si>
  <si>
    <t>J411975230</t>
  </si>
  <si>
    <t>SUMINISTROS VENCORP 2018, C.A.</t>
  </si>
  <si>
    <t>J502888438</t>
  </si>
  <si>
    <t>SUMINISTROS Y SERVICIOS ELONAR C.A</t>
  </si>
  <si>
    <t>J301384970</t>
  </si>
  <si>
    <t>SUMINISTROS Y SERVICIOS GADISYS C A</t>
  </si>
  <si>
    <t>J504939315</t>
  </si>
  <si>
    <t>SUMINISTROS Y SERVICIOS GALIPAN, C.A</t>
  </si>
  <si>
    <t>J403709629</t>
  </si>
  <si>
    <t>SUMINISTROS Y SERVICIOS ZENITH 2077, C.A</t>
  </si>
  <si>
    <t>J310693730</t>
  </si>
  <si>
    <t>SUMINISTROS, SERVICIOS Y CONSTRUCCIONES 3.000, C.A.</t>
  </si>
  <si>
    <t>J311037209</t>
  </si>
  <si>
    <t>SUMIPACA C.A.</t>
  </si>
  <si>
    <t>J504709921</t>
  </si>
  <si>
    <t>SUMISERVI GARCAS 10, C.A</t>
  </si>
  <si>
    <t>J506312328</t>
  </si>
  <si>
    <t>SUMITEC DEL CENTRO, C.A</t>
  </si>
  <si>
    <t>RUC01</t>
  </si>
  <si>
    <t>SUPER TECHNO LLC</t>
  </si>
  <si>
    <t>J309383914</t>
  </si>
  <si>
    <t>SUPERATEC, A.C.</t>
  </si>
  <si>
    <t>J304180101</t>
  </si>
  <si>
    <t>SUPERMERCADO MADEIRA, C.A.</t>
  </si>
  <si>
    <t>J501120781</t>
  </si>
  <si>
    <t>SUPLIDORES HM21 ELECTRONIC, C.A.</t>
  </si>
  <si>
    <t>J504608491</t>
  </si>
  <si>
    <t>SUPLISYSTEMVDV, C.A</t>
  </si>
  <si>
    <t>J404699562</t>
  </si>
  <si>
    <t>SUPPLY PRINT COMPUTER, C.A</t>
  </si>
  <si>
    <t>J298600683</t>
  </si>
  <si>
    <t>SUPRA SERVICES, C.A</t>
  </si>
  <si>
    <t>J296259488</t>
  </si>
  <si>
    <t>SUPRATOR C.A.</t>
  </si>
  <si>
    <t>SUPRICOM  CC</t>
  </si>
  <si>
    <t>J501193738</t>
  </si>
  <si>
    <t>SUPRICOM CCS 21, C.A.</t>
  </si>
  <si>
    <t>J-050119373-8</t>
  </si>
  <si>
    <t>SUPRICOM CCS 21, C.A. - B</t>
  </si>
  <si>
    <t>IN00004</t>
  </si>
  <si>
    <t>SUPRICOM LLC</t>
  </si>
  <si>
    <t>87-1576706</t>
  </si>
  <si>
    <t>SUPRICOM USA, LLC</t>
  </si>
  <si>
    <t>RUC155595002</t>
  </si>
  <si>
    <t>SUPRICOM, S.A.</t>
  </si>
  <si>
    <t>J305396795</t>
  </si>
  <si>
    <t>SURVEY VENEZUELA, C.A.</t>
  </si>
  <si>
    <t>SURVEY VENEZUELA, C.A., Yanira Alemán Márquez</t>
  </si>
  <si>
    <t>J295968388</t>
  </si>
  <si>
    <t>SUSPENGOMAS,C.A</t>
  </si>
  <si>
    <t>J310991430</t>
  </si>
  <si>
    <t>SYS COMPUTER, C.A.</t>
  </si>
  <si>
    <t>J315904225</t>
  </si>
  <si>
    <t>SYSCOPY RENTAL. C.A</t>
  </si>
  <si>
    <t>J311740589</t>
  </si>
  <si>
    <t>SYSTEMGRASS C.A</t>
  </si>
  <si>
    <t>Sandy  Cruces</t>
  </si>
  <si>
    <t>Soporte Tecnico Tecnico</t>
  </si>
  <si>
    <t>Soporte Tecnico Valencia</t>
  </si>
  <si>
    <t>8-831-2073</t>
  </si>
  <si>
    <t>Stephanie Cruz</t>
  </si>
  <si>
    <t>V243322118</t>
  </si>
  <si>
    <t>Supricom ccs 21, C.A., MARIANGELY CISNEROS</t>
  </si>
  <si>
    <t>Supricom, Oneyda Matamoros (v)</t>
  </si>
  <si>
    <t>Susana Hernandez (V)</t>
  </si>
  <si>
    <t>J405743042</t>
  </si>
  <si>
    <t>T&amp;V SERVICIOS, C.A</t>
  </si>
  <si>
    <t>J307745878</t>
  </si>
  <si>
    <t>T.C.S.TECHNOLOGY CONSULTING SOLUTION C.A.</t>
  </si>
  <si>
    <t>J312171146</t>
  </si>
  <si>
    <t>T.KLAS,COMPAÑIA ANONIMA (T.KLAS,C.A)</t>
  </si>
  <si>
    <t>J306497200</t>
  </si>
  <si>
    <t>TALLER METALÚRGICO RIVGAR, C.A</t>
  </si>
  <si>
    <t>V6446295</t>
  </si>
  <si>
    <t>TAMARA MARQUEZ</t>
  </si>
  <si>
    <t>J51351656</t>
  </si>
  <si>
    <t>TARGUS US LLC</t>
  </si>
  <si>
    <t>J502993703</t>
  </si>
  <si>
    <t>TECH GENIUS GROUP, C.A.</t>
  </si>
  <si>
    <t>V276510220</t>
  </si>
  <si>
    <t>TECHDROID VZLA, F.P.</t>
  </si>
  <si>
    <t>TECHDROID VZLA, F.P., JESUS BELLO</t>
  </si>
  <si>
    <t>J502834249</t>
  </si>
  <si>
    <t>TECHGAME IMPORTACIONES, C.A</t>
  </si>
  <si>
    <t>J403344841</t>
  </si>
  <si>
    <t>TECHIN, C.A</t>
  </si>
  <si>
    <t>J506871289</t>
  </si>
  <si>
    <t>TECHNIA TECH, C.A</t>
  </si>
  <si>
    <t>J503396091</t>
  </si>
  <si>
    <t>TECHNICAL SOLUTION 2002, C.A.</t>
  </si>
  <si>
    <t>J501696101</t>
  </si>
  <si>
    <t>TECHNOEXPRESS, C.A</t>
  </si>
  <si>
    <t>J504719315</t>
  </si>
  <si>
    <t>TECHNOFERN, C.A.</t>
  </si>
  <si>
    <t>J502524827</t>
  </si>
  <si>
    <t>TECHNOFFICE A.D.S., C.A.</t>
  </si>
  <si>
    <t>J410484241</t>
  </si>
  <si>
    <t>TECHNOLOGY STORE VZLA, C.A. (TECNOLOGY JONAH 2017)</t>
  </si>
  <si>
    <t>J501950776</t>
  </si>
  <si>
    <t>TECHNOLUTION, C.A.</t>
  </si>
  <si>
    <t>J501737320</t>
  </si>
  <si>
    <t>TECHNOSAYTEL, C.A</t>
  </si>
  <si>
    <t>J317308212</t>
  </si>
  <si>
    <t>TECHNOSERVI 1517, C.A.</t>
  </si>
  <si>
    <t>J500356196</t>
  </si>
  <si>
    <t>TECHNOSHOP, C.A.</t>
  </si>
  <si>
    <t>TECHNOSHOP, C.A., MARCOS ZAMBRANO</t>
  </si>
  <si>
    <t>J413223481</t>
  </si>
  <si>
    <t>TECHOFFICE RCHD C.A</t>
  </si>
  <si>
    <t>J306305165</t>
  </si>
  <si>
    <t>TECNI-CIENCIA LIBROS 5, C.A.</t>
  </si>
  <si>
    <t>J306305157</t>
  </si>
  <si>
    <t>TECNI-CIENCIA LIBROS 6, C.A.</t>
  </si>
  <si>
    <t>J305379556</t>
  </si>
  <si>
    <t>TECNI-CIENCIA LIBROS 7 C.A</t>
  </si>
  <si>
    <t>TECNI-CIENCIA LIBROS 7 C.A, LUZ MAR</t>
  </si>
  <si>
    <t>J500752822</t>
  </si>
  <si>
    <t>TECNILAPTOPS A&amp;D C.A</t>
  </si>
  <si>
    <t>J819981917</t>
  </si>
  <si>
    <t>TECNISERVICIOS SANCHEZ 70, C.A.</t>
  </si>
  <si>
    <t>J302738741</t>
  </si>
  <si>
    <t>TECNISISTEMA LANWORK PLACE, C.A.</t>
  </si>
  <si>
    <t>J400951968</t>
  </si>
  <si>
    <t>TECNITONER VENEZUELA, C.A.</t>
  </si>
  <si>
    <t>J405912537</t>
  </si>
  <si>
    <t>TECNO ACTUAL VIP 2015, C.A.</t>
  </si>
  <si>
    <t>J504149365</t>
  </si>
  <si>
    <t>TECNO CENTRO 3000, C.A</t>
  </si>
  <si>
    <t>J502843418</t>
  </si>
  <si>
    <t>TECNO FANS VE CA</t>
  </si>
  <si>
    <t>J501365717</t>
  </si>
  <si>
    <t>TECNO PHONE, C.A</t>
  </si>
  <si>
    <t>V184042190</t>
  </si>
  <si>
    <t>TECNO PLACE CENTER VE</t>
  </si>
  <si>
    <t>J404127399</t>
  </si>
  <si>
    <t>TECNO RED SOLUCIONES 14, C.A.</t>
  </si>
  <si>
    <t>J303031803</t>
  </si>
  <si>
    <t>TECNO SANCHEZ MENDEZ Y ASOCIADOS C. A</t>
  </si>
  <si>
    <t>J410638494</t>
  </si>
  <si>
    <t>TECNO SERVICES LM, C.A.</t>
  </si>
  <si>
    <t>J501320586</t>
  </si>
  <si>
    <t>TECNO SERVICIOS CARDOZA CONTRERAS, C.A.</t>
  </si>
  <si>
    <t>TECNO SERVICIOS CARDOZA CONTRERAS, C.A., ERICK CARDOZA</t>
  </si>
  <si>
    <t>J505851390</t>
  </si>
  <si>
    <t>TECNO SOLUCIONES 91, C.A.</t>
  </si>
  <si>
    <t>J501199515</t>
  </si>
  <si>
    <t>TECNO SUMINISTROS JAKE 2020, C.A</t>
  </si>
  <si>
    <t>TECNO SUMINISTROS JAKE 2020, C.A, JAVIER PRADA</t>
  </si>
  <si>
    <t>J504891053</t>
  </si>
  <si>
    <t>TECNO-CHON SOLUCIONES, C.A</t>
  </si>
  <si>
    <t>J002453281</t>
  </si>
  <si>
    <t>TECNO-MICRO, C.A.</t>
  </si>
  <si>
    <t>J505636022</t>
  </si>
  <si>
    <t>TECNOCEL 2024, C.A</t>
  </si>
  <si>
    <t>J405078154</t>
  </si>
  <si>
    <t>TECNOCELL IMPORT 2205,CA</t>
  </si>
  <si>
    <t>J313708518</t>
  </si>
  <si>
    <t>TECNOCOSAS.COM C.A</t>
  </si>
  <si>
    <t>J410441550</t>
  </si>
  <si>
    <t>TECNODISTRIBUIDOR J.E.L., C.A.</t>
  </si>
  <si>
    <t>J504802808</t>
  </si>
  <si>
    <t>TECNOINTEGRAL 17 C.A.</t>
  </si>
  <si>
    <t>TECNOINTEGRAL 17 C.A., JELITZA BORGES</t>
  </si>
  <si>
    <t>J413211114</t>
  </si>
  <si>
    <t>TECNOIPCONSULTORES C.A.</t>
  </si>
  <si>
    <t>J314192892</t>
  </si>
  <si>
    <t>TECNOLOGIA DE RECICLAJE PROFESIONAL T.R.P., C.A.</t>
  </si>
  <si>
    <t>J508314590</t>
  </si>
  <si>
    <t>TECNOLOGIA EXPRESS 2026, C.A</t>
  </si>
  <si>
    <t>TECNOLOGIA EXPRESS 2026, C.A, ALEXIS SOLORZANO</t>
  </si>
  <si>
    <t>J501407711</t>
  </si>
  <si>
    <t>TECNOLOGIA FIRST SYSTEM MC, C. A.</t>
  </si>
  <si>
    <t>J315733480</t>
  </si>
  <si>
    <t>TECNOLOGIA GLOBAL MAFER, C.A</t>
  </si>
  <si>
    <t>J401878105</t>
  </si>
  <si>
    <t>TECNOLOGIA INSTAPAGO, S.A.</t>
  </si>
  <si>
    <t>J404725903</t>
  </si>
  <si>
    <t>TECNOLOGIA INTEGRAL DE RIESGO CR C.A</t>
  </si>
  <si>
    <t>TECNOLOGIA INTEGRAL DE RIESGO CR C.A, ARGENIS RIVAS</t>
  </si>
  <si>
    <t>J500574665</t>
  </si>
  <si>
    <t>TECNOLOGIA JASPE, C. A.</t>
  </si>
  <si>
    <t>J401062784</t>
  </si>
  <si>
    <t>TECNOLOGIA SUARCOM, C.A.</t>
  </si>
  <si>
    <t>J312086700</t>
  </si>
  <si>
    <t>TECNOLOGIA Y NEGOCIOS DEL CARIBE C.A.</t>
  </si>
  <si>
    <t>400824265</t>
  </si>
  <si>
    <t>TECNOLOGIA, DATOS Y SISTEMAS AC, C.A.</t>
  </si>
  <si>
    <t>TECNOLOGIA, DATOS Y SISTEMAS AC, C.A., Maikel Moreno</t>
  </si>
  <si>
    <t>J410668750</t>
  </si>
  <si>
    <t>TECNOLOGIA, REDES Y EQUIPOS STEPHANY, C.A</t>
  </si>
  <si>
    <t>J507078590</t>
  </si>
  <si>
    <t>TECNOLOGIAS ALHEN, C.A</t>
  </si>
  <si>
    <t>J500931069</t>
  </si>
  <si>
    <t>TECNOLOGIC 2025, C.A.</t>
  </si>
  <si>
    <t>J506818302</t>
  </si>
  <si>
    <t>TECNOLOGY WORLD, C.A.</t>
  </si>
  <si>
    <t>J400582911</t>
  </si>
  <si>
    <t>TECNOLOGÍA GLOBAL EN COMPUTACIÓN Y SISTEMAS C.A</t>
  </si>
  <si>
    <t>J504476196</t>
  </si>
  <si>
    <t>TECNOMALL SUMINISTROS, C.A.</t>
  </si>
  <si>
    <t>TECNOMALL SUMINISTROS, C.A., Yerlhuy Omar Lacruz Mora</t>
  </si>
  <si>
    <t>J502057609</t>
  </si>
  <si>
    <t>TECNORINOCO, C.A</t>
  </si>
  <si>
    <t>J505256203</t>
  </si>
  <si>
    <t>TECNOSEGURIDAD FD</t>
  </si>
  <si>
    <t>J412394525</t>
  </si>
  <si>
    <t>TECNYSHOPS.COM ,C.A.</t>
  </si>
  <si>
    <t>J500430116</t>
  </si>
  <si>
    <t>TECS VENEZUELA, C.A.</t>
  </si>
  <si>
    <t>J503334746</t>
  </si>
  <si>
    <t>TELDATA SYSTEM, C.A</t>
  </si>
  <si>
    <t>J311761209</t>
  </si>
  <si>
    <t>TELECOMUNICACIONES SEGA, C.A</t>
  </si>
  <si>
    <t>J500404590</t>
  </si>
  <si>
    <t>TELEMAX C.A</t>
  </si>
  <si>
    <t>J295521480</t>
  </si>
  <si>
    <t>TELENEWORK JJ &amp; S, C.A.</t>
  </si>
  <si>
    <t>J315588862</t>
  </si>
  <si>
    <t>TELEPILA CENTER C.A</t>
  </si>
  <si>
    <t>TELEPILA CENTER C.A, ADRIANA</t>
  </si>
  <si>
    <t>J504732613</t>
  </si>
  <si>
    <t>TERABYTE 88, C.A.</t>
  </si>
  <si>
    <t>J501595216</t>
  </si>
  <si>
    <t>TETRA TECH 1312, C.A.</t>
  </si>
  <si>
    <t>J507602621</t>
  </si>
  <si>
    <t>THE FACTORY TECH, C.A</t>
  </si>
  <si>
    <t>J409975177</t>
  </si>
  <si>
    <t>THE NUMBER ONE MATURIN, C.A.</t>
  </si>
  <si>
    <t>J409975177.</t>
  </si>
  <si>
    <t>THE NUMBER ONE Monagas, C.A.</t>
  </si>
  <si>
    <t>J406452157</t>
  </si>
  <si>
    <t>THUNDERNET, C.A</t>
  </si>
  <si>
    <t>J317356675</t>
  </si>
  <si>
    <t>TIC 99, C.</t>
  </si>
  <si>
    <t>J404021701</t>
  </si>
  <si>
    <t>TIENDA DE COMPUTACION 2512.COM, C.A.</t>
  </si>
  <si>
    <t>J500410654</t>
  </si>
  <si>
    <t>TIENDA LA JARANA 333, C.A.</t>
  </si>
  <si>
    <t>J295850441</t>
  </si>
  <si>
    <t>TIENDANET TECNOLOGIA J.V.E, C.A</t>
  </si>
  <si>
    <t>TIENDANET TECNOLOGIA J.V.E, C.A, jubenal Valdez</t>
  </si>
  <si>
    <t>TIENDAS CADENA 360, C.A</t>
  </si>
  <si>
    <t>J310849870</t>
  </si>
  <si>
    <t>TINTA SHOP 3000, C.A.</t>
  </si>
  <si>
    <t>J404448942</t>
  </si>
  <si>
    <t>TINTA Y PAPEL 3D C.A</t>
  </si>
  <si>
    <t>J402730594</t>
  </si>
  <si>
    <t>TINTAS EXPERT 1705, C.A.</t>
  </si>
  <si>
    <t>J299925993</t>
  </si>
  <si>
    <t>TINTASOLUCIONES C.A</t>
  </si>
  <si>
    <t>J503403853</t>
  </si>
  <si>
    <t>TINTA`S LARA 2022, C.A</t>
  </si>
  <si>
    <t>J500483970</t>
  </si>
  <si>
    <t>TITA STORE, C.A</t>
  </si>
  <si>
    <t>TITA STORE, C.A, Antonio Kuffaty</t>
  </si>
  <si>
    <t>J502049070</t>
  </si>
  <si>
    <t>TODDO MOVIL, C.A.</t>
  </si>
  <si>
    <t>J409444970</t>
  </si>
  <si>
    <t>TODO COMPUTACION AMF 986, C.A.</t>
  </si>
  <si>
    <t>J314968831</t>
  </si>
  <si>
    <t>TODO CONSUMIBLES Y PC S C.A</t>
  </si>
  <si>
    <t>J505877011</t>
  </si>
  <si>
    <t>TODO EN SISTEMAS, C.A</t>
  </si>
  <si>
    <t>J403831203</t>
  </si>
  <si>
    <t>TODO PC CARUPANO C.A</t>
  </si>
  <si>
    <t>TODO PC CARUPANO C.A, Other Address</t>
  </si>
  <si>
    <t>J310941882</t>
  </si>
  <si>
    <t>TODO PC, C.A</t>
  </si>
  <si>
    <t>V131380638</t>
  </si>
  <si>
    <t>TODO TECNOLOGICO J.D F.P</t>
  </si>
  <si>
    <t>J412310194</t>
  </si>
  <si>
    <t>TONER REPRINT DE VENEZUELA, C.A.</t>
  </si>
  <si>
    <t>TONER REPRINT DE VENEZUELA, C.A., CARLOS RUSSO</t>
  </si>
  <si>
    <t>J310891796</t>
  </si>
  <si>
    <t>TONER SHOP C A</t>
  </si>
  <si>
    <t>J408136872</t>
  </si>
  <si>
    <t>TONER XPRESS 327, C.A.</t>
  </si>
  <si>
    <t>J316971163</t>
  </si>
  <si>
    <t>TONER XPRESS JN, C.A.</t>
  </si>
  <si>
    <t>J294255221</t>
  </si>
  <si>
    <t>TOP SHOP PLUS, C.A</t>
  </si>
  <si>
    <t>J506676575</t>
  </si>
  <si>
    <t>TOTAL COMPUTER RM, C.A.</t>
  </si>
  <si>
    <t>J502287990</t>
  </si>
  <si>
    <t>TPLINK GUAYANA 2022, C.A</t>
  </si>
  <si>
    <t>J503831936</t>
  </si>
  <si>
    <t>TRANSPORTE &amp; LOGISTICA GLOBAL EXPRESS, C.A</t>
  </si>
  <si>
    <t>J405048883</t>
  </si>
  <si>
    <t>TRANSPORTE AEROMAR 2020, C.A.</t>
  </si>
  <si>
    <t>J411257753</t>
  </si>
  <si>
    <t>TRANSPORTE H&amp;R 2018, C.A</t>
  </si>
  <si>
    <t>J299922633</t>
  </si>
  <si>
    <t>TREE TECHNOLOGIES, C.A.</t>
  </si>
  <si>
    <t>J312215976</t>
  </si>
  <si>
    <t>TRIOS COMUNICACIONES, C.A</t>
  </si>
  <si>
    <t>J298013788</t>
  </si>
  <si>
    <t>TRUMP COMPUTER C.A.</t>
  </si>
  <si>
    <t>J400054133</t>
  </si>
  <si>
    <t>TSERVICES - PC, C.A.</t>
  </si>
  <si>
    <t>TSERVICES - PC, C.A., Tito Dalto</t>
  </si>
  <si>
    <t>J506480344</t>
  </si>
  <si>
    <t>TU CONEXION TECNOLOGICA, C.A.</t>
  </si>
  <si>
    <t>J503188669</t>
  </si>
  <si>
    <t>TU MUNDO COMPUTER 1 , C.A</t>
  </si>
  <si>
    <t>J503341211</t>
  </si>
  <si>
    <t>TU PUNTO DIGITAL T.D 2023, C.A</t>
  </si>
  <si>
    <t>J309228579</t>
  </si>
  <si>
    <t>TUFOTO, C.A</t>
  </si>
  <si>
    <t>V199171875</t>
  </si>
  <si>
    <t>TUPCELECTRONICS F.P.</t>
  </si>
  <si>
    <t>J404919210</t>
  </si>
  <si>
    <t>TURPIAL AIRLINES, C.A.</t>
  </si>
  <si>
    <t>J412977873</t>
  </si>
  <si>
    <t>TUSERVICOM2010 C.A</t>
  </si>
  <si>
    <t>J407333461</t>
  </si>
  <si>
    <t>TUSISTELCOM, C.A</t>
  </si>
  <si>
    <t>J305950334</t>
  </si>
  <si>
    <t>TV CABLE COM CA.</t>
  </si>
  <si>
    <t>IN00002</t>
  </si>
  <si>
    <t>TWC</t>
  </si>
  <si>
    <t>J506103656</t>
  </si>
  <si>
    <t>TWENTY SEVEN TECH, C.A</t>
  </si>
  <si>
    <t>TWENTY SEVEN TECH, C.A, Fernando Ostia</t>
  </si>
  <si>
    <t>J167777517</t>
  </si>
  <si>
    <t>Tecnet C.A Centro</t>
  </si>
  <si>
    <t>J312867043</t>
  </si>
  <si>
    <t>Todoticket 2004 C.A.</t>
  </si>
  <si>
    <t>J408396734</t>
  </si>
  <si>
    <t>U CORPORATION C.A.</t>
  </si>
  <si>
    <t>J500200099</t>
  </si>
  <si>
    <t>UBICUOS SISTEMAS, C.A.</t>
  </si>
  <si>
    <t>J401934978</t>
  </si>
  <si>
    <t>UNIOFIX C.A.</t>
  </si>
  <si>
    <t>J410689099</t>
  </si>
  <si>
    <t>UNIVERSAL PRIME, C.A</t>
  </si>
  <si>
    <t>J504647730</t>
  </si>
  <si>
    <t>UNIVERSO DIGITAL Y MUCHO MAS, C.A</t>
  </si>
  <si>
    <t>J503793511</t>
  </si>
  <si>
    <t>UNIX NETWORK &amp; SECURITY, C.A.</t>
  </si>
  <si>
    <t>J505795767</t>
  </si>
  <si>
    <t>URSA SHOP C.A.</t>
  </si>
  <si>
    <t>J406074683</t>
  </si>
  <si>
    <t>V &amp; G CONSOLIDADA DE RCV 23.01, C.A</t>
  </si>
  <si>
    <t>J311469230</t>
  </si>
  <si>
    <t>V&amp;G SOLUCIONES DIGITALES CA</t>
  </si>
  <si>
    <t>J503862262</t>
  </si>
  <si>
    <t>VAFER INNOVACIONES, C.A.</t>
  </si>
  <si>
    <t>VALERIE ABRIL 2026</t>
  </si>
  <si>
    <t>V188132517</t>
  </si>
  <si>
    <t>VALERIE RODRIGUEZ</t>
  </si>
  <si>
    <t>VALERIE RODRIGUEZ (copia)</t>
  </si>
  <si>
    <t>J294096549</t>
  </si>
  <si>
    <t>VANGUARDIA Y TECNOLOGIA 3000</t>
  </si>
  <si>
    <t>J501857237</t>
  </si>
  <si>
    <t>VARIEDADES 1602, C.A.</t>
  </si>
  <si>
    <t>J406175641</t>
  </si>
  <si>
    <t>VARIEDADES ORIARI 2605,CA</t>
  </si>
  <si>
    <t>J302911605</t>
  </si>
  <si>
    <t>VEHICLE SECURITY RESOURCES DE VENEZUELA C.A</t>
  </si>
  <si>
    <t>J297267727</t>
  </si>
  <si>
    <t>VENASYCON,C.A</t>
  </si>
  <si>
    <t>J411580473</t>
  </si>
  <si>
    <t>VENEPAC 2020, C.A.</t>
  </si>
  <si>
    <t>J314639935</t>
  </si>
  <si>
    <t>VENESERVICIOS INTEGRALES J.U. C.A.</t>
  </si>
  <si>
    <t>J412951785</t>
  </si>
  <si>
    <t>VENEZOLANADE SERVICIOS VENASER C.A</t>
  </si>
  <si>
    <t>J305618224</t>
  </si>
  <si>
    <t>VENTA DE COMPUTADORAS VENCOMWEB C.A</t>
  </si>
  <si>
    <t>352595844</t>
  </si>
  <si>
    <t>VENTECH CORP.</t>
  </si>
  <si>
    <t>V079940123</t>
  </si>
  <si>
    <t>VICTOR ERMILIO HERNANDEZ ESCALONA</t>
  </si>
  <si>
    <t>V163728350</t>
  </si>
  <si>
    <t>VIDEO INVERSIONES DANIEL</t>
  </si>
  <si>
    <t>J305940444</t>
  </si>
  <si>
    <t>VIDEO TICKET, C.A.</t>
  </si>
  <si>
    <t>J507606015</t>
  </si>
  <si>
    <t>VIDRIOS LA YAGUARA, C.A</t>
  </si>
  <si>
    <t>VIDRIOS LA YAGUARA, C.A, DANIEL ASSOUAD</t>
  </si>
  <si>
    <t>E81532116</t>
  </si>
  <si>
    <t>VIEGAS MARTINS JOSE CARLOS</t>
  </si>
  <si>
    <t>J500887922</t>
  </si>
  <si>
    <t>VIOGP, C.A.</t>
  </si>
  <si>
    <t>VIOGP, C.A., marianyeli lascano</t>
  </si>
  <si>
    <t>J405786400</t>
  </si>
  <si>
    <t>VIPROP, C.A.</t>
  </si>
  <si>
    <t>J309672371</t>
  </si>
  <si>
    <t>VIRTUAL OFFICE GROUP, C. A.</t>
  </si>
  <si>
    <t>J501761167</t>
  </si>
  <si>
    <t>VIRTUALPC ELECTRONIC, C.A.</t>
  </si>
  <si>
    <t>J299518980</t>
  </si>
  <si>
    <t>VISODI EL CHALET DEL CARTUCHO C,A.</t>
  </si>
  <si>
    <t>J500449321</t>
  </si>
  <si>
    <t>VIVA SUPERCENTRO, C.A.</t>
  </si>
  <si>
    <t>J296537453</t>
  </si>
  <si>
    <t>VN GROUP 3000, C.A.</t>
  </si>
  <si>
    <t>Victor Molina</t>
  </si>
  <si>
    <t>V61619573</t>
  </si>
  <si>
    <t>WALESKA DEL CARMEN PUMAR LARES</t>
  </si>
  <si>
    <t>J503084758</t>
  </si>
  <si>
    <t>WE PLAY MARACAIBO, C.A</t>
  </si>
  <si>
    <t>J299141313</t>
  </si>
  <si>
    <t>WENDER 2010 TECHNICAL SERVICE, C.A.</t>
  </si>
  <si>
    <t>J505393928</t>
  </si>
  <si>
    <t>WENKAPC, C.A.</t>
  </si>
  <si>
    <t>J309347381</t>
  </si>
  <si>
    <t>WIKITECH, C.A.</t>
  </si>
  <si>
    <t>WIKITECH, C.A., Angel Jose</t>
  </si>
  <si>
    <t>J317572670</t>
  </si>
  <si>
    <t>WIPRIME VENEZUELA,  C.A.</t>
  </si>
  <si>
    <t>J412710680</t>
  </si>
  <si>
    <t>WITTY BUY ELECTRONIC C,A.</t>
  </si>
  <si>
    <t>j508342259</t>
  </si>
  <si>
    <t>WL GLOBAL TECH, C.A</t>
  </si>
  <si>
    <t>WL GLOBAL TECH, C.A, Luisileana Rodríguez</t>
  </si>
  <si>
    <t>V151856175</t>
  </si>
  <si>
    <t>WLADIMIR COVA SOLUCIONES INTEGRALES 360 F.P.</t>
  </si>
  <si>
    <t>J308395978</t>
  </si>
  <si>
    <t>WORKFORCE, C.A.</t>
  </si>
  <si>
    <t>J401032095</t>
  </si>
  <si>
    <t>WORTEM PC, C.A.</t>
  </si>
  <si>
    <t>J411567710</t>
  </si>
  <si>
    <t>WUIPI TECH CA (WUIPI TELECOMUNICACIONES)</t>
  </si>
  <si>
    <t>J298656964</t>
  </si>
  <si>
    <t>WVC COMPUTACION C.A.</t>
  </si>
  <si>
    <t>J307701366</t>
  </si>
  <si>
    <t>XANIAN SOLUTION´S, C.A.</t>
  </si>
  <si>
    <t>V250114350</t>
  </si>
  <si>
    <t>XAVIER JOSÉ MONTAÑEZ GODOY</t>
  </si>
  <si>
    <t>J502097864</t>
  </si>
  <si>
    <t>XDATA TELECOMUNICACIONES, C.A</t>
  </si>
  <si>
    <t>XDATA TELECOMUNICACIONES, C.A, RENE COROBO</t>
  </si>
  <si>
    <t>J306437665</t>
  </si>
  <si>
    <t>XELAR CA</t>
  </si>
  <si>
    <t>J306971203</t>
  </si>
  <si>
    <t>XNET SISTEMAS, C.A.</t>
  </si>
  <si>
    <t>J502233091</t>
  </si>
  <si>
    <t>XPOTOOLS, C.A.</t>
  </si>
  <si>
    <t>XPOTOOLS, C.A., Barbara Cabrera</t>
  </si>
  <si>
    <t>J504486248</t>
  </si>
  <si>
    <t>YETTYTECH1, C.A</t>
  </si>
  <si>
    <t>YIRSON PALACIOS</t>
  </si>
  <si>
    <t>J412946528</t>
  </si>
  <si>
    <t>YM2 GROUP, C.A.</t>
  </si>
  <si>
    <t>YM2 GROUP, C.A., Lorena</t>
  </si>
  <si>
    <t>J402988443</t>
  </si>
  <si>
    <t>YO SOY MAS QUE SOLUCION EN CONSUMIBLES, C.A</t>
  </si>
  <si>
    <t>J409666697</t>
  </si>
  <si>
    <t>YORLYZA COMPANY, C.A.</t>
  </si>
  <si>
    <t>YORLYZA COMPANY, C.A., Warun Fong</t>
  </si>
  <si>
    <t>J411538353</t>
  </si>
  <si>
    <t>YOTAM TECHNOLOGY, C.A.</t>
  </si>
  <si>
    <t>Yulixa Caballero (v)</t>
  </si>
  <si>
    <t>Yusneidi Martinez</t>
  </si>
  <si>
    <t>J406296449</t>
  </si>
  <si>
    <t>ZAAPTV, C.A</t>
  </si>
  <si>
    <t>V238175913</t>
  </si>
  <si>
    <t>ZACARIAS COPY &amp; SABOR, F.P</t>
  </si>
  <si>
    <t>ZAMPETTI</t>
  </si>
  <si>
    <t>J505734580</t>
  </si>
  <si>
    <t>ZEN CONSULTORES, C.A.</t>
  </si>
  <si>
    <t>J507199037</t>
  </si>
  <si>
    <t>ZHEN TECH, C.A</t>
  </si>
  <si>
    <t>E822871669</t>
  </si>
  <si>
    <t>ZHONGQIANG NIE</t>
  </si>
  <si>
    <t>J500919638</t>
  </si>
  <si>
    <t>ZITRO CAPITOLIO, C.A.</t>
  </si>
  <si>
    <t>J505776827</t>
  </si>
  <si>
    <t>ZONA BYTE.24, C. A.</t>
  </si>
  <si>
    <t>J503538007</t>
  </si>
  <si>
    <t>ZONA DIGITAL GAMER, C.A.</t>
  </si>
  <si>
    <t>J504296481</t>
  </si>
  <si>
    <t>ZONA PRINTER, C.A</t>
  </si>
  <si>
    <t>J408660180</t>
  </si>
  <si>
    <t>ZONA TECH, C.A</t>
  </si>
  <si>
    <t>ZONA TECH, C.A, DARWIN Martinez</t>
  </si>
  <si>
    <t>J501560412</t>
  </si>
  <si>
    <t>ZONA TECNOLOGICA, C.A</t>
  </si>
  <si>
    <t>J504567370</t>
  </si>
  <si>
    <t>ZONA VIRTUALNET C.A</t>
  </si>
  <si>
    <t>ZONA VIRTUALNET C.A, Juan Carlos Blanco</t>
  </si>
  <si>
    <t>J406523151</t>
  </si>
  <si>
    <t>ZUKATI CASA DE REPRESENTACION, C.A.</t>
  </si>
  <si>
    <t>J507298353</t>
  </si>
  <si>
    <t>j507298353</t>
  </si>
  <si>
    <t>Tipo Abono</t>
  </si>
  <si>
    <t>Doc Abono</t>
  </si>
  <si>
    <t>Cod. Cliente</t>
  </si>
  <si>
    <t>Cliente</t>
  </si>
  <si>
    <t>Doc. Cargo</t>
  </si>
  <si>
    <t>Fecha Cargo</t>
  </si>
  <si>
    <t>Valor Pagado</t>
  </si>
  <si>
    <t>Vendedor</t>
  </si>
  <si>
    <t>Fecha Aplicacion</t>
  </si>
  <si>
    <t>Fecha Cargo S</t>
  </si>
  <si>
    <t>Fecha Aplicación S</t>
  </si>
  <si>
    <t>Dias de Credito</t>
  </si>
  <si>
    <t>Dias al pago</t>
  </si>
  <si>
    <t>Dias pasado</t>
  </si>
  <si>
    <t>% aplicar</t>
  </si>
  <si>
    <t>Mes</t>
  </si>
  <si>
    <t>Papel</t>
  </si>
  <si>
    <t>% A pagar Vendedor</t>
  </si>
  <si>
    <t>% A pagar Gerente</t>
  </si>
  <si>
    <t>Vencido</t>
  </si>
  <si>
    <t>Pago Comision</t>
  </si>
  <si>
    <t>Pago Gerente</t>
  </si>
  <si>
    <t xml:space="preserve">USDT $ </t>
  </si>
  <si>
    <t>PUSDT$/2026/00825</t>
  </si>
  <si>
    <t>FCLIE/2026/02137</t>
  </si>
  <si>
    <t>PUSDT$/2026/00827</t>
  </si>
  <si>
    <t>FCLIE/2026/01733</t>
  </si>
  <si>
    <t xml:space="preserve">ANGEL MOTA RODRIGUEZ </t>
  </si>
  <si>
    <t>FCLIE/2026/01734</t>
  </si>
  <si>
    <t>PUSDT$/2026/00828</t>
  </si>
  <si>
    <t>FCLIE/2026/02028</t>
  </si>
  <si>
    <t>PUSDT$/2026/00830</t>
  </si>
  <si>
    <t>FCLIE/2026/02209</t>
  </si>
  <si>
    <t>PUSDT$/2026/00832</t>
  </si>
  <si>
    <t>FCLIE/2026/02205</t>
  </si>
  <si>
    <t>PUSDT$/2026/00833</t>
  </si>
  <si>
    <t>FCLIE/2026/02208</t>
  </si>
  <si>
    <t>Caja Principal</t>
  </si>
  <si>
    <t>PCSH1/2026/00656</t>
  </si>
  <si>
    <t>FCLIE/2026/00181</t>
  </si>
  <si>
    <t>PUSDT$/2026/00834</t>
  </si>
  <si>
    <t>FCLIE/2026/01320</t>
  </si>
  <si>
    <t>PUSDT$/2026/00835</t>
  </si>
  <si>
    <t>FCLIE/2026/02212</t>
  </si>
  <si>
    <t>PCSH1/2026/00657</t>
  </si>
  <si>
    <t>FCLIE/2026/02213</t>
  </si>
  <si>
    <t>Banco del Caribe  BS</t>
  </si>
  <si>
    <t>PCARIB/2026/00330</t>
  </si>
  <si>
    <t>PCSH1/2026/00658</t>
  </si>
  <si>
    <t>FCLIE/2026/01545</t>
  </si>
  <si>
    <t>PUSDT$/2026/00836</t>
  </si>
  <si>
    <t xml:space="preserve">JUAN CARLOS ACOSTA BRACAMONTE </t>
  </si>
  <si>
    <t>FCLIE/2026/01085</t>
  </si>
  <si>
    <t>FCLIE/2026/01112</t>
  </si>
  <si>
    <t>FCLIE/2026/01225</t>
  </si>
  <si>
    <t>PUSDT$/2026/00837</t>
  </si>
  <si>
    <t>FCLIE/2026/01297</t>
  </si>
  <si>
    <t>FCLIE/2026/01452</t>
  </si>
  <si>
    <t>FCLIE/2026/01562</t>
  </si>
  <si>
    <t>FCLIE/2026/01568</t>
  </si>
  <si>
    <t>PUSDT$/2026/00838</t>
  </si>
  <si>
    <t>FCLIE/2026/02215</t>
  </si>
  <si>
    <t>PUSDT$/2026/00839</t>
  </si>
  <si>
    <t>FCLIE/2026/01729</t>
  </si>
  <si>
    <t>PCSH1/2026/00659</t>
  </si>
  <si>
    <t>FCLIE/2026/02216</t>
  </si>
  <si>
    <t>Banesco BS. 3049</t>
  </si>
  <si>
    <t>PBANES/2026/00243</t>
  </si>
  <si>
    <t>FCLIE/2026/02217</t>
  </si>
  <si>
    <t>PUSDT$/2026/00841</t>
  </si>
  <si>
    <t>FCLIE/2026/02148</t>
  </si>
  <si>
    <t>FCLIE/2026/01460</t>
  </si>
  <si>
    <t>PUSDT$/2026/00840</t>
  </si>
  <si>
    <t>FCLIE/2026/01740</t>
  </si>
  <si>
    <t>PUSDT$/2026/00844</t>
  </si>
  <si>
    <t>PUSDT$/2026/00843</t>
  </si>
  <si>
    <t>FCLIE/2026/02165</t>
  </si>
  <si>
    <t>PUSDT$/2026/00849</t>
  </si>
  <si>
    <t>FCLIE/2026/01768</t>
  </si>
  <si>
    <t>PCSH1/2026/00660</t>
  </si>
  <si>
    <t>FCLIE/2026/02222</t>
  </si>
  <si>
    <t>PUSDT$/2026/00850</t>
  </si>
  <si>
    <t>FCLIE/2026/01927</t>
  </si>
  <si>
    <t>FCLIE/2026/01997</t>
  </si>
  <si>
    <t>Facturas de cliente</t>
  </si>
  <si>
    <t>RFCLIE/2026/00055</t>
  </si>
  <si>
    <t>FCLIE/2026/02221</t>
  </si>
  <si>
    <t>PCSH1/2026/00661</t>
  </si>
  <si>
    <t>FCLIE/2026/02226</t>
  </si>
  <si>
    <t>PCSH1/2026/00662</t>
  </si>
  <si>
    <t>FCLIE/2026/02230</t>
  </si>
  <si>
    <t>PCARIB/2026/00334</t>
  </si>
  <si>
    <t>FCLIE/2026/02228</t>
  </si>
  <si>
    <t>REGIONSBANK</t>
  </si>
  <si>
    <t>PREGIO/2026/00201</t>
  </si>
  <si>
    <t>FCLIE/2026/00393</t>
  </si>
  <si>
    <t>FCLIE/2026/00394</t>
  </si>
  <si>
    <t>PREGIO/2026/00202</t>
  </si>
  <si>
    <t>FCLIE/2026/00549</t>
  </si>
  <si>
    <t>FCLIE/2026/00674</t>
  </si>
  <si>
    <t>FCLIE/2026/00686</t>
  </si>
  <si>
    <t>FCLIE/2026/01307</t>
  </si>
  <si>
    <t>PREGIO/2026/00203</t>
  </si>
  <si>
    <t>FCLIE/2026/02188</t>
  </si>
  <si>
    <t>FCLIE/2026/02194</t>
  </si>
  <si>
    <t>PUSDT$/2026/00854</t>
  </si>
  <si>
    <t>FCLIE/2026/02238</t>
  </si>
  <si>
    <t>PUSDT$/2026/00855</t>
  </si>
  <si>
    <t>FCLIE/2026/02242</t>
  </si>
  <si>
    <t>PCSH1/2026/00663</t>
  </si>
  <si>
    <t>PUSDT$/2026/00856</t>
  </si>
  <si>
    <t>PUSDT$/2026/00857</t>
  </si>
  <si>
    <t>FCLIE/2026/01331</t>
  </si>
  <si>
    <t>FCLIE/2026/01498</t>
  </si>
  <si>
    <t>PUSDT$/2026/00859</t>
  </si>
  <si>
    <t>FCLIE/2026/02249</t>
  </si>
  <si>
    <t>TRANSITORIA ZELLE</t>
  </si>
  <si>
    <t>PBNK2/2026/00218</t>
  </si>
  <si>
    <t>FCLIE/2026/01330</t>
  </si>
  <si>
    <t>FCLIE/2026/01503</t>
  </si>
  <si>
    <t>PUSDT$/2026/00860</t>
  </si>
  <si>
    <t>FCLIE/2026/02246</t>
  </si>
  <si>
    <t>PUSDT$/2026/00861</t>
  </si>
  <si>
    <t>Banesco Custodia $</t>
  </si>
  <si>
    <t>PBANE$/2026/00032</t>
  </si>
  <si>
    <t>FCLIE/2026/01135</t>
  </si>
  <si>
    <t>FCLIE/2026/01347</t>
  </si>
  <si>
    <t>PCSH1/2026/00665</t>
  </si>
  <si>
    <t>FCLIE/2026/01834</t>
  </si>
  <si>
    <t>FCLIE/2026/01942</t>
  </si>
  <si>
    <t>PUSDT$/2026/00851</t>
  </si>
  <si>
    <t>FCLIE/2026/02251</t>
  </si>
  <si>
    <t>PCARIB/2026/00337</t>
  </si>
  <si>
    <t>PUSDT$/2026/00862</t>
  </si>
  <si>
    <t>FCLIE/2026/00201</t>
  </si>
  <si>
    <t>PUSDT$/2026/00864</t>
  </si>
  <si>
    <t>FCLIE/2026/01900</t>
  </si>
  <si>
    <t>PBANES/2026/00245</t>
  </si>
  <si>
    <t>FCLIE/2026/02255</t>
  </si>
  <si>
    <t>PBANES/2026/00246</t>
  </si>
  <si>
    <t>PUSDT$/2026/00847</t>
  </si>
  <si>
    <t>FCLIE/2026/01480</t>
  </si>
  <si>
    <t>PBANES/2026/00247</t>
  </si>
  <si>
    <t xml:space="preserve"> INVERSIONES VALCASAR 2010, C.A.</t>
  </si>
  <si>
    <t>FCLIE/2026/01608</t>
  </si>
  <si>
    <t>PBANES/2026/00248</t>
  </si>
  <si>
    <t>FCLIE/2026/02276</t>
  </si>
  <si>
    <t>PCSH1/2026/00669</t>
  </si>
  <si>
    <t>FCLIE/2026/01637</t>
  </si>
  <si>
    <t>PCSH1/2026/00670</t>
  </si>
  <si>
    <t>FCLIE/2026/02268</t>
  </si>
  <si>
    <t>PCSH1/2026/00671</t>
  </si>
  <si>
    <t>FCLIE/2026/02272</t>
  </si>
  <si>
    <t>PUSDT$/2026/00865</t>
  </si>
  <si>
    <t>FCLIE/2026/01686</t>
  </si>
  <si>
    <t>PUSDT$/2026/00870</t>
  </si>
  <si>
    <t>FCLIE/2026/01690</t>
  </si>
  <si>
    <t>PUSDT$/2026/00871</t>
  </si>
  <si>
    <t>FCLIE/2026/02057</t>
  </si>
  <si>
    <t>FCLIE/2026/02058</t>
  </si>
  <si>
    <t>PUSDT$/2026/00872</t>
  </si>
  <si>
    <t>FCLIE/2026/02267</t>
  </si>
  <si>
    <t>PUSDT$/2026/00873</t>
  </si>
  <si>
    <t>FCLIE/2026/02107</t>
  </si>
  <si>
    <t>PREGIO/2026/00204</t>
  </si>
  <si>
    <t xml:space="preserve"> SMART FIX 168, C.A</t>
  </si>
  <si>
    <t>FCLIE/2026/01148</t>
  </si>
  <si>
    <t>FCLIE/2026/01163</t>
  </si>
  <si>
    <t>PREGIO/2026/00205</t>
  </si>
  <si>
    <t>FCLIE/2026/02231</t>
  </si>
  <si>
    <t>PREGIO/2026/00206</t>
  </si>
  <si>
    <t>PUSDT$/2026/00874</t>
  </si>
  <si>
    <t>FCLIE/2026/02274</t>
  </si>
  <si>
    <t>PUSDT$/2026/00875</t>
  </si>
  <si>
    <t>PCSH1/2026/00672</t>
  </si>
  <si>
    <t>FCLIE/2026/02271</t>
  </si>
  <si>
    <t>PUSDT$/2026/00876</t>
  </si>
  <si>
    <t>PUSDT$/2026/00877</t>
  </si>
  <si>
    <t>FCLIE/2026/02265</t>
  </si>
  <si>
    <t>PCARIB/2026/00340</t>
  </si>
  <si>
    <t>FCLIE/2026/02156</t>
  </si>
  <si>
    <t>PUSDT$/2026/00878</t>
  </si>
  <si>
    <t>FCLIE/2026/02284</t>
  </si>
  <si>
    <t>PUSDT$/2026/00879</t>
  </si>
  <si>
    <t>FCLIE/2026/01677</t>
  </si>
  <si>
    <t>PCSH1/2026/00673</t>
  </si>
  <si>
    <t>FCLIE/2026/02286</t>
  </si>
  <si>
    <t>PCSH1/2026/00674</t>
  </si>
  <si>
    <t>FCLIE/2026/02289</t>
  </si>
  <si>
    <t>PCARIB/2026/00341</t>
  </si>
  <si>
    <t>FCLIE/2026/02296</t>
  </si>
  <si>
    <t>PCSH1/2026/00668</t>
  </si>
  <si>
    <t>FCLIE/2026/02264</t>
  </si>
  <si>
    <t>PCSH1/2026/00675</t>
  </si>
  <si>
    <t>PCSH1/2026/00676</t>
  </si>
  <si>
    <t>FCLIE/2026/02101</t>
  </si>
  <si>
    <t>FCLIE/2026/02125</t>
  </si>
  <si>
    <t>PCSH1/2026/00677</t>
  </si>
  <si>
    <t xml:space="preserve"> CIO'S SOLUCIONES IT C.A</t>
  </si>
  <si>
    <t>FCLIE/2026/02306</t>
  </si>
  <si>
    <t>PCSH1/2026/00678</t>
  </si>
  <si>
    <t>FCLIE/2026/02304</t>
  </si>
  <si>
    <t>PCSH1/2026/00679</t>
  </si>
  <si>
    <t>FCLIE/2026/02310</t>
  </si>
  <si>
    <t>PUSDT$/2026/00881</t>
  </si>
  <si>
    <t>FCLIE/2026/02090</t>
  </si>
  <si>
    <t>PUSDT$/2026/00882</t>
  </si>
  <si>
    <t>FCLIE/2026/01845</t>
  </si>
  <si>
    <t>PUSDT$/2026/00883</t>
  </si>
  <si>
    <t>PUSDT$/2026/00884</t>
  </si>
  <si>
    <t>FCLIE/2026/01982</t>
  </si>
  <si>
    <t>FCLIE/2026/02261</t>
  </si>
  <si>
    <t>PUSDT$/2026/00885</t>
  </si>
  <si>
    <t>PCSH1/2026/00681</t>
  </si>
  <si>
    <t>PUSDT$/2026/00886</t>
  </si>
  <si>
    <t>FCLIE/2026/02305</t>
  </si>
  <si>
    <t>PUSDT$/2026/00887</t>
  </si>
  <si>
    <t>PUSDT$/2026/00888</t>
  </si>
  <si>
    <t>FCLIE/2026/02315</t>
  </si>
  <si>
    <t>PUSDT$/2026/00889</t>
  </si>
  <si>
    <t>FCLIE/2026/02162</t>
  </si>
  <si>
    <t>PUSDT$/2026/00890</t>
  </si>
  <si>
    <t>FCLIE/2026/02318</t>
  </si>
  <si>
    <t>PUSDT$/2026/00891</t>
  </si>
  <si>
    <t>PUSDT$/2026/00892</t>
  </si>
  <si>
    <t>FCLIE/2026/01663</t>
  </si>
  <si>
    <t>PUSDT$/2026/00893</t>
  </si>
  <si>
    <t>FCLIE/2026/02282</t>
  </si>
  <si>
    <t>PUSDT$/2026/00894</t>
  </si>
  <si>
    <t>PUSDT$/2026/00895</t>
  </si>
  <si>
    <t>FCLIE/2026/01434</t>
  </si>
  <si>
    <t>PUSDT$/2026/00896</t>
  </si>
  <si>
    <t>FCLIE/2026/01965</t>
  </si>
  <si>
    <t>FCLIE/2026/02095</t>
  </si>
  <si>
    <t>PUSDT$/2026/00897</t>
  </si>
  <si>
    <t>FCLIE/2026/01447</t>
  </si>
  <si>
    <t>PUSDT$/2026/00898</t>
  </si>
  <si>
    <t>FCLIE/2026/01869</t>
  </si>
  <si>
    <t>FCLIE/2026/01947</t>
  </si>
  <si>
    <t>FCLIE/2026/02163</t>
  </si>
  <si>
    <t>PUSDT$/2026/00899</t>
  </si>
  <si>
    <t>FCLIE/2026/01348</t>
  </si>
  <si>
    <t>PUSDT$/2026/00900</t>
  </si>
  <si>
    <t>FCLIE/2026/02269</t>
  </si>
  <si>
    <t>PUSDT$/2026/00901</t>
  </si>
  <si>
    <t>PUSDT$/2026/00902</t>
  </si>
  <si>
    <t>FCLIE/2026/02322</t>
  </si>
  <si>
    <t>PCSH1/2026/00680</t>
  </si>
  <si>
    <t>FCLIE/2026/02316</t>
  </si>
  <si>
    <t>PUSDT$/2026/00903</t>
  </si>
  <si>
    <t>FCLIE/2026/02323</t>
  </si>
  <si>
    <t>PUSDT$/2026/00904</t>
  </si>
  <si>
    <t>FCLIE/2026/02311</t>
  </si>
  <si>
    <t>FCLIE/2026/02324</t>
  </si>
  <si>
    <t>PCSH1/2026/00682</t>
  </si>
  <si>
    <t>PCSH1/2026/00684</t>
  </si>
  <si>
    <t>FCLIE/2026/02330</t>
  </si>
  <si>
    <t>PUSDT$/2026/00905</t>
  </si>
  <si>
    <t>PBANE$/2026/00033</t>
  </si>
  <si>
    <t>FCLIE/2026/01486</t>
  </si>
  <si>
    <t>PCARIB/2026/00342</t>
  </si>
  <si>
    <t>FCLIE/2026/02334</t>
  </si>
  <si>
    <t>PCARIB/2026/00343</t>
  </si>
  <si>
    <t>FCLIE/2026/02336</t>
  </si>
  <si>
    <t>PBANES/2026/00252</t>
  </si>
  <si>
    <t>FCLIE/2026/02034</t>
  </si>
  <si>
    <t>PCARIB/2026/00344</t>
  </si>
  <si>
    <t>FCLIE/2026/02338</t>
  </si>
  <si>
    <t>PBANES/2026/00251</t>
  </si>
  <si>
    <t>FCLIE/2026/01866</t>
  </si>
  <si>
    <t>FCLIE/2026/00791</t>
  </si>
  <si>
    <t>PBANE$/2026/00031</t>
  </si>
  <si>
    <t>FCLIE/2026/02219</t>
  </si>
  <si>
    <t>PCARIB/2026/00333</t>
  </si>
  <si>
    <t>FCLIE/2026/02253</t>
  </si>
  <si>
    <t>PUSDT$/2026/00906</t>
  </si>
  <si>
    <t>FCLIE/2026/02332</t>
  </si>
  <si>
    <t>PUSDT$/2026/00842</t>
  </si>
  <si>
    <t>FCLIE/2026/02232</t>
  </si>
  <si>
    <t>PUSDT$/2026/00908</t>
  </si>
  <si>
    <t>PUSDT$/2026/00909</t>
  </si>
  <si>
    <t>PUSDT$/2026/00910</t>
  </si>
  <si>
    <t>FCLIE/2026/02335</t>
  </si>
  <si>
    <t>PCSH1/2026/00685</t>
  </si>
  <si>
    <t>FCLIE/2026/02333</t>
  </si>
  <si>
    <t>PUSDT$/2026/00911</t>
  </si>
  <si>
    <t>PUSDT$/2026/00912</t>
  </si>
  <si>
    <t>FCLIE/2026/02294</t>
  </si>
  <si>
    <t>PUSDT$/2026/00913</t>
  </si>
  <si>
    <t>PUSDT$/2026/00914</t>
  </si>
  <si>
    <t>FCLIE/2026/01732</t>
  </si>
  <si>
    <t>PCARIB/2026/00345</t>
  </si>
  <si>
    <t>PUSDT$/2026/00915</t>
  </si>
  <si>
    <t>FCLIE/2026/01749</t>
  </si>
  <si>
    <t>PUSDT$/2026/00916</t>
  </si>
  <si>
    <t>FCLIE/2026/01911</t>
  </si>
  <si>
    <t>PUSDT$/2026/00917</t>
  </si>
  <si>
    <t>FCLIE/2026/02002</t>
  </si>
  <si>
    <t>PCSH1/2026/00688</t>
  </si>
  <si>
    <t>PUSDT$/2026/00919</t>
  </si>
  <si>
    <t>FCLIE/2026/01816</t>
  </si>
  <si>
    <t>PUSDT$/2026/00920</t>
  </si>
  <si>
    <t>FCLIE/2026/01823</t>
  </si>
  <si>
    <t>FCLIE/2026/01861</t>
  </si>
  <si>
    <t>FCLIE/2026/01901</t>
  </si>
  <si>
    <t>FCLIE/2026/01937</t>
  </si>
  <si>
    <t>FCLIE/2026/01978</t>
  </si>
  <si>
    <t>PUSDT$/2026/00921</t>
  </si>
  <si>
    <t>PUSDT$/2026/00922</t>
  </si>
  <si>
    <t>FCLIE/2026/01913</t>
  </si>
  <si>
    <t>PUSDT$/2026/00923</t>
  </si>
  <si>
    <t>PCSH1/2026/00689</t>
  </si>
  <si>
    <t>FCLIE/2026/01183</t>
  </si>
  <si>
    <t>FCLIE/2026/01279</t>
  </si>
  <si>
    <t>FCLIE/2026/01409</t>
  </si>
  <si>
    <t>FCLIE/2026/02346</t>
  </si>
  <si>
    <t>PCSH1/2026/00690</t>
  </si>
  <si>
    <t>FCLIE/2026/01914</t>
  </si>
  <si>
    <t>PUSDT$/2026/00924</t>
  </si>
  <si>
    <t>PUSDT$/2026/00927</t>
  </si>
  <si>
    <t>FCLIE/2026/02351</t>
  </si>
  <si>
    <t>PUSDT$/2026/00929</t>
  </si>
  <si>
    <t>FCLIE/2026/02352</t>
  </si>
  <si>
    <t>PCSH1/2026/00691</t>
  </si>
  <si>
    <t>FCLIE/2026/02307</t>
  </si>
  <si>
    <t>PUSDT$/2026/00846</t>
  </si>
  <si>
    <t>FCLIE/2026/02300</t>
  </si>
  <si>
    <t>PBANE$/2026/00034</t>
  </si>
  <si>
    <t>PCARIB/2026/00348</t>
  </si>
  <si>
    <t>FCLIE/2026/01125</t>
  </si>
  <si>
    <t>PBANES/2026/00254</t>
  </si>
  <si>
    <t>FCLIE/2026/02343</t>
  </si>
  <si>
    <t>PCSH1/2026/00693</t>
  </si>
  <si>
    <t>FCLIE/2026/02362</t>
  </si>
  <si>
    <t>PUSDT$/2026/00932</t>
  </si>
  <si>
    <t>FCLIE/2026/02353</t>
  </si>
  <si>
    <t>PREGIO/2026/00211</t>
  </si>
  <si>
    <t>FCLIE/2026/01796</t>
  </si>
  <si>
    <t>PREGIO/2026/00209</t>
  </si>
  <si>
    <t>PREGIO/2026/00210</t>
  </si>
  <si>
    <t>FCLIE/2026/02022</t>
  </si>
  <si>
    <t>PREGIO/2026/00212</t>
  </si>
  <si>
    <t>FCLIE/2026/01742</t>
  </si>
  <si>
    <t>PUSDT$/2026/00933</t>
  </si>
  <si>
    <t>FCLIE/2026/02367</t>
  </si>
  <si>
    <t>PUSDT$/2026/00931</t>
  </si>
  <si>
    <t>FCLIE/2026/02365</t>
  </si>
  <si>
    <t>PREGIO/2026/00213</t>
  </si>
  <si>
    <t>FCLIE/2026/01138</t>
  </si>
  <si>
    <t>PUSDT$/2026/00935</t>
  </si>
  <si>
    <t>PCSH1/2026/00695</t>
  </si>
  <si>
    <t>FCLIE/2026/02355</t>
  </si>
  <si>
    <t>PUSDT$/2026/00937</t>
  </si>
  <si>
    <t>PUSDT$/2026/00938</t>
  </si>
  <si>
    <t>FCLIE/2026/02340</t>
  </si>
  <si>
    <t>FCLIE/2026/02214</t>
  </si>
  <si>
    <t>PUSDT$/2026/00858</t>
  </si>
  <si>
    <t>FCLIE/2026/02309</t>
  </si>
  <si>
    <t>PCSH1/2026/00697</t>
  </si>
  <si>
    <t>FCLIE/2026/02129</t>
  </si>
  <si>
    <t>PCARIB/2026/00352</t>
  </si>
  <si>
    <t>FCLIE/2026/02371</t>
  </si>
  <si>
    <t>PCARIB/2026/00353</t>
  </si>
  <si>
    <t>FCLIE/2026/02151</t>
  </si>
  <si>
    <t>PCARIB/2026/00354</t>
  </si>
  <si>
    <t>PCARIB/2026/00355</t>
  </si>
  <si>
    <t>PBANES/2026/00266</t>
  </si>
  <si>
    <t>FCLIE/2026/02377</t>
  </si>
  <si>
    <t>PCSH1/2026/00698</t>
  </si>
  <si>
    <t>FCLIE/2026/02348</t>
  </si>
  <si>
    <t>PCSH1/2026/00700</t>
  </si>
  <si>
    <t xml:space="preserve">ELECTRONET 0316, C.A. </t>
  </si>
  <si>
    <t>FCLIE/2026/02378</t>
  </si>
  <si>
    <t>PUSDT$/2026/00940</t>
  </si>
  <si>
    <t>PUSDT$/2026/00941</t>
  </si>
  <si>
    <t>PUSDT$/2026/00942</t>
  </si>
  <si>
    <t>FCLIE/2026/02017</t>
  </si>
  <si>
    <t>PUSDT$/2026/00943</t>
  </si>
  <si>
    <t>PUSDT$/2026/00945</t>
  </si>
  <si>
    <t>PUSDT$/2026/00946</t>
  </si>
  <si>
    <t>FCLIE/2026/02121</t>
  </si>
  <si>
    <t>PUSDT$/2026/00947</t>
  </si>
  <si>
    <t>PUSDT$/2026/00948</t>
  </si>
  <si>
    <t>FCLIE/2026/00141</t>
  </si>
  <si>
    <t>PUSDT$/2026/00949</t>
  </si>
  <si>
    <t>FCLIE/2026/01680</t>
  </si>
  <si>
    <t>PBANES/2026/00267</t>
  </si>
  <si>
    <t>FCLIE/2026/02394</t>
  </si>
  <si>
    <t>PCARIB/2026/00357</t>
  </si>
  <si>
    <t>FCLIE/2026/02399</t>
  </si>
  <si>
    <t>PCARIB/2026/00358</t>
  </si>
  <si>
    <t>FCLIE/2026/01541</t>
  </si>
  <si>
    <t>FCLIE/2026/01555</t>
  </si>
  <si>
    <t>PCARIB/2026/00359</t>
  </si>
  <si>
    <t>PCARIB/2026/00360</t>
  </si>
  <si>
    <t>FCLIE/2026/01910</t>
  </si>
  <si>
    <t>FCLIE/2026/02350</t>
  </si>
  <si>
    <t>PCARIB/2026/00361</t>
  </si>
  <si>
    <t>FCLIE/2026/02379</t>
  </si>
  <si>
    <t>PBNK2/2026/00220</t>
  </si>
  <si>
    <t>FCLIE/2026/01333</t>
  </si>
  <si>
    <t>FCLIE/2026/01334</t>
  </si>
  <si>
    <t>FCLIE/2026/01490</t>
  </si>
  <si>
    <t>FCLIE/2026/01494</t>
  </si>
  <si>
    <t>PUSDT$/2026/00950</t>
  </si>
  <si>
    <t>FCLIE/2026/02138</t>
  </si>
  <si>
    <t>PUSDT$/2026/00951</t>
  </si>
  <si>
    <t>FCLIE/2026/02392</t>
  </si>
  <si>
    <t>PUSDT$/2026/00863</t>
  </si>
  <si>
    <t>FCLIE/2026/02259</t>
  </si>
  <si>
    <t>PUSDT$/2026/00952</t>
  </si>
  <si>
    <t>FCLIE/2026/02396</t>
  </si>
  <si>
    <t>PUSDT$/2026/00953</t>
  </si>
  <si>
    <t>FCLIE/2026/02404</t>
  </si>
  <si>
    <t>PUSDT$/2026/00954</t>
  </si>
  <si>
    <t>FCLIE/2026/01892</t>
  </si>
  <si>
    <t>FCLIE/2026/02166</t>
  </si>
  <si>
    <t>PUSDT$/2026/00955</t>
  </si>
  <si>
    <t>FCLIE/2026/02398</t>
  </si>
  <si>
    <t>PUSDT$/2026/00956</t>
  </si>
  <si>
    <t>FCLIE/2026/02373</t>
  </si>
  <si>
    <t>PUSDT$/2026/00957</t>
  </si>
  <si>
    <t>FCLIE/2026/02402</t>
  </si>
  <si>
    <t>PUSDT$/2026/00958</t>
  </si>
  <si>
    <t>FCLIE/2026/02400</t>
  </si>
  <si>
    <t>PUSDT$/2026/00959</t>
  </si>
  <si>
    <t>FCLIE/2026/01890</t>
  </si>
  <si>
    <t>PUSDT$/2026/00960</t>
  </si>
  <si>
    <t>FCLIE/2026/01577</t>
  </si>
  <si>
    <t>PUSDT$/2026/00961</t>
  </si>
  <si>
    <t>PREGIO/2026/00214</t>
  </si>
  <si>
    <t>FCLIE/2026/02089</t>
  </si>
  <si>
    <t>FCLIE/2026/02327</t>
  </si>
  <si>
    <t>PREGIO/2026/00215</t>
  </si>
  <si>
    <t>FCLIE/2026/01422</t>
  </si>
  <si>
    <t>FCLIE/2026/01448</t>
  </si>
  <si>
    <t>PUSDT$/2026/00963</t>
  </si>
  <si>
    <t>PUSDT$/2026/00964</t>
  </si>
  <si>
    <t>PUSDT$/2026/00965</t>
  </si>
  <si>
    <t>FCLIE/2026/02383</t>
  </si>
  <si>
    <t>PUSDT$/2026/00966</t>
  </si>
  <si>
    <t>FCLIE/2026/02409</t>
  </si>
  <si>
    <t>PUSDT$/2026/00967</t>
  </si>
  <si>
    <t>FCLIE/2026/02410</t>
  </si>
  <si>
    <t>PCSH1/2026/00701</t>
  </si>
  <si>
    <t>PBANES/2026/00268</t>
  </si>
  <si>
    <t>FCLIE/2026/02119</t>
  </si>
  <si>
    <t>PCSH1/2026/00704</t>
  </si>
  <si>
    <t>FCLIE/2026/02391</t>
  </si>
  <si>
    <t>PUSDT$/2026/00866</t>
  </si>
  <si>
    <t>FCLIE/2026/02292</t>
  </si>
  <si>
    <t>PUSDT$/2026/00969</t>
  </si>
  <si>
    <t>FCLIE/2026/01678</t>
  </si>
  <si>
    <t>PCARIB/2026/00332</t>
  </si>
  <si>
    <t>FCLIE/2026/02257</t>
  </si>
  <si>
    <t>PUSDT$/2026/00829</t>
  </si>
  <si>
    <t>FCLIE/2026/02206</t>
  </si>
  <si>
    <t>PUSDT$/2026/00867</t>
  </si>
  <si>
    <t>FCLIE/2026/02302</t>
  </si>
  <si>
    <t>PCSH1/2026/00707</t>
  </si>
  <si>
    <t>FCLIE/2026/02416</t>
  </si>
  <si>
    <t>FCLIE/2026/02420</t>
  </si>
  <si>
    <t>PCSH1/2026/00708</t>
  </si>
  <si>
    <t>PUSDT$/2026/00970</t>
  </si>
  <si>
    <t>PUSDT$/2026/00971</t>
  </si>
  <si>
    <t>FCLIE/2026/02403</t>
  </si>
  <si>
    <t>PUSDT$/2026/00972</t>
  </si>
  <si>
    <t>FCLIE/2026/02421</t>
  </si>
  <si>
    <t>PUSDT$/2026/00973</t>
  </si>
  <si>
    <t>FCLIE/2026/01485</t>
  </si>
  <si>
    <t>PUSDT$/2026/00974</t>
  </si>
  <si>
    <t>PUSDT$/2026/00975</t>
  </si>
  <si>
    <t>FCLIE/2026/02425</t>
  </si>
  <si>
    <t>PCARIB/2026/00362</t>
  </si>
  <si>
    <t>PUSDT$/2026/00976</t>
  </si>
  <si>
    <t>FCLIE/2026/02424</t>
  </si>
  <si>
    <t>PUSDT$/2026/00977</t>
  </si>
  <si>
    <t>PUSDT$/2026/00978</t>
  </si>
  <si>
    <t>FCLIE/2026/01705</t>
  </si>
  <si>
    <t>FCLIE/2026/01875</t>
  </si>
  <si>
    <t>PUSDT$/2026/00979</t>
  </si>
  <si>
    <t>FCLIE/2026/02430</t>
  </si>
  <si>
    <t>PUSDT$/2026/00980</t>
  </si>
  <si>
    <t>FCLIE/2026/01675</t>
  </si>
  <si>
    <t>PUSDT$/2026/00981</t>
  </si>
  <si>
    <t>FCLIE/2026/01676</t>
  </si>
  <si>
    <t>PUSDT$/2026/00982</t>
  </si>
  <si>
    <t>FCLIE/2026/02431</t>
  </si>
  <si>
    <t>PUSDT$/2026/00983</t>
  </si>
  <si>
    <t>FCLIE/2026/02435</t>
  </si>
  <si>
    <t>PUSDT$/2026/00985</t>
  </si>
  <si>
    <t>PCSH1/2026/00709</t>
  </si>
  <si>
    <t>PUSDT$/2026/00986</t>
  </si>
  <si>
    <t>FCLIE/2026/02438</t>
  </si>
  <si>
    <t>PBANES/2026/00273</t>
  </si>
  <si>
    <t>FCLIE/2026/02432</t>
  </si>
  <si>
    <t>PCARIB/2026/00364</t>
  </si>
  <si>
    <t>FCLIE/2026/02444</t>
  </si>
  <si>
    <t>PBANES/2026/00250</t>
  </si>
  <si>
    <t>FCLIE/2026/02266</t>
  </si>
  <si>
    <t>PUSDT$/2026/00987</t>
  </si>
  <si>
    <t>FCLIE/2026/02441</t>
  </si>
  <si>
    <t>PBNK2/2026/00225</t>
  </si>
  <si>
    <t>FCLIE/2026/01703</t>
  </si>
  <si>
    <t>FCLIE/2026/01708</t>
  </si>
  <si>
    <t>FCLIE/2026/01862</t>
  </si>
  <si>
    <t>PBNK2/2026/00226</t>
  </si>
  <si>
    <t>FCLIE/2026/01262</t>
  </si>
  <si>
    <t>FCLIE/2026/01722</t>
  </si>
  <si>
    <t>PBNK2/2026/00227</t>
  </si>
  <si>
    <t>FCLIE/2026/01420</t>
  </si>
  <si>
    <t>FCLIE/2026/01779</t>
  </si>
  <si>
    <t>PBNK2/2026/00228</t>
  </si>
  <si>
    <t>FCLIE/2026/02359</t>
  </si>
  <si>
    <t>PREGIO/2026/00217</t>
  </si>
  <si>
    <t>FCLIE/2026/02436</t>
  </si>
  <si>
    <t>PREGIO/2026/00218</t>
  </si>
  <si>
    <t>FCLIE/2026/02158</t>
  </si>
  <si>
    <t>PREGIO/2026/00219</t>
  </si>
  <si>
    <t>FCLIE/2026/01373</t>
  </si>
  <si>
    <t>FCLIE/2026/01484</t>
  </si>
  <si>
    <t>PREGIO/2026/00220</t>
  </si>
  <si>
    <t>PREGIO/2026/00221</t>
  </si>
  <si>
    <t>PBANES/2026/00277</t>
  </si>
  <si>
    <t>FCLIE/2026/02442</t>
  </si>
  <si>
    <t>PBANES/2026/00274</t>
  </si>
  <si>
    <t>PBANES/2026/00272</t>
  </si>
  <si>
    <t>FCLIE/2026/02433</t>
  </si>
  <si>
    <t>PUSDT$/2026/00988</t>
  </si>
  <si>
    <t>FCLIE/2026/02445</t>
  </si>
  <si>
    <t>PUSDT$/2026/00989</t>
  </si>
  <si>
    <t>FCLIE/2026/01499</t>
  </si>
  <si>
    <t>PCSH1/2026/00711</t>
  </si>
  <si>
    <t>FCLIE/2026/02455</t>
  </si>
  <si>
    <t>PUSDT$/2026/00990</t>
  </si>
  <si>
    <t>FCLIE/2026/02038</t>
  </si>
  <si>
    <t>PUSDT$/2026/00991</t>
  </si>
  <si>
    <t>FCLIE/2026/02447</t>
  </si>
  <si>
    <t>PUSDT$/2026/00992</t>
  </si>
  <si>
    <t>FCLIE/2026/02454</t>
  </si>
  <si>
    <t>PUSDT$/2026/00993</t>
  </si>
  <si>
    <t>PCARIB/2026/00365</t>
  </si>
  <si>
    <t>FCLIE/2026/02465</t>
  </si>
  <si>
    <t>PCARIB/2026/00366</t>
  </si>
  <si>
    <t>FCLIE/2026/01803</t>
  </si>
  <si>
    <t>FCLIE/2026/02408</t>
  </si>
  <si>
    <t>PBANES/2026/00279</t>
  </si>
  <si>
    <t>FCLIE/2026/02466</t>
  </si>
  <si>
    <t>PCARIB/2026/00368</t>
  </si>
  <si>
    <t>FCLIE/2026/02470</t>
  </si>
  <si>
    <t>PCSH1/2026/00714</t>
  </si>
  <si>
    <t>FCLIE/2026/02385</t>
  </si>
  <si>
    <t>PUSDT$/2026/00994</t>
  </si>
  <si>
    <t>FCLIE/2026/02450</t>
  </si>
  <si>
    <t>PUSDT$/2026/00995</t>
  </si>
  <si>
    <t>FCLIE/2026/01688</t>
  </si>
  <si>
    <t>PUSDT$/2026/00996</t>
  </si>
  <si>
    <t>FCLIE/2026/01517</t>
  </si>
  <si>
    <t>FCLIE/2026/01551</t>
  </si>
  <si>
    <t>FCLIE/2026/01630</t>
  </si>
  <si>
    <t>FCLIE/2026/01640</t>
  </si>
  <si>
    <t>FCLIE/2026/01693</t>
  </si>
  <si>
    <t>FCLIE/2026/01711</t>
  </si>
  <si>
    <t>FCLIE/2026/01760</t>
  </si>
  <si>
    <t>FCLIE/2026/01783</t>
  </si>
  <si>
    <t>PUSDT$/2026/00997</t>
  </si>
  <si>
    <t>FCLIE/2026/02456</t>
  </si>
  <si>
    <t>PUSDT$/2026/00998</t>
  </si>
  <si>
    <t>FCLIE/2026/01929</t>
  </si>
  <si>
    <t>PUSDT$/2026/00999</t>
  </si>
  <si>
    <t>PBANES/2026/00280</t>
  </si>
  <si>
    <t>FCLIE/2026/01728</t>
  </si>
  <si>
    <t>PBANES/2026/00281</t>
  </si>
  <si>
    <t>FCLIE/2026/01714</t>
  </si>
  <si>
    <t>PBANES/2026/00282</t>
  </si>
  <si>
    <t>FCLIE/2026/02477</t>
  </si>
  <si>
    <t>PCARIB/2026/00369</t>
  </si>
  <si>
    <t>FCLIE/2026/02485</t>
  </si>
  <si>
    <t>PCARIB/2026/00370</t>
  </si>
  <si>
    <t>FCLIE/2026/02481</t>
  </si>
  <si>
    <t>PCARIB/2026/00371</t>
  </si>
  <si>
    <t>FCLIE/2026/02484</t>
  </si>
  <si>
    <t>PUSDT$/2026/01000</t>
  </si>
  <si>
    <t>FCLIE/2026/02486</t>
  </si>
  <si>
    <t>PUSDT$/2026/01001</t>
  </si>
  <si>
    <t>PCSH1/2026/00716</t>
  </si>
  <si>
    <t>PUSDT$/2026/01002</t>
  </si>
  <si>
    <t>PUSDT$/2026/01003</t>
  </si>
  <si>
    <t>PUSDT$/2026/01004</t>
  </si>
  <si>
    <t>FCLIE/2026/02487</t>
  </si>
  <si>
    <t>PUSDT$/2026/01005</t>
  </si>
  <si>
    <t>FCLIE/2026/02476</t>
  </si>
  <si>
    <t>PUSDT$/2026/01006</t>
  </si>
  <si>
    <t>FCLIE/2026/02279</t>
  </si>
  <si>
    <t>PUSDT$/2026/01007</t>
  </si>
  <si>
    <t>PUSDT$/2026/01008</t>
  </si>
  <si>
    <t>FCLIE/2026/02453</t>
  </si>
  <si>
    <t>PUSDT$/2026/01009</t>
  </si>
  <si>
    <t>FCLIE/2026/02369</t>
  </si>
  <si>
    <t>PUSDT$/2026/01010</t>
  </si>
  <si>
    <t>FCLIE/2026/02277</t>
  </si>
  <si>
    <t>PUSDT$/2026/01011</t>
  </si>
  <si>
    <t>PCSH1/2026/00717</t>
  </si>
  <si>
    <t>FCLIE/2026/02458</t>
  </si>
  <si>
    <t>FCLIE/2026/02492</t>
  </si>
  <si>
    <t>PREGIO/2026/00222</t>
  </si>
  <si>
    <t>FCLIE/2026/01777</t>
  </si>
  <si>
    <t>PREGIO/2026/00223</t>
  </si>
  <si>
    <t>FCLIE/2026/02401</t>
  </si>
  <si>
    <t>PREGIO/2026/00224</t>
  </si>
  <si>
    <t>FCLIE/2026/02419</t>
  </si>
  <si>
    <t>PREGIO/2026/00225</t>
  </si>
  <si>
    <t>PCARIB/2026/00372</t>
  </si>
  <si>
    <t>FCLIE/2026/02491</t>
  </si>
  <si>
    <t>PUSDT$/2026/01012</t>
  </si>
  <si>
    <t>FCLIE/2026/01769</t>
  </si>
  <si>
    <t>RFCLIE/2026/00059</t>
  </si>
  <si>
    <t>PBANE$/2026/00036</t>
  </si>
  <si>
    <t>PUSDT$/2026/00831</t>
  </si>
  <si>
    <t>FCLIE/2026/02211</t>
  </si>
  <si>
    <t>PUSDT$/2026/01014</t>
  </si>
  <si>
    <t>FCLIE/2026/02494</t>
  </si>
  <si>
    <t>PCSH1/2026/00719</t>
  </si>
  <si>
    <t>PBANES/2026/00284</t>
  </si>
  <si>
    <t>FCLIE/2026/02482</t>
  </si>
  <si>
    <t>PBNK2/2026/00230</t>
  </si>
  <si>
    <t>PCARIB/2026/00373</t>
  </si>
  <si>
    <t>FCLIE/2026/01856</t>
  </si>
  <si>
    <t>PCARIB/2026/00374</t>
  </si>
  <si>
    <t>FCLIE/2026/01865</t>
  </si>
  <si>
    <t>PCARIB/2026/00375</t>
  </si>
  <si>
    <t>FCLIE/2026/01867</t>
  </si>
  <si>
    <t>FCLIE/2026/01868</t>
  </si>
  <si>
    <t>PCARIB/2026/00376</t>
  </si>
  <si>
    <t>PCARIB/2026/00377</t>
  </si>
  <si>
    <t>PCARIB/2026/00378</t>
  </si>
  <si>
    <t>PCSH1/2026/00721</t>
  </si>
  <si>
    <t>FCLIE/2026/01979</t>
  </si>
  <si>
    <t>FCLIE/2026/01998</t>
  </si>
  <si>
    <t>FCLIE/2026/02005</t>
  </si>
  <si>
    <t>PUSDT$/2026/01015</t>
  </si>
  <si>
    <t>FCLIE/2026/02062</t>
  </si>
  <si>
    <t>FCLIE/2026/02063</t>
  </si>
  <si>
    <t>FCLIE/2026/02124</t>
  </si>
  <si>
    <t>PCSH1/2026/00722</t>
  </si>
  <si>
    <t>FCLIE/2026/02514</t>
  </si>
  <si>
    <t>PUSDT$/2026/00880</t>
  </si>
  <si>
    <t>FCLIE/2026/02313</t>
  </si>
  <si>
    <t>PBANES/2026/00244</t>
  </si>
  <si>
    <t>FCLIE/2026/02237</t>
  </si>
  <si>
    <t>PUSDT$/2026/01017</t>
  </si>
  <si>
    <t>FCLIE/2026/02407</t>
  </si>
  <si>
    <t>PUSDT$/2026/01018</t>
  </si>
  <si>
    <t>FCLIE/2026/02094</t>
  </si>
  <si>
    <t>PUSDT$/2026/01019</t>
  </si>
  <si>
    <t>FCLIE/2026/01917</t>
  </si>
  <si>
    <t>PUSDT$/2026/01020</t>
  </si>
  <si>
    <t>FCLIE/2026/02495</t>
  </si>
  <si>
    <t>PUSDT$/2026/01021</t>
  </si>
  <si>
    <t>FCLIE/2026/02443</t>
  </si>
  <si>
    <t>PUSDT$/2026/00968</t>
  </si>
  <si>
    <t>FCLIE/2026/02418</t>
  </si>
  <si>
    <t>PUSDT$/2026/01022</t>
  </si>
  <si>
    <t>FCLIE/2026/01556</t>
  </si>
  <si>
    <t>FCLIE/2026/01804</t>
  </si>
  <si>
    <t>PUSDT$/2026/01023</t>
  </si>
  <si>
    <t>PUSDT$/2026/01024</t>
  </si>
  <si>
    <t>FCLIE/2026/02510</t>
  </si>
  <si>
    <t>PUSDT$/2026/01025</t>
  </si>
  <si>
    <t>FCLIE/2026/02072</t>
  </si>
  <si>
    <t>PUSDT$/2026/00848</t>
  </si>
  <si>
    <t>PUSDT$/2026/01026</t>
  </si>
  <si>
    <t>FCLIE/2026/01482</t>
  </si>
  <si>
    <t>FCLIE/2026/02524</t>
  </si>
  <si>
    <t>PUSDT$/2026/01027</t>
  </si>
  <si>
    <t>FCLIE/2026/02523</t>
  </si>
  <si>
    <t>PUSDT$/2026/01028</t>
  </si>
  <si>
    <t>FCLIE/2026/02515</t>
  </si>
  <si>
    <t>PUSDT$/2026/01029</t>
  </si>
  <si>
    <t>FCLIE/2026/02522</t>
  </si>
  <si>
    <t>PUSDT$/2026/01030</t>
  </si>
  <si>
    <t>FCLIE/2026/02519</t>
  </si>
  <si>
    <t>PUSDT$/2026/01031</t>
  </si>
  <si>
    <t>FCLIE/2026/02531</t>
  </si>
  <si>
    <t>PUSDT$/2026/01032</t>
  </si>
  <si>
    <t>FCLIE/2026/01828</t>
  </si>
  <si>
    <t>PCSH1/2026/00724</t>
  </si>
  <si>
    <t>FCLIE/2026/02517</t>
  </si>
  <si>
    <t>PUSDT$/2026/01033</t>
  </si>
  <si>
    <t>FCLIE/2026/02175</t>
  </si>
  <si>
    <t>FCLIE/2026/02192</t>
  </si>
  <si>
    <t>FCLIE/2026/02210</t>
  </si>
  <si>
    <t>PUSDT$/2026/01035</t>
  </si>
  <si>
    <t>PUSDT$/2026/00934</t>
  </si>
  <si>
    <t>FCLIE/2026/02370</t>
  </si>
  <si>
    <t>PUSDT$/2026/01037</t>
  </si>
  <si>
    <t>FCLIE/2026/02503</t>
  </si>
  <si>
    <t>PUSDT$/2026/01038</t>
  </si>
  <si>
    <t>PUSDT$/2026/01039</t>
  </si>
  <si>
    <t>RFCLIE/2026/00060</t>
  </si>
  <si>
    <t>FCLIE/2026/02153</t>
  </si>
  <si>
    <t>PBANES/2026/00288</t>
  </si>
  <si>
    <t>FCLIE/2026/02086</t>
  </si>
  <si>
    <t>FCLIE/2026/02427</t>
  </si>
  <si>
    <t>PUSDT$/2026/01040</t>
  </si>
  <si>
    <t>FCLIE/2026/02376</t>
  </si>
  <si>
    <t>PUSDT$/2026/01034</t>
  </si>
  <si>
    <t>FCLIE/2026/02542</t>
  </si>
  <si>
    <t>PUSDT$/2026/01041</t>
  </si>
  <si>
    <t>FCLIE/2026/01964</t>
  </si>
  <si>
    <t>FCLIE/2026/02060</t>
  </si>
  <si>
    <t>FCLIE/2026/02159</t>
  </si>
  <si>
    <t>PUSDT$/2026/01042</t>
  </si>
  <si>
    <t>FCLIE/2026/02545</t>
  </si>
  <si>
    <t>PUSDT$/2026/01043</t>
  </si>
  <si>
    <t>PUSDT$/2026/01044</t>
  </si>
  <si>
    <t>FCLIE/2026/02544</t>
  </si>
  <si>
    <t>PCARIB/2026/00384</t>
  </si>
  <si>
    <t xml:space="preserve">MEGAPIXEL STORE, C.A. </t>
  </si>
  <si>
    <t>FCLIE/2026/01872</t>
  </si>
  <si>
    <t>PCSH1/2026/00683</t>
  </si>
  <si>
    <t>FCLIE/2026/02328</t>
  </si>
  <si>
    <t>PCARIB/2026/00386</t>
  </si>
  <si>
    <t>FCLIE/2026/01339</t>
  </si>
  <si>
    <t>FCLIE/2026/01340</t>
  </si>
  <si>
    <t>PCARIB/2026/00387</t>
  </si>
  <si>
    <t>PUSDT$/2026/01045</t>
  </si>
  <si>
    <t>FCLIE/2026/02551</t>
  </si>
  <si>
    <t>PUSDT$/2026/01046</t>
  </si>
  <si>
    <t>FCLIE/2026/02553</t>
  </si>
  <si>
    <t>PUSDT$/2026/01047</t>
  </si>
  <si>
    <t>FCLIE/2026/02557</t>
  </si>
  <si>
    <t>PUSDT$/2026/01048</t>
  </si>
  <si>
    <t>FCLIE/2026/02555</t>
  </si>
  <si>
    <t>PCSH1/2026/00725</t>
  </si>
  <si>
    <t>FCLIE/2026/02556</t>
  </si>
  <si>
    <t>PBANES/2026/00289</t>
  </si>
  <si>
    <t>FCLIE/2026/02501</t>
  </si>
  <si>
    <t>PBANES/2026/00290</t>
  </si>
  <si>
    <t>FCLIE/2026/02506</t>
  </si>
  <si>
    <t>PBANE$/2026/00035</t>
  </si>
  <si>
    <t>FCLIE/2026/02490</t>
  </si>
  <si>
    <t>PCARIB/2026/00388</t>
  </si>
  <si>
    <t>PCARIB/2026/00389</t>
  </si>
  <si>
    <t>PCARIB/2026/00390</t>
  </si>
  <si>
    <t>PCARIB/2026/00391</t>
  </si>
  <si>
    <t>PCARIB/2026/00392</t>
  </si>
  <si>
    <t>PCARIB/2026/00393</t>
  </si>
  <si>
    <t>PCARIB/2026/00394</t>
  </si>
  <si>
    <t>PCARIB/2026/00395</t>
  </si>
  <si>
    <t>RFCLIE/2026/00063</t>
  </si>
  <si>
    <t>FCLIE/2026/02317</t>
  </si>
  <si>
    <t>PCSH1/2026/00726</t>
  </si>
  <si>
    <t>FCLIE/2026/02393</t>
  </si>
  <si>
    <t>FCLIE/2026/02426</t>
  </si>
  <si>
    <t>PCARIB/2026/00396</t>
  </si>
  <si>
    <t>FCLIE/2026/02564</t>
  </si>
  <si>
    <t>PUSDT$/2026/01049</t>
  </si>
  <si>
    <t>FCLIE/2026/02563</t>
  </si>
  <si>
    <t>PCSH1/2026/00727</t>
  </si>
  <si>
    <t>FCLIE/2026/02565</t>
  </si>
  <si>
    <t>PUSDT$/2026/01050</t>
  </si>
  <si>
    <t>PUSDT$/2026/01051</t>
  </si>
  <si>
    <t>FCLIE/2026/02558</t>
  </si>
  <si>
    <t>PUSDT$/2026/01052</t>
  </si>
  <si>
    <t>FCLIE/2026/02488</t>
  </si>
  <si>
    <t>PUSDT$/2026/01053</t>
  </si>
  <si>
    <t>FCLIE/2026/02561</t>
  </si>
  <si>
    <t>PUSDT$/2026/01054</t>
  </si>
  <si>
    <t>FCLIE/2026/02505</t>
  </si>
  <si>
    <t>PUSDT$/2026/01055</t>
  </si>
  <si>
    <t>PUSDT$/2026/01056</t>
  </si>
  <si>
    <t>FCLIE/2026/02321</t>
  </si>
  <si>
    <t>PCSH1/2026/00731</t>
  </si>
  <si>
    <t>PUSDT$/2026/01057</t>
  </si>
  <si>
    <t>FCLIE/2026/02569</t>
  </si>
  <si>
    <t>PUSDT$/2026/00868</t>
  </si>
  <si>
    <t>FCLIE/2026/02301</t>
  </si>
  <si>
    <t>PBANES/2026/00292</t>
  </si>
  <si>
    <t>FCLIE/2026/02573</t>
  </si>
  <si>
    <t>PCSH1/2026/00737</t>
  </si>
  <si>
    <t>PREGIO/2026/00198</t>
  </si>
  <si>
    <t>FCLIE/2026/02513</t>
  </si>
  <si>
    <t>PBNK2/2026/00231</t>
  </si>
  <si>
    <t>FCLIE/2026/00196</t>
  </si>
  <si>
    <t>FCLIE/2026/00198</t>
  </si>
  <si>
    <t>PBNK2/2026/00233</t>
  </si>
  <si>
    <t>FCLIE/2026/00412</t>
  </si>
  <si>
    <t>PUSDT$/2026/01060</t>
  </si>
  <si>
    <t>PUSDT$/2026/01061</t>
  </si>
  <si>
    <t>FCLIE/2026/00101</t>
  </si>
  <si>
    <t>PUSDT$/2026/01062</t>
  </si>
  <si>
    <t>PUSDT$/2026/01063</t>
  </si>
  <si>
    <t>PBANES/2026/00286</t>
  </si>
  <si>
    <t>FCLIE/2026/02525</t>
  </si>
  <si>
    <t>PUSDT$/2026/01064</t>
  </si>
  <si>
    <t>FCLIE/2026/02578</t>
  </si>
  <si>
    <t>PUSDT$/2026/01065</t>
  </si>
  <si>
    <t>FCLIE/2026/02577</t>
  </si>
  <si>
    <t>PCSH1/2026/00738</t>
  </si>
  <si>
    <t>PUSDT$/2026/01066</t>
  </si>
  <si>
    <t>FCLIE/2026/02281</t>
  </si>
  <si>
    <t>FCLIE/2026/02320</t>
  </si>
  <si>
    <t>PUSDT$/2026/01068</t>
  </si>
  <si>
    <t>PUSDT$/2026/01069</t>
  </si>
  <si>
    <t>FCLIE/2026/01858</t>
  </si>
  <si>
    <t>PCSH1/2026/00741</t>
  </si>
  <si>
    <t>FCLIE/2026/02581</t>
  </si>
  <si>
    <t>PCSH1/2026/00740</t>
  </si>
  <si>
    <t>FCLIE/2026/02582</t>
  </si>
  <si>
    <t>FCLIE/2026/02303</t>
  </si>
  <si>
    <t>PCSH1/2026/00742</t>
  </si>
  <si>
    <t>PUSDT$/2026/01070</t>
  </si>
  <si>
    <t>FCLIE/2026/02588</t>
  </si>
  <si>
    <t>PUSDT$/2026/01071</t>
  </si>
  <si>
    <t>FCLIE/2026/02587</t>
  </si>
  <si>
    <t>PCSH1/2026/00743</t>
  </si>
  <si>
    <t>FCLIE/2026/02585</t>
  </si>
  <si>
    <t>RFCLIE/2026/00065</t>
  </si>
  <si>
    <t>FCLIE/2026/02576</t>
  </si>
  <si>
    <t>PUSDT$/2026/00925</t>
  </si>
  <si>
    <t>FCLIE/2026/02349</t>
  </si>
  <si>
    <t>PREGIO/2026/00228</t>
  </si>
  <si>
    <t>FCLIE/2026/02374</t>
  </si>
  <si>
    <t>PUSDT$/2026/01073</t>
  </si>
  <si>
    <t>PBNK2/2026/00238</t>
  </si>
  <si>
    <t>FCLIE/2026/02064</t>
  </si>
  <si>
    <t>PUSDT$/2026/01074</t>
  </si>
  <si>
    <t>FCLIE/2026/01811</t>
  </si>
  <si>
    <t>PUSDT$/2026/01075</t>
  </si>
  <si>
    <t>PUSDT$/2026/01077</t>
  </si>
  <si>
    <t>FCLIE/2026/02091</t>
  </si>
  <si>
    <t>PUSDT$/2026/01078</t>
  </si>
  <si>
    <t>FCLIE/2026/01727</t>
  </si>
  <si>
    <t>PUSDT$/2026/01080</t>
  </si>
  <si>
    <t>FCLIE/2026/02618</t>
  </si>
  <si>
    <t>PUSDT$/2026/01081</t>
  </si>
  <si>
    <t>FCLIE/2026/02611</t>
  </si>
  <si>
    <t>PUSDT$/2026/01082</t>
  </si>
  <si>
    <t>FCLIE/2026/02614</t>
  </si>
  <si>
    <t>PUSDT$/2026/01084</t>
  </si>
  <si>
    <t>FCLIE/2026/02615</t>
  </si>
  <si>
    <t>PREGIO/2026/00231</t>
  </si>
  <si>
    <t>FCLIE/2026/01880</t>
  </si>
  <si>
    <t>FCLIE/2026/02594</t>
  </si>
  <si>
    <t>PCSH1/2026/00747</t>
  </si>
  <si>
    <t>FCLIE/2026/02620</t>
  </si>
  <si>
    <t>PUSDT$/2026/01085</t>
  </si>
  <si>
    <t>FCLIE/2026/02386</t>
  </si>
  <si>
    <t>PUSDT$/2026/01072</t>
  </si>
  <si>
    <t>FCLIE/2026/02596</t>
  </si>
  <si>
    <t>PUSDT$/2026/01086</t>
  </si>
  <si>
    <t>FCLIE/2026/02203</t>
  </si>
  <si>
    <t>PUSDT$/2026/01083</t>
  </si>
  <si>
    <t>FCLIE/2026/02622</t>
  </si>
  <si>
    <t>PCARIB/2026/00397</t>
  </si>
  <si>
    <t>FCLIE/2026/01853</t>
  </si>
  <si>
    <t>PUSDT$/2026/01079</t>
  </si>
  <si>
    <t>FCLIE/2026/01958</t>
  </si>
  <si>
    <t>FCLIE/2026/01967</t>
  </si>
  <si>
    <t>PCARIB/2026/00398</t>
  </si>
  <si>
    <t>FCLIE/2026/02626</t>
  </si>
  <si>
    <t>PCARIB/2026/00379</t>
  </si>
  <si>
    <t>FCLIE/2026/02526</t>
  </si>
  <si>
    <t>PBANES/2026/00297</t>
  </si>
  <si>
    <t>FCLIE/2026/02625</t>
  </si>
  <si>
    <t>PBANES/2026/00298</t>
  </si>
  <si>
    <t>FCLIE/2026/02604</t>
  </si>
  <si>
    <t>PBANES/2026/00295</t>
  </si>
  <si>
    <t>FCLIE/2026/02600</t>
  </si>
  <si>
    <t>PBANES/2026/00299</t>
  </si>
  <si>
    <t>FCLIE/2026/02598</t>
  </si>
  <si>
    <t>PCSH1/2026/00748</t>
  </si>
  <si>
    <t xml:space="preserve">ALONZO YOVANY SANCHEZ CHAPARRO </t>
  </si>
  <si>
    <t>FCLIE/2026/02630</t>
  </si>
  <si>
    <t>PCSH1/2026/00750</t>
  </si>
  <si>
    <t>FCLIE/2026/02634</t>
  </si>
  <si>
    <t>PUSDT$/2026/00962</t>
  </si>
  <si>
    <t>FCLIE/2026/01344</t>
  </si>
  <si>
    <t>PUSDT$/2026/01087</t>
  </si>
  <si>
    <t>PCARIB/2026/00399</t>
  </si>
  <si>
    <t>FCLIE/2026/02637</t>
  </si>
  <si>
    <t>PCSH1/2026/00752</t>
  </si>
  <si>
    <t>FCLIE/2026/02636</t>
  </si>
  <si>
    <t>FCLIE/2026/02179</t>
  </si>
  <si>
    <t>PUSDT$/2026/01089</t>
  </si>
  <si>
    <t>FCLIE/2026/02632</t>
  </si>
  <si>
    <t>PCSH1/2026/00753</t>
  </si>
  <si>
    <t>FCLIE/2026/02299</t>
  </si>
  <si>
    <t>FCLIE/2026/02298</t>
  </si>
  <si>
    <t>FCLIE/2026/02500</t>
  </si>
  <si>
    <t>FCLIE/2026/02502</t>
  </si>
  <si>
    <t>FCLIE/2026/02518</t>
  </si>
  <si>
    <t>FCLIE/2026/02538</t>
  </si>
  <si>
    <t>PCARIB/2026/00400</t>
  </si>
  <si>
    <t>FCLIE/2026/02395</t>
  </si>
  <si>
    <t>PREGIO/2026/00236</t>
  </si>
  <si>
    <t>FCLIE/2026/01667</t>
  </si>
  <si>
    <t>FCLIE/2026/01149</t>
  </si>
  <si>
    <t>PCSH1/2026/00754</t>
  </si>
  <si>
    <t>FCLIE/2026/02644</t>
  </si>
  <si>
    <t>PCSH1/2026/00755</t>
  </si>
  <si>
    <t>FCLIE/2026/02496</t>
  </si>
  <si>
    <t>FCLIE/2026/02575</t>
  </si>
  <si>
    <t>PUSDT$/2026/01091</t>
  </si>
  <si>
    <t>FCLIE/2026/02130</t>
  </si>
  <si>
    <t>PUSDT$/2026/01092</t>
  </si>
  <si>
    <t>FCLIE/2026/02646</t>
  </si>
  <si>
    <t>PUSDT$/2026/01093</t>
  </si>
  <si>
    <t>FCLIE/2026/02655</t>
  </si>
  <si>
    <t>PUSDT$/2026/01094</t>
  </si>
  <si>
    <t>FCLIE/2026/02657</t>
  </si>
  <si>
    <t>PUSDT$/2026/01095</t>
  </si>
  <si>
    <t>FCLIE/2026/02641</t>
  </si>
  <si>
    <t>PUSDT$/2026/01096</t>
  </si>
  <si>
    <t>FCLIE/2026/02659</t>
  </si>
  <si>
    <t>PBANES/2026/00300</t>
  </si>
  <si>
    <t>FCLIE/2026/02652</t>
  </si>
  <si>
    <t>PUSDT$/2026/01097</t>
  </si>
  <si>
    <t>FCLIE/2026/02223</t>
  </si>
  <si>
    <t>PCSH1/2026/00757</t>
  </si>
  <si>
    <t>FCLIE/2026/02658</t>
  </si>
  <si>
    <t>PCARIB/2026/00401</t>
  </si>
  <si>
    <t>FCLIE/2026/02660</t>
  </si>
  <si>
    <t>PBANES/2026/00301</t>
  </si>
  <si>
    <t>FCLIE/2026/02661</t>
  </si>
  <si>
    <t>PBANES/2026/00302</t>
  </si>
  <si>
    <t>FCLIE/2026/01793</t>
  </si>
  <si>
    <t>PCSH1/2026/00758</t>
  </si>
  <si>
    <t>FCLIE/2026/02653</t>
  </si>
  <si>
    <t>PBANES/2026/00303</t>
  </si>
  <si>
    <t>FCLIE/2026/01446</t>
  </si>
  <si>
    <t>PUSDT$/2026/01098</t>
  </si>
  <si>
    <t>PUSDT$/2026/01099</t>
  </si>
  <si>
    <t>FCLIE/2026/02674</t>
  </si>
  <si>
    <t>PBNK2/2026/00239</t>
  </si>
  <si>
    <t>FCLIE/2026/02627</t>
  </si>
  <si>
    <t>PUSDT$/2026/01100</t>
  </si>
  <si>
    <t>FCLIE/2026/02562</t>
  </si>
  <si>
    <t>FCLIE/2026/02589</t>
  </si>
  <si>
    <t>PBNK2/2026/00240</t>
  </si>
  <si>
    <t>FCLIE/2026/02675</t>
  </si>
  <si>
    <t>PCARIB/2026/00402</t>
  </si>
  <si>
    <t>FCLIE/2026/02224</t>
  </si>
  <si>
    <t>FCLIE/2026/02287</t>
  </si>
  <si>
    <t>PCARIB/2026/00403</t>
  </si>
  <si>
    <t>PBANES/2026/00304</t>
  </si>
  <si>
    <t>FCLIE/2026/02677</t>
  </si>
  <si>
    <t>PCSH1/2026/00759</t>
  </si>
  <si>
    <t>FCLIE/2026/02676</t>
  </si>
  <si>
    <t>PUSDT$/2026/01101</t>
  </si>
  <si>
    <t>FCLIE/2026/02663</t>
  </si>
  <si>
    <t>PUSDT$/2026/01102</t>
  </si>
  <si>
    <t>FCLIE/2026/02680</t>
  </si>
  <si>
    <t>PUSDT$/2026/01104</t>
  </si>
  <si>
    <t>FCLIE/2026/02687</t>
  </si>
  <si>
    <t>PUSDT$/2026/01105</t>
  </si>
  <si>
    <t>FCLIE/2026/02099</t>
  </si>
  <si>
    <t>FCLIE/2026/02662</t>
  </si>
  <si>
    <t>PCARIB/2026/00404</t>
  </si>
  <si>
    <t>FCLIE/2026/02694</t>
  </si>
  <si>
    <t>PUSDT$/2026/01108</t>
  </si>
  <si>
    <t>FCLIE/2026/01445</t>
  </si>
  <si>
    <t>PCSH1/2026/00761</t>
  </si>
  <si>
    <t>FCLIE/2026/02673</t>
  </si>
  <si>
    <t>PUSDT$/2026/01109</t>
  </si>
  <si>
    <t>FCLIE/2026/02656</t>
  </si>
  <si>
    <t>PUSDT$/2026/01110</t>
  </si>
  <si>
    <t>PCARIB/2026/00405</t>
  </si>
  <si>
    <t>FCLIE/2026/02696</t>
  </si>
  <si>
    <t>PBNK2/2026/00245</t>
  </si>
  <si>
    <t>FCLIE/2026/02262</t>
  </si>
  <si>
    <t>FCLIE/2026/02263</t>
  </si>
  <si>
    <t>PBANES/2026/00293</t>
  </si>
  <si>
    <t>FCLIE/2026/02690</t>
  </si>
  <si>
    <t>PBANES/2026/00294</t>
  </si>
  <si>
    <t>FCLIE/2026/02691</t>
  </si>
  <si>
    <t>PUSDT$/2026/01067</t>
  </si>
  <si>
    <t>FCLIE/2026/02686</t>
  </si>
  <si>
    <t>PBANES/2026/00285</t>
  </si>
  <si>
    <t>FCLIE/2026/02532</t>
  </si>
  <si>
    <t>PREGIO/2026/00237</t>
  </si>
  <si>
    <t>PUSDT$/2026/01090</t>
  </si>
  <si>
    <t>FCLIE/2026/02665</t>
  </si>
  <si>
    <t>PUSDT$/2026/01111</t>
  </si>
  <si>
    <t>PUSDT$/2026/01112</t>
  </si>
  <si>
    <t>FCLIE/2026/02702</t>
  </si>
  <si>
    <t>PUSDT$/2026/01113</t>
  </si>
  <si>
    <t>PUSDT$/2026/01114</t>
  </si>
  <si>
    <t>FCLIE/2026/02283</t>
  </si>
  <si>
    <t>PBNK2/2026/00246</t>
  </si>
  <si>
    <t>FCLIE/2026/01879</t>
  </si>
  <si>
    <t>PUSDT$/2026/01115</t>
  </si>
  <si>
    <t>FCLIE/2026/02145</t>
  </si>
  <si>
    <t>PCARIB/2026/00408</t>
  </si>
  <si>
    <t>FCLIE/2026/02705</t>
  </si>
  <si>
    <t>PCSH1/2026/00763</t>
  </si>
  <si>
    <t>PCARIB/2026/00417</t>
  </si>
  <si>
    <t>PCARIB/2026/00416</t>
  </si>
  <si>
    <t>PCARIB/2026/00415</t>
  </si>
  <si>
    <t>FCLIE/2026/02026</t>
  </si>
  <si>
    <t>PCARIB/2026/00414</t>
  </si>
  <si>
    <t>PCARIB/2026/00413</t>
  </si>
  <si>
    <t>PCARIB/2026/00412</t>
  </si>
  <si>
    <t>FCLIE/2026/02030</t>
  </si>
  <si>
    <t>PCARIB/2026/00411</t>
  </si>
  <si>
    <t>PCARIB/2026/00410</t>
  </si>
  <si>
    <t>PCARIB/2026/00409</t>
  </si>
  <si>
    <t>PCSH1/2026/00764</t>
  </si>
  <si>
    <t>FCLIE/2026/02467</t>
  </si>
  <si>
    <t>FCLIE/2026/02468</t>
  </si>
  <si>
    <t>FCLIE/2026/02509</t>
  </si>
  <si>
    <t>FCLIE/2026/02546</t>
  </si>
  <si>
    <t>PCSH1/2026/00765</t>
  </si>
  <si>
    <t>FCLIE/2026/02566</t>
  </si>
  <si>
    <t>FCLIE/2026/02608</t>
  </si>
  <si>
    <t>PUSDT$/2026/01116</t>
  </si>
  <si>
    <t>FCLIE/2026/02704</t>
  </si>
  <si>
    <t>PUSDT$/2026/01117</t>
  </si>
  <si>
    <t>PUSDT$/2026/01119</t>
  </si>
  <si>
    <t>FCLIE/2026/02326</t>
  </si>
  <si>
    <t>PUSDT$/2026/01118</t>
  </si>
  <si>
    <t>FCLIE/2026/02329</t>
  </si>
  <si>
    <t>PUSDT$/2026/01120</t>
  </si>
  <si>
    <t>FCLIE/2026/01584</t>
  </si>
  <si>
    <t>PUSDT$/2026/01121</t>
  </si>
  <si>
    <t>PUSDT$/2026/01122</t>
  </si>
  <si>
    <t>PUSDT$/2026/01123</t>
  </si>
  <si>
    <t>FCLIE/2026/02709</t>
  </si>
  <si>
    <t>PUSDT$/2026/01124</t>
  </si>
  <si>
    <t>FCLIE/2026/02708</t>
  </si>
  <si>
    <t>PUSDT$/2026/01125</t>
  </si>
  <si>
    <t>FCLIE/2026/01784</t>
  </si>
  <si>
    <t>FCLIE/2026/01800</t>
  </si>
  <si>
    <t>PCSH1/2026/00766</t>
  </si>
  <si>
    <t>FCLIE/2026/02013</t>
  </si>
  <si>
    <t>PUSDT$/2026/01058</t>
  </si>
  <si>
    <t>FCLIE/2026/02570</t>
  </si>
  <si>
    <t>FCLIE/2026/02571</t>
  </si>
  <si>
    <t>PUSDT$/2026/01127</t>
  </si>
  <si>
    <t>FCLIE/2026/02712</t>
  </si>
  <si>
    <t>PUSDT$/2026/01128</t>
  </si>
  <si>
    <t>FCLIE/2026/02715</t>
  </si>
  <si>
    <t>PUSDT$/2026/01129</t>
  </si>
  <si>
    <t>FCLIE/2026/02714</t>
  </si>
  <si>
    <t>PCSH1/2026/00730</t>
  </si>
  <si>
    <t>FCLIE/2026/02567</t>
  </si>
  <si>
    <t>FCLIE/2026/02718</t>
  </si>
  <si>
    <t>PCSH1/2026/00769</t>
  </si>
  <si>
    <t>PCARIB/2026/00425</t>
  </si>
  <si>
    <t xml:space="preserve">INVERSIONES EVS TECH, C.A </t>
  </si>
  <si>
    <t>FCLIE/2026/02719</t>
  </si>
  <si>
    <t>PCSH1/2026/00771</t>
  </si>
  <si>
    <t>FCLIE/2026/02706</t>
  </si>
  <si>
    <t>PCSH1/2026/00772</t>
  </si>
  <si>
    <t>FCLIE/2026/02723</t>
  </si>
  <si>
    <t>PCSH1/2026/00773</t>
  </si>
  <si>
    <t>FCLIE/2026/02727</t>
  </si>
  <si>
    <t>PBANES/2026/00307</t>
  </si>
  <si>
    <t>FCLIE/2026/02725</t>
  </si>
  <si>
    <t>PREGIO/2026/00207</t>
  </si>
  <si>
    <t>FCLIE/2026/01394</t>
  </si>
  <si>
    <t>FCLIE/2026/01210</t>
  </si>
  <si>
    <t>PUSDT$/2026/01131</t>
  </si>
  <si>
    <t>FCLIE/2026/01894</t>
  </si>
  <si>
    <t>FCLIE/2026/01896</t>
  </si>
  <si>
    <t>PBNK2/2026/00247</t>
  </si>
  <si>
    <t>FCLIE/2026/02729</t>
  </si>
  <si>
    <t>PBNK2/2026/00248</t>
  </si>
  <si>
    <t>FCLIE/2026/01789</t>
  </si>
  <si>
    <t>FCLIE/2026/02511</t>
  </si>
  <si>
    <t>FCLIE/2026/02697</t>
  </si>
  <si>
    <t>PUSDT$/2026/01132</t>
  </si>
  <si>
    <t>PUSDT$/2026/01133</t>
  </si>
  <si>
    <t>FCLIE/2026/01893</t>
  </si>
  <si>
    <t>PUSDT$/2026/01134</t>
  </si>
  <si>
    <t>FCLIE/2026/02724</t>
  </si>
  <si>
    <t>PBANES/2026/00308</t>
  </si>
  <si>
    <t>FCLIE/2026/02731</t>
  </si>
  <si>
    <t>PCARIB/2026/00431</t>
  </si>
  <si>
    <t>FCLIE/2026/01696</t>
  </si>
  <si>
    <t>PCSH1/2026/00775</t>
  </si>
  <si>
    <t>FCLIE/2026/02733</t>
  </si>
  <si>
    <t>PUSDT$/2026/01135</t>
  </si>
  <si>
    <t>RFCLIE/2026/00064</t>
  </si>
  <si>
    <t>FCLIE/2026/02462</t>
  </si>
  <si>
    <t>PUSDT$/2026/01136</t>
  </si>
  <si>
    <t>PCSH1/2026/00774</t>
  </si>
  <si>
    <t>FCLIE/2026/02734</t>
  </si>
  <si>
    <t>PUSDT$/2026/01137</t>
  </si>
  <si>
    <t>FCLIE/2026/02579</t>
  </si>
  <si>
    <t>PUSDT$/2026/01138</t>
  </si>
  <si>
    <t>FCLIE/2026/02737</t>
  </si>
  <si>
    <t>PUSDT$/2026/01139</t>
  </si>
  <si>
    <t>FCLIE/2026/02647</t>
  </si>
  <si>
    <t>PCARIB/2026/00432</t>
  </si>
  <si>
    <t>PCARIB/2026/00433</t>
  </si>
  <si>
    <t>RFCLIE/2026/00066</t>
  </si>
  <si>
    <t>FCLIE/2026/02739</t>
  </si>
  <si>
    <t>PUSDT$/2026/01140</t>
  </si>
  <si>
    <t>PUSDT$/2026/01141</t>
  </si>
  <si>
    <t>FCLIE/2026/02745</t>
  </si>
  <si>
    <t>PUSDT$/2026/01142</t>
  </si>
  <si>
    <t>FCLIE/2026/02747</t>
  </si>
  <si>
    <t>PUSDT$/2026/01143</t>
  </si>
  <si>
    <t>PUSDT$/2026/01144</t>
  </si>
  <si>
    <t>FCLIE/2026/02520</t>
  </si>
  <si>
    <t>PUSDT$/2026/01145</t>
  </si>
  <si>
    <t>FCLIE/2026/02744</t>
  </si>
  <si>
    <t>PUSDT$/2026/01146</t>
  </si>
  <si>
    <t>FCLIE/2026/02752</t>
  </si>
  <si>
    <t>PCSH1/2026/00776</t>
  </si>
  <si>
    <t>PCARIB/2026/00436</t>
  </si>
  <si>
    <t>FCLIE/2026/02753</t>
  </si>
  <si>
    <t>PUSDT$/2026/01147</t>
  </si>
  <si>
    <t>FCLIE/2026/02105</t>
  </si>
  <si>
    <t>PCARIB/2026/00448</t>
  </si>
  <si>
    <t>PCARIB/2026/00449</t>
  </si>
  <si>
    <t>FCLIE/2026/02763</t>
  </si>
  <si>
    <t>PUSDT$/2026/00826</t>
  </si>
  <si>
    <t>FCLIE/2026/02270</t>
  </si>
  <si>
    <t>PUSDT$/2026/01148</t>
  </si>
  <si>
    <t>FCLIE/2026/02764</t>
  </si>
  <si>
    <t>PUSDT$/2026/01149</t>
  </si>
  <si>
    <t>FCLIE/2026/02759</t>
  </si>
  <si>
    <t>PUSDT$/2026/01150</t>
  </si>
  <si>
    <t>PUSDT$/2026/01151</t>
  </si>
  <si>
    <t>FCLIE/2026/01895</t>
  </si>
  <si>
    <t>PBNK2/2026/00252</t>
  </si>
  <si>
    <t>FCLIE/2026/02347</t>
  </si>
  <si>
    <t>PUSDT$/2026/01152</t>
  </si>
  <si>
    <t>FCLIE/2026/01668</t>
  </si>
  <si>
    <t>FCLIE/2026/01821</t>
  </si>
  <si>
    <t>FCLIE/2026/01829</t>
  </si>
  <si>
    <t>FCLIE/2026/01839</t>
  </si>
  <si>
    <t>FCLIE/2026/01491</t>
  </si>
  <si>
    <t>PUSDT$/2026/01153</t>
  </si>
  <si>
    <t>FCLIE/2026/02770</t>
  </si>
  <si>
    <t>PUSDT$/2026/01154</t>
  </si>
  <si>
    <t>PUSDT$/2026/01155</t>
  </si>
  <si>
    <t>FCLIE/2026/02774</t>
  </si>
  <si>
    <t>PUSDT$/2026/01156</t>
  </si>
  <si>
    <t>FCLIE/2026/02773</t>
  </si>
  <si>
    <t>PUSDT$/2026/01157</t>
  </si>
  <si>
    <t>FCLIE/2026/02083</t>
  </si>
  <si>
    <t>PCSH1/2026/00778</t>
  </si>
  <si>
    <t>PCSH1/2026/00779</t>
  </si>
  <si>
    <t>FCLIE/2026/01080</t>
  </si>
  <si>
    <t>PCSH1/2026/00780</t>
  </si>
  <si>
    <t>FCLIE/2026/02757</t>
  </si>
  <si>
    <t>PUSDT$/2026/01159</t>
  </si>
  <si>
    <t>FCLIE/2026/02742</t>
  </si>
  <si>
    <t>PUSDT$/2026/01160</t>
  </si>
  <si>
    <t>PCARIB/2026/00452</t>
  </si>
  <si>
    <t>FCLIE/2026/02777</t>
  </si>
  <si>
    <t>PUSDT$/2026/01161</t>
  </si>
  <si>
    <t>FCLIE/2026/01542</t>
  </si>
  <si>
    <t>FCLIE/2026/01632</t>
  </si>
  <si>
    <t>PCSH1/2026/00781</t>
  </si>
  <si>
    <t>PREGIO/2026/00244</t>
  </si>
  <si>
    <t>FCLIE/2026/02084</t>
  </si>
  <si>
    <t>FCLIE/2026/02102</t>
  </si>
  <si>
    <t>PREGIO/2026/00245</t>
  </si>
  <si>
    <t>PREGIO/2026/00246</t>
  </si>
  <si>
    <t>FCLIE/2026/02227</t>
  </si>
  <si>
    <t>FCLIE/2026/02229</t>
  </si>
  <si>
    <t>PCARIB/2026/00453</t>
  </si>
  <si>
    <t>FCLIE/2026/02778</t>
  </si>
  <si>
    <t>RFCLIE/2026/00068</t>
  </si>
  <si>
    <t>FCLIE/2026/02756</t>
  </si>
  <si>
    <t>PCARIB/2026/00454</t>
  </si>
  <si>
    <t>FCLIE/2026/02031</t>
  </si>
  <si>
    <t>FCLIE/2026/02113</t>
  </si>
  <si>
    <t>PCARIB/2026/00455</t>
  </si>
  <si>
    <t>PCARIB/2026/00456</t>
  </si>
  <si>
    <t>PCARIB/2026/00457</t>
  </si>
  <si>
    <t>PCARIB/2026/00458</t>
  </si>
  <si>
    <t>PCARIB/2026/00459</t>
  </si>
  <si>
    <t>PCARIB/2026/00460</t>
  </si>
  <si>
    <t>PCARIB/2026/00461</t>
  </si>
  <si>
    <t>PCARIB/2026/00462</t>
  </si>
  <si>
    <t>PCARIB/2026/00463</t>
  </si>
  <si>
    <t>PCARIB/2026/00464</t>
  </si>
  <si>
    <t>FCLIE/2026/02790</t>
  </si>
  <si>
    <t>PUSDT$/2026/01162</t>
  </si>
  <si>
    <t>FCLIE/2026/02743</t>
  </si>
  <si>
    <t>PUSDT$/2026/01163</t>
  </si>
  <si>
    <t>FCLIE/2026/02235</t>
  </si>
  <si>
    <t>PCARIB/2026/00474</t>
  </si>
  <si>
    <t>FCLIE/2026/02796</t>
  </si>
  <si>
    <t>PUSDT$/2026/01158</t>
  </si>
  <si>
    <t>FCLIE/2026/02783</t>
  </si>
  <si>
    <t>PUSDT$/2026/01164</t>
  </si>
  <si>
    <t>FCLIE/2026/02787</t>
  </si>
  <si>
    <t>PUSDT$/2026/01165</t>
  </si>
  <si>
    <t>FCLIE/2026/02791</t>
  </si>
  <si>
    <t>PCARIB/2026/00475</t>
  </si>
  <si>
    <t>PBANES/2026/00306</t>
  </si>
  <si>
    <t>FCLIE/2026/02728</t>
  </si>
  <si>
    <t>PUSDT$/2026/01166</t>
  </si>
  <si>
    <t>FCLIE/2026/02461</t>
  </si>
  <si>
    <t>PCARIB/2026/00476</t>
  </si>
  <si>
    <t>PCSH1/2026/00783</t>
  </si>
  <si>
    <t>FCLIE/2026/02801</t>
  </si>
  <si>
    <t>PCARIB/2026/00477</t>
  </si>
  <si>
    <t>PUSDT$/2026/01167</t>
  </si>
  <si>
    <t>FCLIE/2026/02792</t>
  </si>
  <si>
    <t>PREGIO/2026/00253</t>
  </si>
  <si>
    <t>FCLIE/2026/02772</t>
  </si>
  <si>
    <t>PUSDT$/2026/01168</t>
  </si>
  <si>
    <t>FCLIE/2026/02406</t>
  </si>
  <si>
    <t>FCLIE/2026/02411</t>
  </si>
  <si>
    <t>PREGIO/2026/00254</t>
  </si>
  <si>
    <t>FCLIE/2026/01487</t>
  </si>
  <si>
    <t>FCLIE/2026/01656</t>
  </si>
  <si>
    <t>PCSH1/2026/00784</t>
  </si>
  <si>
    <t>FCLIE/2026/02749</t>
  </si>
  <si>
    <t>PCSH1/2026/00785</t>
  </si>
  <si>
    <t>FCLIE/2026/02793</t>
  </si>
  <si>
    <t>PCSH1/2026/00786</t>
  </si>
  <si>
    <t>FCLIE/2026/02804</t>
  </si>
  <si>
    <t>PCSH1/2026/00770</t>
  </si>
  <si>
    <t>FCLIE/2026/02493</t>
  </si>
  <si>
    <t>PUSDT$/2026/01169</t>
  </si>
  <si>
    <t>FCLIE/2026/02816</t>
  </si>
  <si>
    <t>PBANES/2026/00319</t>
  </si>
  <si>
    <t>FCLIE/2026/02809</t>
  </si>
  <si>
    <t>PCSH1/2026/00787</t>
  </si>
  <si>
    <t>FCLIE/2026/02812</t>
  </si>
  <si>
    <t>FCLIE/2026/02667</t>
  </si>
  <si>
    <t>PCSH1/2026/00788</t>
  </si>
  <si>
    <t>FCLIE/2026/02559</t>
  </si>
  <si>
    <t>PCARIB/2026/00478</t>
  </si>
  <si>
    <t>FCLIE/2026/02814</t>
  </si>
  <si>
    <t>PUSDT$/2026/01170</t>
  </si>
  <si>
    <t>FCLIE/2026/02807</t>
  </si>
  <si>
    <t>PCSH1/2026/00789</t>
  </si>
  <si>
    <t>FCLIE/2026/01450</t>
  </si>
  <si>
    <t>PUSDT$/2026/01172</t>
  </si>
  <si>
    <t>FCLIE/2026/02826</t>
  </si>
  <si>
    <t>RFCLIE/2026/00069</t>
  </si>
  <si>
    <t>FCLIE/2026/01785</t>
  </si>
  <si>
    <t>RFCLIE/2026/00070</t>
  </si>
  <si>
    <t>FCLIE/2026/01951</t>
  </si>
  <si>
    <t>FCLIE/2026/02560</t>
  </si>
  <si>
    <t>RFCLIE/2026/00062</t>
  </si>
  <si>
    <t>PUSDT$/2026/01173</t>
  </si>
  <si>
    <t>FCLIE/2026/02829</t>
  </si>
  <si>
    <t>PUSDT$/2026/01171</t>
  </si>
  <si>
    <t>FCLIE/2026/02830</t>
  </si>
  <si>
    <t>PUSDT$/2026/01174</t>
  </si>
  <si>
    <t>FCLIE/2026/01992</t>
  </si>
  <si>
    <t>PUSDT$/2026/01175</t>
  </si>
  <si>
    <t>FCLIE/2026/02831</t>
  </si>
  <si>
    <t>PCSH1/2026/00790</t>
  </si>
  <si>
    <t>FCLIE/2026/02813</t>
  </si>
  <si>
    <t>PREGIO/2026/00259</t>
  </si>
  <si>
    <t>FCLIE/2026/02319</t>
  </si>
  <si>
    <t>FCLIE/2026/02366</t>
  </si>
  <si>
    <t>FCLIE/2026/02480</t>
  </si>
  <si>
    <t>PREGIO/2026/00260</t>
  </si>
  <si>
    <t>FCLIE/2026/02475</t>
  </si>
  <si>
    <t>PREGIO/2026/00261</t>
  </si>
  <si>
    <t>FCLIE/2026/02417</t>
  </si>
  <si>
    <t>FCLIE/2026/02642</t>
  </si>
  <si>
    <t>PUSDT$/2026/01177</t>
  </si>
  <si>
    <t>FCLIE/2026/02820</t>
  </si>
  <si>
    <t>PUSDT$/2026/01178</t>
  </si>
  <si>
    <t>FCLIE/2026/01885</t>
  </si>
  <si>
    <t>PUSDT$/2026/01179</t>
  </si>
  <si>
    <t>FCLIE/2026/01960</t>
  </si>
  <si>
    <t>FCLIE/2026/02110</t>
  </si>
  <si>
    <t>FCLIE/2026/02112</t>
  </si>
  <si>
    <t>PUSDT$/2026/01180</t>
  </si>
  <si>
    <t>FCLIE/2026/02771</t>
  </si>
  <si>
    <t>FCLIE/2026/02794</t>
  </si>
  <si>
    <t>PUSDT$/2026/01181</t>
  </si>
  <si>
    <t>FCLIE/2026/02592</t>
  </si>
  <si>
    <t>FCLIE/2026/02590</t>
  </si>
  <si>
    <t>PBANES/2026/00309</t>
  </si>
  <si>
    <t>FCLIE/2026/02786</t>
  </si>
  <si>
    <t>PBANES/2026/00311</t>
  </si>
  <si>
    <t>FCLIE/2026/02785</t>
  </si>
  <si>
    <t>PBANES/2026/00310</t>
  </si>
  <si>
    <t>FCLIE/2026/02788</t>
  </si>
  <si>
    <t>PUSDT$/2026/01182</t>
  </si>
  <si>
    <t>PUSDT$/2026/01183</t>
  </si>
  <si>
    <t>FCLIE/2026/02833</t>
  </si>
  <si>
    <t>PUSDT$/2026/01184</t>
  </si>
  <si>
    <t>PBNK2/2026/00256</t>
  </si>
  <si>
    <t>FCLIE/2026/01570</t>
  </si>
  <si>
    <t>PBNK2/2026/00257</t>
  </si>
  <si>
    <t>FCLIE/2026/02838</t>
  </si>
  <si>
    <t>PUSDT$/2026/01185</t>
  </si>
  <si>
    <t>PUSDT$/2026/01036</t>
  </si>
  <si>
    <t>FCLIE/2026/02541</t>
  </si>
  <si>
    <t>FCLIE/2026/02440</t>
  </si>
  <si>
    <t>PUSDT$/2026/01186</t>
  </si>
  <si>
    <t>FCLIE/2026/02693</t>
  </si>
  <si>
    <t>PCSH1/2026/00792</t>
  </si>
  <si>
    <t>FCLIE/2026/02840</t>
  </si>
  <si>
    <t>PUSDT$/2026/01176</t>
  </si>
  <si>
    <t>FCLIE/2026/02841</t>
  </si>
  <si>
    <t>PUSDT$/2026/01187</t>
  </si>
  <si>
    <t>FCLIE/2026/02837</t>
  </si>
  <si>
    <t>PCSH1/2026/00794</t>
  </si>
  <si>
    <t>FCLIE/2026/02853</t>
  </si>
  <si>
    <t>PUSDT$/2026/01190</t>
  </si>
  <si>
    <t>FCLIE/2026/02849</t>
  </si>
  <si>
    <t>PUSDT$/2026/01191</t>
  </si>
  <si>
    <t>FCLIE/2026/02851</t>
  </si>
  <si>
    <t>PUSDT$/2026/01192</t>
  </si>
  <si>
    <t>FCLIE/2026/02643</t>
  </si>
  <si>
    <t>FCLIE/2026/02648</t>
  </si>
  <si>
    <t>PUSDT$/2026/01193</t>
  </si>
  <si>
    <t>FCLIE/2026/02204</t>
  </si>
  <si>
    <t>PCARIB/2026/00486</t>
  </si>
  <si>
    <t>FCLIE/2026/02855</t>
  </si>
  <si>
    <t>PBANES/2026/00320</t>
  </si>
  <si>
    <t>FCLIE/2026/02842</t>
  </si>
  <si>
    <t>PUSDT$/2026/01194</t>
  </si>
  <si>
    <t>FCLIE/2026/02856</t>
  </si>
  <si>
    <t>PBANE$/2026/00037</t>
  </si>
  <si>
    <t>PCSH1/2026/00795</t>
  </si>
  <si>
    <t>FCLIE/2026/02861</t>
  </si>
  <si>
    <t>PCSH1/2026/00796</t>
  </si>
  <si>
    <t>FCLIE/2026/02844</t>
  </si>
  <si>
    <t>FCLIE/2026/02860</t>
  </si>
  <si>
    <t>PUSDT$/2026/01195</t>
  </si>
  <si>
    <t>FCLIE/2026/02141</t>
  </si>
  <si>
    <t>PUSDT$/2026/01196</t>
  </si>
  <si>
    <t>FCLIE/2026/02139</t>
  </si>
  <si>
    <t>PUSDT$/2026/01197</t>
  </si>
  <si>
    <t>FCLIE/2026/02140</t>
  </si>
  <si>
    <t>PBNK2/2026/00261</t>
  </si>
  <si>
    <t>FCLIE/2026/02858</t>
  </si>
  <si>
    <t>PUSDT$/2026/01198</t>
  </si>
  <si>
    <t>PREGIO/2026/00243</t>
  </si>
  <si>
    <t>FCLIE/2026/02405</t>
  </si>
  <si>
    <t>PUSDT$/2026/01199</t>
  </si>
  <si>
    <t>FCLIE/2026/02854</t>
  </si>
  <si>
    <t>PUSDT$/2026/01200</t>
  </si>
  <si>
    <t>PUSDT$/2026/01201</t>
  </si>
  <si>
    <t>FCLIE/2026/01695</t>
  </si>
  <si>
    <t>PUSDT$/2026/01126</t>
  </si>
  <si>
    <t>FCLIE/2026/02755</t>
  </si>
  <si>
    <t>FCLIE/2026/02864</t>
  </si>
  <si>
    <t>FCLIE/2026/02866</t>
  </si>
  <si>
    <t>PUSDT$/2026/01202</t>
  </si>
  <si>
    <t>PBANES/2026/00253</t>
  </si>
  <si>
    <t>PCSH1/2026/00797</t>
  </si>
  <si>
    <t>FCLIE/2026/02876</t>
  </si>
  <si>
    <t>PCARIB/2026/00435</t>
  </si>
  <si>
    <t>FCLIE/2026/02751</t>
  </si>
  <si>
    <t>PUSDT$/2026/01207</t>
  </si>
  <si>
    <t>FCLIE/2026/02874</t>
  </si>
  <si>
    <t>PUSDT$/2026/01208</t>
  </si>
  <si>
    <t>FCLIE/2026/02239</t>
  </si>
  <si>
    <t>PUSDT$/2026/01209</t>
  </si>
  <si>
    <t>FCLIE/2026/02862</t>
  </si>
  <si>
    <t>PUSDT$/2026/01210</t>
  </si>
  <si>
    <t>PCSH1/2026/00798</t>
  </si>
  <si>
    <t>FCLIE/2026/02877</t>
  </si>
  <si>
    <t>FCLIE/2026/02875</t>
  </si>
  <si>
    <t>PUSDT$/2026/01130</t>
  </si>
  <si>
    <t>FCLIE/2026/02711</t>
  </si>
  <si>
    <t>PREGIO/2026/00262</t>
  </si>
  <si>
    <t>FCLIE/2026/01886</t>
  </si>
  <si>
    <t>PREGIO/2026/00263</t>
  </si>
  <si>
    <t>PREGIO/2026/00264</t>
  </si>
  <si>
    <t>FCLIE/2026/02845</t>
  </si>
  <si>
    <t>PREGIO/2026/00265</t>
  </si>
  <si>
    <t>PREGIO/2026/00266</t>
  </si>
  <si>
    <t>FCLIE/2026/02109</t>
  </si>
  <si>
    <t>FCLIE/2026/02111</t>
  </si>
  <si>
    <t>FCLIE/2026/02150</t>
  </si>
  <si>
    <t>PCARIB/2026/00489</t>
  </si>
  <si>
    <t>FCLIE/2026/02883</t>
  </si>
  <si>
    <t>PCSH1/2026/00799</t>
  </si>
  <si>
    <t>FCLIE/2026/02885</t>
  </si>
  <si>
    <t>PUSDT$/2026/01213</t>
  </si>
  <si>
    <t>FCLIE/2026/02886</t>
  </si>
  <si>
    <t>PUSDT$/2026/01214</t>
  </si>
  <si>
    <t>FCLIE/2026/01836</t>
  </si>
  <si>
    <t>PUSDT$/2026/01215</t>
  </si>
  <si>
    <t>FCLIE/2026/02834</t>
  </si>
  <si>
    <t>PUSDT$/2026/01216</t>
  </si>
  <si>
    <t>FCLIE/2026/01915</t>
  </si>
  <si>
    <t>PBANES/2026/00323</t>
  </si>
  <si>
    <t>FCLIE/2026/02881</t>
  </si>
  <si>
    <t>RFCLIE/2026/00072</t>
  </si>
  <si>
    <t>PUSDT$/2026/01217</t>
  </si>
  <si>
    <t>FCLIE/2026/02892</t>
  </si>
  <si>
    <t>PCARIB/2026/00490</t>
  </si>
  <si>
    <t>FCLIE/2026/02887</t>
  </si>
  <si>
    <t>PUSDT$/2026/01219</t>
  </si>
  <si>
    <t>FCLIE/2026/02893</t>
  </si>
  <si>
    <t>PCSH1/2026/00800</t>
  </si>
  <si>
    <t>PCSH1/2026/00801</t>
  </si>
  <si>
    <t>PUSDT$/2026/01220</t>
  </si>
  <si>
    <t>FCLIE/2026/02894</t>
  </si>
  <si>
    <t>PUSDT$/2026/01221</t>
  </si>
  <si>
    <t>PUSDT$/2026/01222</t>
  </si>
  <si>
    <t>PUSDT$/2026/01223</t>
  </si>
  <si>
    <t>FCLIE/2026/01936</t>
  </si>
  <si>
    <t>PCSH1/2026/00803</t>
  </si>
  <si>
    <t>PBANES/2026/00327</t>
  </si>
  <si>
    <t>FCLIE/2026/02903</t>
  </si>
  <si>
    <t>PUSDT$/2026/01212</t>
  </si>
  <si>
    <t>FCLIE/2026/02906</t>
  </si>
  <si>
    <t>PCSH1/2026/00804</t>
  </si>
  <si>
    <t>FCLIE/2026/02907</t>
  </si>
  <si>
    <t>PUSDT$/2026/01106</t>
  </si>
  <si>
    <t>FCLIE/2026/02722</t>
  </si>
  <si>
    <t>PUSDT$/2026/01225</t>
  </si>
  <si>
    <t>FCLIE/2026/02910</t>
  </si>
  <si>
    <t>PUSDT$/2026/01226</t>
  </si>
  <si>
    <t>PCSH1/2026/00805</t>
  </si>
  <si>
    <t>FCLIE/2026/02895</t>
  </si>
  <si>
    <t>PUSDT$/2026/01227</t>
  </si>
  <si>
    <t>FCLIE/2026/02912</t>
  </si>
  <si>
    <t>PUSDT$/2026/01228</t>
  </si>
  <si>
    <t>FCLIE/2026/02916</t>
  </si>
  <si>
    <t>PCSH1/2026/00806</t>
  </si>
  <si>
    <t>PUSDT$/2026/01229</t>
  </si>
  <si>
    <t>FCLIE/2026/02917</t>
  </si>
  <si>
    <t>PREGIO/2026/00268</t>
  </si>
  <si>
    <t>FCLIE/2026/02905</t>
  </si>
  <si>
    <t>PUSDT$/2026/01231</t>
  </si>
  <si>
    <t>FCLIE/2026/02850</t>
  </si>
  <si>
    <t>PUSDT$/2026/01232</t>
  </si>
  <si>
    <t>RFCLIE/2026/00075</t>
  </si>
  <si>
    <t>FCLIE/2026/02890</t>
  </si>
  <si>
    <t>RFCLIE/2026/00076</t>
  </si>
  <si>
    <t>FCLIE/2026/02911</t>
  </si>
  <si>
    <t>PUSDT$/2026/01236</t>
  </si>
  <si>
    <t>PCSH1/2026/00807</t>
  </si>
  <si>
    <t>PBANES/2026/00329</t>
  </si>
  <si>
    <t>FCLIE/2026/02914</t>
  </si>
  <si>
    <t>PBANES/2026/00330</t>
  </si>
  <si>
    <t>PCSH1/2026/00808</t>
  </si>
  <si>
    <t>FCLIE/2026/02926</t>
  </si>
  <si>
    <t>PCARIB/2026/00491</t>
  </si>
  <si>
    <t>FCLIE/2026/02923</t>
  </si>
  <si>
    <t>PBANES/2026/00331</t>
  </si>
  <si>
    <t>FCLIE/2026/02922</t>
  </si>
  <si>
    <t>PREGIO/2026/00269</t>
  </si>
  <si>
    <t>FCLIE/2026/02521</t>
  </si>
  <si>
    <t>PBNK2/2026/00237</t>
  </si>
  <si>
    <t>FCLIE/2026/01941</t>
  </si>
  <si>
    <t>FCLIE/2026/02173</t>
  </si>
  <si>
    <t>PUSDT$/2026/01237</t>
  </si>
  <si>
    <t>PCARIB/2026/00492</t>
  </si>
  <si>
    <t>FCLIE/2026/02931</t>
  </si>
  <si>
    <t>PUSDT$/2026/01238</t>
  </si>
  <si>
    <t>FCLIE/2026/01954</t>
  </si>
  <si>
    <t>PUSDT$/2026/01230</t>
  </si>
  <si>
    <t>FCLIE/2026/01707</t>
  </si>
  <si>
    <t>PUSDT$/2026/01211</t>
  </si>
  <si>
    <t>FCLIE/2026/02921</t>
  </si>
  <si>
    <t>PUSDT$/2026/01224</t>
  </si>
  <si>
    <t>FCLIE/2026/02930</t>
  </si>
  <si>
    <t>PUSDT$/2026/00869</t>
  </si>
  <si>
    <t>FCLIE/2026/02288</t>
  </si>
  <si>
    <t>FCLIE/2026/02574</t>
  </si>
  <si>
    <t>PCSH1/2026/00810</t>
  </si>
  <si>
    <t>PCSH1/2026/00811</t>
  </si>
  <si>
    <t>FCLIE/2026/02936</t>
  </si>
  <si>
    <t>PUSDT$/2026/01239</t>
  </si>
  <si>
    <t>FCLIE/2026/02935</t>
  </si>
  <si>
    <t>PUSDT$/2026/01240</t>
  </si>
  <si>
    <t>FCLIE/2026/02944</t>
  </si>
  <si>
    <t>PCARIB/2026/00493</t>
  </si>
  <si>
    <t>FCLIE/2026/02945</t>
  </si>
  <si>
    <t>PBNK2/2026/00263</t>
  </si>
  <si>
    <t>FCLIE/2026/02354</t>
  </si>
  <si>
    <t>FCLIE/2026/02380</t>
  </si>
  <si>
    <t>PBNK2/2026/00264</t>
  </si>
  <si>
    <t>FCLIE/2026/02650</t>
  </si>
  <si>
    <t>PUSDT$/2026/01235</t>
  </si>
  <si>
    <t>FCLIE/2026/02927</t>
  </si>
  <si>
    <t>PBNK2/2026/00265</t>
  </si>
  <si>
    <t>PUSDT$/2026/01245</t>
  </si>
  <si>
    <t>FCLIE/2026/02331</t>
  </si>
  <si>
    <t>FCLIE/2026/02437</t>
  </si>
  <si>
    <t>PUSDT$/2026/00984</t>
  </si>
  <si>
    <t>FCLIE/2026/01280</t>
  </si>
  <si>
    <t>FCLIE/2026/01234</t>
  </si>
  <si>
    <t>FCLIE/2026/02136</t>
  </si>
  <si>
    <t>FCLIE/2026/01590</t>
  </si>
  <si>
    <t>FCLIE/2026/01902</t>
  </si>
  <si>
    <t>PUSDT$/2026/01246</t>
  </si>
  <si>
    <t>FCLIE/2026/01905</t>
  </si>
  <si>
    <t>FCLIE/2026/01994</t>
  </si>
  <si>
    <t>FCLIE/2026/02061</t>
  </si>
  <si>
    <t>PREGIO/2026/00270</t>
  </si>
  <si>
    <t>FCLIE/2026/02958</t>
  </si>
  <si>
    <t>PREGIO/2026/00271</t>
  </si>
  <si>
    <t>PBANES/2026/00337</t>
  </si>
  <si>
    <t>FCLIE/2026/02965</t>
  </si>
  <si>
    <t>PUSDT$/2026/01218</t>
  </si>
  <si>
    <t>FCLIE/2026/02695</t>
  </si>
  <si>
    <t>PUSDT$/2026/01189</t>
  </si>
  <si>
    <t>FCLIE/2026/02847</t>
  </si>
  <si>
    <t>PUSDT$/2026/01248</t>
  </si>
  <si>
    <t>FCLIE/2026/02967</t>
  </si>
  <si>
    <t>PUSDT$/2026/01249</t>
  </si>
  <si>
    <t>FCLIE/2026/02968</t>
  </si>
  <si>
    <t>PUSDT$/2026/01188</t>
  </si>
  <si>
    <t>FCLIE/2026/02953</t>
  </si>
  <si>
    <t>PUSDT$/2026/00936</t>
  </si>
  <si>
    <t>FCLIE/2026/02451</t>
  </si>
  <si>
    <t>PBANE$/2026/00038</t>
  </si>
  <si>
    <t>FCLIE/2026/02952</t>
  </si>
  <si>
    <t>PUSDT$/2026/01241</t>
  </si>
  <si>
    <t>FCLIE/2026/02950</t>
  </si>
  <si>
    <t>PCARIB/2026/00424</t>
  </si>
  <si>
    <t>FCLIE/2026/02726</t>
  </si>
  <si>
    <t>PUSDT$/2026/01059</t>
  </si>
  <si>
    <t>FCLIE/2026/02605</t>
  </si>
  <si>
    <t>PCARIB/2026/00363</t>
  </si>
  <si>
    <t>FCLIE/2026/02449</t>
  </si>
  <si>
    <t>PUSDT$/2026/00907</t>
  </si>
  <si>
    <t>FCLIE/2026/02345</t>
  </si>
  <si>
    <t>PCARIB/2026/00367</t>
  </si>
  <si>
    <t>FCLIE/2026/02474</t>
  </si>
  <si>
    <t>PUSDT$/2026/01250</t>
  </si>
  <si>
    <t>PUSDT$/2026/01251</t>
  </si>
  <si>
    <t>FCLIE/2026/02552</t>
  </si>
  <si>
    <t>PUSDT$/2026/01252</t>
  </si>
  <si>
    <t>FCLIE/2026/02225</t>
  </si>
  <si>
    <t>FCLIE/2026/02983</t>
  </si>
  <si>
    <t>PCSH1/2026/00820</t>
  </si>
  <si>
    <t>PCSH1/2026/00821</t>
  </si>
  <si>
    <t>FCLIE/2026/02987</t>
  </si>
  <si>
    <t>PUSDT$/2026/01253</t>
  </si>
  <si>
    <t>PUSDT$/2026/01254</t>
  </si>
  <si>
    <t>FCLIE/2026/02649</t>
  </si>
  <si>
    <t>PCSH1/2026/00822</t>
  </si>
  <si>
    <t>FCLIE/2026/02991</t>
  </si>
  <si>
    <t>PUSDT$/2026/01255</t>
  </si>
  <si>
    <t>FCLIE/2026/02970</t>
  </si>
  <si>
    <t>PREGIO/2026/00272</t>
  </si>
  <si>
    <t>FCLIE/2026/02943</t>
  </si>
  <si>
    <t>PUSDT$/2026/01256</t>
  </si>
  <si>
    <t>FCLIE/2026/02996</t>
  </si>
  <si>
    <t>PUSDT$/2026/01257</t>
  </si>
  <si>
    <t>FCLIE/2026/02978</t>
  </si>
  <si>
    <t>PREGIO/2026/00273</t>
  </si>
  <si>
    <t>PUSDT$/2026/01258</t>
  </si>
  <si>
    <t>FCLIE/2026/02979</t>
  </si>
  <si>
    <t>PUSDT$/2026/01259</t>
  </si>
  <si>
    <t>PUSDT$/2026/01261</t>
  </si>
  <si>
    <t>FCLIE/2026/02984</t>
  </si>
  <si>
    <t>PCARIB/2026/00495</t>
  </si>
  <si>
    <t>FCLIE/2026/02993</t>
  </si>
  <si>
    <t>PBANES/2026/00340</t>
  </si>
  <si>
    <t>FCLIE/2026/02982</t>
  </si>
  <si>
    <t>PCARIB/2026/00496</t>
  </si>
  <si>
    <t>FCLIE/2026/02977</t>
  </si>
  <si>
    <t>PBANES/2026/00305</t>
  </si>
  <si>
    <t>FCLIE/2026/02688</t>
  </si>
  <si>
    <t>PUSDT$/2026/00944</t>
  </si>
  <si>
    <t>FCLIE/2026/02448</t>
  </si>
  <si>
    <t>PCSH1/2026/00823</t>
  </si>
  <si>
    <t>FCLIE/2026/02995</t>
  </si>
  <si>
    <t>PBANES/2026/00339</t>
  </si>
  <si>
    <t>FCLIE/2026/02985</t>
  </si>
  <si>
    <t>PCSH1/2026/00824</t>
  </si>
  <si>
    <t>FCLIE/2026/03000</t>
  </si>
  <si>
    <t>PUSDT$/2026/01262</t>
  </si>
  <si>
    <t>FCLIE/2026/03001</t>
  </si>
  <si>
    <t>PUSDT$/2026/01263</t>
  </si>
  <si>
    <t>FCLIE/2026/02997</t>
  </si>
  <si>
    <t>PUSDT$/2026/01264</t>
  </si>
  <si>
    <t>FCLIE/2026/03004</t>
  </si>
  <si>
    <t>PUSDT$/2026/01265</t>
  </si>
  <si>
    <t>FCLIE/2026/02839</t>
  </si>
  <si>
    <t>PBANES/2026/00341</t>
  </si>
  <si>
    <t>PUSDT$/2026/01266</t>
  </si>
  <si>
    <t>FCLIE/2026/03003</t>
  </si>
  <si>
    <t>PUSDT$/2026/01267</t>
  </si>
  <si>
    <t>FCLIE/2026/02508</t>
  </si>
  <si>
    <t>FCLIE/2026/02537</t>
  </si>
  <si>
    <t>PBNK2/2026/00271</t>
  </si>
  <si>
    <t>FCLIE/2026/02012</t>
  </si>
  <si>
    <t>PUSDT$/2026/01247</t>
  </si>
  <si>
    <t>FCLIE/2026/03005</t>
  </si>
  <si>
    <t>PBNK2/2026/00273</t>
  </si>
  <si>
    <t>PBNK2/2026/00274</t>
  </si>
  <si>
    <t>FCLIE/2026/03006</t>
  </si>
  <si>
    <t>PCARIB/2026/00497</t>
  </si>
  <si>
    <t>FCLIE/2026/03008</t>
  </si>
  <si>
    <t>PUSDT$/2026/01268</t>
  </si>
  <si>
    <t>FCLIE/2026/03009</t>
  </si>
  <si>
    <t>PBANES/2026/00342</t>
  </si>
  <si>
    <t>RFCLIE/2026/00056</t>
  </si>
  <si>
    <t>FCLIE/2026/02356</t>
  </si>
  <si>
    <t>PUSDT$/2026/01269</t>
  </si>
  <si>
    <t>FCLIE/2026/02584</t>
  </si>
  <si>
    <t>FCLIE/2026/02607</t>
  </si>
  <si>
    <t>FCLIE/2026/02628</t>
  </si>
  <si>
    <t>FCLIE/2026/03011</t>
  </si>
  <si>
    <t>FCLIE/2026/02901</t>
  </si>
  <si>
    <t>PUSDT$/2026/01107</t>
  </si>
  <si>
    <t>FCLIE/2026/02699</t>
  </si>
  <si>
    <t>PUSDT$/2026/01076</t>
  </si>
  <si>
    <t>FCLIE/2026/02682</t>
  </si>
  <si>
    <t>PUSDT$/2026/01234</t>
  </si>
  <si>
    <t>FCLIE/2026/02920</t>
  </si>
  <si>
    <t>FCLIE/2026/03035</t>
  </si>
  <si>
    <t>FCLIE/2026/02969</t>
  </si>
  <si>
    <t>FCLIE/2026/03030</t>
  </si>
  <si>
    <t>FCLIE/2026/02928</t>
  </si>
  <si>
    <t>FCLIE/2026/02784</t>
  </si>
  <si>
    <t>PCSH1/2026/00762</t>
  </si>
  <si>
    <t>FCLIE/2026/02044</t>
  </si>
  <si>
    <t>FCLIE/2026/02678</t>
  </si>
  <si>
    <t>PCSH1/2026/00696</t>
  </si>
  <si>
    <t>FCLIE/2026/02372</t>
  </si>
  <si>
    <t>RFCLIE/2026/00058</t>
  </si>
  <si>
    <t>FCLIE/2026/02412</t>
  </si>
  <si>
    <t>FCLIE/2026/02762</t>
  </si>
  <si>
    <t>RFCLIE/2026/00073</t>
  </si>
  <si>
    <t>FCLIE/2026/02795</t>
  </si>
  <si>
    <t>FCLIE/2026/03040</t>
  </si>
  <si>
    <t>FCLIE/2026/01672</t>
  </si>
  <si>
    <t>FCLIE/2026/03124</t>
  </si>
  <si>
    <t>Row Labels</t>
  </si>
  <si>
    <t>Suma de Pago Comision</t>
  </si>
  <si>
    <t>Suma de Pago Gerente</t>
  </si>
  <si>
    <t>https://satpcs.com.co/catalogos/CatalogoPOS_SAT.pdf</t>
  </si>
  <si>
    <t>Grand Total</t>
  </si>
  <si>
    <t>Fecha</t>
  </si>
  <si>
    <t>Numero</t>
  </si>
  <si>
    <t>Cuenta</t>
  </si>
  <si>
    <t>Articulo</t>
  </si>
  <si>
    <t>Costo</t>
  </si>
  <si>
    <t>Utilidad</t>
  </si>
  <si>
    <t>MargenV</t>
  </si>
  <si>
    <t>[PPHP] PAPEL P/ FOTOCOPIADORA BASE 20 HP T/CARTA</t>
  </si>
  <si>
    <t>Profit Plus Administrativo</t>
  </si>
  <si>
    <t>Usuario:</t>
  </si>
  <si>
    <t xml:space="preserve"> SUPRICOM CCS 21, C.A.</t>
  </si>
  <si>
    <t>Página:</t>
  </si>
  <si>
    <t>de</t>
  </si>
  <si>
    <t>R.I.F.:</t>
  </si>
  <si>
    <t>Fecha:</t>
  </si>
  <si>
    <t>* DETALLADO POR FACTURA SUPRICOM</t>
  </si>
  <si>
    <t>Fecha:Desde 01/06/2026 Hasta 30/06/2026;</t>
  </si>
  <si>
    <t>Desc. Cliente</t>
  </si>
  <si>
    <t>Transacción</t>
  </si>
  <si>
    <t xml:space="preserve">Número </t>
  </si>
  <si>
    <t>Base Imponible</t>
  </si>
  <si>
    <t>IVA</t>
  </si>
  <si>
    <t>Descuento</t>
  </si>
  <si>
    <t>Venta Neta</t>
  </si>
  <si>
    <t>Total</t>
  </si>
  <si>
    <t>Saldo</t>
  </si>
  <si>
    <t>FACTURA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</si>
  <si>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</si>
  <si>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</si>
  <si>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</si>
  <si>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</si>
  <si>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</si>
  <si>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</si>
  <si>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</si>
  <si>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</si>
  <si>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</si>
  <si>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</si>
  <si>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001365</t>
  </si>
  <si>
    <t>001364</t>
  </si>
  <si>
    <t>NOTA DE CRÉDITO</t>
  </si>
  <si>
    <t>0000000052</t>
  </si>
  <si>
    <t>001366</t>
  </si>
  <si>
    <t>EQUIP OFFICE COMPUTER'S, C.A.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</si>
  <si>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</si>
  <si>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</si>
  <si>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</si>
  <si>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</si>
  <si>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</si>
  <si>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</si>
  <si>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</si>
  <si>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</si>
  <si>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</si>
  <si>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</si>
  <si>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</si>
  <si>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</si>
  <si>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</si>
  <si>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</si>
  <si>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</si>
  <si>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</si>
  <si>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</si>
  <si>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001384</t>
  </si>
  <si>
    <t>001385</t>
  </si>
  <si>
    <t>001386</t>
  </si>
  <si>
    <t>001387</t>
  </si>
  <si>
    <t>001388</t>
  </si>
  <si>
    <t>001389</t>
  </si>
  <si>
    <t>001390</t>
  </si>
  <si>
    <t>001392</t>
  </si>
  <si>
    <t>001393</t>
  </si>
  <si>
    <t>297583750</t>
  </si>
  <si>
    <t>001391</t>
  </si>
  <si>
    <t>0000000053</t>
  </si>
  <si>
    <t>001394</t>
  </si>
  <si>
    <t>MUNDOFERTA, C.A.</t>
  </si>
  <si>
    <t>001395</t>
  </si>
  <si>
    <t>001396</t>
  </si>
  <si>
    <t>JARL CONSULTORES &amp; ASOCIADOS C.A.</t>
  </si>
  <si>
    <t>001397</t>
  </si>
  <si>
    <t>001398</t>
  </si>
  <si>
    <t>001399</t>
  </si>
  <si>
    <t>001400</t>
  </si>
  <si>
    <t>001401</t>
  </si>
  <si>
    <t>001402</t>
  </si>
  <si>
    <t>001403</t>
  </si>
  <si>
    <t>001404</t>
  </si>
  <si>
    <t>OFFICOMP, C.A.</t>
  </si>
  <si>
    <t>001405</t>
  </si>
  <si>
    <t>001406</t>
  </si>
  <si>
    <t>001407</t>
  </si>
  <si>
    <t>Totales:</t>
  </si>
</sst>
</file>

<file path=xl/styles.xml><?xml version="1.0" encoding="utf-8"?>
<styleSheet xmlns="http://schemas.openxmlformats.org/spreadsheetml/2006/main">
  <numFmts count="14">
    <numFmt numFmtId="176" formatCode="0.000000000"/>
    <numFmt numFmtId="177" formatCode="yyyy\-mm\-dd"/>
    <numFmt numFmtId="178" formatCode="0.000"/>
    <numFmt numFmtId="179" formatCode="[$-F800]dddd\,\ mmmm\ dd\,\ yyyy"/>
    <numFmt numFmtId="180" formatCode="[$$-540A]#,##0.00"/>
    <numFmt numFmtId="181" formatCode="hh:mm:ss\ \a,m,/\p,m,"/>
    <numFmt numFmtId="182" formatCode="#,##0.00_ ;\-#,##0.00\ "/>
    <numFmt numFmtId="183" formatCode="dd\/mm\/yyyy"/>
    <numFmt numFmtId="184" formatCode="#,##0.00\ \%"/>
    <numFmt numFmtId="41" formatCode="_-* #,##0_-;\-* #,##0_-;_-* &quot;-&quot;_-;_-@_-"/>
    <numFmt numFmtId="185" formatCode="dd/mm/yyyy\ hh:mm:ss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38">
    <font>
      <sz val="11"/>
      <name val="Calibri"/>
      <charset val="1"/>
    </font>
    <font>
      <sz val="10"/>
      <color indexed="8"/>
      <name val="Arial"/>
      <charset val="134"/>
    </font>
    <font>
      <sz val="10"/>
      <color indexed="8"/>
      <name val="Arial Narrow"/>
      <charset val="134"/>
    </font>
    <font>
      <sz val="8"/>
      <color indexed="8"/>
      <name val="Arial Narrow"/>
      <charset val="134"/>
    </font>
    <font>
      <b/>
      <sz val="10"/>
      <color indexed="8"/>
      <name val="Arial Narrow"/>
      <charset val="134"/>
    </font>
    <font>
      <sz val="8"/>
      <color rgb="FF282828"/>
      <name val="Tahoma"/>
      <charset val="134"/>
    </font>
    <font>
      <sz val="8"/>
      <color rgb="FF000000"/>
      <name val="Tahoma"/>
      <charset val="134"/>
    </font>
    <font>
      <u/>
      <sz val="8"/>
      <color rgb="FF0000FF"/>
      <name val="Tahoma"/>
      <charset val="134"/>
    </font>
    <font>
      <u/>
      <sz val="8"/>
      <color rgb="FF000000"/>
      <name val="Tahoma"/>
      <charset val="134"/>
    </font>
    <font>
      <u/>
      <sz val="11"/>
      <color theme="10"/>
      <name val="Calibri"/>
      <charset val="134"/>
    </font>
    <font>
      <sz val="9"/>
      <color rgb="FF282828"/>
      <name val="Tahoma"/>
      <charset val="134"/>
    </font>
    <font>
      <sz val="11"/>
      <name val="Calibri"/>
      <charset val="1"/>
    </font>
    <font>
      <sz val="11"/>
      <name val="Calibri"/>
      <charset val="134"/>
    </font>
    <font>
      <sz val="11"/>
      <color theme="1"/>
      <name val="Calibri"/>
      <charset val="134"/>
    </font>
    <font>
      <b/>
      <sz val="8"/>
      <name val="Calibri"/>
      <charset val="134"/>
    </font>
    <font>
      <b/>
      <sz val="11"/>
      <name val="Calibri"/>
      <charset val="134"/>
    </font>
    <font>
      <u/>
      <sz val="11"/>
      <name val="Calibri"/>
      <charset val="134"/>
    </font>
    <font>
      <sz val="8"/>
      <color rgb="FF1E395B"/>
      <name val="Tahoma"/>
      <charset val="134"/>
    </font>
    <font>
      <sz val="8"/>
      <color rgb="FF3B3B3B"/>
      <name val="Tahoma"/>
      <charset val="134"/>
    </font>
    <font>
      <sz val="11"/>
      <color theme="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theme="1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u/>
      <sz val="11"/>
      <color rgb="FF800080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2F6FB"/>
        <bgColor rgb="FFF2F6FB"/>
      </patternFill>
    </fill>
    <fill>
      <patternFill patternType="solid">
        <fgColor rgb="FFFBFBF3"/>
        <bgColor rgb="FFFBFBF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FE9F5"/>
        <bgColor rgb="FFDFE9F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12" fillId="0" borderId="0"/>
    <xf numFmtId="0" fontId="19" fillId="41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" fillId="0" borderId="0">
      <alignment vertical="top"/>
    </xf>
    <xf numFmtId="0" fontId="29" fillId="4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28" fillId="17" borderId="16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2" fillId="30" borderId="19" applyNumberFormat="0" applyFon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17" borderId="14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9" fontId="12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20">
      <alignment vertical="top"/>
    </xf>
    <xf numFmtId="0" fontId="2" fillId="0" borderId="0" xfId="20" applyFont="1" applyAlignment="1">
      <alignment horizontal="left" vertical="top" wrapText="1" readingOrder="1"/>
    </xf>
    <xf numFmtId="0" fontId="3" fillId="0" borderId="0" xfId="20" applyFont="1" applyAlignment="1">
      <alignment horizontal="left" vertical="top"/>
    </xf>
    <xf numFmtId="0" fontId="2" fillId="0" borderId="0" xfId="20" applyFont="1" applyAlignment="1">
      <alignment horizontal="left" vertical="top"/>
    </xf>
    <xf numFmtId="0" fontId="2" fillId="0" borderId="0" xfId="20" applyFont="1" applyAlignment="1">
      <alignment horizontal="center" vertical="top"/>
    </xf>
    <xf numFmtId="0" fontId="2" fillId="0" borderId="0" xfId="20" applyFont="1" applyAlignment="1">
      <alignment horizontal="center" vertical="top" wrapText="1"/>
    </xf>
    <xf numFmtId="183" fontId="3" fillId="0" borderId="0" xfId="20" applyNumberFormat="1" applyFont="1" applyAlignment="1">
      <alignment horizontal="left" vertical="top"/>
    </xf>
    <xf numFmtId="0" fontId="2" fillId="0" borderId="0" xfId="20" applyFont="1" applyAlignment="1">
      <alignment horizontal="right" vertical="top" wrapText="1" readingOrder="1"/>
    </xf>
    <xf numFmtId="4" fontId="3" fillId="0" borderId="0" xfId="20" applyNumberFormat="1" applyFont="1" applyAlignment="1">
      <alignment horizontal="right" vertical="top"/>
    </xf>
    <xf numFmtId="0" fontId="2" fillId="0" borderId="0" xfId="20" applyFont="1" applyAlignment="1">
      <alignment horizontal="right" vertical="top"/>
    </xf>
    <xf numFmtId="3" fontId="2" fillId="0" borderId="0" xfId="20" applyNumberFormat="1" applyFont="1" applyAlignment="1">
      <alignment horizontal="right" vertical="top"/>
    </xf>
    <xf numFmtId="183" fontId="2" fillId="0" borderId="0" xfId="20" applyNumberFormat="1" applyFont="1" applyAlignment="1">
      <alignment horizontal="left" vertical="top"/>
    </xf>
    <xf numFmtId="181" fontId="3" fillId="0" borderId="0" xfId="20" applyNumberFormat="1" applyFont="1" applyAlignment="1">
      <alignment horizontal="right" vertical="top"/>
    </xf>
    <xf numFmtId="0" fontId="4" fillId="0" borderId="0" xfId="20" applyFont="1" applyAlignment="1">
      <alignment horizontal="right" vertical="top" wrapText="1" readingOrder="1"/>
    </xf>
    <xf numFmtId="4" fontId="2" fillId="0" borderId="0" xfId="20" applyNumberFormat="1" applyFont="1" applyAlignment="1">
      <alignment horizontal="righ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58" fontId="6" fillId="3" borderId="3" xfId="0" applyNumberFormat="1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right" vertical="top" wrapText="1"/>
    </xf>
    <xf numFmtId="0" fontId="7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58" fontId="6" fillId="4" borderId="3" xfId="0" applyNumberFormat="1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right" vertical="top" wrapText="1"/>
    </xf>
    <xf numFmtId="0" fontId="7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4" fontId="6" fillId="3" borderId="3" xfId="0" applyNumberFormat="1" applyFont="1" applyFill="1" applyBorder="1" applyAlignment="1">
      <alignment horizontal="right" vertical="top" wrapText="1"/>
    </xf>
    <xf numFmtId="4" fontId="6" fillId="4" borderId="3" xfId="0" applyNumberFormat="1" applyFont="1" applyFill="1" applyBorder="1" applyAlignment="1">
      <alignment horizontal="right" vertical="top" wrapText="1"/>
    </xf>
    <xf numFmtId="4" fontId="6" fillId="3" borderId="3" xfId="0" applyNumberFormat="1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184" fontId="6" fillId="3" borderId="3" xfId="0" applyNumberFormat="1" applyFont="1" applyFill="1" applyBorder="1" applyAlignment="1">
      <alignment horizontal="right" vertical="top" wrapText="1"/>
    </xf>
    <xf numFmtId="184" fontId="6" fillId="4" borderId="3" xfId="0" applyNumberFormat="1" applyFont="1" applyFill="1" applyBorder="1" applyAlignment="1">
      <alignment horizontal="right" vertical="top" wrapText="1"/>
    </xf>
    <xf numFmtId="4" fontId="6" fillId="3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182" fontId="0" fillId="0" borderId="0" xfId="0" applyNumberFormat="1"/>
    <xf numFmtId="0" fontId="9" fillId="0" borderId="0" xfId="50"/>
    <xf numFmtId="0" fontId="0" fillId="5" borderId="0" xfId="0" applyFill="1"/>
    <xf numFmtId="179" fontId="0" fillId="0" borderId="0" xfId="0" applyNumberFormat="1"/>
    <xf numFmtId="58" fontId="0" fillId="0" borderId="0" xfId="0" applyNumberFormat="1"/>
    <xf numFmtId="58" fontId="0" fillId="0" borderId="0" xfId="0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178" fontId="0" fillId="0" borderId="0" xfId="0" applyNumberFormat="1"/>
    <xf numFmtId="0" fontId="10" fillId="2" borderId="2" xfId="0" applyFont="1" applyFill="1" applyBorder="1" applyAlignment="1">
      <alignment horizontal="left" vertical="top" wrapText="1"/>
    </xf>
    <xf numFmtId="4" fontId="0" fillId="0" borderId="0" xfId="0" applyNumberFormat="1" applyAlignment="1">
      <alignment wrapText="1"/>
    </xf>
    <xf numFmtId="179" fontId="10" fillId="2" borderId="2" xfId="0" applyNumberFormat="1" applyFont="1" applyFill="1" applyBorder="1" applyAlignment="1">
      <alignment horizontal="left" vertical="top" wrapText="1"/>
    </xf>
    <xf numFmtId="177" fontId="0" fillId="0" borderId="0" xfId="0" applyNumberFormat="1" applyAlignment="1">
      <alignment wrapText="1"/>
    </xf>
    <xf numFmtId="58" fontId="10" fillId="2" borderId="4" xfId="0" applyNumberFormat="1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right" vertical="top" wrapText="1"/>
    </xf>
    <xf numFmtId="185" fontId="5" fillId="0" borderId="0" xfId="0" applyNumberFormat="1" applyFont="1" applyAlignment="1">
      <alignment horizontal="right" vertical="top" wrapText="1"/>
    </xf>
    <xf numFmtId="1" fontId="0" fillId="0" borderId="0" xfId="0" applyNumberFormat="1" applyAlignment="1">
      <alignment horizontal="right"/>
    </xf>
    <xf numFmtId="1" fontId="10" fillId="2" borderId="2" xfId="0" applyNumberFormat="1" applyFont="1" applyFill="1" applyBorder="1" applyAlignment="1">
      <alignment horizontal="left" vertical="top" wrapText="1"/>
    </xf>
    <xf numFmtId="2" fontId="10" fillId="2" borderId="2" xfId="0" applyNumberFormat="1" applyFont="1" applyFill="1" applyBorder="1" applyAlignment="1">
      <alignment horizontal="left" vertical="top" wrapText="1"/>
    </xf>
    <xf numFmtId="178" fontId="10" fillId="2" borderId="2" xfId="0" applyNumberFormat="1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top" wrapText="1"/>
    </xf>
    <xf numFmtId="0" fontId="11" fillId="0" borderId="0" xfId="0" applyFont="1"/>
    <xf numFmtId="2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76" fontId="0" fillId="0" borderId="0" xfId="0" applyNumberFormat="1"/>
    <xf numFmtId="1" fontId="0" fillId="6" borderId="0" xfId="0" applyNumberFormat="1" applyFill="1" applyAlignment="1">
      <alignment horizontal="right"/>
    </xf>
    <xf numFmtId="0" fontId="13" fillId="0" borderId="0" xfId="0" applyFont="1"/>
    <xf numFmtId="2" fontId="0" fillId="6" borderId="0" xfId="0" applyNumberFormat="1" applyFill="1"/>
    <xf numFmtId="0" fontId="14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4" borderId="6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0" fillId="0" borderId="5" xfId="0" applyBorder="1"/>
    <xf numFmtId="2" fontId="0" fillId="0" borderId="5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5" borderId="7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6" fillId="0" borderId="0" xfId="0" applyFont="1"/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0" fontId="15" fillId="5" borderId="0" xfId="0" applyFont="1" applyFill="1" applyAlignment="1">
      <alignment horizontal="center"/>
    </xf>
    <xf numFmtId="3" fontId="17" fillId="8" borderId="8" xfId="0" applyNumberFormat="1" applyFont="1" applyFill="1" applyBorder="1" applyAlignment="1">
      <alignment horizontal="right" vertical="top" wrapText="1"/>
    </xf>
    <xf numFmtId="4" fontId="18" fillId="8" borderId="8" xfId="0" applyNumberFormat="1" applyFont="1" applyFill="1" applyBorder="1" applyAlignment="1">
      <alignment horizontal="right" vertical="top" wrapText="1"/>
    </xf>
    <xf numFmtId="4" fontId="17" fillId="8" borderId="8" xfId="0" applyNumberFormat="1" applyFont="1" applyFill="1" applyBorder="1" applyAlignment="1">
      <alignment horizontal="right" vertical="top" wrapText="1"/>
    </xf>
    <xf numFmtId="178" fontId="0" fillId="0" borderId="0" xfId="0" applyNumberFormat="1" applyAlignment="1">
      <alignment horizontal="right"/>
    </xf>
    <xf numFmtId="3" fontId="17" fillId="8" borderId="0" xfId="0" applyNumberFormat="1" applyFont="1" applyFill="1" applyAlignment="1">
      <alignment horizontal="right" vertical="top" wrapText="1"/>
    </xf>
    <xf numFmtId="4" fontId="17" fillId="8" borderId="0" xfId="0" applyNumberFormat="1" applyFont="1" applyFill="1" applyAlignment="1">
      <alignment horizontal="right" vertical="top" wrapText="1"/>
    </xf>
    <xf numFmtId="0" fontId="17" fillId="9" borderId="1" xfId="0" applyFont="1" applyFill="1" applyBorder="1" applyAlignment="1">
      <alignment horizontal="left" vertical="top" wrapText="1"/>
    </xf>
    <xf numFmtId="0" fontId="17" fillId="9" borderId="2" xfId="0" applyFont="1" applyFill="1" applyBorder="1" applyAlignment="1">
      <alignment horizontal="left" vertical="top" wrapText="1"/>
    </xf>
    <xf numFmtId="0" fontId="17" fillId="9" borderId="4" xfId="0" applyFont="1" applyFill="1" applyBorder="1" applyAlignment="1">
      <alignment horizontal="left" vertical="top" wrapText="1"/>
    </xf>
    <xf numFmtId="0" fontId="7" fillId="3" borderId="3" xfId="1" applyFont="1" applyFill="1" applyBorder="1" applyAlignment="1">
      <alignment horizontal="left" vertical="top" wrapText="1"/>
    </xf>
    <xf numFmtId="0" fontId="6" fillId="3" borderId="3" xfId="1" applyFont="1" applyFill="1" applyBorder="1" applyAlignment="1">
      <alignment horizontal="left" vertical="top" wrapText="1"/>
    </xf>
    <xf numFmtId="0" fontId="6" fillId="3" borderId="3" xfId="1" applyFont="1" applyFill="1" applyBorder="1" applyAlignment="1">
      <alignment horizontal="right" vertical="top" wrapText="1"/>
    </xf>
    <xf numFmtId="0" fontId="7" fillId="4" borderId="3" xfId="1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58" fontId="0" fillId="0" borderId="7" xfId="0" applyNumberFormat="1" applyBorder="1"/>
    <xf numFmtId="4" fontId="0" fillId="0" borderId="0" xfId="0" applyNumberFormat="1"/>
    <xf numFmtId="2" fontId="0" fillId="10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178" fontId="0" fillId="10" borderId="0" xfId="0" applyNumberFormat="1" applyFill="1" applyAlignment="1">
      <alignment horizontal="center"/>
    </xf>
    <xf numFmtId="3" fontId="0" fillId="0" borderId="0" xfId="0" applyNumberFormat="1"/>
    <xf numFmtId="0" fontId="12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11" borderId="0" xfId="0" applyFill="1"/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0" fontId="0" fillId="0" borderId="0" xfId="49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3" borderId="3" xfId="0" applyFont="1" applyFill="1" applyBorder="1" applyAlignment="1">
      <alignment horizontal="right" vertical="top" wrapText="1"/>
    </xf>
    <xf numFmtId="0" fontId="11" fillId="0" borderId="0" xfId="0" applyFont="1" applyAlignment="1">
      <alignment wrapText="1"/>
    </xf>
    <xf numFmtId="0" fontId="6" fillId="3" borderId="3" xfId="0" applyNumberFormat="1" applyFont="1" applyFill="1" applyBorder="1" applyAlignment="1">
      <alignment horizontal="right" vertical="top" wrapText="1"/>
    </xf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Normal 3" xfId="20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dxfs count="73"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numFmt numFmtId="180" formatCode="[$$-540A]#,##0.00"/>
    </dxf>
    <dxf>
      <numFmt numFmtId="4" formatCode="#,##0.00"/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ahoma"/>
        <scheme val="none"/>
        <charset val="1"/>
        <sz val="8"/>
        <color rgb="FF1E395B"/>
      </font>
      <numFmt numFmtId="3" formatCode="#,##0"/>
      <fill>
        <patternFill patternType="solid">
          <fgColor rgb="FFFFFFFF"/>
          <bgColor rgb="FFFFFFFF"/>
        </patternFill>
      </fill>
      <alignment horizontal="right" vertical="top" wrapText="1"/>
      <border>
        <left/>
        <right/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sz val="8"/>
        <color rgb="FF1E395B"/>
      </font>
      <numFmt numFmtId="4" formatCode="#,##0.00"/>
      <fill>
        <patternFill patternType="solid">
          <fgColor rgb="FFFFFFFF"/>
          <bgColor rgb="FFFFFFFF"/>
        </patternFill>
      </fill>
      <alignment horizontal="right" vertical="top" wrapText="1"/>
      <border>
        <left/>
        <right/>
        <top style="thin">
          <color rgb="FFA0A0A0"/>
        </top>
        <bottom style="thin">
          <color rgb="FFA0A0A0"/>
        </bottom>
      </border>
    </dxf>
    <dxf>
      <numFmt numFmtId="2" formatCode="0.00"/>
    </dxf>
    <dxf>
      <numFmt numFmtId="1" formatCode="0"/>
    </dxf>
    <dxf>
      <numFmt numFmtId="2" formatCode="0.00"/>
      <alignment horizontal="center"/>
    </dxf>
    <dxf>
      <numFmt numFmtId="2" formatCode="0.00"/>
      <fill>
        <patternFill patternType="none"/>
      </fill>
    </dxf>
    <dxf>
      <numFmt numFmtId="2" formatCode="0.00"/>
      <fill>
        <patternFill patternType="solid">
          <bgColor theme="2"/>
        </patternFill>
      </fill>
      <alignment horizontal="center"/>
    </dxf>
    <dxf>
      <numFmt numFmtId="2" formatCode="0.00"/>
      <fill>
        <patternFill patternType="solid">
          <bgColor theme="2"/>
        </patternFill>
      </fill>
      <alignment horizontal="center"/>
    </dxf>
    <dxf>
      <numFmt numFmtId="2" formatCode="0.00"/>
      <fill>
        <patternFill patternType="solid">
          <bgColor theme="2"/>
        </patternFill>
      </fill>
      <alignment horizontal="center"/>
    </dxf>
    <dxf>
      <font>
        <name val="Tahoma"/>
        <scheme val="none"/>
        <family val="2"/>
        <b val="0"/>
        <i val="0"/>
        <strike val="0"/>
        <u val="single"/>
        <sz val="8"/>
        <color rgb="FF0000FF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fill>
        <patternFill patternType="solid">
          <fgColor rgb="FFFBFBF3"/>
          <bgColor rgb="FFFBFBF3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right"/>
    </dxf>
    <dxf>
      <numFmt numFmtId="180" formatCode="[$$-540A]#,##0.00"/>
      <alignment horizontal="right"/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single"/>
        <sz val="8"/>
        <color rgb="FF0000FF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single"/>
        <sz val="8"/>
        <color rgb="FF0000FF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177" formatCode="yyyy\-mm\-dd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family val="2"/>
        <b val="0"/>
        <i val="0"/>
        <strike val="0"/>
        <u val="none"/>
        <sz val="8"/>
        <color rgb="FF000000"/>
      </font>
      <numFmt numFmtId="177" formatCode="yyyy\-mm\-dd"/>
      <fill>
        <patternFill patternType="solid">
          <fgColor rgb="FFFBFBF3"/>
          <bgColor rgb="FFFBFBF3"/>
        </patternFill>
      </fill>
      <alignment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282828"/>
      </font>
      <numFmt numFmtId="185" formatCode="dd/mm/yyyy\ hh:mm:ss"/>
      <fill>
        <patternFill patternType="none"/>
      </fill>
      <alignment horizontal="right" vertical="top" wrapText="1"/>
    </dxf>
    <dxf>
      <font>
        <name val="Tahoma"/>
        <scheme val="none"/>
        <charset val="1"/>
        <b val="0"/>
        <i val="0"/>
        <strike val="0"/>
        <u val="none"/>
        <sz val="8"/>
        <color rgb="FF282828"/>
      </font>
      <numFmt numFmtId="185" formatCode="dd/mm/yyyy\ hh:mm:ss"/>
      <fill>
        <patternFill patternType="none"/>
      </fill>
      <alignment horizontal="right" vertical="top" wrapText="1"/>
    </dxf>
    <dxf>
      <numFmt numFmtId="1" formatCode="0"/>
      <fill>
        <patternFill patternType="none"/>
      </fill>
      <alignment horizontal="right"/>
    </dxf>
    <dxf>
      <numFmt numFmtId="1" formatCode="0"/>
    </dxf>
    <dxf>
      <numFmt numFmtId="1" formatCode="0"/>
      <fill>
        <patternFill patternType="none"/>
      </fill>
    </dxf>
    <dxf>
      <numFmt numFmtId="1" formatCode="0"/>
    </dxf>
    <dxf>
      <numFmt numFmtId="1" formatCode="0"/>
    </dxf>
    <dxf>
      <fill>
        <patternFill patternType="none"/>
      </fill>
    </dxf>
    <dxf>
      <fill>
        <patternFill patternType="none"/>
      </fill>
    </dxf>
    <dxf>
      <numFmt numFmtId="2" formatCode="0.00"/>
      <fill>
        <patternFill patternType="none"/>
      </fill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single"/>
        <sz val="8"/>
        <color rgb="FF0000FF"/>
      </font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single"/>
        <sz val="8"/>
        <color rgb="FF0000FF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single"/>
        <sz val="8"/>
        <color rgb="FF000000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single"/>
        <sz val="8"/>
        <color rgb="FF0000FF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single"/>
        <sz val="8"/>
        <color rgb="FF000000"/>
      </font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184" formatCode="#,##0.00\ \%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Tahoma"/>
        <scheme val="none"/>
        <charset val="1"/>
        <b val="0"/>
        <i val="0"/>
        <strike val="0"/>
        <u val="none"/>
        <sz val="8"/>
        <color rgb="FF000000"/>
      </font>
      <numFmt numFmtId="4" formatCode="#,##0.00"/>
      <fill>
        <patternFill patternType="solid">
          <fgColor rgb="FFF2F6FB"/>
          <bgColor rgb="FFF2F6FB"/>
        </patternFill>
      </fill>
      <alignment horizontal="right" vertical="top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66675</xdr:colOff>
      <xdr:row>6</xdr:row>
      <xdr:rowOff>180975</xdr:rowOff>
    </xdr:to>
    <xdr:pic>
      <xdr:nvPicPr>
        <xdr:cNvPr id="2" name="Picture -76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" y="0"/>
          <a:ext cx="1035050" cy="9144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41.7975663194" refreshedBy="Antonella Zampetti" recordCount="1048">
  <cacheSource type="worksheet">
    <worksheetSource name="Cobros"/>
  </cacheSource>
  <cacheFields count="24">
    <cacheField name="Tipo Abono" numFmtId="4"/>
    <cacheField name="Doc Abono" numFmtId="4">
      <sharedItems containsNumber="1" containsInteger="1" containsMixedTypes="1" count="6766">
        <s v="PUSDT$/2026/00825"/>
        <s v="PUSDT$/2026/00827"/>
        <s v="PUSDT$/2026/00828"/>
        <s v="PUSDT$/2026/00830"/>
        <s v="PUSDT$/2026/00832"/>
        <s v="PUSDT$/2026/00833"/>
        <s v="PCSH1/2026/00656"/>
        <s v="PUSDT$/2026/00834"/>
        <s v="PUSDT$/2026/00835"/>
        <s v="PCSH1/2026/00657"/>
        <s v="PCARIB/2026/00330"/>
        <s v="PCSH1/2026/00658"/>
        <s v="PUSDT$/2026/00836"/>
        <s v="PUSDT$/2026/00837"/>
        <s v="PUSDT$/2026/00838"/>
        <s v="PUSDT$/2026/00839"/>
        <s v="PCSH1/2026/00659"/>
        <s v="PBANES/2026/00243"/>
        <s v="PUSDT$/2026/00841"/>
        <s v="PUSDT$/2026/00840"/>
        <s v="PUSDT$/2026/00844"/>
        <s v="PUSDT$/2026/00843"/>
        <s v="PUSDT$/2026/00849"/>
        <s v="PCSH1/2026/00660"/>
        <s v="PUSDT$/2026/00850"/>
        <s v="RFCLIE/2026/00055"/>
        <s v="PCSH1/2026/00661"/>
        <s v="PCSH1/2026/00662"/>
        <s v="PCARIB/2026/00334"/>
        <s v="PREGIO/2026/00201"/>
        <s v="PREGIO/2026/00202"/>
        <s v="PREGIO/2026/00203"/>
        <s v="PUSDT$/2026/00854"/>
        <s v="PUSDT$/2026/00855"/>
        <s v="PCSH1/2026/00663"/>
        <s v="PUSDT$/2026/00856"/>
        <s v="PUSDT$/2026/00857"/>
        <s v="PUSDT$/2026/00859"/>
        <s v="PBNK2/2026/00218"/>
        <s v="PUSDT$/2026/00860"/>
        <s v="PUSDT$/2026/00861"/>
        <s v="PBANE$/2026/00032"/>
        <s v="PCSH1/2026/00665"/>
        <s v="PUSDT$/2026/00851"/>
        <s v="PCARIB/2026/00337"/>
        <s v="PUSDT$/2026/00862"/>
        <s v="PUSDT$/2026/00864"/>
        <s v="PBANES/2026/00245"/>
        <s v="PBANES/2026/00246"/>
        <s v="PUSDT$/2026/00847"/>
        <s v="PBANES/2026/00247"/>
        <s v="PBANES/2026/00248"/>
        <s v="PCSH1/2026/00669"/>
        <s v="PCSH1/2026/00670"/>
        <s v="PCSH1/2026/00671"/>
        <s v="PUSDT$/2026/00865"/>
        <s v="PUSDT$/2026/00870"/>
        <s v="PUSDT$/2026/00871"/>
        <s v="PUSDT$/2026/00872"/>
        <s v="PUSDT$/2026/00873"/>
        <s v="PREGIO/2026/00204"/>
        <s v="PREGIO/2026/00205"/>
        <s v="PREGIO/2026/00206"/>
        <s v="PUSDT$/2026/00874"/>
        <s v="PUSDT$/2026/00875"/>
        <s v="PCSH1/2026/00672"/>
        <s v="PUSDT$/2026/00876"/>
        <s v="PUSDT$/2026/00877"/>
        <s v="PCARIB/2026/00340"/>
        <s v="PUSDT$/2026/00878"/>
        <s v="PUSDT$/2026/00879"/>
        <s v="PCSH1/2026/00673"/>
        <s v="PCSH1/2026/00674"/>
        <s v="PCARIB/2026/00341"/>
        <s v="PCSH1/2026/00668"/>
        <s v="PCSH1/2026/00675"/>
        <s v="PCSH1/2026/00676"/>
        <s v="PCSH1/2026/00677"/>
        <s v="PCSH1/2026/00678"/>
        <s v="PCSH1/2026/00679"/>
        <s v="PUSDT$/2026/00881"/>
        <s v="PUSDT$/2026/00882"/>
        <s v="PUSDT$/2026/00883"/>
        <s v="PUSDT$/2026/00884"/>
        <s v="PUSDT$/2026/00885"/>
        <s v="PCSH1/2026/00681"/>
        <s v="PUSDT$/2026/00886"/>
        <s v="PUSDT$/2026/00887"/>
        <s v="PUSDT$/2026/00888"/>
        <s v="PUSDT$/2026/00889"/>
        <s v="PUSDT$/2026/00890"/>
        <s v="PUSDT$/2026/00891"/>
        <s v="PUSDT$/2026/00892"/>
        <s v="PUSDT$/2026/00893"/>
        <s v="PUSDT$/2026/00894"/>
        <s v="PUSDT$/2026/00895"/>
        <s v="PUSDT$/2026/00896"/>
        <s v="PUSDT$/2026/00897"/>
        <s v="PUSDT$/2026/00898"/>
        <s v="PUSDT$/2026/00899"/>
        <s v="PUSDT$/2026/00900"/>
        <s v="PUSDT$/2026/00901"/>
        <s v="PUSDT$/2026/00902"/>
        <s v="PCSH1/2026/00680"/>
        <s v="PUSDT$/2026/00903"/>
        <s v="PUSDT$/2026/00904"/>
        <s v="PCSH1/2026/00682"/>
        <s v="PCSH1/2026/00684"/>
        <s v="PUSDT$/2026/00905"/>
        <s v="PBANE$/2026/00033"/>
        <s v="PCARIB/2026/00342"/>
        <s v="PCARIB/2026/00343"/>
        <s v="PBANES/2026/00252"/>
        <s v="PCARIB/2026/00344"/>
        <s v="PBANES/2026/00251"/>
        <s v="PBANE$/2026/00031"/>
        <s v="PCARIB/2026/00333"/>
        <s v="PUSDT$/2026/00906"/>
        <s v="PUSDT$/2026/00842"/>
        <s v="PUSDT$/2026/00908"/>
        <s v="PUSDT$/2026/00909"/>
        <s v="PUSDT$/2026/00910"/>
        <s v="PCSH1/2026/00685"/>
        <s v="PUSDT$/2026/00911"/>
        <s v="PUSDT$/2026/00912"/>
        <s v="PUSDT$/2026/00913"/>
        <s v="PUSDT$/2026/00914"/>
        <s v="PCARIB/2026/00345"/>
        <s v="PUSDT$/2026/00915"/>
        <s v="PUSDT$/2026/00916"/>
        <s v="PUSDT$/2026/00917"/>
        <s v="PCSH1/2026/00688"/>
        <s v="PUSDT$/2026/00919"/>
        <s v="PUSDT$/2026/00920"/>
        <s v="PUSDT$/2026/00921"/>
        <s v="PUSDT$/2026/00922"/>
        <s v="PUSDT$/2026/00923"/>
        <s v="PCSH1/2026/00689"/>
        <s v="PCSH1/2026/00690"/>
        <s v="PUSDT$/2026/00924"/>
        <s v="PUSDT$/2026/00927"/>
        <s v="PUSDT$/2026/00929"/>
        <s v="PCSH1/2026/00691"/>
        <s v="PUSDT$/2026/00846"/>
        <s v="PBANE$/2026/00034"/>
        <s v="PCARIB/2026/00348"/>
        <s v="PBANES/2026/00254"/>
        <s v="PCSH1/2026/00693"/>
        <s v="PUSDT$/2026/00932"/>
        <s v="PREGIO/2026/00211"/>
        <s v="PREGIO/2026/00209"/>
        <s v="PREGIO/2026/00210"/>
        <s v="PREGIO/2026/00212"/>
        <s v="PUSDT$/2026/00933"/>
        <s v="PUSDT$/2026/00931"/>
        <s v="PREGIO/2026/00213"/>
        <s v="PUSDT$/2026/00935"/>
        <s v="PCSH1/2026/00695"/>
        <s v="PUSDT$/2026/00937"/>
        <s v="PUSDT$/2026/00938"/>
        <s v="PUSDT$/2026/00858"/>
        <s v="PCSH1/2026/00697"/>
        <s v="PCARIB/2026/00352"/>
        <s v="PCARIB/2026/00353"/>
        <s v="PCARIB/2026/00354"/>
        <s v="PCARIB/2026/00355"/>
        <s v="PBANES/2026/00266"/>
        <s v="PCSH1/2026/00698"/>
        <s v="PCSH1/2026/00700"/>
        <s v="PUSDT$/2026/00940"/>
        <s v="PUSDT$/2026/00941"/>
        <s v="PUSDT$/2026/00942"/>
        <s v="PUSDT$/2026/00943"/>
        <s v="PUSDT$/2026/00945"/>
        <s v="PUSDT$/2026/00946"/>
        <s v="PUSDT$/2026/00947"/>
        <s v="PUSDT$/2026/00948"/>
        <s v="PUSDT$/2026/00949"/>
        <s v="PBANES/2026/00267"/>
        <s v="PCARIB/2026/00357"/>
        <s v="PCARIB/2026/00358"/>
        <s v="PCARIB/2026/00359"/>
        <s v="PCARIB/2026/00360"/>
        <s v="PCARIB/2026/00361"/>
        <s v="PBNK2/2026/00220"/>
        <s v="PUSDT$/2026/00950"/>
        <s v="PUSDT$/2026/00951"/>
        <s v="PUSDT$/2026/00863"/>
        <s v="PUSDT$/2026/00952"/>
        <s v="PUSDT$/2026/00953"/>
        <s v="PUSDT$/2026/00954"/>
        <s v="PUSDT$/2026/00955"/>
        <s v="PUSDT$/2026/00956"/>
        <s v="PUSDT$/2026/00957"/>
        <s v="PUSDT$/2026/00958"/>
        <s v="PUSDT$/2026/00959"/>
        <s v="PUSDT$/2026/00960"/>
        <s v="PUSDT$/2026/00961"/>
        <s v="PREGIO/2026/00214"/>
        <s v="PREGIO/2026/00215"/>
        <s v="PUSDT$/2026/00963"/>
        <s v="PUSDT$/2026/00964"/>
        <s v="PUSDT$/2026/00965"/>
        <s v="PUSDT$/2026/00966"/>
        <s v="PUSDT$/2026/00967"/>
        <s v="PCSH1/2026/00701"/>
        <s v="PBANES/2026/00268"/>
        <s v="PCSH1/2026/00704"/>
        <s v="PUSDT$/2026/00866"/>
        <s v="PUSDT$/2026/00969"/>
        <s v="PCARIB/2026/00332"/>
        <s v="PUSDT$/2026/00829"/>
        <s v="PUSDT$/2026/00867"/>
        <s v="PCSH1/2026/00707"/>
        <s v="PCSH1/2026/00708"/>
        <s v="PUSDT$/2026/00970"/>
        <s v="PUSDT$/2026/00971"/>
        <s v="PUSDT$/2026/00972"/>
        <s v="PUSDT$/2026/00973"/>
        <s v="PUSDT$/2026/00974"/>
        <s v="PUSDT$/2026/00975"/>
        <s v="PCARIB/2026/00362"/>
        <s v="PUSDT$/2026/00976"/>
        <s v="PUSDT$/2026/00977"/>
        <s v="PUSDT$/2026/00978"/>
        <s v="PUSDT$/2026/00979"/>
        <s v="PUSDT$/2026/00980"/>
        <s v="PUSDT$/2026/00981"/>
        <s v="PUSDT$/2026/00982"/>
        <s v="PUSDT$/2026/00983"/>
        <s v="PUSDT$/2026/00985"/>
        <s v="PCSH1/2026/00709"/>
        <s v="PUSDT$/2026/00986"/>
        <s v="PBANES/2026/00273"/>
        <s v="PCARIB/2026/00364"/>
        <s v="PBANES/2026/00250"/>
        <s v="PUSDT$/2026/00987"/>
        <s v="PBNK2/2026/00225"/>
        <s v="PBNK2/2026/00226"/>
        <s v="PBNK2/2026/00227"/>
        <s v="PBNK2/2026/00228"/>
        <s v="PREGIO/2026/00217"/>
        <s v="PREGIO/2026/00218"/>
        <s v="PREGIO/2026/00219"/>
        <s v="PREGIO/2026/00220"/>
        <s v="PREGIO/2026/00221"/>
        <s v="PBANES/2026/00277"/>
        <s v="PBANES/2026/00274"/>
        <s v="PBANES/2026/00272"/>
        <s v="PUSDT$/2026/00988"/>
        <s v="PUSDT$/2026/00989"/>
        <s v="PCSH1/2026/00711"/>
        <s v="PUSDT$/2026/00990"/>
        <s v="PUSDT$/2026/00991"/>
        <s v="PUSDT$/2026/00992"/>
        <s v="PUSDT$/2026/00993"/>
        <s v="PCARIB/2026/00365"/>
        <s v="PCARIB/2026/00366"/>
        <s v="PBANES/2026/00279"/>
        <s v="PCARIB/2026/00368"/>
        <s v="PCSH1/2026/00714"/>
        <s v="PUSDT$/2026/00994"/>
        <s v="PUSDT$/2026/00995"/>
        <s v="PUSDT$/2026/00996"/>
        <s v="PUSDT$/2026/00997"/>
        <s v="PUSDT$/2026/00998"/>
        <s v="PUSDT$/2026/00999"/>
        <s v="PBANES/2026/00280"/>
        <s v="PBANES/2026/00281"/>
        <s v="PBANES/2026/00282"/>
        <s v="PCARIB/2026/00369"/>
        <s v="PCARIB/2026/00370"/>
        <s v="PCARIB/2026/00371"/>
        <s v="PUSDT$/2026/01000"/>
        <s v="PUSDT$/2026/01001"/>
        <s v="PCSH1/2026/00716"/>
        <s v="PUSDT$/2026/01002"/>
        <s v="PUSDT$/2026/01003"/>
        <s v="PUSDT$/2026/01004"/>
        <s v="PUSDT$/2026/01005"/>
        <s v="PUSDT$/2026/01006"/>
        <s v="PUSDT$/2026/01007"/>
        <s v="PUSDT$/2026/01008"/>
        <s v="PUSDT$/2026/01009"/>
        <s v="PUSDT$/2026/01010"/>
        <s v="PUSDT$/2026/01011"/>
        <s v="PCSH1/2026/00717"/>
        <s v="PREGIO/2026/00222"/>
        <s v="PREGIO/2026/00223"/>
        <s v="PREGIO/2026/00224"/>
        <s v="PREGIO/2026/00225"/>
        <s v="PCARIB/2026/00372"/>
        <s v="PUSDT$/2026/01012"/>
        <s v="RFCLIE/2026/00059"/>
        <s v="PBANE$/2026/00036"/>
        <s v="PUSDT$/2026/00831"/>
        <s v="PUSDT$/2026/01014"/>
        <s v="PCSH1/2026/00719"/>
        <s v="PBANES/2026/00284"/>
        <s v="PBNK2/2026/00230"/>
        <s v="PCARIB/2026/00373"/>
        <s v="PCARIB/2026/00374"/>
        <s v="PCARIB/2026/00375"/>
        <s v="PCARIB/2026/00376"/>
        <s v="PCARIB/2026/00377"/>
        <s v="PCARIB/2026/00378"/>
        <s v="PCSH1/2026/00721"/>
        <s v="PUSDT$/2026/01015"/>
        <s v="PCSH1/2026/00722"/>
        <s v="PUSDT$/2026/00880"/>
        <s v="PBANES/2026/00244"/>
        <s v="PUSDT$/2026/01017"/>
        <s v="PUSDT$/2026/01018"/>
        <s v="PUSDT$/2026/01019"/>
        <s v="PUSDT$/2026/01020"/>
        <s v="PUSDT$/2026/01021"/>
        <s v="PUSDT$/2026/00968"/>
        <s v="PUSDT$/2026/01022"/>
        <s v="PUSDT$/2026/01023"/>
        <s v="PUSDT$/2026/01024"/>
        <s v="PUSDT$/2026/01025"/>
        <s v="PUSDT$/2026/00848"/>
        <s v="PUSDT$/2026/01026"/>
        <s v="PUSDT$/2026/01027"/>
        <s v="PUSDT$/2026/01028"/>
        <s v="PUSDT$/2026/01029"/>
        <s v="PUSDT$/2026/01030"/>
        <s v="PUSDT$/2026/01031"/>
        <s v="PUSDT$/2026/01032"/>
        <s v="PCSH1/2026/00724"/>
        <s v="PUSDT$/2026/01033"/>
        <s v="PUSDT$/2026/01035"/>
        <s v="PUSDT$/2026/00934"/>
        <s v="PUSDT$/2026/01037"/>
        <s v="PUSDT$/2026/01038"/>
        <s v="PUSDT$/2026/01039"/>
        <s v="RFCLIE/2026/00060"/>
        <s v="PBANES/2026/00288"/>
        <s v="PUSDT$/2026/01040"/>
        <s v="PUSDT$/2026/01034"/>
        <s v="PUSDT$/2026/01041"/>
        <s v="PUSDT$/2026/01042"/>
        <s v="PUSDT$/2026/01043"/>
        <s v="PUSDT$/2026/01044"/>
        <s v="PCARIB/2026/00384"/>
        <s v="PCSH1/2026/00683"/>
        <s v="PCARIB/2026/00386"/>
        <s v="PCARIB/2026/00387"/>
        <s v="PUSDT$/2026/01045"/>
        <s v="PUSDT$/2026/01046"/>
        <s v="PUSDT$/2026/01047"/>
        <s v="PUSDT$/2026/01048"/>
        <s v="PCSH1/2026/00725"/>
        <s v="PBANES/2026/00289"/>
        <s v="PBANES/2026/00290"/>
        <s v="PBANE$/2026/00035"/>
        <s v="PCARIB/2026/00388"/>
        <s v="PCARIB/2026/00389"/>
        <s v="PCARIB/2026/00390"/>
        <s v="PCARIB/2026/00391"/>
        <s v="PCARIB/2026/00392"/>
        <s v="PCARIB/2026/00393"/>
        <s v="PCARIB/2026/00394"/>
        <s v="PCARIB/2026/00395"/>
        <s v="RFCLIE/2026/00063"/>
        <s v="PCSH1/2026/00726"/>
        <s v="PCARIB/2026/00396"/>
        <s v="PUSDT$/2026/01049"/>
        <s v="PCSH1/2026/00727"/>
        <s v="PUSDT$/2026/01050"/>
        <s v="PUSDT$/2026/01051"/>
        <s v="PUSDT$/2026/01052"/>
        <s v="PUSDT$/2026/01053"/>
        <s v="PUSDT$/2026/01054"/>
        <s v="PUSDT$/2026/01055"/>
        <s v="PUSDT$/2026/01056"/>
        <s v="PCSH1/2026/00731"/>
        <s v="PUSDT$/2026/01057"/>
        <s v="PUSDT$/2026/00868"/>
        <s v="PBANES/2026/00292"/>
        <s v="PCSH1/2026/00737"/>
        <s v="PREGIO/2026/00198"/>
        <s v="PBNK2/2026/00231"/>
        <s v="PBNK2/2026/00233"/>
        <s v="PUSDT$/2026/01060"/>
        <s v="PUSDT$/2026/01061"/>
        <s v="PUSDT$/2026/01062"/>
        <s v="PUSDT$/2026/01063"/>
        <s v="PBANES/2026/00286"/>
        <s v="PUSDT$/2026/01064"/>
        <s v="PUSDT$/2026/01065"/>
        <s v="PCSH1/2026/00738"/>
        <s v="PUSDT$/2026/01066"/>
        <s v="PUSDT$/2026/01068"/>
        <s v="PUSDT$/2026/01069"/>
        <s v="PCSH1/2026/00741"/>
        <s v="PCSH1/2026/00740"/>
        <s v="PCSH1/2026/00742"/>
        <s v="PUSDT$/2026/01070"/>
        <s v="PUSDT$/2026/01071"/>
        <s v="PCSH1/2026/00743"/>
        <s v="RFCLIE/2026/00065"/>
        <s v="PUSDT$/2026/00925"/>
        <s v="PREGIO/2026/00228"/>
        <s v="PUSDT$/2026/01073"/>
        <s v="PBNK2/2026/00238"/>
        <s v="PUSDT$/2026/01074"/>
        <s v="PUSDT$/2026/01075"/>
        <s v="PUSDT$/2026/01077"/>
        <s v="PUSDT$/2026/01078"/>
        <s v="PUSDT$/2026/01080"/>
        <s v="PUSDT$/2026/01081"/>
        <s v="PUSDT$/2026/01082"/>
        <s v="PUSDT$/2026/01084"/>
        <s v="PREGIO/2026/00231"/>
        <s v="PCSH1/2026/00747"/>
        <s v="PUSDT$/2026/01085"/>
        <s v="PUSDT$/2026/01072"/>
        <s v="PUSDT$/2026/01086"/>
        <s v="PUSDT$/2026/01083"/>
        <s v="PCARIB/2026/00397"/>
        <s v="PUSDT$/2026/01079"/>
        <s v="PCARIB/2026/00398"/>
        <s v="PCARIB/2026/00379"/>
        <s v="PBANES/2026/00297"/>
        <s v="PBANES/2026/00298"/>
        <s v="PBANES/2026/00295"/>
        <s v="PBANES/2026/00299"/>
        <s v="PCSH1/2026/00748"/>
        <s v="PCSH1/2026/00750"/>
        <s v="PUSDT$/2026/00962"/>
        <s v="PUSDT$/2026/01087"/>
        <s v="PCARIB/2026/00399"/>
        <s v="PCSH1/2026/00752"/>
        <s v="PUSDT$/2026/01089"/>
        <s v="PCSH1/2026/00753"/>
        <s v="PCARIB/2026/00400"/>
        <s v="PREGIO/2026/00236"/>
        <s v="PCSH1/2026/00754"/>
        <s v="PCSH1/2026/00755"/>
        <s v="PUSDT$/2026/01091"/>
        <s v="PUSDT$/2026/01092"/>
        <s v="PUSDT$/2026/01093"/>
        <s v="PUSDT$/2026/01094"/>
        <s v="PUSDT$/2026/01095"/>
        <s v="PUSDT$/2026/01096"/>
        <s v="PBANES/2026/00300"/>
        <s v="PUSDT$/2026/01097"/>
        <s v="PCSH1/2026/00757"/>
        <s v="PCARIB/2026/00401"/>
        <s v="PBANES/2026/00301"/>
        <s v="PBANES/2026/00302"/>
        <s v="PCSH1/2026/00758"/>
        <s v="PBANES/2026/00303"/>
        <s v="PUSDT$/2026/01098"/>
        <s v="PUSDT$/2026/01099"/>
        <s v="PBNK2/2026/00239"/>
        <s v="PUSDT$/2026/01100"/>
        <s v="PBNK2/2026/00240"/>
        <s v="PCARIB/2026/00402"/>
        <s v="PCARIB/2026/00403"/>
        <s v="PBANES/2026/00304"/>
        <s v="PCSH1/2026/00759"/>
        <s v="PUSDT$/2026/01101"/>
        <s v="PUSDT$/2026/01102"/>
        <s v="PUSDT$/2026/01104"/>
        <s v="PUSDT$/2026/01105"/>
        <s v="PCARIB/2026/00404"/>
        <s v="PUSDT$/2026/01108"/>
        <s v="PCSH1/2026/00761"/>
        <s v="PUSDT$/2026/01109"/>
        <s v="PUSDT$/2026/01110"/>
        <s v="PCARIB/2026/00405"/>
        <s v="PBNK2/2026/00245"/>
        <s v="PBANES/2026/00293"/>
        <s v="PBANES/2026/00294"/>
        <s v="PUSDT$/2026/01067"/>
        <s v="PBANES/2026/00285"/>
        <s v="PREGIO/2026/00237"/>
        <s v="PUSDT$/2026/01090"/>
        <s v="PUSDT$/2026/01111"/>
        <s v="PUSDT$/2026/01112"/>
        <s v="PUSDT$/2026/01113"/>
        <s v="PUSDT$/2026/01114"/>
        <s v="PBNK2/2026/00246"/>
        <s v="PUSDT$/2026/01115"/>
        <s v="PCARIB/2026/00408"/>
        <s v="PCSH1/2026/00763"/>
        <s v="PCARIB/2026/00417"/>
        <s v="PCARIB/2026/00416"/>
        <s v="PCARIB/2026/00415"/>
        <s v="PCARIB/2026/00414"/>
        <s v="PCARIB/2026/00413"/>
        <s v="PCARIB/2026/00412"/>
        <s v="PCARIB/2026/00411"/>
        <s v="PCARIB/2026/00410"/>
        <s v="PCARIB/2026/00409"/>
        <s v="PCSH1/2026/00764"/>
        <s v="PCSH1/2026/00765"/>
        <s v="PUSDT$/2026/01116"/>
        <s v="PUSDT$/2026/01117"/>
        <s v="PUSDT$/2026/01119"/>
        <s v="PUSDT$/2026/01118"/>
        <s v="PUSDT$/2026/01120"/>
        <s v="PUSDT$/2026/01121"/>
        <s v="PUSDT$/2026/01122"/>
        <s v="PUSDT$/2026/01123"/>
        <s v="PUSDT$/2026/01124"/>
        <s v="PUSDT$/2026/01125"/>
        <s v="PCSH1/2026/00766"/>
        <s v="PUSDT$/2026/01058"/>
        <s v="PUSDT$/2026/01127"/>
        <s v="PUSDT$/2026/01128"/>
        <s v="PUSDT$/2026/01129"/>
        <s v="PCSH1/2026/00730"/>
        <s v="PCSH1/2026/00769"/>
        <s v="PCARIB/2026/00425"/>
        <s v="PCSH1/2026/00771"/>
        <s v="PCSH1/2026/00772"/>
        <s v="PCSH1/2026/00773"/>
        <s v="PBANES/2026/00307"/>
        <s v="PREGIO/2026/00207"/>
        <s v="PUSDT$/2026/01131"/>
        <s v="PBNK2/2026/00247"/>
        <s v="PBNK2/2026/00248"/>
        <s v="PUSDT$/2026/01132"/>
        <s v="PUSDT$/2026/01133"/>
        <s v="PUSDT$/2026/01134"/>
        <s v="PBANES/2026/00308"/>
        <s v="PCARIB/2026/00431"/>
        <s v="PCSH1/2026/00775"/>
        <s v="PUSDT$/2026/01135"/>
        <s v="RFCLIE/2026/00064"/>
        <s v="PUSDT$/2026/01136"/>
        <s v="PCSH1/2026/00774"/>
        <s v="PUSDT$/2026/01137"/>
        <s v="PUSDT$/2026/01138"/>
        <s v="PUSDT$/2026/01139"/>
        <s v="PCARIB/2026/00432"/>
        <s v="PCARIB/2026/00433"/>
        <s v="RFCLIE/2026/00066"/>
        <s v="PUSDT$/2026/01140"/>
        <s v="PUSDT$/2026/01141"/>
        <s v="PUSDT$/2026/01142"/>
        <s v="PUSDT$/2026/01143"/>
        <s v="PUSDT$/2026/01144"/>
        <s v="PUSDT$/2026/01145"/>
        <s v="PUSDT$/2026/01146"/>
        <s v="PCSH1/2026/00776"/>
        <s v="PCARIB/2026/00436"/>
        <s v="PUSDT$/2026/01147"/>
        <s v="PCARIB/2026/00448"/>
        <s v="PCARIB/2026/00449"/>
        <s v="PUSDT$/2026/00826"/>
        <s v="PUSDT$/2026/01148"/>
        <s v="PUSDT$/2026/01149"/>
        <s v="PUSDT$/2026/01150"/>
        <s v="PUSDT$/2026/01151"/>
        <s v="PBNK2/2026/00252"/>
        <s v="PUSDT$/2026/01152"/>
        <s v="PUSDT$/2026/01153"/>
        <s v="PUSDT$/2026/01154"/>
        <s v="PUSDT$/2026/01155"/>
        <s v="PUSDT$/2026/01156"/>
        <s v="PUSDT$/2026/01157"/>
        <s v="PCSH1/2026/00778"/>
        <s v="PCSH1/2026/00779"/>
        <s v="PCSH1/2026/00780"/>
        <s v="PUSDT$/2026/01159"/>
        <s v="PUSDT$/2026/01160"/>
        <s v="PCARIB/2026/00452"/>
        <s v="PUSDT$/2026/01161"/>
        <s v="PCSH1/2026/00781"/>
        <s v="PREGIO/2026/00244"/>
        <s v="PREGIO/2026/00245"/>
        <s v="PREGIO/2026/00246"/>
        <s v="PCARIB/2026/00453"/>
        <s v="RFCLIE/2026/00068"/>
        <s v="PCARIB/2026/00454"/>
        <s v="PCARIB/2026/00455"/>
        <s v="PCARIB/2026/00456"/>
        <s v="PCARIB/2026/00457"/>
        <s v="PCARIB/2026/00458"/>
        <s v="PCARIB/2026/00459"/>
        <s v="PCARIB/2026/00460"/>
        <s v="PCARIB/2026/00461"/>
        <s v="PCARIB/2026/00462"/>
        <s v="PCARIB/2026/00463"/>
        <s v="PCARIB/2026/00464"/>
        <s v="PUSDT$/2026/01162"/>
        <s v="PUSDT$/2026/01163"/>
        <s v="PCARIB/2026/00474"/>
        <s v="PUSDT$/2026/01158"/>
        <s v="PUSDT$/2026/01164"/>
        <s v="PUSDT$/2026/01165"/>
        <s v="PCARIB/2026/00475"/>
        <s v="PBANES/2026/00306"/>
        <s v="PUSDT$/2026/01166"/>
        <s v="PCARIB/2026/00476"/>
        <s v="PCSH1/2026/00783"/>
        <s v="PCARIB/2026/00477"/>
        <s v="PUSDT$/2026/01167"/>
        <s v="PREGIO/2026/00253"/>
        <s v="PUSDT$/2026/01168"/>
        <s v="PREGIO/2026/00254"/>
        <s v="PCSH1/2026/00784"/>
        <s v="PCSH1/2026/00785"/>
        <s v="PCSH1/2026/00786"/>
        <s v="PCSH1/2026/00770"/>
        <s v="PUSDT$/2026/01169"/>
        <s v="PBANES/2026/00319"/>
        <s v="PCSH1/2026/00787"/>
        <s v="PCSH1/2026/00788"/>
        <s v="PCARIB/2026/00478"/>
        <s v="PUSDT$/2026/01170"/>
        <s v="PCSH1/2026/00789"/>
        <s v="PUSDT$/2026/01172"/>
        <s v="RFCLIE/2026/00069"/>
        <s v="RFCLIE/2026/00070"/>
        <s v="RFCLIE/2026/00062"/>
        <s v="PUSDT$/2026/01173"/>
        <s v="PUSDT$/2026/01171"/>
        <s v="PUSDT$/2026/01174"/>
        <s v="PUSDT$/2026/01175"/>
        <s v="PCSH1/2026/00790"/>
        <s v="PREGIO/2026/00259"/>
        <s v="PREGIO/2026/00260"/>
        <s v="PREGIO/2026/00261"/>
        <s v="PUSDT$/2026/01177"/>
        <s v="PUSDT$/2026/01178"/>
        <s v="PUSDT$/2026/01179"/>
        <s v="PUSDT$/2026/01180"/>
        <s v="PUSDT$/2026/01181"/>
        <s v="PBANES/2026/00309"/>
        <s v="PBANES/2026/00311"/>
        <s v="PBANES/2026/00310"/>
        <s v="PUSDT$/2026/01182"/>
        <s v="PUSDT$/2026/01183"/>
        <s v="PUSDT$/2026/01184"/>
        <s v="PBNK2/2026/00256"/>
        <s v="PBNK2/2026/00257"/>
        <s v="PUSDT$/2026/01185"/>
        <s v="PUSDT$/2026/01036"/>
        <s v="PUSDT$/2026/01186"/>
        <s v="PCSH1/2026/00792"/>
        <s v="PUSDT$/2026/01176"/>
        <s v="PUSDT$/2026/01187"/>
        <s v="PCSH1/2026/00794"/>
        <s v="PUSDT$/2026/01190"/>
        <s v="PUSDT$/2026/01191"/>
        <s v="PUSDT$/2026/01192"/>
        <s v="PUSDT$/2026/01193"/>
        <s v="PCARIB/2026/00486"/>
        <s v="PBANES/2026/00320"/>
        <s v="PUSDT$/2026/01194"/>
        <s v="PBANE$/2026/00037"/>
        <s v="PCSH1/2026/00795"/>
        <s v="PCSH1/2026/00796"/>
        <s v="PUSDT$/2026/01195"/>
        <s v="PUSDT$/2026/01196"/>
        <s v="PUSDT$/2026/01197"/>
        <s v="PBNK2/2026/00261"/>
        <s v="PUSDT$/2026/01198"/>
        <s v="PREGIO/2026/00243"/>
        <s v="PUSDT$/2026/01199"/>
        <s v="PUSDT$/2026/01200"/>
        <s v="PUSDT$/2026/01201"/>
        <s v="PUSDT$/2026/01126"/>
        <s v="PUSDT$/2026/01202"/>
        <s v="PBANES/2026/00253"/>
        <s v="PCSH1/2026/00797"/>
        <s v="PCARIB/2026/00435"/>
        <s v="PUSDT$/2026/01207"/>
        <s v="PUSDT$/2026/01208"/>
        <s v="PUSDT$/2026/01209"/>
        <s v="PUSDT$/2026/01210"/>
        <s v="PCSH1/2026/00798"/>
        <s v="PUSDT$/2026/01130"/>
        <s v="PREGIO/2026/00262"/>
        <s v="PREGIO/2026/00263"/>
        <s v="PREGIO/2026/00264"/>
        <s v="PREGIO/2026/00265"/>
        <s v="PREGIO/2026/00266"/>
        <s v="PCARIB/2026/00489"/>
        <s v="PCSH1/2026/00799"/>
        <s v="PUSDT$/2026/01213"/>
        <s v="PUSDT$/2026/01214"/>
        <s v="PUSDT$/2026/01215"/>
        <s v="PUSDT$/2026/01216"/>
        <s v="PBANES/2026/00323"/>
        <s v="RFCLIE/2026/00072"/>
        <s v="PUSDT$/2026/01217"/>
        <s v="PCARIB/2026/00490"/>
        <s v="PUSDT$/2026/01219"/>
        <s v="PCSH1/2026/00800"/>
        <s v="PCSH1/2026/00801"/>
        <s v="PUSDT$/2026/01220"/>
        <s v="PUSDT$/2026/01221"/>
        <s v="PUSDT$/2026/01222"/>
        <s v="PUSDT$/2026/01223"/>
        <s v="PCSH1/2026/00803"/>
        <s v="PBANES/2026/00327"/>
        <s v="PUSDT$/2026/01212"/>
        <s v="PCSH1/2026/00804"/>
        <s v="PUSDT$/2026/01106"/>
        <s v="PUSDT$/2026/01225"/>
        <s v="PUSDT$/2026/01226"/>
        <s v="PCSH1/2026/00805"/>
        <s v="PUSDT$/2026/01227"/>
        <s v="PUSDT$/2026/01228"/>
        <s v="PCSH1/2026/00806"/>
        <s v="PUSDT$/2026/01229"/>
        <s v="PREGIO/2026/00268"/>
        <s v="PUSDT$/2026/01231"/>
        <s v="PUSDT$/2026/01232"/>
        <s v="RFCLIE/2026/00075"/>
        <s v="RFCLIE/2026/00076"/>
        <s v="PUSDT$/2026/01236"/>
        <s v="PCSH1/2026/00807"/>
        <s v="PBANES/2026/00329"/>
        <s v="PBANES/2026/00330"/>
        <s v="PCSH1/2026/00808"/>
        <s v="PCARIB/2026/00491"/>
        <s v="PBANES/2026/00331"/>
        <s v="PREGIO/2026/00269"/>
        <s v="PBNK2/2026/00237"/>
        <s v="PUSDT$/2026/01237"/>
        <s v="PCARIB/2026/00492"/>
        <s v="PUSDT$/2026/01238"/>
        <s v="PUSDT$/2026/01230"/>
        <s v="PUSDT$/2026/01211"/>
        <s v="PUSDT$/2026/01224"/>
        <s v="PUSDT$/2026/00869"/>
        <s v="PCSH1/2026/00810"/>
        <s v="PCSH1/2026/00811"/>
        <s v="PUSDT$/2026/01239"/>
        <s v="PUSDT$/2026/01240"/>
        <s v="PCARIB/2026/00493"/>
        <s v="PBNK2/2026/00263"/>
        <s v="PBNK2/2026/00264"/>
        <s v="PUSDT$/2026/01235"/>
        <s v="PBNK2/2026/00265"/>
        <s v="PUSDT$/2026/01245"/>
        <s v="PUSDT$/2026/00984"/>
        <s v="PUSDT$/2026/01246"/>
        <s v="PREGIO/2026/00270"/>
        <s v="PREGIO/2026/00271"/>
        <s v="PBANES/2026/00337"/>
        <s v="PUSDT$/2026/01218"/>
        <s v="PUSDT$/2026/01189"/>
        <s v="PUSDT$/2026/01248"/>
        <s v="PUSDT$/2026/01249"/>
        <s v="PUSDT$/2026/01188"/>
        <s v="PUSDT$/2026/00936"/>
        <s v="PBANE$/2026/00038"/>
        <s v="PUSDT$/2026/01241"/>
        <s v="PCARIB/2026/00424"/>
        <s v="PUSDT$/2026/01059"/>
        <s v="PCARIB/2026/00363"/>
        <s v="PUSDT$/2026/00907"/>
        <s v="PCARIB/2026/00367"/>
        <s v="PUSDT$/2026/01250"/>
        <s v="PUSDT$/2026/01251"/>
        <s v="PUSDT$/2026/01252"/>
        <s v="PCSH1/2026/00820"/>
        <s v="PCSH1/2026/00821"/>
        <s v="PUSDT$/2026/01253"/>
        <s v="PUSDT$/2026/01254"/>
        <s v="PCSH1/2026/00822"/>
        <s v="PUSDT$/2026/01255"/>
        <s v="PREGIO/2026/00272"/>
        <s v="PUSDT$/2026/01256"/>
        <s v="PUSDT$/2026/01257"/>
        <s v="PREGIO/2026/00273"/>
        <s v="PUSDT$/2026/01258"/>
        <s v="PUSDT$/2026/01259"/>
        <s v="PUSDT$/2026/01261"/>
        <s v="PCARIB/2026/00495"/>
        <s v="PBANES/2026/00340"/>
        <s v="PCARIB/2026/00496"/>
        <s v="PBANES/2026/00305"/>
        <s v="PUSDT$/2026/00944"/>
        <s v="PCSH1/2026/00823"/>
        <s v="PBANES/2026/00339"/>
        <s v="PCSH1/2026/00824"/>
        <s v="PUSDT$/2026/01262"/>
        <s v="PUSDT$/2026/01263"/>
        <s v="PUSDT$/2026/01264"/>
        <s v="PUSDT$/2026/01265"/>
        <s v="PBANES/2026/00341"/>
        <s v="PUSDT$/2026/01266"/>
        <s v="PUSDT$/2026/01267"/>
        <s v="PBNK2/2026/00271"/>
        <s v="PUSDT$/2026/01247"/>
        <s v="PBNK2/2026/00273"/>
        <s v="PBNK2/2026/00274"/>
        <s v="PCARIB/2026/00497"/>
        <s v="PUSDT$/2026/01268"/>
        <s v="PBANES/2026/00342"/>
        <s v="RFCLIE/2026/00056"/>
        <s v="PUSDT$/2026/01269"/>
        <s v="PUSDT$/2026/01107"/>
        <s v="PUSDT$/2026/01076"/>
        <s v="PUSDT$/2026/01234"/>
        <s v="PCSH1/2026/00762"/>
        <s v="PCSH1/2026/00696"/>
        <s v="RFCLIE/2026/00058"/>
        <s v="RFCLIE/2026/00073"/>
        <s v="FCLIE/2026/02795"/>
        <n v="5036735" u="1"/>
        <n v="5036777" u="1"/>
        <n v="5036646" u="1"/>
        <n v="5037059" u="1"/>
        <n v="5037266" u="1"/>
        <n v="5037272" u="1"/>
        <n v="5037280" u="1"/>
        <n v="5037281" u="1"/>
        <n v="5037055" u="1"/>
        <n v="5036877" u="1"/>
        <n v="5036997" u="1"/>
        <n v="5036845" u="1"/>
        <n v="5036963" u="1"/>
        <n v="5036954" u="1"/>
        <n v="5036191" u="1"/>
        <n v="5037202" u="1"/>
        <n v="5037283" u="1"/>
        <n v="5037088" u="1"/>
        <n v="5036560" u="1"/>
        <n v="5036605" u="1"/>
        <n v="5036770" u="1"/>
        <n v="5037054" u="1"/>
        <n v="5037099" u="1"/>
        <n v="5037178" u="1"/>
        <n v="5037175" u="1"/>
        <n v="5036807" u="1"/>
        <n v="5037083" u="1"/>
        <n v="5036682" u="1"/>
        <n v="5037285" u="1"/>
        <n v="5037210" u="1"/>
        <n v="5037227" u="1"/>
        <n v="5037197" u="1"/>
        <n v="5036658" u="1"/>
        <n v="5036638" u="1"/>
        <n v="5036685" u="1"/>
        <n v="5036823" u="1"/>
        <n v="5037286" u="1"/>
        <n v="5037086" u="1"/>
        <n v="5037117" u="1"/>
        <n v="5037010" u="1"/>
        <n v="5037005" u="1"/>
        <n v="5037053" u="1"/>
        <n v="5037052" u="1"/>
        <n v="5037154" u="1"/>
        <n v="5037009" u="1"/>
        <n v="5037006" u="1"/>
        <n v="5034935" u="1"/>
        <n v="5036939" u="1"/>
        <n v="5037289" u="1"/>
        <n v="5036672" u="1"/>
        <n v="5036908" u="1"/>
        <n v="5036815" u="1"/>
        <n v="5036817" u="1"/>
        <n v="5037183" u="1"/>
        <n v="5037220" u="1"/>
        <n v="5036812" u="1"/>
        <n v="5036864" u="1"/>
        <n v="5037122" u="1"/>
        <n v="5037125" u="1"/>
        <n v="5036915" u="1"/>
        <n v="5037288" u="1"/>
        <n v="5036757" u="1"/>
        <n v="5037128" u="1"/>
        <n v="5036675" u="1"/>
        <n v="5037020" u="1"/>
        <n v="5037278" u="1"/>
        <n v="5036916" u="1"/>
        <n v="5037242" u="1"/>
        <n v="5037165" u="1"/>
        <n v="5036494" u="1"/>
        <n v="5036402" u="1"/>
        <n v="5036403" u="1"/>
        <n v="5036505" u="1"/>
        <n v="5036529" u="1"/>
        <n v="5036595" u="1"/>
        <n v="5036579" u="1"/>
        <n v="5036756" u="1"/>
        <n v="5036802" u="1"/>
        <n v="5037136" u="1"/>
        <n v="5037137" u="1"/>
        <n v="5037150" u="1"/>
        <n v="5037153" u="1"/>
        <n v="5036539" u="1"/>
        <n v="5036710" u="1"/>
        <n v="5036684" u="1"/>
        <n v="5036821" u="1"/>
        <n v="5037035" u="1"/>
        <n v="5036914" u="1"/>
        <n v="5037290" u="1"/>
        <n v="5037003" u="1"/>
        <n v="5037284" u="1"/>
        <n v="5036717" u="1"/>
        <n v="5036103" u="1"/>
        <n v="5036522" u="1"/>
        <n v="5036525" u="1"/>
        <n v="5036526" u="1"/>
        <n v="5036527" u="1"/>
        <n v="5036528" u="1"/>
        <n v="5036552" u="1"/>
        <n v="5036553" u="1"/>
        <n v="5036631" u="1"/>
        <n v="5037061" u="1"/>
        <n v="5037062" u="1"/>
        <n v="5037063" u="1"/>
        <n v="5037064" u="1"/>
        <n v="5037065" u="1"/>
        <n v="5037066" u="1"/>
        <n v="5037067" u="1"/>
        <n v="5037068" u="1"/>
        <n v="5037237" u="1"/>
        <n v="5037238" u="1"/>
        <n v="5037239" u="1"/>
        <n v="5036928" u="1"/>
        <n v="5037140" u="1"/>
        <n v="5037141" u="1"/>
        <n v="5037142" u="1"/>
        <n v="5037143" u="1"/>
        <n v="5036996" u="1"/>
        <n v="5037218" u="1"/>
        <n v="5037000" u="1"/>
        <n v="5037001" u="1"/>
        <n v="5036827" u="1"/>
        <n v="5036497" u="1"/>
        <n v="5037131" u="1"/>
        <n v="5036993" u="1"/>
        <n v="5036533" u="1"/>
        <n v="5036665" u="1"/>
        <n v="5036517" u="1"/>
        <n v="5036639" u="1"/>
        <n v="5036722" u="1"/>
        <n v="5036878" u="1"/>
        <n v="5036903" u="1"/>
        <n v="5036849" u="1"/>
        <n v="5037044" u="1"/>
        <n v="5037260" u="1"/>
        <n v="5036873" u="1"/>
        <n v="5037276" u="1"/>
        <n v="5037282" u="1"/>
        <n v="5036980" u="1"/>
        <n v="5036833" u="1"/>
        <n v="5037016" u="1"/>
        <n v="5037050" u="1"/>
        <n v="5036715" u="1"/>
        <n v="5036945" u="1"/>
        <n v="5037038" u="1"/>
        <n v="5036629" u="1"/>
        <n v="5036859" u="1"/>
        <n v="5037187" u="1"/>
        <n v="5037206" u="1"/>
        <n v="5036822" u="1"/>
        <n v="5036541" u="1"/>
        <n v="5037109" u="1"/>
        <n v="5036834" u="1"/>
        <n v="5037158" u="1"/>
        <n v="5036673" u="1"/>
        <n v="5036704" u="1"/>
        <n v="5036779" u="1"/>
        <n v="5036909" u="1"/>
        <n v="5037019" u="1"/>
        <n v="5037036" u="1"/>
        <n v="5037267" u="1"/>
        <n v="5036532" u="1"/>
        <n v="5036612" u="1"/>
        <n v="5036724" u="1"/>
        <n v="5036844" u="1"/>
        <n v="5036800" u="1"/>
        <n v="5036906" u="1"/>
        <n v="5037046" u="1"/>
        <n v="5036955" u="1"/>
        <n v="5036725" u="1"/>
        <n v="5036726" u="1"/>
        <n v="5036510" u="1"/>
        <n v="5036744" u="1"/>
        <n v="5036883" u="1"/>
        <n v="5036884" u="1"/>
        <n v="5033773" u="1"/>
        <n v="5034393" u="1"/>
        <n v="5034761" u="1"/>
        <n v="5035036" u="1"/>
        <n v="5035945" u="1"/>
        <n v="5036021" u="1"/>
        <n v="5036498" u="1"/>
        <n v="5036506" u="1"/>
        <n v="5036598" u="1"/>
        <n v="5036852" u="1"/>
        <n v="5037118" u="1"/>
        <n v="5037119" u="1"/>
        <n v="5036714" u="1"/>
        <n v="5037056" u="1"/>
        <n v="5036889" u="1"/>
        <n v="5036891" u="1"/>
        <n v="5036511" u="1"/>
        <n v="5036616" u="1"/>
        <n v="5036743" u="1"/>
        <n v="5036678" u="1"/>
        <n v="5036854" u="1"/>
        <n v="5036888" u="1"/>
        <n v="5036760" u="1"/>
        <n v="5036787" u="1"/>
        <n v="5036795" u="1"/>
        <n v="5037031" u="1"/>
        <n v="5037209" u="1"/>
        <n v="5037275" u="1"/>
        <n v="5036593" u="1"/>
        <n v="5036577" u="1"/>
        <n v="5036890" u="1"/>
        <n v="5037101" u="1"/>
        <n v="5036559" u="1"/>
        <n v="5023219" u="1"/>
        <n v="5023696" u="1"/>
        <n v="5030938" u="1"/>
        <n v="5032763" u="1"/>
        <n v="5033199" u="1"/>
        <n v="5033298" u="1"/>
        <n v="5036507" u="1"/>
        <n v="5036840" u="1"/>
        <n v="5034206" u="1"/>
        <n v="5036491" u="1"/>
        <n v="5036520" u="1"/>
        <n v="5036801" u="1"/>
        <n v="5036810" u="1"/>
        <n v="5037107" u="1"/>
        <n v="5037138" u="1"/>
        <n v="5036729" u="1"/>
        <n v="5036934" u="1"/>
        <n v="5036982" u="1"/>
        <n v="5036791" u="1"/>
        <n v="5036804" u="1"/>
        <n v="5036895" u="1"/>
        <n v="5036666" u="1"/>
        <n v="5036742" u="1"/>
        <n v="5036677" u="1"/>
        <n v="5036937" u="1"/>
        <n v="5037116" u="1"/>
        <n v="5036578" u="1"/>
        <n v="5036692" u="1"/>
        <n v="5036905" u="1"/>
        <n v="5036971" u="1"/>
        <n v="5037051" u="1"/>
        <n v="5036753" u="1"/>
        <n v="5035842" u="1"/>
        <n v="5036792" u="1"/>
        <n v="5036501" u="1"/>
        <n v="5036502" u="1"/>
        <n v="5037134" u="1"/>
        <n v="5036734" u="1"/>
        <n v="5036866" u="1"/>
        <n v="5036543" u="1"/>
        <n v="5036664" u="1"/>
        <n v="5036580" u="1"/>
        <n v="5036944" u="1"/>
        <n v="5037082" u="1"/>
        <n v="5037102" u="1"/>
        <n v="5036582" u="1"/>
        <n v="5036689" u="1"/>
        <n v="5037073" u="1"/>
        <n v="5037111" u="1"/>
        <n v="5037092" u="1"/>
        <n v="5036589" u="1"/>
        <n v="5036590" u="1"/>
        <n v="5036870" u="1"/>
        <n v="5037162" u="1"/>
        <n v="5037129" u="1"/>
        <n v="5037201" u="1"/>
        <n v="5036644" u="1"/>
        <n v="5036645" u="1"/>
        <n v="5036708" u="1"/>
        <n v="5036851" u="1"/>
        <n v="5036967" u="1"/>
        <n v="5036923" u="1"/>
        <n v="5036571" u="1"/>
        <n v="5037121" u="1"/>
        <n v="5036657" u="1"/>
        <n v="5037024" u="1"/>
        <n v="5036699" u="1"/>
        <n v="5036702" u="1"/>
        <n v="5037011" u="1"/>
        <n v="5033555" u="1"/>
        <n v="5034996" u="1"/>
        <n v="5036078" u="1"/>
        <n v="5036573" u="1"/>
        <n v="5036632" u="1"/>
        <n v="5036620" u="1"/>
        <n v="5036736" u="1"/>
        <n v="5036813" u="1"/>
        <n v="5037144" u="1"/>
        <n v="5036973" u="1"/>
        <n v="5036947" u="1"/>
        <n v="5036476" u="1"/>
        <n v="5036721" u="1"/>
        <n v="5036641" u="1"/>
        <n v="5036860" u="1"/>
        <n v="5036785" u="1"/>
        <n v="5037007" u="1"/>
        <n v="5036912" u="1"/>
        <n v="5036754" u="1"/>
        <n v="5036755" u="1"/>
        <n v="5037072" u="1"/>
        <n v="5036797" u="1"/>
        <n v="5036635" u="1"/>
        <n v="5037017" u="1"/>
        <n v="5036917" u="1"/>
        <n v="5036557" u="1"/>
        <n v="5036634" u="1"/>
        <n v="5036850" u="1"/>
        <n v="5036769" u="1"/>
        <n v="5036504" u="1"/>
        <n v="5036602" u="1"/>
        <n v="5036983" u="1"/>
        <n v="5036865" u="1"/>
        <n v="5037095" u="1"/>
        <n v="5036738" u="1"/>
        <n v="5036596" u="1"/>
        <n v="5037002" u="1"/>
        <n v="5037273" u="1"/>
        <n v="5036551" u="1"/>
        <n v="5036642" u="1"/>
        <n v="5036737" u="1"/>
        <n v="5036927" u="1"/>
        <n v="5037004" u="1"/>
        <n v="5037022" u="1"/>
        <n v="5036893" u="1"/>
        <n v="5037094" u="1"/>
        <n v="5036987" u="1"/>
        <n v="5036824" u="1"/>
        <n v="5036625" u="1"/>
        <n v="5037013" u="1"/>
        <n v="5037133" u="1"/>
        <n v="5033710" u="1"/>
        <n v="5036574" u="1"/>
        <n v="5037182" u="1"/>
        <n v="5036758" u="1"/>
        <n v="5036759" u="1"/>
        <n v="5037184" u="1"/>
        <n v="5036496" u="1"/>
        <n v="5036780" u="1"/>
        <n v="5036225" u="1"/>
        <n v="5036892" u="1"/>
        <n v="5036768" u="1"/>
        <n v="5037093" u="1"/>
        <n v="5037148" u="1"/>
        <n v="5036716" u="1"/>
        <n v="5037248" u="1"/>
        <n v="5037249" u="1"/>
        <n v="5036771" u="1"/>
        <n v="5036558" u="1"/>
        <n v="5036656" u="1"/>
        <n v="5036584" u="1"/>
        <n v="5037096" u="1"/>
        <n v="5036775" u="1"/>
        <n v="5036569" u="1"/>
        <n v="5037074" u="1"/>
        <n v="5036965" u="1"/>
        <n v="5037256" u="1"/>
        <n v="5036853" u="1"/>
        <n v="5036959" u="1"/>
        <n v="5037246" u="1"/>
        <n v="5036761" u="1"/>
        <n v="5036861" u="1"/>
        <n v="5036948" u="1"/>
        <n v="5037100" u="1"/>
        <n v="5036764" u="1"/>
        <n v="5036805" u="1"/>
        <n v="5036829" u="1"/>
        <n v="5037161" u="1"/>
        <n v="5037033" u="1"/>
        <n v="5037166" u="1"/>
        <n v="5036597" u="1"/>
        <n v="5036572" u="1"/>
        <n v="5036564" u="1"/>
        <n v="5036588" u="1"/>
        <n v="5036809" u="1"/>
        <n v="5036970" u="1"/>
        <n v="5036935" u="1"/>
        <n v="5036767" u="1"/>
        <n v="5037257" u="1"/>
        <n v="5037194" u="1"/>
        <n v="5036885" u="1"/>
        <n v="5036886" u="1"/>
        <n v="5036786" u="1"/>
        <n v="5037170" u="1"/>
        <n v="5037029" u="1"/>
        <n v="5037030" u="1"/>
        <n v="5037028" u="1"/>
        <n v="5036863" u="1"/>
        <n v="5036952" u="1"/>
        <n v="5037108" u="1"/>
        <n v="5037110" u="1"/>
        <n v="5036790" u="1"/>
        <n v="5036546" u="1"/>
        <n v="5036547" u="1"/>
        <n v="5036621" u="1"/>
        <n v="5037115" u="1"/>
        <n v="5036951" u="1"/>
        <n v="5037021" u="1"/>
        <n v="5037226" u="1"/>
        <n v="5037258" u="1"/>
        <n v="5036594" u="1"/>
        <n v="5036550" u="1"/>
        <n v="5036930" u="1"/>
        <n v="5037097" u="1"/>
        <n v="5037098" u="1"/>
        <n v="5037193" u="1"/>
        <n v="5037261" u="1"/>
        <n v="5037264" u="1"/>
        <n v="5036703" u="1"/>
        <n v="5037105" u="1"/>
        <n v="5030765" u="1"/>
        <n v="5035774" u="1"/>
        <n v="5036519" u="1"/>
        <n v="5037076" u="1"/>
        <n v="5036670" u="1"/>
        <n v="5036586" u="1"/>
        <n v="5036587" u="1"/>
        <n v="5037127" u="1"/>
        <n v="5036979" u="1"/>
        <n v="5037156" u="1"/>
        <n v="5036740" u="1"/>
        <n v="5037085" u="1"/>
        <n v="5036691" u="1"/>
        <n v="5037057" u="1"/>
        <n v="5037147" u="1"/>
        <n v="5037214" u="1"/>
        <n v="5037123" u="1"/>
        <n v="5037190" u="1"/>
        <n v="5036713" u="1"/>
        <n v="5036872" u="1"/>
        <n v="5036929" u="1"/>
        <n v="5037253" u="1"/>
        <n v="5036794" u="1"/>
        <n v="5036555" u="1"/>
        <n v="5036960" u="1"/>
        <n v="5037034" u="1"/>
        <n v="5037025" u="1"/>
        <n v="5037145" u="1"/>
        <n v="5037173" u="1"/>
        <n v="5037172" u="1"/>
        <n v="5037171" u="1"/>
        <n v="5036956" u="1"/>
        <n v="5037045" u="1"/>
        <n v="5036659" u="1"/>
        <n v="5036662" u="1"/>
        <n v="5036972" u="1"/>
        <n v="5036946" u="1"/>
        <n v="5036986" u="1"/>
        <n v="5037014" u="1"/>
        <n v="5037018" u="1"/>
        <n v="5037120" u="1"/>
        <n v="5036953" u="1"/>
        <n v="5037032" u="1"/>
        <n v="5037205" u="1"/>
        <n v="5037168" u="1"/>
        <n v="5036879" u="1"/>
        <n v="5036820" u="1"/>
        <n v="5037124" u="1"/>
        <n v="5037130" u="1"/>
        <n v="5037279" u="1"/>
        <n v="5037176" u="1"/>
        <n v="5037071" u="1"/>
        <n v="5036856" u="1"/>
        <n v="5036789" u="1"/>
        <n v="5037195" u="1"/>
        <n v="5037254" u="1"/>
        <n v="5037208" u="1"/>
        <n v="5036581" u="1"/>
        <n v="5036751" u="1"/>
        <n v="5037039" u="1"/>
        <n v="5036943" u="1"/>
        <n v="5036962" u="1"/>
        <n v="5036976" u="1"/>
        <n v="5036961" u="1"/>
        <n v="5037012" u="1"/>
        <n v="5036712" u="1"/>
        <n v="5036636" u="1"/>
        <n v="5036981" u="1"/>
        <n v="5037081" u="1"/>
        <n v="5036784" u="1"/>
        <n v="5037262" u="1"/>
        <n v="5037087" u="1"/>
        <n v="5036693" u="1"/>
        <n v="5036540" u="1"/>
        <n v="5036604" u="1"/>
        <n v="5036730" u="1"/>
        <n v="5036556" u="1"/>
        <n v="5037091" u="1"/>
        <n v="5036876" u="1"/>
        <n v="5037240" u="1"/>
        <n v="5037196" u="1"/>
        <n v="5037169" u="1"/>
        <n v="5036887" u="1"/>
        <n v="5036649" u="1"/>
        <n v="5036637" u="1"/>
        <n v="5036942" u="1"/>
        <n v="5036862" u="1"/>
        <n v="5037263" u="1"/>
        <n v="5036575" u="1"/>
        <n v="5037204" u="1"/>
        <n v="5037259" u="1"/>
        <n v="5036698" u="1"/>
        <n v="5036994" u="1"/>
        <n v="5036857" u="1"/>
        <n v="5037177" u="1"/>
        <n v="5036781" u="1"/>
        <n v="5037104" u="1"/>
        <n v="5036957" u="1"/>
        <n v="5037080" u="1"/>
        <n v="5036521" u="1"/>
        <n v="5036628" u="1"/>
        <n v="5037159" u="1"/>
        <n v="5036913" u="1"/>
        <n v="5037179" u="1"/>
        <n v="5037181" u="1"/>
        <n v="5037151" u="1"/>
        <n v="5036603" u="1"/>
        <n v="5036874" u="1"/>
        <n v="5036613" u="1"/>
        <n v="5037023" u="1"/>
        <n v="5036500" u="1"/>
        <n v="5036548" u="1"/>
        <n v="5036663" u="1"/>
        <n v="5036727" u="1"/>
        <n v="5036728" u="1"/>
        <n v="5036679" u="1"/>
        <n v="5036868" u="1"/>
        <n v="5036977" u="1"/>
        <n v="5037251" u="1"/>
        <n v="5036680" u="1"/>
        <n v="5036826" u="1"/>
        <n v="5037199" u="1"/>
        <n v="5037157" u="1"/>
        <n v="5036848" u="1"/>
        <n v="5036999" u="1"/>
        <n v="5028291" u="1"/>
        <n v="5037042" u="1"/>
        <n v="5037043" u="1"/>
        <n v="5036837" u="1"/>
        <n v="5036843" u="1"/>
        <n v="5036921" u="1"/>
        <n v="5037026" u="1"/>
        <n v="5037027" u="1"/>
        <n v="5037207" u="1"/>
        <n v="5036731" u="1"/>
        <n v="5036688" u="1"/>
        <n v="5036765" u="1"/>
        <n v="5037255" u="1"/>
        <n v="5036674" u="1"/>
        <n v="5036894" u="1"/>
        <n v="5036925" u="1"/>
        <n v="5036774" u="1"/>
        <n v="5036896" u="1"/>
        <n v="5036897" u="1"/>
        <n v="5037069" u="1"/>
        <n v="5037075" u="1"/>
        <n v="5037185" u="1"/>
        <n v="5036969" u="1"/>
        <n v="5036842" u="1"/>
        <n v="5036503" u="1"/>
        <n v="5036858" u="1"/>
        <n v="5036793" u="1"/>
        <n v="5036867" u="1"/>
        <n v="5036968" u="1"/>
        <n v="5036988" u="1"/>
        <n v="5037041" u="1"/>
        <n v="5037132" u="1"/>
        <n v="5037230" u="1"/>
        <n v="5037252" u="1"/>
        <n v="5036871" u="1"/>
        <n v="5036723" u="1"/>
        <n v="5037250" u="1"/>
        <n v="5036922" u="1"/>
        <n v="5036762" u="1"/>
        <n v="5036985" u="1"/>
        <n v="5036984" u="1"/>
        <n v="5036585" u="1"/>
        <n v="5036974" u="1"/>
        <n v="5036975" u="1"/>
        <n v="5036643" u="1"/>
        <n v="5036652" u="1"/>
        <n v="5036847" u="1"/>
        <n v="5036926" u="1"/>
        <n v="5037274" u="1"/>
        <n v="5037186" u="1"/>
        <n v="5036606" u="1"/>
        <n v="5036538" u="1"/>
        <n v="5036720" u="1"/>
        <n v="5036950" u="1"/>
        <n v="5037215" u="1"/>
        <n v="5037277" u="1"/>
        <n v="5037103" u="1"/>
        <n v="5036739" u="1"/>
        <n v="5036695" u="1"/>
        <n v="5037200" u="1"/>
        <n v="5036991" u="1"/>
        <n v="5037126" u="1"/>
        <n v="5037139" u="1"/>
        <n v="5036828" u="1"/>
        <n v="5036835" u="1"/>
        <n v="5036931" u="1"/>
        <n v="5037149" u="1"/>
        <n v="5036958" u="1"/>
        <n v="5037223" u="1"/>
        <n v="5037174" u="1"/>
        <n v="5036741" u="1"/>
        <n v="5036881" u="1"/>
        <n v="5036882" u="1"/>
        <n v="5036752" u="1"/>
        <n v="5029932" u="1"/>
        <n v="5036653" u="1"/>
        <n v="5036803" u="1"/>
        <n v="5036701" u="1"/>
        <n v="5036640" u="1"/>
        <n v="5036992" u="1"/>
        <n v="5036846" u="1"/>
        <n v="5037212" u="1"/>
        <n v="5036681" u="1"/>
        <n v="5037060" u="1"/>
        <n v="5035745" u="1"/>
        <n v="5036087" u="1"/>
        <n v="5036499" u="1"/>
        <n v="5036542" u="1"/>
        <n v="5036591" u="1"/>
        <n v="5037114" u="1"/>
        <n v="5036707" u="1"/>
        <n v="5036819" u="1"/>
        <n v="5037113" u="1"/>
        <n v="5036841" u="1"/>
        <n v="5036600" u="1"/>
        <n v="5036932" u="1"/>
        <n v="5036705" u="1"/>
        <n v="5036706" u="1"/>
        <n v="5037271" u="1"/>
        <n v="5037211" u="1"/>
        <n v="5036488" u="1"/>
        <n v="5036509" u="1"/>
        <n v="5036818" u="1"/>
        <n v="5037247" u="1"/>
        <n v="5036763" u="1"/>
        <n v="5036782" u="1"/>
        <n v="5037152" u="1"/>
        <n v="5037229" u="1"/>
        <n v="5037228" u="1"/>
        <n v="5036910" u="1"/>
        <n v="5037203" u="1"/>
        <n v="5036601" u="1"/>
        <n v="5036630" u="1"/>
        <n v="5037090" u="1"/>
        <n v="5037079" u="1"/>
        <n v="5037160" u="1"/>
        <n v="5036904" u="1"/>
        <n v="5036808" u="1"/>
        <n v="5036964" u="1"/>
        <n v="5036508" u="1"/>
        <n v="5036512" u="1"/>
        <n v="5036592" u="1"/>
        <n v="5037037" u="1"/>
        <n v="5036855" u="1"/>
        <n v="5036811" u="1"/>
        <n v="5036899" u="1"/>
        <n v="5036998" u="1"/>
        <n v="5036933" u="1"/>
        <n v="5037049" u="1"/>
        <n v="5037163" u="1"/>
        <n v="5037192" u="1"/>
        <n v="5037222" u="1"/>
        <n v="5022633" u="1"/>
        <n v="5036911" u="1"/>
        <n v="5037008" u="1"/>
        <n v="5036531" u="1"/>
        <n v="5036772" u="1"/>
        <n v="5036773" u="1"/>
        <n v="5036875" u="1"/>
        <n v="5036832" u="1"/>
        <n v="5037135" u="1"/>
        <n v="5037167" u="1"/>
        <n v="5036838" u="1"/>
        <n v="5036898" u="1"/>
        <n v="5037191" u="1"/>
        <n v="5036647" u="1"/>
        <n v="5036648" u="1"/>
        <n v="5037188" u="1"/>
        <n v="5037070" u="1"/>
        <n v="5035076" u="1"/>
        <n v="5036669" u="1"/>
        <n v="5037078" u="1"/>
        <n v="5036676" u="1"/>
        <n v="5036654" u="1"/>
        <n v="5037089" u="1"/>
        <n v="5036697" u="1"/>
        <n v="5036783" u="1"/>
        <n v="5037216" u="1"/>
        <n v="5036694" u="1"/>
        <n v="5036788" u="1"/>
        <n v="5036830" u="1"/>
        <n v="5036919" u="1"/>
        <n v="5037269" u="1"/>
        <n v="5037213" u="1"/>
        <n v="5037243" u="1"/>
        <n v="5037084" u="1"/>
        <n v="5037225" u="1"/>
        <n v="5037245" u="1"/>
        <n v="5037244" u="1"/>
        <n v="5037224" u="1"/>
        <n v="5036617" u="1"/>
        <n v="5037221" u="1"/>
        <n v="5036799" u="1"/>
        <n v="5036901" u="1"/>
        <n v="5037198" u="1"/>
        <n v="5036671" u="1"/>
        <n v="5036941" u="1"/>
        <n v="5037219" u="1"/>
        <n v="5036518" u="1"/>
        <n v="5036544" u="1"/>
        <n v="5037217" u="1"/>
        <n v="5036719" u="1"/>
        <n v="5036831" u="1"/>
        <n v="5036627" u="1"/>
        <n v="5036633" u="1"/>
        <n v="5036966" u="1"/>
        <n v="5036622" u="1"/>
        <n v="5036655" u="1"/>
        <n v="5037146" u="1"/>
        <n v="5036880" u="1"/>
        <n v="5036989" u="1"/>
        <n v="5037015" u="1"/>
        <n v="5037155" u="1"/>
        <n v="5036562" u="1"/>
        <n v="5036766" u="1"/>
        <n v="5036902" u="1"/>
        <n v="5036990" u="1"/>
        <n v="5036995" u="1"/>
        <n v="5036978" u="1"/>
        <n v="5036686" u="1"/>
        <n v="5036687" u="1"/>
        <n v="5036690" u="1"/>
        <n v="5036554" u="1"/>
        <n v="5036839" u="1"/>
        <n v="5037241" u="1"/>
        <n v="5036683" u="1"/>
        <n v="5036940" u="1"/>
        <n v="5036938" u="1"/>
        <n v="5036825" u="1"/>
        <n v="5036936" u="1"/>
        <n v="5036920" u="1"/>
        <n v="5037287" u="1"/>
        <n v="5036618" u="1"/>
        <n v="5036949" u="1"/>
        <n v="5036711" u="1"/>
        <n v="5037189" u="1"/>
        <n v="5036869" u="1"/>
        <n v="5035717" u="1"/>
        <n v="5012894" u="1"/>
        <n v="5035597" u="1"/>
        <n v="5035464" u="1"/>
        <n v="5035598" u="1"/>
        <n v="5035383" u="1"/>
        <n v="5035761" u="1"/>
        <n v="5035316" u="1"/>
        <n v="5035004" u="1"/>
        <n v="5035236" u="1"/>
        <n v="5035713" u="1"/>
        <n v="5034506" u="1"/>
        <n v="5035263" u="1"/>
        <n v="5031681" u="1"/>
        <n v="5034147" u="1"/>
        <n v="5035123" u="1"/>
        <n v="5035600" u="1"/>
        <n v="5035791" u="1"/>
        <n v="5035792" u="1"/>
        <n v="5035670" u="1"/>
        <n v="5035673" u="1"/>
        <n v="5035674" u="1"/>
        <n v="5035596" u="1"/>
        <n v="5035736" u="1"/>
        <n v="5035634" u="1"/>
        <n v="5035635" u="1"/>
        <n v="5035636" u="1"/>
        <n v="5035637" u="1"/>
        <n v="5035678" u="1"/>
        <n v="5035679" u="1"/>
        <n v="5035731" u="1"/>
        <n v="5035681" u="1"/>
        <n v="5035682" u="1"/>
        <n v="5035684" u="1"/>
        <n v="5035691" u="1"/>
        <n v="5035697" u="1"/>
        <n v="5035698" u="1"/>
        <n v="5035610" u="1"/>
        <n v="5035612" u="1"/>
        <n v="5035613" u="1"/>
        <n v="5035614" u="1"/>
        <n v="5035615" u="1"/>
        <n v="5035616" u="1"/>
        <n v="5035617" u="1"/>
        <n v="5035618" u="1"/>
        <n v="5035619" u="1"/>
        <n v="5035620" u="1"/>
        <n v="5035621" u="1"/>
        <n v="5035623" u="1"/>
        <n v="5035624" u="1"/>
        <n v="5035625" u="1"/>
        <n v="5035626" u="1"/>
        <n v="5035627" u="1"/>
        <n v="5035998" u="1"/>
        <n v="5035262" u="1"/>
        <n v="5035715" u="1"/>
        <n v="5035628" u="1"/>
        <n v="5035716" u="1"/>
        <n v="5035603" u="1"/>
        <n v="5035688" u="1"/>
        <n v="5035609" u="1"/>
        <n v="5035599" u="1"/>
        <n v="5035708" u="1"/>
        <n v="5035704" u="1"/>
        <n v="5030930" u="1"/>
        <n v="5035633" u="1"/>
        <n v="5035632" u="1"/>
        <n v="5030287" u="1"/>
        <n v="5033809" u="1"/>
        <n v="5035818" u="1"/>
        <n v="5035083" u="1"/>
        <n v="5034823" u="1"/>
        <n v="5034723" u="1"/>
        <n v="5034399" u="1"/>
        <n v="5035251" u="1"/>
        <n v="5035325" u="1"/>
        <n v="5035730" u="1"/>
        <n v="5035732" u="1"/>
        <n v="5035733" u="1"/>
        <n v="5035734" u="1"/>
        <n v="5035735" u="1"/>
        <n v="5035468" u="1"/>
        <n v="5035641" u="1"/>
        <n v="5035642" u="1"/>
        <n v="5035685" u="1"/>
        <n v="5035689" u="1"/>
        <n v="5035630" u="1"/>
        <n v="5035643" u="1"/>
        <n v="5035694" u="1"/>
        <n v="5035695" u="1"/>
        <n v="5035696" u="1"/>
        <n v="5035699" u="1"/>
        <n v="5035700" u="1"/>
        <n v="5035741" u="1"/>
        <n v="5035703" u="1"/>
        <n v="5035705" u="1"/>
        <n v="5035706" u="1"/>
        <n v="5035743" u="1"/>
        <n v="5036102" u="1"/>
        <n v="5035481" u="1"/>
        <n v="5035746" u="1"/>
        <n v="5035319" u="1"/>
        <n v="5035516" u="1"/>
        <n v="5035033" u="1"/>
        <n v="5035515" u="1"/>
        <n v="5035652" u="1"/>
        <n v="5035651" u="1"/>
        <n v="5035654" u="1"/>
        <n v="5035655" u="1"/>
        <n v="5035629" u="1"/>
        <n v="5035631" u="1"/>
        <n v="5035638" u="1"/>
        <n v="5035647" u="1"/>
        <n v="5035645" u="1"/>
        <n v="5035656" u="1"/>
        <n v="5035719" u="1"/>
        <n v="5035657" u="1"/>
        <n v="5035658" u="1"/>
        <n v="5035659" u="1"/>
        <n v="5035660" u="1"/>
        <n v="5035661" u="1"/>
        <n v="5035662" u="1"/>
        <n v="5035663" u="1"/>
        <n v="5035664" u="1"/>
        <n v="5035665" u="1"/>
        <n v="5035777" u="1"/>
        <n v="5035163" u="1"/>
        <n v="5035728" u="1"/>
        <n v="5035789" u="1"/>
        <n v="5035680" u="1"/>
        <n v="5035922" u="1"/>
        <n v="5035686" u="1"/>
        <n v="5035687" u="1"/>
        <n v="5035834" u="1"/>
        <n v="5035692" u="1"/>
        <n v="5035701" u="1"/>
        <n v="5035702" u="1"/>
        <n v="5022949" u="1"/>
        <n v="5035709" u="1"/>
        <n v="5035710" u="1"/>
        <n v="5035711" u="1"/>
        <n v="5035712" u="1"/>
        <n v="5035668" u="1"/>
        <n v="5035667" u="1"/>
        <n v="5034558" u="1"/>
        <n v="5034536" u="1"/>
        <n v="5034180" u="1"/>
        <n v="5035666" u="1"/>
        <n v="5025652" u="1"/>
        <n v="5035669" u="1"/>
        <n v="5027460" u="1"/>
        <n v="5035675" u="1"/>
        <n v="5035690" u="1"/>
        <n v="5035693" u="1"/>
        <n v="5035707" u="1"/>
        <n v="5028889" u="1"/>
        <n v="5017711" u="1"/>
        <n v="5023847" u="1"/>
        <n v="5035831" u="1"/>
        <n v="5035785" u="1"/>
        <n v="5035302" u="1"/>
        <n v="5035479" u="1"/>
        <n v="5035495" u="1"/>
        <n v="5035721" u="1"/>
        <n v="5035722" u="1"/>
        <n v="5035725" u="1"/>
        <n v="5035786" u="1"/>
        <n v="5035787" u="1"/>
        <n v="5035788" u="1"/>
        <n v="5035790" u="1"/>
        <n v="5035793" u="1"/>
        <n v="5035729" u="1"/>
        <n v="5035794" u="1"/>
        <n v="5035795" u="1"/>
        <n v="5035824" u="1"/>
        <n v="5035828" u="1"/>
        <n v="5035832" u="1"/>
        <n v="5035738" u="1"/>
        <n v="5035801" u="1"/>
        <n v="5035742" u="1"/>
        <n v="5035805" u="1"/>
        <n v="5035806" u="1"/>
        <n v="5035747" u="1"/>
        <n v="5035748" u="1"/>
        <n v="5035749" u="1"/>
        <n v="5035750" u="1"/>
        <n v="5035751" u="1"/>
        <n v="5035752" u="1"/>
        <n v="5035753" u="1"/>
        <n v="5031759" u="1"/>
        <n v="5034741" u="1"/>
        <n v="5035723" u="1"/>
        <n v="5035724" u="1"/>
        <n v="5035435" u="1"/>
        <n v="5034733" u="1"/>
        <n v="5035737" u="1"/>
        <n v="5035739" u="1"/>
        <n v="5035740" u="1"/>
        <n v="5035744" u="1"/>
        <n v="5034267" u="1"/>
        <n v="5035754" u="1"/>
        <n v="5035755" u="1"/>
        <n v="5035756" u="1"/>
        <n v="5035757" u="1"/>
        <n v="5035758" u="1"/>
        <n v="5035759" u="1"/>
        <n v="5035760" u="1"/>
        <n v="5035776" u="1"/>
        <n v="5035812" u="1"/>
        <n v="5035775" u="1"/>
        <n v="5035871" u="1"/>
        <n v="5035819" u="1"/>
        <n v="5035821" u="1"/>
        <n v="5035796" u="1"/>
        <n v="5035826" u="1"/>
        <n v="5035827" u="1"/>
        <n v="5035829" u="1"/>
        <n v="5035762" u="1"/>
        <n v="5035763" u="1"/>
        <n v="5035836" u="1"/>
        <n v="5035409" u="1"/>
        <n v="5036467" u="1"/>
        <n v="5035857" u="1"/>
        <n v="5035807" u="1"/>
        <n v="5035853" u="1"/>
        <n v="5035808" u="1"/>
        <n v="5035860" u="1"/>
        <n v="5035771" u="1"/>
        <n v="5035863" u="1"/>
        <n v="5035772" u="1"/>
        <n v="5035770" u="1"/>
        <n v="5035769" u="1"/>
        <n v="5035768" u="1"/>
        <n v="5035767" u="1"/>
        <n v="5035766" u="1"/>
        <n v="5035844" u="1"/>
        <n v="5035846" u="1"/>
        <n v="5035847" u="1"/>
        <n v="5035858" u="1"/>
        <n v="5035856" u="1"/>
        <n v="5035951" u="1"/>
        <n v="5035781" u="1"/>
        <n v="5035782" u="1"/>
        <n v="5035784" u="1"/>
        <n v="5035820" u="1"/>
        <n v="5035822" u="1"/>
        <n v="5035402" u="1"/>
        <n v="5035797" u="1"/>
        <n v="5035879" u="1"/>
        <n v="5035837" u="1"/>
        <n v="5035838" u="1"/>
        <n v="5035798" u="1"/>
        <n v="5035174" u="1"/>
        <n v="5034842" u="1"/>
        <n v="5035800" u="1"/>
        <n v="5035843" u="1"/>
        <n v="5035845" u="1"/>
        <n v="5035848" u="1"/>
        <n v="5035803" u="1"/>
        <n v="5035855" u="1"/>
        <n v="5035859" u="1"/>
        <n v="5035861" u="1"/>
        <n v="5035862" u="1"/>
        <n v="5035811" u="1"/>
        <n v="5035802" u="1"/>
        <n v="5035804" u="1"/>
        <n v="5035783" u="1"/>
        <n v="5035780" u="1"/>
        <n v="5035778" u="1"/>
        <n v="5035773" u="1"/>
        <n v="5035813" u="1"/>
        <n v="5035913" u="1"/>
        <n v="5035814" u="1"/>
        <n v="5035872" u="1"/>
        <n v="5035815" u="1"/>
        <n v="5035816" u="1"/>
        <n v="5035823" u="1"/>
        <n v="5035840" u="1"/>
        <n v="5035875" u="1"/>
        <n v="5035878" u="1"/>
        <n v="5035881" u="1"/>
        <n v="5035882" u="1"/>
        <n v="5035961" u="1"/>
        <n v="5035963" u="1"/>
        <n v="5035964" u="1"/>
        <n v="5035965" u="1"/>
        <n v="5035966" u="1"/>
        <n v="5035967" u="1"/>
        <n v="5035841" u="1"/>
        <n v="5035839" u="1"/>
        <n v="5036098" u="1"/>
        <n v="5035926" u="1"/>
        <n v="5033790" u="1"/>
        <n v="5035898" u="1"/>
        <n v="5035850" u="1"/>
        <n v="5035851" u="1"/>
        <n v="5035852" u="1"/>
        <n v="5035979" u="1"/>
        <n v="5035980" u="1"/>
        <n v="5035981" u="1"/>
        <n v="5036035" u="1"/>
        <n v="5035896" u="1"/>
        <n v="5035897" u="1"/>
        <n v="5035865" u="1"/>
        <n v="5035960" u="1"/>
        <n v="5035817" u="1"/>
        <n v="5035825" u="1"/>
        <n v="5035835" u="1"/>
        <n v="5035864" u="1"/>
        <n v="5033807" u="1"/>
        <n v="5033229" u="1"/>
        <n v="5035854" u="1"/>
        <n v="5035909" u="1"/>
        <n v="5035910" u="1"/>
        <n v="5035911" u="1"/>
        <n v="5035912" u="1"/>
        <n v="5035914" u="1"/>
        <n v="5035915" u="1"/>
        <n v="5035918" u="1"/>
        <n v="5036326" u="1"/>
        <n v="5035507" u="1"/>
        <n v="5035919" u="1"/>
        <n v="5035876" u="1"/>
        <n v="5035883" u="1"/>
        <n v="5035874" u="1"/>
        <n v="5035884" u="1"/>
        <n v="5035885" u="1"/>
        <n v="5035927" u="1"/>
        <n v="5035886" u="1"/>
        <n v="5030565" u="1"/>
        <n v="5035887" u="1"/>
        <n v="5035888" u="1"/>
        <n v="5035928" u="1"/>
        <n v="5035890" u="1"/>
        <n v="5035982" u="1"/>
        <n v="5035984" u="1"/>
        <n v="5035892" u="1"/>
        <n v="5035985" u="1"/>
        <n v="5035987" u="1"/>
        <n v="5035988" u="1"/>
        <n v="5035989" u="1"/>
        <n v="5035895" u="1"/>
        <n v="5035992" u="1"/>
        <n v="5035899" u="1"/>
        <n v="5035994" u="1"/>
        <n v="5035903" u="1"/>
        <n v="5035904" u="1"/>
        <n v="5035902" u="1"/>
        <n v="5035866" u="1"/>
        <n v="5035867" u="1"/>
        <n v="5035869" u="1"/>
        <n v="5035870" u="1"/>
        <n v="5035873" u="1"/>
        <n v="5035889" u="1"/>
        <n v="5035891" u="1"/>
        <n v="5035905" u="1"/>
        <n v="5035540" u="1"/>
        <n v="5035482" u="1"/>
        <n v="5036007" u="1"/>
        <n v="5036008" u="1"/>
        <n v="5034287" u="1"/>
        <n v="5035239" u="1"/>
        <n v="5035487" u="1"/>
        <n v="5036132" u="1"/>
        <n v="5036011" u="1"/>
        <n v="5036012" u="1"/>
        <n v="5036013" u="1"/>
        <n v="5036015" u="1"/>
        <n v="5035952" u="1"/>
        <n v="5034797" u="1"/>
        <n v="5034342" u="1"/>
        <n v="5019879" u="1"/>
        <n v="5035470" u="1"/>
        <n v="5013842" u="1"/>
        <n v="5035954" u="1"/>
        <n v="5036166" u="1"/>
        <n v="5036260" u="1"/>
        <n v="5036053" u="1"/>
        <n v="5035908" u="1"/>
        <n v="5035916" u="1"/>
        <n v="5035917" u="1"/>
        <n v="5035405" u="1"/>
        <n v="5035923" u="1"/>
        <n v="5035924" u="1"/>
        <n v="5036030" u="1"/>
        <n v="5034885" u="1"/>
        <n v="5034433" u="1"/>
        <n v="5036474" u="1"/>
        <n v="5035983" u="1"/>
        <n v="5036069" u="1"/>
        <n v="5036036" u="1"/>
        <n v="5035929" u="1"/>
        <n v="5035931" u="1"/>
        <n v="5035995" u="1"/>
        <n v="5036112" u="1"/>
        <n v="5035997" u="1"/>
        <n v="5036042" u="1"/>
        <n v="5036000" u="1"/>
        <n v="5036001" u="1"/>
        <n v="5036115" u="1"/>
        <n v="5036003" u="1"/>
        <n v="5036004" u="1"/>
        <n v="5035932" u="1"/>
        <n v="5035930" u="1"/>
        <n v="5035933" u="1"/>
        <n v="5035920" u="1"/>
        <n v="5035925" u="1"/>
        <n v="5035934" u="1"/>
        <n v="5035935" u="1"/>
        <n v="5035936" u="1"/>
        <n v="5035937" u="1"/>
        <n v="5035938" u="1"/>
        <n v="5035939" u="1"/>
        <n v="5035940" u="1"/>
        <n v="5035941" u="1"/>
        <n v="5036134" u="1"/>
        <n v="5035947" u="1"/>
        <n v="5035948" u="1"/>
        <n v="5036050" u="1"/>
        <n v="5035953" u="1"/>
        <n v="5036350" u="1"/>
        <n v="5035955" u="1"/>
        <n v="5035956" u="1"/>
        <n v="5035958" u="1"/>
        <n v="5035959" u="1"/>
        <n v="5035969" u="1"/>
        <n v="5036034" u="1"/>
        <n v="5035970" u="1"/>
        <n v="5035971" u="1"/>
        <n v="5035972" u="1"/>
        <n v="5035975" u="1"/>
        <n v="5036031" u="1"/>
        <n v="5035974" u="1"/>
        <n v="5035977" u="1"/>
        <n v="5036065" u="1"/>
        <n v="5035978" u="1"/>
        <n v="5035991" u="1"/>
        <n v="5035942" u="1"/>
        <n v="5036109" u="1"/>
        <n v="5035993" u="1"/>
        <n v="5036040" u="1"/>
        <n v="5035996" u="1"/>
        <n v="5036041" u="1"/>
        <n v="5036043" u="1"/>
        <n v="5036044" u="1"/>
        <n v="5036116" u="1"/>
        <n v="5035943" u="1"/>
        <n v="5035957" u="1"/>
        <n v="5034988" u="1"/>
        <n v="5035976" u="1"/>
        <n v="5036117" u="1"/>
        <n v="5036005" u="1"/>
        <n v="5036119" u="1"/>
        <n v="5036060" u="1"/>
        <n v="5036108" u="1"/>
        <n v="5036421" u="1"/>
        <n v="5036006" u="1"/>
        <n v="5036122" u="1"/>
        <n v="5036124" u="1"/>
        <n v="5036125" u="1"/>
        <n v="5036126" u="1"/>
        <n v="5036127" u="1"/>
        <n v="5036128" u="1"/>
        <n v="5036130" u="1"/>
        <n v="5036131" u="1"/>
        <n v="5036338" u="1"/>
        <n v="5035833" u="1"/>
        <n v="5029709" u="1"/>
        <n v="5034489" u="1"/>
        <n v="5036054" u="1"/>
        <n v="5036020" u="1"/>
        <n v="5036022" u="1"/>
        <n v="5036023" u="1"/>
        <n v="5036024" u="1"/>
        <n v="5036025" u="1"/>
        <n v="5036026" u="1"/>
        <n v="5036055" u="1"/>
        <n v="5036056" u="1"/>
        <n v="5036091" u="1"/>
        <n v="5036123" u="1"/>
        <n v="5036433" u="1"/>
        <n v="5036057" u="1"/>
        <n v="5035381" u="1"/>
        <n v="5036010" u="1"/>
        <n v="5036017" u="1"/>
        <n v="5036101" u="1"/>
        <n v="5036029" u="1"/>
        <n v="5036028" u="1"/>
        <n v="5035478" u="1"/>
        <n v="5036059" u="1"/>
        <n v="5036066" u="1"/>
        <n v="5036067" u="1"/>
        <n v="5036068" u="1"/>
        <n v="5035019" u="1"/>
        <n v="5036071" u="1"/>
        <n v="5036111" u="1"/>
        <n v="5036114" u="1"/>
        <n v="5036045" u="1"/>
        <n v="5035419" u="1"/>
        <n v="5036118" u="1"/>
        <n v="5033548" u="1"/>
        <n v="5036120" u="1"/>
        <n v="5036129" u="1"/>
        <n v="5036136" u="1"/>
        <n v="5036019" u="1"/>
        <n v="5034866" u="1"/>
        <n v="5036038" u="1"/>
        <n v="5036039" u="1"/>
        <n v="5036049" u="1"/>
        <n v="5036255" u="1"/>
        <n v="5036492" u="1"/>
        <n v="5036051" u="1"/>
        <n v="5036530" u="1"/>
        <n v="5036052" u="1"/>
        <n v="5036150" u="1"/>
        <n v="5036151" u="1"/>
        <n v="5036163" u="1"/>
        <n v="5036164" u="1"/>
        <n v="5036165" u="1"/>
        <n v="5035374" u="1"/>
        <n v="5035446" u="1"/>
        <n v="5036009" u="1"/>
        <n v="5036092" u="1"/>
        <n v="5036058" u="1"/>
        <n v="5036096" u="1"/>
        <n v="5036173" u="1"/>
        <n v="5036174" u="1"/>
        <n v="5036061" u="1"/>
        <n v="5036062" u="1"/>
        <n v="5036105" u="1"/>
        <n v="5036473" u="1"/>
        <n v="5036179" u="1"/>
        <n v="5036110" u="1"/>
        <n v="5036113" u="1"/>
        <n v="5036073" u="1"/>
        <n v="5036074" u="1"/>
        <n v="5026023" u="1"/>
        <n v="5028005" u="1"/>
        <n v="5029876" u="1"/>
        <n v="5031257" u="1"/>
        <n v="5035117" u="1"/>
        <n v="5036193" u="1"/>
        <n v="5036493" u="1"/>
        <n v="5036148" u="1"/>
        <n v="5036400" u="1"/>
        <n v="5036153" u="1"/>
        <n v="5036156" u="1"/>
        <n v="5036161" u="1"/>
        <n v="5036176" u="1"/>
        <n v="5036104" u="1"/>
        <n v="5036185" u="1"/>
        <n v="5036075" u="1"/>
        <n v="5036046" u="1"/>
        <n v="5036047" u="1"/>
        <n v="5036048" u="1"/>
        <n v="5034675" u="1"/>
        <n v="5033359" u="1"/>
        <n v="5036076" u="1"/>
        <n v="5036210" u="1"/>
        <n v="5036077" u="1"/>
        <n v="5036284" u="1"/>
        <n v="5036251" u="1"/>
        <n v="5036079" u="1"/>
        <n v="5036080" u="1"/>
        <n v="5036081" u="1"/>
        <n v="5036082" u="1"/>
        <n v="5036337" u="1"/>
        <n v="5036339" u="1"/>
        <n v="5036340" u="1"/>
        <n v="5036341" u="1"/>
        <n v="5036342" u="1"/>
        <n v="5036346" u="1"/>
        <n v="5036348" u="1"/>
        <n v="5036215" u="1"/>
        <n v="5036352" u="1"/>
        <n v="5036223" u="1"/>
        <n v="5036224" u="1"/>
        <n v="5036157" u="1"/>
        <n v="5036158" u="1"/>
        <n v="5036162" u="1"/>
        <n v="5036226" u="1"/>
        <n v="5036094" u="1"/>
        <n v="5036097" u="1"/>
        <n v="5036099" u="1"/>
        <n v="5019221" u="1"/>
        <n v="5020677" u="1"/>
        <n v="5022483" u="1"/>
        <n v="5026812" u="1"/>
        <n v="5034490" u="1"/>
        <n v="5036238" u="1"/>
        <n v="5036239" u="1"/>
        <n v="5036178" u="1"/>
        <n v="5036244" u="1"/>
        <n v="5036206" u="1"/>
        <n v="5036207" u="1"/>
        <n v="5036514" u="1"/>
        <n v="5036100" u="1"/>
        <n v="5036083" u="1"/>
        <n v="5036084" u="1"/>
        <n v="5036085" u="1"/>
        <n v="5036086" u="1"/>
        <n v="5036088" u="1"/>
        <n v="5036089" u="1"/>
        <n v="5036090" u="1"/>
        <n v="5036093" u="1"/>
        <n v="5036106" u="1"/>
        <n v="5036107" u="1"/>
        <n v="5036184" u="1"/>
        <n v="5036149" u="1"/>
        <n v="5033009" u="1"/>
        <n v="5036133" u="1"/>
        <n v="5036135" u="1"/>
        <n v="5036393" u="1"/>
        <n v="5036253" u="1"/>
        <n v="5036327" u="1"/>
        <n v="5036328" u="1"/>
        <n v="5036254" u="1"/>
        <n v="5036137" u="1"/>
        <n v="5036335" u="1"/>
        <n v="5036138" u="1"/>
        <n v="5036139" u="1"/>
        <n v="5036140" u="1"/>
        <n v="5036141" u="1"/>
        <n v="5036142" u="1"/>
        <n v="5036343" u="1"/>
        <n v="5036344" u="1"/>
        <n v="5036345" u="1"/>
        <n v="5036143" u="1"/>
        <n v="5036347" u="1"/>
        <n v="5036144" u="1"/>
        <n v="5036145" u="1"/>
        <n v="5036349" u="1"/>
        <n v="5036146" u="1"/>
        <n v="5036147" u="1"/>
        <n v="5036159" u="1"/>
        <n v="5036160" u="1"/>
        <n v="5036289" u="1"/>
        <n v="5036259" u="1"/>
        <n v="5036155" u="1"/>
        <n v="5036221" u="1"/>
        <n v="5036222" u="1"/>
        <n v="5036167" u="1"/>
        <n v="5036169" u="1"/>
        <n v="5036171" u="1"/>
        <n v="5036237" u="1"/>
        <n v="5036240" u="1"/>
        <n v="5036241" u="1"/>
        <n v="5036242" u="1"/>
        <n v="5036243" u="1"/>
        <n v="5036297" u="1"/>
        <n v="5036182" u="1"/>
        <n v="5036186" u="1"/>
        <n v="5036187" u="1"/>
        <n v="5036188" u="1"/>
        <n v="5036189" u="1"/>
        <n v="5036190" u="1"/>
        <n v="5036121" u="1"/>
        <n v="5036152" u="1"/>
        <n v="5036154" u="1"/>
        <n v="5036168" u="1"/>
        <n v="5036175" u="1"/>
        <n v="5036072" u="1"/>
        <n v="5035986" u="1"/>
        <n v="5036177" u="1"/>
        <n v="5036180" u="1"/>
        <n v="5036181" u="1"/>
        <n v="5036183" u="1"/>
        <n v="5036329" u="1"/>
        <n v="5036194" u="1"/>
        <n v="5036324" u="1"/>
        <n v="5036325" u="1"/>
        <n v="5036330" u="1"/>
        <n v="5036331" u="1"/>
        <n v="5036333" u="1"/>
        <n v="5036334" u="1"/>
        <n v="5036196" u="1"/>
        <n v="5036217" u="1"/>
        <n v="5036216" u="1"/>
        <n v="5036218" u="1"/>
        <n v="5036197" u="1"/>
        <n v="5036195" u="1"/>
        <n v="5036230" u="1"/>
        <n v="5036199" u="1"/>
        <n v="5036231" u="1"/>
        <n v="5036232" u="1"/>
        <n v="5036233" u="1"/>
        <n v="5036234" u="1"/>
        <n v="5036235" u="1"/>
        <n v="5036236" u="1"/>
        <n v="5036200" u="1"/>
        <n v="5036201" u="1"/>
        <n v="5036202" u="1"/>
        <n v="5036204" u="1"/>
        <n v="5036205" u="1"/>
        <n v="5036203" u="1"/>
        <n v="5036246" u="1"/>
        <n v="5036279" u="1"/>
        <n v="5036380" u="1"/>
        <n v="5036382" u="1"/>
        <n v="5036208" u="1"/>
        <n v="5036198" u="1"/>
        <n v="5036209" u="1"/>
        <n v="5036386" u="1"/>
        <n v="5036320" u="1"/>
        <n v="5036322" u="1"/>
        <n v="5036323" u="1"/>
        <n v="5036256" u="1"/>
        <n v="5036214" u="1"/>
        <n v="5034306" u="1"/>
        <n v="5036220" u="1"/>
        <n v="5035245" u="1"/>
        <n v="5030037" u="1"/>
        <n v="5030347" u="1"/>
        <n v="5036262" u="1"/>
        <n v="5036228" u="1"/>
        <n v="5035384" u="1"/>
        <n v="5036229" u="1"/>
        <n v="5036373" u="1"/>
        <n v="5036273" u="1"/>
        <n v="5036274" u="1"/>
        <n v="5036277" u="1"/>
        <n v="5036416" u="1"/>
        <n v="5036378" u="1"/>
        <n v="5036280" u="1"/>
        <n v="5027519" u="1"/>
        <n v="5036211" u="1"/>
        <n v="5036212" u="1"/>
        <n v="5027232" u="1"/>
        <n v="5036213" u="1"/>
        <n v="5036219" u="1"/>
        <n v="5036227" u="1"/>
        <n v="5036245" u="1"/>
        <n v="5033907" u="1"/>
        <n v="5036248" u="1"/>
        <n v="5014646" u="1"/>
        <n v="5036249" u="1"/>
        <n v="5036247" u="1"/>
        <n v="5036332" u="1"/>
        <n v="5036275" u="1"/>
        <n v="5036385" u="1"/>
        <n v="5036257" u="1"/>
        <n v="5036258" u="1"/>
        <n v="5036351" u="1"/>
        <n v="5036353" u="1"/>
        <n v="5036354" u="1"/>
        <n v="5036369" u="1"/>
        <n v="5036371" u="1"/>
        <n v="5036263" u="1"/>
        <n v="5036264" u="1"/>
        <n v="5036265" u="1"/>
        <n v="5036266" u="1"/>
        <n v="5036268" u="1"/>
        <n v="5036269" u="1"/>
        <n v="5036270" u="1"/>
        <n v="5036271" u="1"/>
        <n v="5036272" u="1"/>
        <n v="5036293" u="1"/>
        <n v="5036408" u="1"/>
        <n v="5034606" u="1"/>
        <n v="5035367" u="1"/>
        <n v="5036294" u="1"/>
        <n v="5027190" u="1"/>
        <n v="5027687" u="1"/>
        <n v="5032714" u="1"/>
        <n v="5034011" u="1"/>
        <n v="5034428" u="1"/>
        <n v="5034424" u="1"/>
        <n v="5034598" u="1"/>
        <n v="5035451" u="1"/>
        <n v="5036374" u="1"/>
        <n v="5036298" u="1"/>
        <n v="5036300" u="1"/>
        <n v="5034327" u="1"/>
        <n v="5036384" u="1"/>
        <n v="5036291" u="1"/>
        <n v="5036252" u="1"/>
        <n v="5036267" u="1"/>
        <n v="5036276" u="1"/>
        <n v="5036278" u="1"/>
        <n v="5036261" u="1"/>
        <n v="5036281" u="1"/>
        <n v="5036282" u="1"/>
        <n v="5036319" u="1"/>
        <n v="5036283" u="1"/>
        <n v="5036392" u="1"/>
        <n v="5036286" u="1"/>
        <n v="5036424" u="1"/>
        <n v="5036314" u="1"/>
        <n v="5036315" u="1"/>
        <n v="5036316" u="1"/>
        <n v="5036318" u="1"/>
        <n v="5036523" u="1"/>
        <n v="5036355" u="1"/>
        <n v="5036356" u="1"/>
        <n v="5036357" u="1"/>
        <n v="5036358" u="1"/>
        <n v="5036359" u="1"/>
        <n v="5036360" u="1"/>
        <n v="5036361" u="1"/>
        <n v="5036366" u="1"/>
        <n v="5036367" u="1"/>
        <n v="5036368" u="1"/>
        <n v="5036431" u="1"/>
        <n v="5015529" u="1"/>
        <n v="5027224" u="1"/>
        <n v="5036454" u="1"/>
        <n v="5036456" u="1"/>
        <n v="5036295" u="1"/>
        <n v="5036305" u="1"/>
        <n v="5036285" u="1"/>
        <n v="5036287" u="1"/>
        <n v="5002924" u="1"/>
        <n v="5010789" u="1"/>
        <n v="5011737" u="1"/>
        <n v="5036288" u="1"/>
        <n v="5036290" u="1"/>
        <n v="5036292" u="1"/>
        <n v="5036296" u="1"/>
        <n v="5036463" u="1"/>
        <n v="5036306" u="1"/>
        <n v="5035476" u="1"/>
        <n v="5035039" u="1"/>
        <n v="5036308" u="1"/>
        <n v="5036309" u="1"/>
        <n v="5036312" u="1"/>
        <n v="5036313" u="1"/>
        <n v="5036250" u="1"/>
        <n v="5036549" u="1"/>
        <n v="5036317" u="1"/>
        <n v="5036321" u="1"/>
        <n v="5036362" u="1"/>
        <n v="5036363" u="1"/>
        <n v="5036364" u="1"/>
        <n v="5036375" u="1"/>
        <n v="5036372" u="1"/>
        <n v="5036436" u="1"/>
        <n v="5036495" u="1"/>
        <n v="5036446" u="1"/>
        <n v="5036447" u="1"/>
        <n v="5036448" u="1"/>
        <n v="5036449" u="1"/>
        <n v="5036450" u="1"/>
        <n v="5036451" u="1"/>
        <n v="5036452" u="1"/>
        <n v="5036453" u="1"/>
        <n v="5036545" u="1"/>
        <n v="5036455" u="1"/>
        <n v="5036515" u="1"/>
        <n v="5036406" u="1"/>
        <n v="5036407" u="1"/>
        <n v="5036462" u="1"/>
        <n v="5036475" u="1"/>
        <n v="5036376" u="1"/>
        <n v="5036381" u="1"/>
        <n v="5036419" u="1"/>
        <n v="5036420" u="1"/>
        <n v="5036513" u="1"/>
        <n v="5036516" u="1"/>
        <n v="5036365" u="1"/>
        <n v="5036442" u="1"/>
        <n v="5036387" u="1"/>
        <n v="5036388" u="1"/>
        <n v="5036389" u="1"/>
        <n v="5036390" u="1"/>
        <n v="5036563" u="1"/>
        <n v="5036566" u="1"/>
        <n v="5036394" u="1"/>
        <n v="5033164" u="1"/>
        <n v="5036396" u="1"/>
        <n v="5036397" u="1"/>
        <n v="5036461" u="1"/>
        <n v="5036429" u="1"/>
        <n v="5036432" u="1"/>
        <n v="5036434" u="1"/>
        <n v="5036583" u="1"/>
        <n v="5036438" u="1"/>
        <n v="5036439" u="1"/>
        <n v="5036441" u="1"/>
        <n v="5036443" u="1"/>
        <n v="5036444" u="1"/>
        <n v="5036457" u="1"/>
        <n v="5036458" u="1"/>
        <n v="5034345" u="1"/>
        <n v="5036409" u="1"/>
        <n v="5036411" u="1"/>
        <n v="5036417" u="1"/>
        <n v="5036479" u="1"/>
        <n v="5036480" u="1"/>
        <n v="5035258" u="1"/>
        <n v="5036459" u="1"/>
        <n v="5036422" u="1"/>
        <n v="5036391" u="1"/>
        <n v="5036395" u="1"/>
        <n v="5036399" u="1"/>
        <n v="5036401" u="1"/>
        <n v="5036404" u="1"/>
        <n v="5036415" u="1"/>
        <n v="5036437" u="1"/>
        <n v="5036565" u="1"/>
        <n v="5036567" u="1"/>
        <n v="5036568" u="1"/>
        <n v="5036570" u="1"/>
        <n v="5036428" u="1"/>
        <n v="5036534" u="1"/>
        <n v="5036535" u="1"/>
        <n v="5036536" u="1"/>
        <n v="5036537" u="1"/>
        <n v="5034241" u="1"/>
        <n v="5035191" u="1"/>
        <n v="5036430" u="1"/>
        <n v="5036576" u="1"/>
        <n v="5036435" u="1"/>
        <n v="5036440" u="1"/>
        <n v="5036445" u="1"/>
        <n v="5026526" u="1"/>
        <n v="5027358" u="1"/>
        <n v="5029362" u="1"/>
        <n v="5033825" u="1"/>
        <n v="5028153" u="1"/>
        <n v="5036460" u="1"/>
        <n v="5029678" u="1"/>
        <n v="5034008" u="1"/>
        <n v="5036398" u="1"/>
        <n v="5033294" u="1"/>
        <n v="5035442" u="1"/>
        <n v="5022331" u="1"/>
        <n v="5028218" u="1"/>
        <n v="5013766" u="1"/>
        <n v="5014232" u="1"/>
        <n v="5015984" u="1"/>
        <n v="5036464" u="1"/>
        <n v="5017825" u="1"/>
        <n v="5020547" u="1"/>
        <n v="5021264" u="1"/>
        <n v="5036465" u="1"/>
        <n v="5036466" u="1"/>
        <n v="5036469" u="1"/>
        <n v="5036470" u="1"/>
        <n v="5036471" u="1"/>
        <n v="5036472" u="1"/>
        <n v="5036478" u="1"/>
        <n v="5036423" u="1"/>
        <n v="5036425" u="1"/>
        <n v="5036426" u="1"/>
        <n v="5036614" u="1"/>
        <n v="5036468" u="1"/>
        <n v="5033200" u="1"/>
        <n v="5025348" u="1"/>
        <n v="5029068" u="1"/>
        <n v="5032926" u="1"/>
        <n v="5034417" u="1"/>
        <n v="5034324" u="1"/>
        <n v="5035172" u="1"/>
        <n v="5029806" u="1"/>
        <n v="5032667" u="1"/>
        <n v="5033105" u="1"/>
        <n v="5035353" u="1"/>
        <n v="5029244" u="1"/>
        <n v="5035006" u="1"/>
        <n v="5027848" u="1"/>
        <n v="5033864" u="1"/>
        <n v="5034237" u="1"/>
        <n v="5036481" u="1"/>
        <n v="5036482" u="1"/>
        <n v="5036483" u="1"/>
        <n v="5036484" u="1"/>
        <n v="5036485" u="1"/>
        <n v="5036486" u="1"/>
        <n v="5036487" u="1"/>
        <n v="5036490" u="1"/>
        <n v="5007675" u="1"/>
        <n v="5006441" u="1"/>
        <n v="5010968" u="1"/>
        <n v="5013802" u="1"/>
        <n v="5016751" u="1"/>
        <n v="5016939" u="1"/>
        <n v="5017116" u="1"/>
        <n v="5017416" u="1"/>
        <n v="5017865" u="1"/>
        <n v="5025812" u="1"/>
        <n v="5027572" u="1"/>
        <n v="5027576" u="1"/>
        <n v="5032690" u="1"/>
        <n v="5027982" u="1"/>
        <n v="5029330" u="1"/>
        <n v="5029682" u="1"/>
        <n v="5030136" u="1"/>
        <n v="5030153" u="1"/>
        <n v="5030251" u="1"/>
        <n v="5031507" u="1"/>
        <n v="5032540" u="1"/>
        <n v="5031691" u="1"/>
        <n v="5031984" u="1"/>
        <n v="5032024" u="1"/>
        <n v="5032194" u="1"/>
        <n v="5032420" u="1"/>
        <n v="5032586" u="1"/>
        <n v="5032684" u="1"/>
        <n v="5032720" u="1"/>
        <n v="5033123" u="1"/>
        <n v="5033138" u="1"/>
        <n v="5033483" u="1"/>
        <n v="5033377" u="1"/>
        <n v="5033417" u="1"/>
        <n v="5033567" u="1"/>
        <n v="5033576" u="1"/>
        <n v="5034021" u="1"/>
        <n v="5033952" u="1"/>
        <n v="5034078" u="1"/>
        <n v="5034103" u="1"/>
        <n v="5034168" u="1"/>
        <n v="5034322" u="1"/>
        <n v="5034224" u="1"/>
        <n v="5034227" u="1"/>
        <n v="5034264" u="1"/>
        <n v="5034313" u="1"/>
        <n v="5034254" u="1"/>
        <n v="5034296" u="1"/>
        <n v="5034445" u="1"/>
        <n v="5034341" u="1"/>
        <n v="5034375" u="1"/>
        <n v="5034391" u="1"/>
        <n v="5034396" u="1"/>
        <n v="5034817" u="1"/>
        <n v="5034478" u="1"/>
        <n v="5034492" u="1"/>
        <n v="5034985" u="1"/>
        <n v="5034515" u="1"/>
        <n v="5034548" u="1"/>
        <n v="5034805" u="1"/>
        <n v="5034654" u="1"/>
        <n v="5034704" u="1"/>
        <n v="5034837" u="1"/>
        <n v="5034770" u="1"/>
        <n v="5035116" u="1"/>
        <n v="5034786" u="1"/>
        <n v="5034821" u="1"/>
        <n v="5034901" u="1"/>
        <n v="5034902" u="1"/>
        <n v="5035369" u="1"/>
        <n v="5034824" u="1"/>
        <n v="5034894" u="1"/>
        <n v="5034898" u="1"/>
        <n v="5034899" u="1"/>
        <n v="5034903" u="1"/>
        <n v="5034904" u="1"/>
        <n v="5034907" u="1"/>
        <n v="5034910" u="1"/>
        <n v="5034963" u="1"/>
        <n v="5034825" u="1"/>
        <n v="5034826" u="1"/>
        <n v="5034967" u="1"/>
        <n v="5034827" u="1"/>
        <n v="5034828" u="1"/>
        <n v="5034829" u="1"/>
        <n v="5035084" u="1"/>
        <n v="5034830" u="1"/>
        <n v="5034926" u="1"/>
        <n v="5034927" u="1"/>
        <n v="5034840" u="1"/>
        <n v="5034841" u="1"/>
        <n v="5034856" u="1"/>
        <n v="5034937" u="1"/>
        <n v="5034857" u="1"/>
        <n v="5034858" u="1"/>
        <n v="5034844" u="1"/>
        <n v="5034859" u="1"/>
        <n v="5034942" u="1"/>
        <n v="5034845" u="1"/>
        <n v="5034953" u="1"/>
        <n v="5034848" u="1"/>
        <n v="5034895" u="1"/>
        <n v="5034849" u="1"/>
        <n v="5034850" u="1"/>
        <n v="5034851" u="1"/>
        <n v="5034852" u="1"/>
        <n v="5034968" u="1"/>
        <n v="5034970" u="1"/>
        <n v="5034971" u="1"/>
        <n v="5034979" u="1"/>
        <n v="5035233" u="1"/>
        <n v="5034853" u="1"/>
        <n v="5034916" u="1"/>
        <n v="5034917" u="1"/>
        <n v="5034930" u="1"/>
        <n v="5034854" u="1"/>
        <n v="5034855" u="1"/>
        <n v="5034938" u="1"/>
        <n v="5034943" u="1"/>
        <n v="5034860" u="1"/>
        <n v="5034944" u="1"/>
        <n v="5034862" u="1"/>
        <n v="5034863" u="1"/>
        <n v="5035021" u="1"/>
        <n v="5035022" u="1"/>
        <n v="5034864" u="1"/>
        <n v="5034865" u="1"/>
        <n v="5035024" u="1"/>
        <n v="5035028" u="1"/>
        <n v="5034964" u="1"/>
        <n v="5034998" u="1"/>
        <n v="5035173" u="1"/>
        <n v="5034999" u="1"/>
        <n v="5034965" u="1"/>
        <n v="5034972" u="1"/>
        <n v="5034974" u="1"/>
        <n v="5035131" u="1"/>
        <n v="5034978" u="1"/>
        <n v="5034867" u="1"/>
        <n v="5034868" u="1"/>
        <n v="5034980" u="1"/>
        <n v="5035392" u="1"/>
        <n v="5034869" u="1"/>
        <n v="5034870" u="1"/>
        <n v="5035002" u="1"/>
        <n v="5034871" u="1"/>
        <n v="5035051" u="1"/>
        <n v="5035105" u="1"/>
        <n v="5034872" u="1"/>
        <n v="5034873" u="1"/>
        <n v="5034874" u="1"/>
        <n v="5035200" u="1"/>
        <n v="5034875" u="1"/>
        <n v="5034876" u="1"/>
        <n v="5034877" u="1"/>
        <n v="5034878" u="1"/>
        <n v="5034948" u="1"/>
        <n v="5034950" u="1"/>
        <n v="5034951" u="1"/>
        <n v="5034879" u="1"/>
        <n v="5034952" u="1"/>
        <n v="5035077" u="1"/>
        <n v="5035029" u="1"/>
        <n v="5035030" u="1"/>
        <n v="5035035" u="1"/>
        <n v="5034913" u="1"/>
        <n v="5035082" u="1"/>
        <n v="5034914" u="1"/>
        <n v="5034973" u="1"/>
        <n v="5035040" u="1"/>
        <n v="5034975" u="1"/>
        <n v="5034915" u="1"/>
        <n v="5035229" u="1"/>
        <n v="5035003" u="1"/>
        <n v="5035005" u="1"/>
        <n v="5034922" u="1"/>
        <n v="5035007" u="1"/>
        <n v="5035008" u="1"/>
        <n v="5034923" u="1"/>
        <n v="5034928" u="1"/>
        <n v="5035047" u="1"/>
        <n v="5034929" u="1"/>
        <n v="5035309" u="1"/>
        <n v="5034934" u="1"/>
        <n v="5034936" u="1"/>
        <n v="5034939" u="1"/>
        <n v="5035017" u="1"/>
        <n v="5035018" u="1"/>
        <n v="5035431" u="1"/>
        <n v="5034954" u="1"/>
        <n v="5034955" u="1"/>
        <n v="5034956" u="1"/>
        <n v="5034957" u="1"/>
        <n v="5034958" u="1"/>
        <n v="5034959" u="1"/>
        <n v="5034960" u="1"/>
        <n v="5034961" u="1"/>
        <n v="5034962" u="1"/>
        <n v="5035032" u="1"/>
        <n v="5035380" u="1"/>
        <n v="5035081" u="1"/>
        <n v="5034976" u="1"/>
        <n v="5034977" u="1"/>
        <n v="5035135" u="1"/>
        <n v="5035390" u="1"/>
        <n v="5035228" u="1"/>
        <n v="5035391" u="1"/>
        <n v="5035136" u="1"/>
        <n v="5035087" u="1"/>
        <n v="5034981" u="1"/>
        <n v="5034982" u="1"/>
        <n v="5035009" u="1"/>
        <n v="5035091" u="1"/>
        <n v="5034983" u="1"/>
        <n v="5035444" u="1"/>
        <n v="5035149" u="1"/>
        <n v="5035046" u="1"/>
        <n v="5035151" u="1"/>
        <n v="5035152" u="1"/>
        <n v="5035153" u="1"/>
        <n v="5035154" u="1"/>
        <n v="5035155" u="1"/>
        <n v="5035048" u="1"/>
        <n v="5035311" u="1"/>
        <n v="5035313" u="1"/>
        <n v="5035314" u="1"/>
        <n v="5035054" u="1"/>
        <n v="5034986" u="1"/>
        <n v="5034989" u="1"/>
        <n v="5034990" u="1"/>
        <n v="5034991" u="1"/>
        <n v="5034992" u="1"/>
        <n v="5035150" u="1"/>
        <n v="5035108" u="1"/>
        <n v="5034993" u="1"/>
        <n v="5034994" u="1"/>
        <n v="5034995" u="1"/>
        <n v="5034997" u="1"/>
        <n v="5035000" u="1"/>
        <n v="5035001" u="1"/>
        <n v="5035219" u="1"/>
        <n v="5035132" u="1"/>
        <n v="5035088" u="1"/>
        <n v="5035089" u="1"/>
        <n v="5035090" u="1"/>
        <n v="5035095" u="1"/>
        <n v="5035011" u="1"/>
        <n v="5035097" u="1"/>
        <n v="5035098" u="1"/>
        <n v="5035045" u="1"/>
        <n v="5035049" u="1"/>
        <n v="5035050" u="1"/>
        <n v="5035012" u="1"/>
        <n v="5035110" u="1"/>
        <n v="5035351" u="1"/>
        <n v="5035055" u="1"/>
        <n v="5035013" u="1"/>
        <n v="5035056" u="1"/>
        <n v="5035269" u="1"/>
        <n v="5035015" u="1"/>
        <n v="5035059" u="1"/>
        <n v="5035016" u="1"/>
        <n v="5035060" u="1"/>
        <n v="5035063" u="1"/>
        <n v="5035064" u="1"/>
        <n v="5035284" u="1"/>
        <n v="5035020" u="1"/>
        <n v="5035023" u="1"/>
        <n v="5035025" u="1"/>
        <n v="5035026" u="1"/>
        <n v="5035124" u="1"/>
        <n v="5035027" u="1"/>
        <n v="5035031" u="1"/>
        <n v="5035034" u="1"/>
        <n v="5035126" u="1"/>
        <n v="5035212" u="1"/>
        <n v="5035215" u="1"/>
        <n v="5035037" u="1"/>
        <n v="5035217" u="1"/>
        <n v="5035038" u="1"/>
        <n v="5035129" u="1"/>
        <n v="5035130" u="1"/>
        <n v="5035134" u="1"/>
        <n v="5035226" u="1"/>
        <n v="5035292" u="1"/>
        <n v="5035293" u="1"/>
        <n v="5035041" u="1"/>
        <n v="5035237" u="1"/>
        <n v="5035295" u="1"/>
        <n v="5035044" u="1"/>
        <n v="5035092" u="1"/>
        <n v="5035093" u="1"/>
        <n v="5035094" u="1"/>
        <n v="5035145" u="1"/>
        <n v="5035099" u="1"/>
        <n v="5035100" u="1"/>
        <n v="5035101" u="1"/>
        <n v="5035102" u="1"/>
        <n v="5035103" u="1"/>
        <n v="5035104" u="1"/>
        <n v="5035052" u="1"/>
        <n v="5035053" u="1"/>
        <n v="5035111" u="1"/>
        <n v="5035193" u="1"/>
        <n v="5035113" u="1"/>
        <n v="5035057" u="1"/>
        <n v="5035058" u="1"/>
        <n v="5035061" u="1"/>
        <n v="5035062" u="1"/>
        <n v="5035065" u="1"/>
        <n v="5035066" u="1"/>
        <n v="5035067" u="1"/>
        <n v="5035068" u="1"/>
        <n v="5035069" u="1"/>
        <n v="5035070" u="1"/>
        <n v="5035071" u="1"/>
        <n v="5035072" u="1"/>
        <n v="5035073" u="1"/>
        <n v="5035074" u="1"/>
        <n v="5035075" u="1"/>
        <n v="5035595" u="1"/>
        <n v="5035170" u="1"/>
        <n v="5035171" u="1"/>
        <n v="5035078" u="1"/>
        <n v="5035079" u="1"/>
        <n v="5035206" u="1"/>
        <n v="5035080" u="1"/>
        <n v="5035256" u="1"/>
        <n v="5035086" u="1"/>
        <n v="5035139" u="1"/>
        <n v="5035140" u="1"/>
        <n v="5035142" u="1"/>
        <n v="5035143" u="1"/>
        <n v="5035147" u="1"/>
        <n v="5035148" u="1"/>
        <n v="5035158" u="1"/>
        <n v="5035159" u="1"/>
        <n v="5035160" u="1"/>
        <n v="5035106" u="1"/>
        <n v="5035188" u="1"/>
        <n v="5035107" u="1"/>
        <n v="5035109" u="1"/>
        <n v="5035112" u="1"/>
        <n v="5035198" u="1"/>
        <n v="5035199" u="1"/>
        <n v="5035355" u="1"/>
        <n v="5035114" u="1"/>
        <n v="5035115" u="1"/>
        <n v="5035118" u="1"/>
        <n v="5035119" u="1"/>
        <n v="5035120" u="1"/>
        <n v="5035121" u="1"/>
        <n v="5035587" u="1"/>
        <n v="5035122" u="1"/>
        <n v="5035252" u="1"/>
        <n v="5035127" u="1"/>
        <n v="5035128" u="1"/>
        <n v="5035213" u="1"/>
        <n v="5035216" u="1"/>
        <n v="5035441" u="1"/>
        <n v="5035218" u="1"/>
        <n v="5035223" u="1"/>
        <n v="5035225" u="1"/>
        <n v="5035394" u="1"/>
        <n v="5035234" u="1"/>
        <n v="5035138" u="1"/>
        <n v="5035146" u="1"/>
        <n v="5035259" u="1"/>
        <n v="5035156" u="1"/>
        <n v="5035157" u="1"/>
        <n v="5035184" u="1"/>
        <n v="5035161" u="1"/>
        <n v="5035192" u="1"/>
        <n v="5035194" u="1"/>
        <n v="5035195" u="1"/>
        <n v="5035196" u="1"/>
        <n v="5035356" u="1"/>
        <n v="5035582" u="1"/>
        <n v="5035364" u="1"/>
        <n v="5035164" u="1"/>
        <n v="5035165" u="1"/>
        <n v="5035166" u="1"/>
        <n v="5035167" u="1"/>
        <n v="5035168" u="1"/>
        <n v="5035169" u="1"/>
        <n v="5035338" u="1"/>
        <n v="5035254" u="1"/>
        <n v="5035208" u="1"/>
        <n v="5035209" u="1"/>
        <n v="5035211" u="1"/>
        <n v="5035220" u="1"/>
        <n v="5035222" u="1"/>
        <n v="5035224" u="1"/>
        <n v="5035230" u="1"/>
        <n v="5035231" u="1"/>
        <n v="5035232" u="1"/>
        <n v="5035181" u="1"/>
        <n v="5035260" u="1"/>
        <n v="5035261" u="1"/>
        <n v="5035182" u="1"/>
        <n v="5035185" u="1"/>
        <n v="5035187" u="1"/>
        <n v="5035190" u="1"/>
        <n v="5035448" u="1"/>
        <n v="5035265" u="1"/>
        <n v="5035267" u="1"/>
        <n v="5035429" u="1"/>
        <n v="5035201" u="1"/>
        <n v="5035365" u="1"/>
        <n v="5035257" u="1"/>
        <n v="5035266" u="1"/>
        <n v="5035202" u="1"/>
        <n v="5035368" u="1"/>
        <n v="5035203" u="1"/>
        <n v="5035205" u="1"/>
        <n v="5035207" u="1"/>
        <n v="5035289" u="1"/>
        <n v="5035221" u="1"/>
        <n v="5035235" u="1"/>
        <n v="5035296" u="1"/>
        <n v="5035242" u="1"/>
        <n v="5035264" u="1"/>
        <n v="5035354" u="1"/>
        <n v="5035270" u="1"/>
        <n v="5035271" u="1"/>
        <n v="5035243" u="1"/>
        <n v="5035244" u="1"/>
        <n v="5035246" u="1"/>
        <n v="5035326" u="1"/>
        <n v="5035247" u="1"/>
        <n v="5035248" u="1"/>
        <n v="5035249" u="1"/>
        <n v="5035340" u="1"/>
        <n v="5035375" u="1"/>
        <n v="5035378" u="1"/>
        <n v="5035287" u="1"/>
        <n v="5035253" u="1"/>
        <n v="5035255" u="1"/>
        <n v="5035385" u="1"/>
        <n v="5035386" u="1"/>
        <n v="5035387" u="1"/>
        <n v="5035389" u="1"/>
        <n v="5035294" u="1"/>
        <n v="5035304" u="1"/>
        <n v="5035305" u="1"/>
        <n v="5035306" u="1"/>
        <n v="5035307" u="1"/>
        <n v="5035308" u="1"/>
        <n v="5035310" u="1"/>
        <n v="5035312" u="1"/>
        <n v="5035268" u="1"/>
        <n v="5035323" u="1"/>
        <n v="5035272" u="1"/>
        <n v="5035273" u="1"/>
        <n v="5035274" u="1"/>
        <n v="5035324" u="1"/>
        <n v="5035275" u="1"/>
        <n v="5035276" u="1"/>
        <n v="5035277" u="1"/>
        <n v="5035278" u="1"/>
        <n v="5035279" u="1"/>
        <n v="5035280" u="1"/>
        <n v="5035281" u="1"/>
        <n v="5035282" u="1"/>
        <n v="5035283" u="1"/>
        <n v="5035370" u="1"/>
        <n v="5035373" u="1"/>
        <n v="5035339" u="1"/>
        <n v="5035285" u="1"/>
        <n v="5035286" u="1"/>
        <n v="5035379" u="1"/>
        <n v="5035290" u="1"/>
        <n v="5035291" u="1"/>
        <n v="5035393" u="1"/>
        <n v="5035395" u="1"/>
        <n v="5035396" u="1"/>
        <n v="5035397" u="1"/>
        <n v="5035297" u="1"/>
        <n v="5035298" u="1"/>
        <n v="5035299" u="1"/>
        <n v="5035300" u="1"/>
        <n v="5035301" u="1"/>
        <n v="5035303" u="1"/>
        <n v="5035412" u="1"/>
        <n v="5035414" u="1"/>
        <n v="5035418" u="1"/>
        <n v="5035447" u="1"/>
        <n v="5035422" u="1"/>
        <n v="5035315" u="1"/>
        <n v="5035352" u="1"/>
        <n v="5035357" u="1"/>
        <n v="5035358" u="1"/>
        <n v="5035317" u="1"/>
        <n v="5035318" u="1"/>
        <n v="5035320" u="1"/>
        <n v="5035321" u="1"/>
        <n v="5035359" u="1"/>
        <n v="5035360" u="1"/>
        <n v="5035361" u="1"/>
        <n v="5035322" u="1"/>
        <n v="5035363" u="1"/>
        <n v="5035548" u="1"/>
        <n v="5035327" u="1"/>
        <n v="5035328" u="1"/>
        <n v="5035329" u="1"/>
        <n v="5035330" u="1"/>
        <n v="5035331" u="1"/>
        <n v="5035411" u="1"/>
        <n v="5035551" u="1"/>
        <n v="5035332" u="1"/>
        <n v="5035333" u="1"/>
        <n v="5035334" u="1"/>
        <n v="5035335" u="1"/>
        <n v="5035336" u="1"/>
        <n v="5035337" u="1"/>
        <n v="5035341" u="1"/>
        <n v="5035342" u="1"/>
        <n v="5035343" u="1"/>
        <n v="5035344" u="1"/>
        <n v="5035345" u="1"/>
        <n v="5035346" u="1"/>
        <n v="5035347" u="1"/>
        <n v="5035398" u="1"/>
        <n v="5035399" u="1"/>
        <n v="5035348" u="1"/>
        <n v="5035349" u="1"/>
        <n v="5035404" u="1"/>
        <n v="5035486" u="1"/>
        <n v="5035350" u="1"/>
        <n v="5035408" u="1"/>
        <n v="5035490" u="1"/>
        <n v="5035410" u="1"/>
        <n v="5035416" u="1"/>
        <n v="5035417" u="1"/>
        <n v="5035424" u="1"/>
        <n v="5035492" u="1"/>
        <n v="5035493" u="1"/>
        <n v="5035452" u="1"/>
        <n v="5035456" u="1"/>
        <n v="5035457" u="1"/>
        <n v="5035458" u="1"/>
        <n v="5035459" u="1"/>
        <n v="5035461" u="1"/>
        <n v="5035560" u="1"/>
        <n v="5035497" u="1"/>
        <n v="5035433" u="1"/>
        <n v="5035371" u="1"/>
        <n v="5035372" u="1"/>
        <n v="5035376" u="1"/>
        <n v="5035377" u="1"/>
        <n v="5035388" u="1"/>
        <n v="5035512" u="1"/>
        <n v="5035400" u="1"/>
        <n v="5035401" u="1"/>
        <n v="5035403" u="1"/>
        <n v="5035521" u="1"/>
        <n v="5035484" u="1"/>
        <n v="5035406" u="1"/>
        <n v="5035407" u="1"/>
        <n v="5035491" u="1"/>
        <n v="5035523" u="1"/>
        <n v="5035415" u="1"/>
        <n v="5035526" u="1"/>
        <n v="5035527" u="1"/>
        <n v="5035420" u="1"/>
        <n v="5035421" u="1"/>
        <n v="5035449" u="1"/>
        <n v="5035528" u="1"/>
        <n v="5035450" u="1"/>
        <n v="5035530" u="1"/>
        <n v="5035531" u="1"/>
        <n v="5035453" u="1"/>
        <n v="5035533" u="1"/>
        <n v="5035532" u="1"/>
        <n v="5035534" u="1"/>
        <n v="5035535" u="1"/>
        <n v="5035536" u="1"/>
        <n v="5035463" u="1"/>
        <n v="5035430" u="1"/>
        <n v="5035465" u="1"/>
        <n v="5035561" u="1"/>
        <n v="5035432" u="1"/>
        <n v="5035498" u="1"/>
        <n v="5035434" u="1"/>
        <n v="5035436" u="1"/>
        <n v="5035437" u="1"/>
        <n v="5035438" u="1"/>
        <n v="5035439" u="1"/>
        <n v="5035503" u="1"/>
        <n v="5035440" u="1"/>
        <n v="5035608" u="1"/>
        <n v="5035513" u="1"/>
        <n v="5035485" u="1"/>
        <n v="5035489" u="1"/>
        <n v="5035445" u="1"/>
        <n v="5035454" u="1"/>
        <n v="5035455" u="1"/>
        <n v="5035538" u="1"/>
        <n v="5035539" u="1"/>
        <n v="5035541" u="1"/>
        <n v="5035543" u="1"/>
        <n v="5035547" u="1"/>
        <n v="5035550" u="1"/>
        <n v="5035552" u="1"/>
        <n v="5035466" u="1"/>
        <n v="5035467" u="1"/>
        <n v="5035469" u="1"/>
        <n v="5035558" u="1"/>
        <n v="5035568" u="1"/>
        <n v="5035589" u="1"/>
        <n v="5035471" u="1"/>
        <n v="5035472" u="1"/>
        <n v="5035473" u="1"/>
        <n v="5035474" u="1"/>
        <n v="5035475" u="1"/>
        <n v="5035477" u="1"/>
        <n v="5035480" u="1"/>
        <n v="5035607" u="1"/>
        <n v="5035483" u="1"/>
        <n v="5035488" u="1"/>
        <n v="5035494" u="1"/>
        <n v="5035553" u="1"/>
        <n v="5035555" u="1"/>
        <n v="5035562" u="1"/>
        <n v="5035564" u="1"/>
        <n v="5035565" u="1"/>
        <n v="5035566" u="1"/>
        <n v="5035567" u="1"/>
        <n v="5035574" u="1"/>
        <n v="5035575" u="1"/>
        <n v="5035578" u="1"/>
        <n v="5035579" u="1"/>
        <n v="5035585" u="1"/>
        <n v="5035593" u="1"/>
        <n v="5035594" u="1"/>
        <n v="5035496" u="1"/>
        <n v="5035500" u="1"/>
        <n v="5035501" u="1"/>
        <n v="5035502" u="1"/>
        <n v="5035504" u="1"/>
        <n v="5035604" u="1"/>
        <n v="5035505" u="1"/>
        <n v="5035506" u="1"/>
        <n v="5035508" u="1"/>
        <n v="5035510" u="1"/>
        <n v="5035514" u="1"/>
        <n v="5035644" u="1"/>
        <n v="5035517" u="1"/>
        <n v="5035518" u="1"/>
        <n v="5035519" u="1"/>
        <n v="5035520" u="1"/>
        <n v="5035522" u="1"/>
        <n v="5035524" u="1"/>
        <n v="5035525" u="1"/>
        <n v="5035622" u="1"/>
        <n v="5035537" u="1"/>
        <n v="5035546" u="1"/>
        <n v="5035544" u="1"/>
        <n v="5035549" u="1"/>
        <n v="5035554" u="1"/>
        <n v="5035557" u="1"/>
        <n v="5035559" u="1"/>
        <n v="5035569" u="1"/>
        <n v="5035572" u="1"/>
        <n v="5035576" u="1"/>
        <n v="5035577" u="1"/>
        <n v="5035580" u="1"/>
        <n v="5035581" u="1"/>
        <n v="5035583" u="1"/>
        <n v="5035584" u="1"/>
        <n v="5035586" u="1"/>
        <n v="5035588" u="1"/>
        <n v="5035590" u="1"/>
        <n v="5035592" u="1"/>
        <n v="5033728" u="1"/>
        <n v="5030343" u="1"/>
        <n v="5034789" u="1"/>
        <n v="5033823" u="1"/>
        <n v="5034159" u="1"/>
        <n v="5034175" u="1"/>
        <n v="5034178" u="1"/>
        <n v="5034556" u="1"/>
        <n v="5024187" u="1"/>
        <n v="5034190" u="1"/>
        <n v="5034196" u="1"/>
        <n v="5034246" u="1"/>
        <n v="5034538" u="1"/>
        <n v="5034115" u="1"/>
        <n v="5034113" u="1"/>
        <n v="5034114" u="1"/>
        <n v="5034112" u="1"/>
        <n v="5034111" u="1"/>
        <n v="5031304" u="1"/>
        <n v="5028882" u="1"/>
        <n v="5028833" u="1"/>
        <n v="5034252" u="1"/>
        <n v="5034285" u="1"/>
        <n v="5034120" u="1"/>
        <n v="5034310" u="1"/>
        <n v="5034382" u="1"/>
        <n v="5034385" u="1"/>
        <n v="5034386" u="1"/>
        <n v="5034155" u="1"/>
        <n v="5034387" u="1"/>
        <n v="5034143" u="1"/>
        <n v="5034509" u="1"/>
        <n v="5034599" u="1"/>
        <n v="5034601" u="1"/>
        <n v="5034610" u="1"/>
        <n v="5034560" u="1"/>
        <n v="5034561" u="1"/>
        <n v="5034186" u="1"/>
        <n v="5034737" u="1"/>
        <n v="5034783" u="1"/>
        <n v="5034787" u="1"/>
        <n v="5034788" u="1"/>
        <n v="5032610" u="1"/>
        <n v="5032846" u="1"/>
        <n v="5034158" u="1"/>
        <n v="5034118" u="1"/>
        <n v="5034144" u="1"/>
        <n v="5034203" u="1"/>
        <n v="5034161" u="1"/>
        <n v="5033312" u="1"/>
        <n v="5027222" u="1"/>
        <n v="5034210" u="1"/>
        <n v="5034404" u="1"/>
        <n v="5034163" u="1"/>
        <n v="5034160" u="1"/>
        <n v="5034219" u="1"/>
        <n v="5034165" u="1"/>
        <n v="5034284" u="1"/>
        <n v="5034193" u="1"/>
        <n v="5034765" u="1"/>
        <n v="5034333" u="1"/>
        <n v="5034443" u="1"/>
        <n v="5034432" u="1"/>
        <n v="5033376" u="1"/>
        <n v="5034752" u="1"/>
        <n v="5034414" u="1"/>
        <n v="5034500" u="1"/>
        <n v="5034600" u="1"/>
        <n v="5034613" u="1"/>
        <n v="5034649" u="1"/>
        <n v="5034619" u="1"/>
        <n v="5034679" u="1"/>
        <n v="5034167" u="1"/>
        <n v="5033355" u="1"/>
        <n v="5033949" u="1"/>
        <n v="5034169" u="1"/>
        <n v="5034170" u="1"/>
        <n v="5034409" u="1"/>
        <n v="5034321" u="1"/>
        <n v="5034173" u="1"/>
        <n v="5034209" u="1"/>
        <n v="5034174" u="1"/>
        <n v="5034693" u="1"/>
        <n v="5032101" u="1"/>
        <n v="5033863" u="1"/>
        <n v="5034194" u="1"/>
        <n v="5034408" u="1"/>
        <n v="5034176" u="1"/>
        <n v="5034181" u="1"/>
        <n v="5034211" u="1"/>
        <n v="5034182" u="1"/>
        <n v="5034217" u="1"/>
        <n v="5034380" u="1"/>
        <n v="5034332" u="1"/>
        <n v="5034314" u="1"/>
        <n v="5034207" u="1"/>
        <n v="5034448" u="1"/>
        <n v="5034436" u="1"/>
        <n v="5034708" u="1"/>
        <n v="5034577" u="1"/>
        <n v="5034452" u="1"/>
        <n v="5034365" u="1"/>
        <n v="5034183" u="1"/>
        <n v="5034350" u="1"/>
        <n v="5034456" u="1"/>
        <n v="5034457" u="1"/>
        <n v="5034187" u="1"/>
        <n v="5034197" u="1"/>
        <n v="5034228" u="1"/>
        <n v="5034261" u="1"/>
        <n v="5034198" u="1"/>
        <n v="5034199" u="1"/>
        <n v="5034201" u="1"/>
        <n v="5034482" u="1"/>
        <n v="5034483" u="1"/>
        <n v="5034318" u="1"/>
        <n v="5034485" u="1"/>
        <n v="5034328" u="1"/>
        <n v="5034329" u="1"/>
        <n v="5034517" u="1"/>
        <n v="5034616" u="1"/>
        <n v="5034214" u="1"/>
        <n v="5034624" u="1"/>
        <n v="5034703" u="1"/>
        <n v="5034215" u="1"/>
        <n v="5034205" u="1"/>
        <n v="5034208" u="1"/>
        <n v="5033265" u="1"/>
        <n v="5033370" u="1"/>
        <n v="5033593" u="1"/>
        <n v="5033046" u="1"/>
        <n v="5034317" u="1"/>
        <n v="5034427" u="1"/>
        <n v="5034220" u="1"/>
        <n v="5034618" u="1"/>
        <n v="5034221" u="1"/>
        <n v="5034225" u="1"/>
        <n v="5034453" u="1"/>
        <n v="5034330" u="1"/>
        <n v="5034262" u="1"/>
        <n v="5034263" u="1"/>
        <n v="5034265" u="1"/>
        <n v="5034266" u="1"/>
        <n v="5029145" u="1"/>
        <n v="5034230" u="1"/>
        <n v="5034231" u="1"/>
        <n v="5034268" u="1"/>
        <n v="5034659" u="1"/>
        <n v="5034551" u="1"/>
        <n v="5034392" u="1"/>
        <n v="5034232" u="1"/>
        <n v="5030887" u="1"/>
        <n v="5031501" u="1"/>
        <n v="5034185" u="1"/>
        <n v="5034157" u="1"/>
        <n v="5034316" u="1"/>
        <n v="5034319" u="1"/>
        <n v="5034320" u="1"/>
        <n v="5034407" u="1"/>
        <n v="5034179" u="1"/>
        <n v="5034240" u="1"/>
        <n v="5034507" u="1"/>
        <n v="5034749" u="1"/>
        <n v="5034503" u="1"/>
        <n v="5034235" u="1"/>
        <n v="5034744" u="1"/>
        <n v="5034131" u="1"/>
        <n v="5034233" u="1"/>
        <n v="5034242" u="1"/>
        <n v="5034334" u="1"/>
        <n v="5034336" u="1"/>
        <n v="5034337" u="1"/>
        <n v="5034338" u="1"/>
        <n v="5034234" u="1"/>
        <n v="5034487" u="1"/>
        <n v="5034591" u="1"/>
        <n v="5034311" u="1"/>
        <n v="5034117" u="1"/>
        <n v="5034247" u="1"/>
        <n v="5034631" u="1"/>
        <n v="5034248" u="1"/>
        <n v="5034249" u="1"/>
        <n v="5034541" u="1"/>
        <n v="5034738" u="1"/>
        <n v="5034589" u="1"/>
        <n v="5034116" u="1"/>
        <n v="5034531" u="1"/>
        <n v="5034446" u="1"/>
        <n v="5034298" u="1"/>
        <n v="5033850" u="1"/>
        <n v="5034151" u="1"/>
        <n v="5034152" u="1"/>
        <n v="5034706" u="1"/>
        <n v="5034451" u="1"/>
        <n v="5034253" u="1"/>
        <n v="5034300" u="1"/>
        <n v="5034360" u="1"/>
        <n v="5034302" u="1"/>
        <n v="5034137" u="1"/>
        <n v="5034188" u="1"/>
        <n v="5034280" u="1"/>
        <n v="5034202" u="1"/>
        <n v="5034669" u="1"/>
        <n v="5034243" u="1"/>
        <n v="5034244" u="1"/>
        <n v="5034790" u="1"/>
        <n v="5034692" u="1"/>
        <n v="5034255" u="1"/>
        <n v="5034256" u="1"/>
        <n v="5034394" u="1"/>
        <n v="5034269" u="1"/>
        <n v="5034270" u="1"/>
        <n v="5034271" u="1"/>
        <n v="5034272" u="1"/>
        <n v="5034508" u="1"/>
        <n v="5034184" u="1"/>
        <n v="5034277" u="1"/>
        <n v="5034278" u="1"/>
        <n v="5032942" u="1"/>
        <n v="5032590" u="1"/>
        <n v="5033007" u="1"/>
        <n v="5003458" u="1"/>
        <n v="5031898" u="1"/>
        <n v="5034095" u="1"/>
        <n v="5034282" u="1"/>
        <n v="5034435" u="1"/>
        <n v="5034344" u="1"/>
        <n v="5034439" u="1"/>
        <n v="5034454" u="1"/>
        <n v="5034358" u="1"/>
        <n v="5034362" u="1"/>
        <n v="5034304" u="1"/>
        <n v="5034305" u="1"/>
        <n v="5034364" u="1"/>
        <n v="5034293" u="1"/>
        <n v="5034309" u="1"/>
        <n v="5034597" u="1"/>
        <n v="5034295" u="1"/>
        <n v="5034294" u="1"/>
        <n v="5034301" u="1"/>
        <n v="5034303" u="1"/>
        <n v="5034039" u="1"/>
        <n v="5034323" u="1"/>
        <n v="5034325" u="1"/>
        <n v="5034326" u="1"/>
        <n v="5034493" u="1"/>
        <n v="5034778" u="1"/>
        <n v="5034416" u="1"/>
        <n v="5034412" u="1"/>
        <n v="5034419" u="1"/>
        <n v="5034420" u="1"/>
        <n v="5034756" u="1"/>
        <n v="5034425" u="1"/>
        <n v="5034434" u="1"/>
        <n v="5034676" u="1"/>
        <n v="5034441" u="1"/>
        <n v="5034442" u="1"/>
        <n v="5034696" u="1"/>
        <n v="5034697" u="1"/>
        <n v="5034707" u="1"/>
        <n v="5034283" u="1"/>
        <n v="5034833" u="1"/>
        <n v="5034834" u="1"/>
        <n v="5034460" u="1"/>
        <n v="5034461" u="1"/>
        <n v="5034603" u="1"/>
        <n v="5034398" u="1"/>
        <n v="5034718" u="1"/>
        <n v="5034400" u="1"/>
        <n v="5034401" u="1"/>
        <n v="5034402" u="1"/>
        <n v="5034349" u="1"/>
        <n v="5034297" u="1"/>
        <n v="5034162" u="1"/>
        <n v="5034370" u="1"/>
        <n v="5034366" u="1"/>
        <n v="5034368" u="1"/>
        <n v="5034802" u="1"/>
        <n v="5034363" u="1"/>
        <n v="5032936" u="1"/>
        <n v="5034664" u="1"/>
        <n v="5034359" u="1"/>
        <n v="5008470" u="1"/>
        <n v="5010066" u="1"/>
        <n v="5017055" u="1"/>
        <n v="5033015" u="1"/>
        <n v="5033834" u="1"/>
        <n v="5034352" u="1"/>
        <n v="5034346" u="1"/>
        <n v="5034339" u="1"/>
        <n v="5034604" u="1"/>
        <n v="5034540" u="1"/>
        <n v="5034791" u="1"/>
        <n v="5034437" u="1"/>
        <n v="5034423" u="1"/>
        <n v="5034371" u="1"/>
        <n v="5034449" u="1"/>
        <n v="5034730" u="1"/>
        <n v="5034281" u="1"/>
        <n v="5034373" u="1"/>
        <n v="5034699" u="1"/>
        <n v="5034570" u="1"/>
        <n v="5034426" u="1"/>
        <n v="5034734" u="1"/>
        <n v="5034429" u="1"/>
        <n v="5034430" u="1"/>
        <n v="5034431" u="1"/>
        <n v="5034488" u="1"/>
        <n v="5034519" u="1"/>
        <n v="5034388" u="1"/>
        <n v="5034378" u="1"/>
        <n v="5034532" u="1"/>
        <n v="5034596" u="1"/>
        <n v="5034462" u="1"/>
        <n v="5034463" u="1"/>
        <n v="5034464" u="1"/>
        <n v="5034465" u="1"/>
        <n v="5034467" u="1"/>
        <n v="5034578" u="1"/>
        <n v="5034236" u="1"/>
        <n v="5034470" u="1"/>
        <n v="5034759" u="1"/>
        <n v="5034472" u="1"/>
        <n v="5034395" u="1"/>
        <n v="5034505" u="1"/>
        <n v="5034553" u="1"/>
        <n v="5034403" u="1"/>
        <n v="5034259" u="1"/>
        <n v="5034405" u="1"/>
        <n v="5034374" u="1"/>
        <n v="5034340" u="1"/>
        <n v="5034377" u="1"/>
        <n v="5034587" u="1"/>
        <n v="5034379" u="1"/>
        <n v="5033977" u="1"/>
        <n v="5034384" u="1"/>
        <n v="5034381" u="1"/>
        <n v="5034389" u="1"/>
        <n v="5033780" u="1"/>
        <n v="5034801" u="1"/>
        <n v="5034471" u="1"/>
        <n v="5034171" u="1"/>
        <n v="5034421" u="1"/>
        <n v="5034438" u="1"/>
        <n v="5034361" u="1"/>
        <n v="5034195" u="1"/>
        <n v="5034861" u="1"/>
        <n v="5034740" u="1"/>
        <n v="5034518" u="1"/>
        <n v="5034466" u="1"/>
        <n v="5034119" u="1"/>
        <n v="5034581" u="1"/>
        <n v="5033600" u="1"/>
        <n v="5034511" u="1"/>
        <n v="5034586" u="1"/>
        <n v="5034588" u="1"/>
        <n v="5034590" u="1"/>
        <n v="5034746" u="1"/>
        <n v="5034592" u="1"/>
        <n v="5034595" u="1"/>
        <n v="5033719" u="1"/>
        <n v="5033428" u="1"/>
        <n v="5034651" u="1"/>
        <n v="5034609" u="1"/>
        <n v="5034582" u="1"/>
        <n v="5034522" u="1"/>
        <n v="5034275" u="1"/>
        <n v="5034554" u="1"/>
        <n v="5034440" u="1"/>
        <n v="5034450" u="1"/>
        <n v="5034458" u="1"/>
        <n v="5034477" u="1"/>
        <n v="5034476" u="1"/>
        <n v="5034475" u="1"/>
        <n v="5034474" u="1"/>
        <n v="5034523" u="1"/>
        <n v="5034473" u="1"/>
        <n v="5034524" u="1"/>
        <n v="5034525" u="1"/>
        <n v="5034526" u="1"/>
        <n v="5034479" u="1"/>
        <n v="5034480" u="1"/>
        <n v="5032991" u="1"/>
        <n v="5030219" u="1"/>
        <n v="5033517" u="1"/>
        <n v="5034192" u="1"/>
        <n v="5034484" u="1"/>
        <n v="5034189" u="1"/>
        <n v="5034486" u="1"/>
        <n v="5034075" u="1"/>
        <n v="5034406" u="1"/>
        <n v="5033733" u="1"/>
        <n v="5030155" u="1"/>
        <n v="5032549" u="1"/>
        <n v="5034251" u="1"/>
        <n v="5034491" u="1"/>
        <n v="5034748" u="1"/>
        <n v="5034628" u="1"/>
        <n v="5034701" u="1"/>
        <n v="5034245" u="1"/>
        <n v="5034559" u="1"/>
        <n v="5034630" u="1"/>
        <n v="5034274" u="1"/>
        <n v="5034568" u="1"/>
        <n v="5034376" u="1"/>
        <n v="5034229" u="1"/>
        <n v="5034583" u="1"/>
        <n v="5034502" u="1"/>
        <n v="5034390" u="1"/>
        <n v="5034543" u="1"/>
        <n v="5034717" u="1"/>
        <n v="5033885" u="1"/>
        <n v="5034312" u="1"/>
        <n v="5034602" u="1"/>
        <n v="5034539" u="1"/>
        <n v="5034605" u="1"/>
        <n v="5034607" u="1"/>
        <n v="5034608" u="1"/>
        <n v="5034444" u="1"/>
        <n v="5034520" u="1"/>
        <n v="5034481" u="1"/>
        <n v="5034499" u="1"/>
        <n v="5034512" u="1"/>
        <n v="5034513" u="1"/>
        <n v="5034516" u="1"/>
        <n v="5034521" u="1"/>
        <n v="5034495" u="1"/>
        <n v="5034494" u="1"/>
        <n v="5034623" u="1"/>
        <n v="5034629" u="1"/>
        <n v="5034627" u="1"/>
        <n v="5034594" u="1"/>
        <n v="5034593" u="1"/>
        <n v="5034569" u="1"/>
        <n v="5034636" u="1"/>
        <n v="5034572" u="1"/>
        <n v="5034639" u="1"/>
        <n v="5034573" u="1"/>
        <n v="5034574" u="1"/>
        <n v="5034534" u="1"/>
        <n v="5034800" u="1"/>
        <n v="5034680" u="1"/>
        <n v="5034535" u="1"/>
        <n v="5034367" u="1"/>
        <n v="5034585" u="1"/>
        <n v="5034584" u="1"/>
        <n v="5034621" u="1"/>
        <n v="5034537" u="1"/>
        <n v="5034497" u="1"/>
        <n v="5034130" u="1"/>
        <n v="5034614" u="1"/>
        <n v="5034615" u="1"/>
        <n v="5034191" u="1"/>
        <n v="5034257" u="1"/>
        <n v="5034620" u="1"/>
        <n v="5034413" u="1"/>
        <n v="5033119" u="1"/>
        <n v="5034007" u="1"/>
        <n v="5034529" u="1"/>
        <n v="5034530" u="1"/>
        <n v="5034544" u="1"/>
        <n v="5034545" u="1"/>
        <n v="5034546" u="1"/>
        <n v="5034648" u="1"/>
        <n v="5034154" u="1"/>
        <n v="5034549" u="1"/>
        <n v="5034550" u="1"/>
        <n v="5034552" u="1"/>
        <n v="5034653" u="1"/>
        <n v="5033360" u="1"/>
        <n v="5033993" u="1"/>
        <n v="5034726" u="1"/>
        <n v="5034637" u="1"/>
        <n v="5034638" u="1"/>
        <n v="5034640" u="1"/>
        <n v="5034724" u="1"/>
        <n v="5034025" u="1"/>
        <n v="5034757" u="1"/>
        <n v="5034034" u="1"/>
        <n v="5034258" u="1"/>
        <n v="5034542" u="1"/>
        <n v="5034579" u="1"/>
        <n v="5034164" u="1"/>
        <n v="5034580" u="1"/>
        <n v="5034645" u="1"/>
        <n v="5034647" u="1"/>
        <n v="5033717" u="1"/>
        <n v="5025242" u="1"/>
        <n v="5034650" u="1"/>
        <n v="5019405" u="1"/>
        <n v="5034652" u="1"/>
        <n v="5034716" u="1"/>
        <n v="5034755" u="1"/>
        <n v="5033595" u="1"/>
        <n v="5034565" u="1"/>
        <n v="5033176" u="1"/>
        <n v="5034557" u="1"/>
        <n v="5034564" u="1"/>
        <n v="5034563" u="1"/>
        <n v="5034415" u="1"/>
        <n v="5034566" u="1"/>
        <n v="5034575" u="1"/>
        <n v="5033198" u="1"/>
        <n v="5031879" u="1"/>
        <n v="5034469" u="1"/>
        <n v="5034150" u="1"/>
        <n v="5033307" u="1"/>
        <n v="5034622" u="1"/>
        <n v="5034665" u="1"/>
        <n v="5034739" u="1"/>
        <n v="5032747" u="1"/>
        <n v="5034625" u="1"/>
        <n v="5034626" u="1"/>
        <n v="5034700" u="1"/>
        <n v="5034702" u="1"/>
        <n v="5007575" u="1"/>
        <n v="5034672" u="1"/>
        <n v="5014096" u="1"/>
        <n v="5032053" u="1"/>
        <n v="5034177" u="1"/>
        <n v="5034677" u="1"/>
        <n v="5033889" u="1"/>
        <n v="5034831" u="1"/>
        <n v="5034715" u="1"/>
        <n v="5034753" u="1"/>
        <n v="5034754" u="1"/>
        <n v="5034567" u="1"/>
        <n v="5034758" u="1"/>
        <n v="5034576" u="1"/>
        <n v="5034644" u="1"/>
        <n v="5034838" u="1"/>
        <n v="5034646" u="1"/>
        <n v="5034684" u="1"/>
        <n v="5034685" u="1"/>
        <n v="5034686" u="1"/>
        <n v="5034687" u="1"/>
        <n v="5034688" u="1"/>
        <n v="5034816" u="1"/>
        <n v="5034776" u="1"/>
        <n v="5034660" u="1"/>
        <n v="5034661" u="1"/>
        <n v="5034662" u="1"/>
        <n v="5034238" u="1"/>
        <n v="5034372" u="1"/>
        <n v="5034663" u="1"/>
        <n v="5034632" u="1"/>
        <n v="5034635" u="1"/>
        <n v="5034642" u="1"/>
        <n v="5034643" u="1"/>
        <n v="5034655" u="1"/>
        <n v="5034656" u="1"/>
        <n v="5034657" u="1"/>
        <n v="5034658" u="1"/>
        <n v="5034273" u="1"/>
        <n v="5034335" u="1"/>
        <n v="5034760" u="1"/>
        <n v="5034736" u="1"/>
        <n v="5034667" u="1"/>
        <n v="5034670" u="1"/>
        <n v="5034792" u="1"/>
        <n v="5034146" u="1"/>
        <n v="5029116" u="1"/>
        <n v="5034709" u="1"/>
        <n v="5034710" u="1"/>
        <n v="5034711" u="1"/>
        <n v="5034712" u="1"/>
        <n v="5034713" u="1"/>
        <n v="5034743" u="1"/>
        <n v="5034745" u="1"/>
        <n v="5034714" u="1"/>
        <n v="5034747" u="1"/>
        <n v="5033788" u="1"/>
        <n v="5034571" u="1"/>
        <n v="5034299" u="1"/>
        <n v="5034468" u="1"/>
        <n v="5034633" u="1"/>
        <n v="5034239" u="1"/>
        <n v="5034719" u="1"/>
        <n v="5034720" u="1"/>
        <n v="5034721" u="1"/>
        <n v="5034357" u="1"/>
        <n v="5034727" u="1"/>
        <n v="5034689" u="1"/>
        <n v="5034729" u="1"/>
        <n v="5034775" u="1"/>
        <n v="5034690" u="1"/>
        <n v="5034691" u="1"/>
        <n v="5034347" u="1"/>
        <n v="5034666" u="1"/>
        <n v="5034725" u="1"/>
        <n v="5034447" u="1"/>
        <n v="5034668" u="1"/>
        <n v="5034671" u="1"/>
        <n v="5021497" u="1"/>
        <n v="5021255" u="1"/>
        <n v="5034673" u="1"/>
        <n v="5034674" u="1"/>
        <n v="5034678" u="1"/>
        <n v="5034681" u="1"/>
        <n v="5034682" u="1"/>
        <n v="5034683" u="1"/>
        <n v="5034836" u="1"/>
        <n v="5034695" u="1"/>
        <n v="5034279" u="1"/>
        <n v="5034411" u="1"/>
        <n v="5034793" u="1"/>
        <n v="5030267" u="1"/>
        <n v="5033961" u="1"/>
        <n v="5034722" u="1"/>
        <n v="5034772" u="1"/>
        <n v="5034771" u="1"/>
        <n v="5034773" u="1"/>
        <n v="5034774" u="1"/>
        <n v="5034777" u="1"/>
        <n v="5034731" u="1"/>
        <n v="5034732" u="1"/>
        <n v="5034351" u="1"/>
        <n v="5034455" u="1"/>
        <n v="5034735" u="1"/>
        <n v="5034694" u="1"/>
        <n v="5034698" u="1"/>
        <n v="5034705" u="1"/>
        <n v="5034728" u="1"/>
        <n v="5034410" u="1"/>
        <n v="5031173" u="1"/>
        <n v="5034794" u="1"/>
        <n v="5022499" u="1"/>
        <n v="5034751" u="1"/>
        <n v="5034762" u="1"/>
        <n v="5034763" u="1"/>
        <n v="5034764" u="1"/>
        <n v="5034218" u="1"/>
        <n v="5034768" u="1"/>
        <n v="5034769" u="1"/>
        <n v="5034779" u="1"/>
        <n v="5034742" u="1"/>
        <n v="5034750" u="1"/>
        <n v="5034766" u="1"/>
        <n v="5034767" u="1"/>
        <n v="5034780" u="1"/>
        <n v="5034782" u="1"/>
        <n v="5034784" u="1"/>
        <n v="5034785" u="1"/>
        <n v="5030760" u="1"/>
        <n v="5028267" u="1"/>
        <n v="5034799" u="1"/>
        <n v="5034832" u="1"/>
        <n v="5034835" u="1"/>
        <n v="5034803" u="1"/>
        <n v="5034807" u="1"/>
        <n v="5034811" u="1"/>
        <n v="5034383" u="1"/>
        <n v="5027903" u="1"/>
        <n v="5034795" u="1"/>
        <n v="5034796" u="1"/>
        <n v="5033675" u="1"/>
        <n v="5029982" u="1"/>
        <n v="5029931" u="1"/>
        <n v="5034798" u="1"/>
        <n v="5034804" u="1"/>
        <n v="5034812" u="1"/>
        <n v="5034813" u="1"/>
        <n v="5032769" u="1"/>
        <n v="5034815" u="1"/>
        <n v="5034822" u="1"/>
        <n v="5034533" u="1"/>
        <n v="5034611" u="1"/>
        <n v="5034055" u="1"/>
        <n v="5034141" u="1"/>
        <n v="5034083" u="1"/>
        <n v="5019790" u="1"/>
        <n v="5034132" u="1"/>
        <n v="5020109" u="1"/>
        <n v="5033906" u="1"/>
        <n v="5034074" u="1"/>
        <n v="5033615" u="1"/>
        <n v="5033648" u="1"/>
        <n v="5033845" u="1"/>
        <n v="5022964" u="1"/>
        <n v="5023156" u="1"/>
        <n v="5034032" u="1"/>
        <n v="5023705" u="1"/>
        <n v="5023805" u="1"/>
        <n v="5034017" u="1"/>
        <n v="5024801" u="1"/>
        <n v="5033492" u="1"/>
        <n v="5033928" u="1"/>
        <n v="5033822" u="1"/>
        <n v="5033557" u="1"/>
        <n v="5026460" u="1"/>
        <n v="5033682" u="1"/>
        <n v="5026600" u="1"/>
        <n v="5026655" u="1"/>
        <n v="5027126" u="1"/>
        <n v="5033461" u="1"/>
        <n v="5033737" u="1"/>
        <n v="5028420" u="1"/>
        <n v="5033978" u="1"/>
        <n v="5028842" u="1"/>
        <n v="5029009" u="1"/>
        <n v="5033662" u="1"/>
        <n v="5033982" u="1"/>
        <n v="5033663" u="1"/>
        <n v="5033532" u="1"/>
        <n v="5033734" u="1"/>
        <n v="5033729" u="1"/>
        <n v="5033963" u="1"/>
        <n v="5030250" u="1"/>
        <n v="5033441" u="1"/>
        <n v="5030405" u="1"/>
        <n v="5033606" u="1"/>
        <n v="5034136" u="1"/>
        <n v="5033399" u="1"/>
        <n v="5030904" u="1"/>
        <n v="5034079" u="1"/>
        <n v="5033694" u="1"/>
        <n v="5031115" u="1"/>
        <n v="5033607" u="1"/>
        <n v="5033738" u="1"/>
        <n v="5034040" u="1"/>
        <n v="5033371" u="1"/>
        <n v="5034108" u="1"/>
        <n v="5031337" u="1"/>
        <n v="5031604" u="1"/>
        <n v="5033730" u="1"/>
        <n v="5033572" u="1"/>
        <n v="5031716" u="1"/>
        <n v="5033462" u="1"/>
        <n v="5031621" u="1"/>
        <n v="5031622" u="1"/>
        <n v="5031754" u="1"/>
        <n v="5031916" u="1"/>
        <n v="5033707" u="1"/>
        <n v="5031802" u="1"/>
        <n v="5033647" u="1"/>
        <n v="5033899" u="1"/>
        <n v="5034106" u="1"/>
        <n v="5031830" u="1"/>
        <n v="5033672" u="1"/>
        <n v="5033785" u="1"/>
        <n v="5033496" u="1"/>
        <n v="5032310" u="1"/>
        <n v="5033479" u="1"/>
        <n v="5031990" u="1"/>
        <n v="5032032" u="1"/>
        <n v="5033905" u="1"/>
        <n v="5033984" u="1"/>
        <n v="5033671" u="1"/>
        <n v="5034077" u="1"/>
        <n v="5034091" u="1"/>
        <n v="5033332" u="1"/>
        <n v="5033797" u="1"/>
        <n v="5032277" u="1"/>
        <n v="5033979" u="1"/>
        <n v="5032330" u="1"/>
        <n v="5033924" u="1"/>
        <n v="5033703" u="1"/>
        <n v="5033925" u="1"/>
        <n v="5032541" u="1"/>
        <n v="5032562" u="1"/>
        <n v="5033965" u="1"/>
        <n v="5033987" u="1"/>
        <n v="5033700" u="1"/>
        <n v="5032805" u="1"/>
        <n v="5033571" u="1"/>
        <n v="5033599" u="1"/>
        <n v="5033933" u="1"/>
        <n v="5032923" u="1"/>
        <n v="5033616" u="1"/>
        <n v="5032960" u="1"/>
        <n v="5033837" u="1"/>
        <n v="5033438" u="1"/>
        <n v="5033981" u="1"/>
        <n v="5033927" u="1"/>
        <n v="5034052" u="1"/>
        <n v="5033427" u="1"/>
        <n v="5033684" u="1"/>
        <n v="5033972" u="1"/>
        <n v="5033507" u="1"/>
        <n v="5033775" u="1"/>
        <n v="5033165" u="1"/>
        <n v="5033389" u="1"/>
        <n v="5033433" u="1"/>
        <n v="5033415" u="1"/>
        <n v="5033227" u="1"/>
        <n v="5033847" u="1"/>
        <n v="5033293" u="1"/>
        <n v="5033420" u="1"/>
        <n v="5033261" u="1"/>
        <n v="5033545" u="1"/>
        <n v="5033667" u="1"/>
        <n v="5033735" u="1"/>
        <n v="5033852" u="1"/>
        <n v="5033714" u="1"/>
        <n v="5033386" u="1"/>
        <n v="5033681" u="1"/>
        <n v="5033843" u="1"/>
        <n v="5033327" u="1"/>
        <n v="5033378" u="1"/>
        <n v="5033605" u="1"/>
        <n v="5033328" u="1"/>
        <n v="5033997" u="1"/>
        <n v="5033811" u="1"/>
        <n v="5034086" u="1"/>
        <n v="5033330" u="1"/>
        <n v="5033331" u="1"/>
        <n v="5033954" u="1"/>
        <n v="5033401" u="1"/>
        <n v="5033402" u="1"/>
        <n v="5033435" u="1"/>
        <n v="5033436" u="1"/>
        <n v="5033910" u="1"/>
        <n v="5033484" u="1"/>
        <n v="5033375" u="1"/>
        <n v="5033666" u="1"/>
        <n v="5034071" u="1"/>
        <n v="5034098" u="1"/>
        <n v="5033498" u="1"/>
        <n v="5033439" u="1"/>
        <n v="5033499" u="1"/>
        <n v="5033501" u="1"/>
        <n v="5033334" u="1"/>
        <n v="5033511" u="1"/>
        <n v="5033335" u="1"/>
        <n v="5033911" u="1"/>
        <n v="5033873" u="1"/>
        <n v="5033702" u="1"/>
        <n v="5033515" u="1"/>
        <n v="5033849" u="1"/>
        <n v="5033656" u="1"/>
        <n v="5033817" u="1"/>
        <n v="5033544" u="1"/>
        <n v="5033526" u="1"/>
        <n v="5034018" u="1"/>
        <n v="5033674" u="1"/>
        <n v="5033855" u="1"/>
        <n v="5033948" u="1"/>
        <n v="5033352" u="1"/>
        <n v="5033874" u="1"/>
        <n v="5033857" u="1"/>
        <n v="5033569" u="1"/>
        <n v="5033356" u="1"/>
        <n v="5033844" u="1"/>
        <n v="5033630" u="1"/>
        <n v="5033880" u="1"/>
        <n v="5033884" u="1"/>
        <n v="5033973" u="1"/>
        <n v="5033645" u="1"/>
        <n v="5033363" u="1"/>
        <n v="5033365" u="1"/>
        <n v="5033329" u="1"/>
        <n v="5033794" u="1"/>
        <n v="5033970" u="1"/>
        <n v="5033384" u="1"/>
        <n v="5033991" u="1"/>
        <n v="5033777" u="1"/>
        <n v="5033643" u="1"/>
        <n v="5033835" u="1"/>
        <n v="5033696" u="1"/>
        <n v="5033922" u="1"/>
        <n v="5033369" u="1"/>
        <n v="5033400" u="1"/>
        <n v="5033431" u="1"/>
        <n v="5034084" u="1"/>
        <n v="5033996" u="1"/>
        <n v="5033677" u="1"/>
        <n v="5033440" u="1"/>
        <n v="5033824" u="1"/>
        <n v="5033379" u="1"/>
        <n v="5033691" u="1"/>
        <n v="5033510" u="1"/>
        <n v="5033512" u="1"/>
        <n v="5034006" u="1"/>
        <n v="5034028" u="1"/>
        <n v="5033589" u="1"/>
        <n v="5033451" u="1"/>
        <n v="5033516" u="1"/>
        <n v="5033508" u="1"/>
        <n v="5033518" u="1"/>
        <n v="5033519" u="1"/>
        <n v="5033712" u="1"/>
        <n v="5033916" u="1"/>
        <n v="5033406" u="1"/>
        <n v="5033900" u="1"/>
        <n v="5033455" u="1"/>
        <n v="5033382" u="1"/>
        <n v="5033792" u="1"/>
        <n v="5033529" u="1"/>
        <n v="5033458" u="1"/>
        <n v="5033385" u="1"/>
        <n v="5033537" u="1"/>
        <n v="5033803" u="1"/>
        <n v="5033704" u="1"/>
        <n v="5033387" u="1"/>
        <n v="5033388" u="1"/>
        <n v="5034081" u="1"/>
        <n v="5033390" u="1"/>
        <n v="5033391" u="1"/>
        <n v="5033846" u="1"/>
        <n v="5033896" u="1"/>
        <n v="5034064" u="1"/>
        <n v="5033552" u="1"/>
        <n v="5033698" u="1"/>
        <n v="5033493" u="1"/>
        <n v="5033722" u="1"/>
        <n v="5033443" u="1"/>
        <n v="5033398" u="1"/>
        <n v="5033638" u="1"/>
        <n v="5033743" u="1"/>
        <n v="5033641" u="1"/>
        <n v="5034126" u="1"/>
        <n v="5033660" u="1"/>
        <n v="5033506" u="1"/>
        <n v="5033541" u="1"/>
        <n v="5033654" u="1"/>
        <n v="5033509" u="1"/>
        <n v="5033408" u="1"/>
        <n v="5033629" u="1"/>
        <n v="5033685" u="1"/>
        <n v="5034139" u="1"/>
        <n v="5033752" u="1"/>
        <n v="5033527" u="1"/>
        <n v="5033393" u="1"/>
        <n v="5033531" u="1"/>
        <n v="5033989" u="1"/>
        <n v="5033472" u="1"/>
        <n v="5033463" u="1"/>
        <n v="5033787" u="1"/>
        <n v="5033985" u="1"/>
        <n v="5033818" u="1"/>
        <n v="5033350" u="1"/>
        <n v="5033568" u="1"/>
        <n v="5033765" u="1"/>
        <n v="5033705" u="1"/>
        <n v="5033749" u="1"/>
        <n v="5033422" u="1"/>
        <n v="5033423" u="1"/>
        <n v="5034016" u="1"/>
        <n v="5033424" u="1"/>
        <n v="5033425" u="1"/>
        <n v="5033693" u="1"/>
        <n v="5033432" u="1"/>
        <n v="5033434" u="1"/>
        <n v="5033437" u="1"/>
        <n v="5033452" u="1"/>
        <n v="5033491" u="1"/>
        <n v="5033742" u="1"/>
        <n v="5033497" u="1"/>
        <n v="5033570" u="1"/>
        <n v="5033828" u="1"/>
        <n v="5033523" u="1"/>
        <n v="5033524" u="1"/>
        <n v="5034050" u="1"/>
        <n v="5033819" u="1"/>
        <n v="5033610" u="1"/>
        <n v="5034088" u="1"/>
        <n v="5033536" u="1"/>
        <n v="5033464" u="1"/>
        <n v="5033465" u="1"/>
        <n v="5033466" u="1"/>
        <n v="5033467" u="1"/>
        <n v="5033468" u="1"/>
        <n v="5033469" u="1"/>
        <n v="5033579" u="1"/>
        <n v="5034022" u="1"/>
        <n v="5033471" u="1"/>
        <n v="5033883" u="1"/>
        <n v="5033739" u="1"/>
        <n v="5033585" u="1"/>
        <n v="5033586" u="1"/>
        <n v="5033587" u="1"/>
        <n v="5033815" u="1"/>
        <n v="5033474" u="1"/>
        <n v="5033475" u="1"/>
        <n v="5033476" u="1"/>
        <n v="5033477" u="1"/>
        <n v="5033478" u="1"/>
        <n v="5034102" u="1"/>
        <n v="5033480" u="1"/>
        <n v="5033482" u="1"/>
        <n v="5034090" u="1"/>
        <n v="5033502" u="1"/>
        <n v="5033366" u="1"/>
        <n v="5033558" u="1"/>
        <n v="5033559" u="1"/>
        <n v="5033560" u="1"/>
        <n v="5033087" u="1"/>
        <n v="5033564" u="1"/>
        <n v="5034107" u="1"/>
        <n v="5034030" u="1"/>
        <n v="5033565" u="1"/>
        <n v="5033447" u="1"/>
        <n v="5033368" u="1"/>
        <n v="5033804" u="1"/>
        <n v="5033926" u="1"/>
        <n v="5034089" u="1"/>
        <n v="5033678" u="1"/>
        <n v="5033574" u="1"/>
        <n v="5033575" u="1"/>
        <n v="5033535" u="1"/>
        <n v="5033538" u="1"/>
        <n v="5033539" u="1"/>
        <n v="5033540" u="1"/>
        <n v="5033534" u="1"/>
        <n v="5034033" u="1"/>
        <n v="5034061" u="1"/>
        <n v="5033543" u="1"/>
        <n v="5033421" u="1"/>
        <n v="5033679" u="1"/>
        <n v="5033547" u="1"/>
        <n v="5033708" u="1"/>
        <n v="5033362" u="1"/>
        <n v="5033631" u="1"/>
        <n v="5033655" u="1"/>
        <n v="5033683" u="1"/>
        <n v="5033986" u="1"/>
        <n v="5033563" u="1"/>
        <n v="5033601" u="1"/>
        <n v="5033639" u="1"/>
        <n v="5033602" u="1"/>
        <n v="5033624" u="1"/>
        <n v="5033744" u="1"/>
        <n v="5033604" u="1"/>
        <n v="5034127" u="1"/>
        <n v="5033513" u="1"/>
        <n v="5033642" u="1"/>
        <n v="5033695" u="1"/>
        <n v="5033651" u="1"/>
        <n v="5033869" u="1"/>
        <n v="5033530" u="1"/>
        <n v="5033776" u="1"/>
        <n v="5033416" u="1"/>
        <n v="5033419" u="1"/>
        <n v="5033383" u="1"/>
        <n v="5033701" u="1"/>
        <n v="5033581" u="1"/>
        <n v="5033988" u="1"/>
        <n v="5033573" u="1"/>
        <n v="5033603" u="1"/>
        <n v="5034123" u="1"/>
        <n v="5033657" u="1"/>
        <n v="5033812" u="1"/>
        <n v="5033658" u="1"/>
        <n v="5033628" u="1"/>
        <n v="5033814" u="1"/>
        <n v="5033923" u="1"/>
        <n v="5034082" u="1"/>
        <n v="5033632" u="1"/>
        <n v="5033664" u="1"/>
        <n v="5033919" u="1"/>
        <n v="5033442" u="1"/>
        <n v="5033590" u="1"/>
        <n v="5033349" u="1"/>
        <n v="5033592" u="1"/>
        <n v="5033633" u="1"/>
        <n v="5033833" u="1"/>
        <n v="5033746" u="1"/>
        <n v="5033747" u="1"/>
        <n v="5033594" u="1"/>
        <n v="5033351" u="1"/>
        <n v="5033596" u="1"/>
        <n v="5033637" u="1"/>
        <n v="5034001" u="1"/>
        <n v="5034031" u="1"/>
        <n v="5033533" u="1"/>
        <n v="5033687" u="1"/>
        <n v="5033609" u="1"/>
        <n v="5033649" u="1"/>
        <n v="5033591" u="1"/>
        <n v="5033750" u="1"/>
        <n v="5033697" u="1"/>
        <n v="5033617" u="1"/>
        <n v="5033618" u="1"/>
        <n v="5033791" u="1"/>
        <n v="5033793" u="1"/>
        <n v="5033908" u="1"/>
        <n v="5033619" u="1"/>
        <n v="5033848" u="1"/>
        <n v="5033622" u="1"/>
        <n v="5033838" u="1"/>
        <n v="5033418" u="1"/>
        <n v="5034129" u="1"/>
        <n v="5033337" u="1"/>
        <n v="5033975" u="1"/>
        <n v="5033680" u="1"/>
        <n v="5033566" u="1"/>
        <n v="5033676" u="1"/>
        <n v="5033608" u="1"/>
        <n v="5033636" u="1"/>
        <n v="5031855" u="1"/>
        <n v="5033490" u="1"/>
        <n v="5033686" u="1"/>
        <n v="5033625" u="1"/>
        <n v="5033690" u="1"/>
        <n v="5033692" u="1"/>
        <n v="5033542" u="1"/>
        <n v="5033454" u="1"/>
        <n v="5033974" u="1"/>
        <n v="5033449" u="1"/>
        <n v="5033549" u="1"/>
        <n v="5033665" u="1"/>
        <n v="5033577" u="1"/>
        <n v="5033650" u="1"/>
        <n v="5033731" u="1"/>
        <n v="5033652" u="1"/>
        <n v="5034065" u="1"/>
        <n v="5033561" u="1"/>
        <n v="5034072" u="1"/>
        <n v="5033525" u="1"/>
        <n v="5033955" u="1"/>
        <n v="5033689" u="1"/>
        <n v="5033736" u="1"/>
        <n v="5033613" u="1"/>
        <n v="5033946" u="1"/>
        <n v="5034100" u="1"/>
        <n v="5033745" u="1"/>
        <n v="5033740" u="1"/>
        <n v="5033944" u="1"/>
        <n v="5034026" u="1"/>
        <n v="5033858" u="1"/>
        <n v="5033859" u="1"/>
        <n v="5033763" u="1"/>
        <n v="5033917" u="1"/>
        <n v="5033762" u="1"/>
        <n v="5033769" u="1"/>
        <n v="5033397" u="1"/>
        <n v="5033770" u="1"/>
        <n v="5033772" u="1"/>
        <n v="5033709" u="1"/>
        <n v="5033990" u="1"/>
        <n v="5033450" u="1"/>
        <n v="5033914" u="1"/>
        <n v="5033947" u="1"/>
        <n v="5033562" u="1"/>
        <n v="5034138" u="1"/>
        <n v="5033336" u="1"/>
        <n v="5034054" u="1"/>
        <n v="5033551" u="1"/>
        <n v="5033903" u="1"/>
        <n v="5033904" u="1"/>
        <n v="5033357" u="1"/>
        <n v="5033556" u="1"/>
        <n v="5034014" u="1"/>
        <n v="5033938" u="1"/>
        <n v="5033358" u="1"/>
        <n v="5033969" u="1"/>
        <n v="5033711" u="1"/>
        <n v="5033913" u="1"/>
        <n v="5033800" u="1"/>
        <n v="5033801" u="1"/>
        <n v="5033715" u="1"/>
        <n v="5033860" u="1"/>
        <n v="5033580" u="1"/>
        <n v="5033951" u="1"/>
        <n v="5033716" u="1"/>
        <n v="5033661" u="1"/>
        <n v="5033718" u="1"/>
        <n v="5033862" u="1"/>
        <n v="5033778" u="1"/>
        <n v="5033901" u="1"/>
        <n v="5033958" u="1"/>
        <n v="5034056" u="1"/>
        <n v="5033412" u="1"/>
        <n v="5033721" u="1"/>
        <n v="5033554" u="1"/>
        <n v="5033723" u="1"/>
        <n v="5033853" u="1"/>
        <n v="5033724" u="1"/>
        <n v="5033725" u="1"/>
        <n v="5033726" u="1"/>
        <n v="5033727" u="1"/>
        <n v="5033912" u="1"/>
        <n v="5034043" u="1"/>
        <n v="5034066" u="1"/>
        <n v="5033934" u="1"/>
        <n v="5033249" u="1"/>
        <n v="5032740" u="1"/>
        <n v="5032308" u="1"/>
        <n v="5033781" u="1"/>
        <n v="5033340" u="1"/>
        <n v="5031801" u="1"/>
        <n v="5033898" u="1"/>
        <n v="5020549" u="1"/>
        <n v="5033405" u="1"/>
        <n v="5033868" u="1"/>
        <n v="5033634" u="1"/>
        <n v="5033959" u="1"/>
        <n v="5033774" u="1"/>
        <n v="5033893" u="1"/>
        <n v="5033836" u="1"/>
        <n v="5033584" u="1"/>
        <n v="5033856" u="1"/>
        <n v="5033839" u="1"/>
        <n v="5033840" u="1"/>
        <n v="5033841" u="1"/>
        <n v="5033865" u="1"/>
        <n v="5033842" u="1"/>
        <n v="5033640" u="1"/>
        <n v="5033470" u="1"/>
        <n v="5033644" u="1"/>
        <n v="5026609" u="1"/>
        <n v="5031380" u="1"/>
        <n v="5033448" u="1"/>
        <n v="5031301" u="1"/>
        <n v="5033929" u="1"/>
        <n v="5033932" u="1"/>
        <n v="5033751" u="1"/>
        <n v="5033342" u="1"/>
        <n v="5033341" u="1"/>
        <n v="5034062" u="1"/>
        <n v="5034012" u="1"/>
        <n v="5033851" u="1"/>
        <n v="5033950" u="1"/>
        <n v="5033854" u="1"/>
        <n v="5033627" u="1"/>
        <n v="5033808" u="1"/>
        <n v="5032998" u="1"/>
        <n v="5033764" u="1"/>
        <n v="5032219" u="1"/>
        <n v="5033766" u="1"/>
        <n v="5033767" u="1"/>
        <n v="5033875" u="1"/>
        <n v="5033876" u="1"/>
        <n v="5033878" u="1"/>
        <n v="5033881" u="1"/>
        <n v="5033882" u="1"/>
        <n v="5031804" u="1"/>
        <n v="5033796" u="1"/>
        <n v="5033918" u="1"/>
        <n v="5033453" u="1"/>
        <n v="5033930" u="1"/>
        <n v="5033798" u="1"/>
        <n v="5033799" u="1"/>
        <n v="5034063" u="1"/>
        <n v="5033361" u="1"/>
        <n v="5033805" u="1"/>
        <n v="5033806" u="1"/>
        <n v="5033861" u="1"/>
        <n v="5033957" u="1"/>
        <n v="5033870" u="1"/>
        <n v="5033473" u="1"/>
        <n v="5033886" u="1"/>
        <n v="5033887" u="1"/>
        <n v="5033888" u="1"/>
        <n v="5033890" u="1"/>
        <n v="5033891" u="1"/>
        <n v="5033892" u="1"/>
        <n v="5033909" u="1"/>
        <n v="5033902" u="1"/>
        <n v="5033813" u="1"/>
        <n v="5033867" u="1"/>
        <n v="5033407" u="1"/>
        <n v="5033504" u="1"/>
        <n v="5034092" u="1"/>
        <n v="5033816" u="1"/>
        <n v="5033720" u="1"/>
        <n v="5033456" u="1"/>
        <n v="5033457" u="1"/>
        <n v="5033820" u="1"/>
        <n v="5033821" u="1"/>
        <n v="5033409" u="1"/>
        <n v="5033688" u="1"/>
        <n v="5033253" u="1"/>
        <n v="5033290" u="1"/>
        <n v="5033931" u="1"/>
        <n v="5033936" u="1"/>
        <n v="5033939" u="1"/>
        <n v="5034005" u="1"/>
        <n v="5033945" u="1"/>
        <n v="5034035" u="1"/>
        <n v="5034036" u="1"/>
        <n v="5033271" u="1"/>
        <n v="5033826" u="1"/>
        <n v="5034096" u="1"/>
        <n v="5033827" u="1"/>
        <n v="5032070" u="1"/>
        <n v="5033871" u="1"/>
        <n v="5033872" u="1"/>
        <n v="5033830" u="1"/>
        <n v="5033831" u="1"/>
        <n v="5033832" u="1"/>
        <n v="5033266" u="1"/>
        <n v="5033411" u="1"/>
        <n v="5033895" u="1"/>
        <n v="5007346" u="1"/>
        <n v="5033897" u="1"/>
        <n v="5033614" u="1"/>
        <n v="5033956" u="1"/>
        <n v="5034051" u="1"/>
        <n v="5033779" u="1"/>
        <n v="5033935" u="1"/>
        <n v="5033937" u="1"/>
        <n v="5033941" u="1"/>
        <n v="5033942" u="1"/>
        <n v="5031223" u="1"/>
        <n v="5034004" u="1"/>
        <n v="5033894" u="1"/>
        <n v="5029192" u="1"/>
        <n v="5033673" u="1"/>
        <n v="5007347" u="1"/>
        <n v="5033597" u="1"/>
        <n v="5034037" u="1"/>
        <n v="5031072" u="1"/>
        <n v="5033877" u="1"/>
        <n v="5033879" u="1"/>
        <n v="5034128" u="1"/>
        <n v="5033444" u="1"/>
        <n v="5034059" u="1"/>
        <n v="5033920" u="1"/>
        <n v="5033921" u="1"/>
        <n v="5034000" u="1"/>
        <n v="5034002" u="1"/>
        <n v="5033943" u="1"/>
        <n v="5034010" u="1"/>
        <n v="5034013" u="1"/>
        <n v="5033962" u="1"/>
        <n v="5033583" u="1"/>
        <n v="5034015" u="1"/>
        <n v="5033953" u="1"/>
        <n v="5034019" u="1"/>
        <n v="5031381" u="1"/>
        <n v="5034023" u="1"/>
        <n v="5033960" u="1"/>
        <n v="5028582" u="1"/>
        <n v="5029741" u="1"/>
        <n v="5033964" u="1"/>
        <n v="5033966" u="1"/>
        <n v="5033967" u="1"/>
        <n v="5033968" u="1"/>
        <n v="5033971" u="1"/>
        <n v="5033174" u="1"/>
        <n v="5032606" u="1"/>
        <n v="5033045" u="1"/>
        <n v="5032521" u="1"/>
        <n v="5034003" u="1"/>
        <n v="5032110" u="1"/>
        <n v="5033976" u="1"/>
        <n v="5030723" u="1"/>
        <n v="5028839" u="1"/>
        <n v="5029309" u="1"/>
        <n v="5032307" u="1"/>
        <n v="5032882" u="1"/>
        <n v="5033980" u="1"/>
        <n v="5033272" u="1"/>
        <n v="5031987" u="1"/>
        <n v="5033983" u="1"/>
        <n v="5032229" u="1"/>
        <n v="5032736" u="1"/>
        <n v="5030729" u="1"/>
        <n v="5033147" u="1"/>
        <n v="5031644" u="1"/>
        <n v="5033254" u="1"/>
        <n v="5032441" u="1"/>
        <n v="5033992" u="1"/>
        <n v="5034038" u="1"/>
        <n v="5033167" u="1"/>
        <n v="5033994" u="1"/>
        <n v="5033995" u="1"/>
        <n v="5020707" u="1"/>
        <n v="5034097" u="1"/>
        <n v="5026103" u="1"/>
        <n v="5027272" u="1"/>
        <n v="5026205" u="1"/>
        <n v="5030233" u="1"/>
        <n v="5031695" u="1"/>
        <n v="5033153" u="1"/>
        <n v="5032743" u="1"/>
        <n v="5034053" u="1"/>
        <n v="5031489" u="1"/>
        <n v="5034020" u="1"/>
        <n v="5034057" u="1"/>
        <n v="5032381" u="1"/>
        <n v="5034060" u="1"/>
        <n v="5034009" u="1"/>
        <n v="5030827" u="1"/>
        <n v="5031466" u="1"/>
        <n v="5034024" u="1"/>
        <n v="5032036" u="1"/>
        <n v="5034085" u="1"/>
        <n v="5034044" u="1"/>
        <n v="5032306" u="1"/>
        <n v="5034045" u="1"/>
        <n v="5034047" u="1"/>
        <n v="5034049" u="1"/>
        <n v="5034029" u="1"/>
        <n v="5032042" u="1"/>
        <n v="5033668" u="1"/>
        <n v="5034058" u="1"/>
        <n v="5033190" u="1"/>
        <n v="5030183" u="1"/>
        <n v="5032928" u="1"/>
        <n v="5023371" u="1"/>
        <n v="5031282" u="1"/>
        <n v="5032696" u="1"/>
        <n v="5034046" u="1"/>
        <n v="5019854" u="1"/>
        <n v="5034048" u="1"/>
        <n v="5034125" u="1"/>
        <n v="5020200" u="1"/>
        <n v="5032821" u="1"/>
        <n v="5033020" u="1"/>
        <n v="5034070" u="1"/>
        <n v="5034073" u="1"/>
        <n v="5026337" u="1"/>
        <n v="5021703" u="1"/>
        <n v="5022229" u="1"/>
        <n v="5034076" u="1"/>
        <n v="5034080" u="1"/>
        <n v="5033578" u="1"/>
        <n v="5032808" u="1"/>
        <n v="5032275" u="1"/>
        <n v="5034093" u="1"/>
        <n v="5034094" u="1"/>
        <n v="5033786" u="1"/>
        <n v="5031989" u="1"/>
        <n v="5034101" u="1"/>
        <n v="5023967" u="1"/>
        <n v="5034104" u="1"/>
        <n v="5034105" u="1"/>
        <n v="5034109" u="1"/>
        <n v="5033659" u="1"/>
        <n v="5034121" u="1"/>
        <n v="5034122" u="1"/>
        <n v="5034135" u="1"/>
        <n v="5034140" u="1"/>
        <n v="5034133" u="1"/>
        <n v="5034134" u="1"/>
        <n v="5031815" u="1"/>
        <n v="5029580" u="1"/>
        <n v="5034124" u="1"/>
        <n v="5033670" u="1"/>
        <n v="5033669" u="1"/>
        <n v="5034142" u="1"/>
        <n v="5034110" u="1"/>
        <n v="117" u="1"/>
        <n v="5029205" u="1"/>
        <n v="5032367" u="1"/>
        <n v="5033621" u="1"/>
        <n v="5033620" u="1"/>
        <n v="5033445" u="1"/>
        <n v="5032429" u="1"/>
        <n v="5034087" u="1"/>
        <n v="5032580" u="1"/>
        <n v="5032777" u="1"/>
        <n v="5032547" u="1"/>
        <n v="5032548" u="1"/>
        <n v="5032550" u="1"/>
        <n v="5033372" u="1"/>
        <n v="5032552" u="1"/>
        <n v="5032553" u="1"/>
        <n v="5032791" u="1"/>
        <n v="5033192" u="1"/>
        <n v="5032677" u="1"/>
        <n v="5032678" u="1"/>
        <n v="5032594" u="1"/>
        <n v="5032909" u="1"/>
        <n v="5033353" u="1"/>
        <n v="5032621" u="1"/>
        <n v="5032758" u="1"/>
        <n v="5032571" u="1"/>
        <n v="5032574" u="1"/>
        <n v="5032575" u="1"/>
        <n v="5032592" u="1"/>
        <n v="5032563" u="1"/>
        <n v="5032598" u="1"/>
        <n v="5032558" u="1"/>
        <n v="5032581" u="1"/>
        <n v="5031822" u="1"/>
        <n v="5032726" u="1"/>
        <n v="5033042" u="1"/>
        <n v="5032739" u="1"/>
        <n v="5032570" u="1"/>
        <n v="5029045" u="1"/>
        <n v="5032560" u="1"/>
        <n v="5032559" u="1"/>
        <n v="5033047" u="1"/>
        <n v="5031663" u="1"/>
        <n v="5032557" u="1"/>
        <n v="5027877" u="1"/>
        <n v="5032556" u="1"/>
        <n v="5033126" u="1"/>
        <n v="5032565" u="1"/>
        <n v="5032341" u="1"/>
        <n v="5032965" u="1"/>
        <n v="5033238" u="1"/>
        <n v="5032800" u="1"/>
        <n v="5032964" u="1"/>
        <n v="5032741" u="1"/>
        <n v="5032613" u="1"/>
        <n v="5032614" u="1"/>
        <n v="5032616" u="1"/>
        <n v="5032618" u="1"/>
        <n v="5032826" u="1"/>
        <n v="5032587" u="1"/>
        <n v="5032588" u="1"/>
        <n v="5016554" u="1"/>
        <n v="5018474" u="1"/>
        <n v="5026740" u="1"/>
        <n v="5032568" u="1"/>
        <n v="5031171" u="1"/>
        <n v="5030978" u="1"/>
        <n v="5030039" u="1"/>
        <n v="5032632" u="1"/>
        <n v="5032634" u="1"/>
        <n v="5032635" u="1"/>
        <n v="5032673" u="1"/>
        <n v="5032674" u="1"/>
        <n v="5032577" u="1"/>
        <n v="5032583" u="1"/>
        <n v="5032641" u="1"/>
        <n v="5032654" u="1"/>
        <n v="5032796" u="1"/>
        <n v="5033305" u="1"/>
        <n v="5032607" u="1"/>
        <n v="5032564" u="1"/>
        <n v="5032566" u="1"/>
        <n v="5031204" u="1"/>
        <n v="5030711" u="1"/>
        <n v="5032569" u="1"/>
        <n v="5032572" u="1"/>
        <n v="5031741" u="1"/>
        <n v="5032573" u="1"/>
        <n v="5032786" u="1"/>
        <n v="5032804" u="1"/>
        <n v="5032782" u="1"/>
        <n v="5032802" u="1"/>
        <n v="5032647" u="1"/>
        <n v="5033260" u="1"/>
        <n v="5032708" u="1"/>
        <n v="5029397" u="1"/>
        <n v="5031345" u="1"/>
        <n v="5022994" u="1"/>
        <n v="5032584" u="1"/>
        <n v="5032234" u="1"/>
        <n v="5032589" u="1"/>
        <n v="5032750" u="1"/>
        <n v="5032745" u="1"/>
        <n v="5032619" u="1"/>
        <n v="5032664" u="1"/>
        <n v="5032061" u="1"/>
        <n v="5032567" u="1"/>
        <n v="5032182" u="1"/>
        <n v="5032669" u="1"/>
        <n v="5032792" u="1"/>
        <n v="5032636" u="1"/>
        <n v="5032671" u="1"/>
        <n v="5032637" u="1"/>
        <n v="5032672" u="1"/>
        <n v="5033187" u="1"/>
        <n v="5032683" u="1"/>
        <n v="5033162" u="1"/>
        <n v="5032640" u="1"/>
        <n v="5032605" u="1"/>
        <n v="5032693" u="1"/>
        <n v="5033214" u="1"/>
        <n v="5032722" u="1"/>
        <n v="5027363" u="1"/>
        <n v="5032602" u="1"/>
        <n v="5032662" u="1"/>
        <n v="5033188" u="1"/>
        <n v="5032585" u="1"/>
        <n v="5025650" u="1"/>
        <n v="5015516" u="1"/>
        <n v="5032593" u="1"/>
        <n v="5032596" u="1"/>
        <n v="5032597" u="1"/>
        <n v="5032689" u="1"/>
        <n v="5032492" u="1"/>
        <n v="5029906" u="1"/>
        <n v="5031520" u="1"/>
        <n v="5032870" u="1"/>
        <n v="5033023" u="1"/>
        <n v="5032679" u="1"/>
        <n v="5032680" u="1"/>
        <n v="5032681" u="1"/>
        <n v="5032682" u="1"/>
        <n v="5032685" u="1"/>
        <n v="5032686" u="1"/>
        <n v="5032838" u="1"/>
        <n v="5032688" u="1"/>
        <n v="5032775" u="1"/>
        <n v="5033202" u="1"/>
        <n v="5032779" u="1"/>
        <n v="5032783" u="1"/>
        <n v="5032784" u="1"/>
        <n v="5032785" u="1"/>
        <n v="5032907" u="1"/>
        <n v="5032921" u="1"/>
        <n v="5033160" u="1"/>
        <n v="5032787" u="1"/>
        <n v="5032694" u="1"/>
        <n v="5032644" u="1"/>
        <n v="5032612" u="1"/>
        <n v="5032922" u="1"/>
        <n v="5032646" u="1"/>
        <n v="5032956" u="1"/>
        <n v="5032692" u="1"/>
        <n v="5032778" u="1"/>
        <n v="5032650" u="1"/>
        <n v="5032651" u="1"/>
        <n v="5032652" u="1"/>
        <n v="5032653" u="1"/>
        <n v="5032950" u="1"/>
        <n v="5032655" u="1"/>
        <n v="5032656" u="1"/>
        <n v="5032731" u="1"/>
        <n v="5032732" u="1"/>
        <n v="5032733" u="1"/>
        <n v="5032944" u="1"/>
        <n v="5032737" u="1"/>
        <n v="5032704" u="1"/>
        <n v="5032705" u="1"/>
        <n v="5032706" u="1"/>
        <n v="5032799" u="1"/>
        <n v="5032707" u="1"/>
        <n v="5032711" u="1"/>
        <n v="5033118" u="1"/>
        <n v="5033089" u="1"/>
        <n v="5032744" u="1"/>
        <n v="5033306" u="1"/>
        <n v="5033257" u="1"/>
        <n v="5032712" u="1"/>
        <n v="5032749" u="1"/>
        <n v="5032823" u="1"/>
        <n v="5032755" u="1"/>
        <n v="5032759" u="1"/>
        <n v="5032021" u="1"/>
        <n v="5032977" u="1"/>
        <n v="5032697" u="1"/>
        <n v="5032620" u="1"/>
        <n v="5032822" u="1"/>
        <n v="5032591" u="1"/>
        <n v="5032658" u="1"/>
        <n v="5032037" u="1"/>
        <n v="5032660" u="1"/>
        <n v="5032663" u="1"/>
        <n v="5032093" u="1"/>
        <n v="5032676" u="1"/>
        <n v="5032264" u="1"/>
        <n v="5032140" u="1"/>
        <n v="5032699" u="1"/>
        <n v="5033315" u="1"/>
        <n v="5032754" u="1"/>
        <n v="5032648" u="1"/>
        <n v="5032824" u="1"/>
        <n v="5032609" u="1"/>
        <n v="5032701" u="1"/>
        <n v="5032700" u="1"/>
        <n v="5032968" u="1"/>
        <n v="5032719" u="1"/>
        <n v="5032947" u="1"/>
        <n v="5032734" u="1"/>
        <n v="5032738" u="1"/>
        <n v="5032884" u="1"/>
        <n v="5032868" u="1"/>
        <n v="5032751" u="1"/>
        <n v="5032752" u="1"/>
        <n v="5030837" u="1"/>
        <n v="5032760" u="1"/>
        <n v="5032761" u="1"/>
        <n v="5032902" u="1"/>
        <n v="5032762" u="1"/>
        <n v="5032715" u="1"/>
        <n v="5032709" u="1"/>
        <n v="5032703" u="1"/>
        <n v="5033288" u="1"/>
        <n v="5033055" u="1"/>
        <n v="5033098" u="1"/>
        <n v="5032781" u="1"/>
        <n v="5032914" u="1"/>
        <n v="5032717" u="1"/>
        <n v="5032789" u="1"/>
        <n v="5032718" u="1"/>
        <n v="5032716" u="1"/>
        <n v="5027733" u="1"/>
        <n v="5032603" u="1"/>
        <n v="5032434" u="1"/>
        <n v="5032911" u="1"/>
        <n v="5033134" u="1"/>
        <n v="5032728" u="1"/>
        <n v="5031723" u="1"/>
        <n v="5032788" u="1"/>
        <n v="5032723" u="1"/>
        <n v="5032724" u="1"/>
        <n v="5032825" u="1"/>
        <n v="5032725" u="1"/>
        <n v="5027655" u="1"/>
        <n v="5033081" u="1"/>
        <n v="5032951" u="1"/>
        <n v="5032952" u="1"/>
        <n v="5033367" u="1"/>
        <n v="5025597" u="1"/>
        <n v="5032767" u="1"/>
        <n v="5032827" u="1"/>
        <n v="5032829" u="1"/>
        <n v="5032867" u="1"/>
        <n v="5018123" u="1"/>
        <n v="5032742" u="1"/>
        <n v="5032735" u="1"/>
        <n v="5032757" u="1"/>
        <n v="5032851" u="1"/>
        <n v="5032908" u="1"/>
        <n v="5032990" u="1"/>
        <n v="5032764" u="1"/>
        <n v="5031494" u="1"/>
        <n v="5032765" u="1"/>
        <n v="5032790" u="1"/>
        <n v="5033193" u="1"/>
        <n v="5033182" u="1"/>
        <n v="5032670" u="1"/>
        <n v="5032794" u="1"/>
        <n v="5032795" u="1"/>
        <n v="5033006" u="1"/>
        <n v="5027656" u="1"/>
        <n v="5028283" u="1"/>
        <n v="5032431" u="1"/>
        <n v="5024119" u="1"/>
        <n v="5031310" u="1"/>
        <n v="5032721" u="1"/>
        <n v="5032857" u="1"/>
        <n v="5006231" u="1"/>
        <n v="5024313" u="1"/>
        <n v="5027398" u="1"/>
        <n v="5032861" u="1"/>
        <n v="5032830" u="1"/>
        <n v="5032831" u="1"/>
        <n v="5032863" u="1"/>
        <n v="5033112" u="1"/>
        <n v="5032978" u="1"/>
        <n v="5033308" u="1"/>
        <n v="5033116" u="1"/>
        <n v="5032835" u="1"/>
        <n v="5032836" u="1"/>
        <n v="5032366" u="1"/>
        <n v="5032687" u="1"/>
        <n v="5032766" u="1"/>
        <n v="5032932" u="1"/>
        <n v="5032853" u="1"/>
        <n v="5030447" u="1"/>
        <n v="5032774" u="1"/>
        <n v="5032840" u="1"/>
        <n v="5032948" u="1"/>
        <n v="5032841" u="1"/>
        <n v="5032949" u="1"/>
        <n v="5033219" u="1"/>
        <n v="5032913" u="1"/>
        <n v="5032953" u="1"/>
        <n v="5032920" u="1"/>
        <n v="5032811" u="1"/>
        <n v="5032797" u="1"/>
        <n v="5033018" u="1"/>
        <n v="5032849" u="1"/>
        <n v="5032357" u="1"/>
        <n v="5032809" u="1"/>
        <n v="5033256" u="1"/>
        <n v="5032551" u="1"/>
        <n v="5032608" u="1"/>
        <n v="5033083" u="1"/>
        <n v="5033121" u="1"/>
        <n v="5032806" u="1"/>
        <n v="5032807" u="1"/>
        <n v="5032872" u="1"/>
        <n v="5032810" u="1"/>
        <n v="5033097" u="1"/>
        <n v="5033004" u="1"/>
        <n v="5032582" u="1"/>
        <n v="5032780" u="1"/>
        <n v="5032812" u="1"/>
        <n v="5032756" u="1"/>
        <n v="5032869" u="1"/>
        <n v="5032481" u="1"/>
        <n v="5032768" u="1"/>
        <n v="5033250" u="1"/>
        <n v="5032770" u="1"/>
        <n v="5032771" u="1"/>
        <n v="5031477" u="1"/>
        <n v="5032772" u="1"/>
        <n v="5032819" u="1"/>
        <n v="5032905" u="1"/>
        <n v="5032864" u="1"/>
        <n v="5032974" u="1"/>
        <n v="5032871" u="1"/>
        <n v="5032820" u="1"/>
        <n v="5032833" u="1"/>
        <n v="5031785" u="1"/>
        <n v="5032837" u="1"/>
        <n v="5032601" u="1"/>
        <n v="5032917" u="1"/>
        <n v="5032818" u="1"/>
        <n v="5032360" u="1"/>
        <n v="5008888" u="1"/>
        <n v="5032954" u="1"/>
        <n v="5032561" u="1"/>
        <n v="5032828" u="1"/>
        <n v="5032832" u="1"/>
        <n v="5032925" u="1"/>
        <n v="5033191" u="1"/>
        <n v="5033195" u="1"/>
        <n v="5032878" u="1"/>
        <n v="5032815" u="1"/>
        <n v="5032850" u="1"/>
        <n v="5032852" u="1"/>
        <n v="5033274" u="1"/>
        <n v="5032854" u="1"/>
        <n v="5032859" u="1"/>
        <n v="5033099" u="1"/>
        <n v="5032899" u="1"/>
        <n v="5033115" u="1"/>
        <n v="5033019" u="1"/>
        <n v="5032903" u="1"/>
        <n v="5032906" u="1"/>
        <n v="5032649" u="1"/>
        <n v="5032873" u="1"/>
        <n v="5032912" u="1"/>
        <n v="5032874" u="1"/>
        <n v="5032803" u="1"/>
        <n v="5032918" u="1"/>
        <n v="5033132" u="1"/>
        <n v="5032599" u="1"/>
        <n v="5032600" u="1"/>
        <n v="5032611" u="1"/>
        <n v="5032877" u="1"/>
        <n v="5032879" u="1"/>
        <n v="5033158" u="1"/>
        <n v="5032966" u="1"/>
        <n v="5032894" u="1"/>
        <n v="5032895" u="1"/>
        <n v="5032896" u="1"/>
        <n v="5032967" u="1"/>
        <n v="5032898" u="1"/>
        <n v="5032576" u="1"/>
        <n v="5033146" u="1"/>
        <n v="5033110" u="1"/>
        <n v="5032943" u="1"/>
        <n v="5032615" u="1"/>
        <n v="5032554" u="1"/>
        <n v="5032661" u="1"/>
        <n v="5033245" u="1"/>
        <n v="5033181" u="1"/>
        <n v="5033196" u="1"/>
        <n v="5033318" u="1"/>
        <n v="5032945" u="1"/>
        <n v="5032668" u="1"/>
        <n v="5032910" u="1"/>
        <n v="5032816" u="1"/>
        <n v="5032924" u="1"/>
        <n v="5033348" u="1"/>
        <n v="5032730" u="1"/>
        <n v="5032885" u="1"/>
        <n v="5024149" u="1"/>
        <n v="5030483" u="1"/>
        <n v="5033143" u="1"/>
        <n v="5033194" u="1"/>
        <n v="5032886" u="1"/>
        <n v="5032643" u="1"/>
        <n v="5032659" u="1"/>
        <n v="5032888" u="1"/>
        <n v="5032081" u="1"/>
        <n v="5026904" u="1"/>
        <n v="5032891" u="1"/>
        <n v="5032232" u="1"/>
        <n v="5033058" u="1"/>
        <n v="5032984" u="1"/>
        <n v="5032897" u="1"/>
        <n v="5032727" u="1"/>
        <n v="5033103" u="1"/>
        <n v="5032839" u="1"/>
        <n v="5033104" u="1"/>
        <n v="5032729" u="1"/>
        <n v="5033108" u="1"/>
        <n v="5033111" u="1"/>
        <n v="5033035" u="1"/>
        <n v="5033117" u="1"/>
        <n v="5033008" u="1"/>
        <n v="5032982" u="1"/>
        <n v="5032983" u="1"/>
        <n v="5033109" u="1"/>
        <n v="5032753" u="1"/>
        <n v="5032698" u="1"/>
        <n v="5032691" u="1"/>
        <n v="5032915" u="1"/>
        <n v="5032955" u="1"/>
        <n v="5033062" u="1"/>
        <n v="5032798" u="1"/>
        <n v="5032675" u="1"/>
        <n v="5032555" u="1"/>
        <n v="5032881" u="1"/>
        <n v="5032929" u="1"/>
        <n v="5032930" u="1"/>
        <n v="5032892" u="1"/>
        <n v="5032893" u="1"/>
        <n v="5032900" u="1"/>
        <n v="5032901" u="1"/>
        <n v="5032919" u="1"/>
        <n v="5032904" u="1"/>
        <n v="5032927" u="1"/>
        <n v="5032931" u="1"/>
        <n v="5033067" u="1"/>
        <n v="5032934" u="1"/>
        <n v="5033204" u="1"/>
        <n v="5033321" u="1"/>
        <n v="5033073" u="1"/>
        <n v="5032937" u="1"/>
        <n v="5033074" u="1"/>
        <n v="5033222" u="1"/>
        <n v="5033076" u="1"/>
        <n v="5033077" u="1"/>
        <n v="5032970" u="1"/>
        <n v="5032940" u="1"/>
        <n v="5032971" u="1"/>
        <n v="5033101" u="1"/>
        <n v="5033102" u="1"/>
        <n v="5032972" u="1"/>
        <n v="5032973" u="1"/>
        <n v="5032866" u="1"/>
        <n v="5032865" u="1"/>
        <n v="5033267" u="1"/>
        <n v="5033122" u="1"/>
        <n v="5033148" u="1"/>
        <n v="5032946" u="1"/>
        <n v="5033124" u="1"/>
        <n v="5033078" u="1"/>
        <n v="5032847" u="1"/>
        <n v="5033338" u="1"/>
        <n v="5032957" u="1"/>
        <n v="5033059" u="1"/>
        <n v="5033060" u="1"/>
        <n v="5032935" u="1"/>
        <n v="5030903" u="1"/>
        <n v="5032938" u="1"/>
        <n v="5032773" u="1"/>
        <n v="5031980" u="1"/>
        <n v="5032528" u="1"/>
        <n v="5032939" u="1"/>
        <n v="5032941" u="1"/>
        <n v="5032196" u="1"/>
        <n v="5033156" u="1"/>
        <n v="5033157" u="1"/>
        <n v="5032933" u="1"/>
        <n v="5032958" u="1"/>
        <n v="5033069" u="1"/>
        <n v="5032959" u="1"/>
        <n v="5032746" u="1"/>
        <n v="5033017" u="1"/>
        <n v="5032801" u="1"/>
        <n v="5032963" u="1"/>
        <n v="5032862" u="1"/>
        <n v="5025954" u="1"/>
        <n v="5033084" u="1"/>
        <n v="5033218" u="1"/>
        <n v="5033090" u="1"/>
        <n v="5033091" u="1"/>
        <n v="5033092" u="1"/>
        <n v="5032776" u="1"/>
        <n v="5032702" u="1"/>
        <n v="5033100" u="1"/>
        <n v="5033221" u="1"/>
        <n v="5032981" u="1"/>
        <n v="5032006" u="1"/>
        <n v="5033120" u="1"/>
        <n v="5033228" u="1"/>
        <n v="5033144" u="1"/>
        <n v="5033333" u="1"/>
        <n v="5033281" u="1"/>
        <n v="5033016" u="1"/>
        <n v="5032281" u="1"/>
        <n v="5033000" u="1"/>
        <n v="5033024" u="1"/>
        <n v="5033064" u="1"/>
        <n v="5033065" u="1"/>
        <n v="5032995" u="1"/>
        <n v="5032996" u="1"/>
        <n v="5032961" u="1"/>
        <n v="5032962" u="1"/>
        <n v="5033075" u="1"/>
        <n v="5025486" u="1"/>
        <n v="5033145" u="1"/>
        <n v="5033001" u="1"/>
        <n v="5033080" u="1"/>
        <n v="5032855" u="1"/>
        <n v="5033003" u="1"/>
        <n v="5033086" u="1"/>
        <n v="5033285" u="1"/>
        <n v="5033088" u="1"/>
        <n v="5032488" u="1"/>
        <n v="5032848" u="1"/>
        <n v="5033005" u="1"/>
        <n v="5032793" u="1"/>
        <n v="5020680" u="1"/>
        <n v="5032858" u="1"/>
        <n v="5033180" u="1"/>
        <n v="5033230" u="1"/>
        <n v="5033066" u="1"/>
        <n v="5032361" u="1"/>
        <n v="5033011" u="1"/>
        <n v="5033273" u="1"/>
        <n v="5033233" u="1"/>
        <n v="5033125" u="1"/>
        <n v="5033127" u="1"/>
        <n v="5033129" u="1"/>
        <n v="5033130" u="1"/>
        <n v="5033131" u="1"/>
        <n v="5033286" u="1"/>
        <n v="5033014" u="1"/>
        <n v="5032713" u="1"/>
        <n v="5032817" u="1"/>
        <n v="5033139" u="1"/>
        <n v="5033106" u="1"/>
        <n v="5033051" u="1"/>
        <n v="5033052" u="1"/>
        <n v="5033053" u="1"/>
        <n v="5033189" u="1"/>
        <n v="5033142" u="1"/>
        <n v="5033030" u="1"/>
        <n v="5033029" u="1"/>
        <n v="5031230" u="1"/>
        <n v="5033032" u="1"/>
        <n v="5033033" u="1"/>
        <n v="5033034" u="1"/>
        <n v="5033002" u="1"/>
        <n v="5031378" u="1"/>
        <n v="5027975" u="1"/>
        <n v="5032887" u="1"/>
        <n v="5033013" u="1"/>
        <n v="5033022" u="1"/>
        <n v="5028597" u="1"/>
        <n v="5026791" u="1"/>
        <n v="5033026" u="1"/>
        <n v="5033027" u="1"/>
        <n v="5032860" u="1"/>
        <n v="5033251" u="1"/>
        <n v="5033036" u="1"/>
        <n v="5031969" u="1"/>
        <n v="5033039" u="1"/>
        <n v="5033037" u="1"/>
        <n v="5023380" u="1"/>
        <n v="5033040" u="1"/>
        <n v="5033041" u="1"/>
        <n v="5033038" u="1"/>
        <n v="5032969" u="1"/>
        <n v="5033216" u="1"/>
        <n v="5032992" u="1"/>
        <n v="5032993" u="1"/>
        <n v="5033226" u="1"/>
        <n v="5033292" u="1"/>
        <n v="5033235" u="1"/>
        <n v="5032994" u="1"/>
        <n v="5033043" u="1"/>
        <n v="5033236" u="1"/>
        <n v="5033128" u="1"/>
        <n v="5025653" u="1"/>
        <n v="5033133" u="1"/>
        <n v="5019650" u="1"/>
        <n v="5021979" u="1"/>
        <n v="5024652" u="1"/>
        <n v="5033135" u="1"/>
        <n v="5033136" u="1"/>
        <n v="5033137" u="1"/>
        <n v="5032985" u="1"/>
        <n v="5033209" u="1"/>
        <n v="5033179" u="1"/>
        <n v="5033203" u="1"/>
        <n v="5031705" u="1"/>
        <n v="5033185" u="1"/>
        <n v="5033186" u="1"/>
        <n v="5033225" u="1"/>
        <n v="5033057" u="1"/>
        <n v="5033061" u="1"/>
        <n v="5032319" u="1"/>
        <n v="5033063" u="1"/>
        <n v="5031183" u="1"/>
        <n v="5020497" u="1"/>
        <n v="5033317" u="1"/>
        <n v="5029062" u="1"/>
        <n v="5032416" u="1"/>
        <n v="5027907" u="1"/>
        <n v="5032975" u="1"/>
        <n v="5033056" u="1"/>
        <n v="5033070" u="1"/>
        <n v="5033071" u="1"/>
        <n v="5033237" u="1"/>
        <n v="5033205" u="1"/>
        <n v="5033049" u="1"/>
        <n v="5033085" u="1"/>
        <n v="5033094" u="1"/>
        <n v="5026164" u="1"/>
        <n v="5033220" u="1"/>
        <n v="5033223" u="1"/>
        <n v="5033113" u="1"/>
        <n v="5033114" u="1"/>
        <n v="5033231" u="1"/>
        <n v="5019711" u="1"/>
        <n v="5021633" u="1"/>
        <n v="5028220" u="1"/>
        <n v="5029407" u="1"/>
        <n v="5031686" u="1"/>
        <n v="5033177" u="1"/>
        <n v="5033178" u="1"/>
        <n v="5033247" u="1"/>
        <n v="5033248" u="1"/>
        <n v="5033141" u="1"/>
        <n v="5032404" u="1"/>
        <n v="5033079" u="1"/>
        <n v="5031813" u="1"/>
        <n v="5033149" u="1"/>
        <n v="5033201" u="1"/>
        <n v="5033068" u="1"/>
        <n v="5033082" u="1"/>
        <n v="5032999" u="1"/>
        <n v="5033048" u="1"/>
        <n v="5033096" u="1"/>
        <n v="5033107" u="1"/>
        <n v="5033154" u="1"/>
        <n v="5007407" u="1"/>
        <n v="5033140" u="1"/>
        <n v="5033050" u="1"/>
        <n v="5015045" u="1"/>
        <n v="5019924" u="1"/>
        <n v="5033161" u="1"/>
        <n v="5031362" u="1"/>
        <n v="5033163" u="1"/>
        <n v="5033166" u="1"/>
        <n v="5033168" u="1"/>
        <n v="5033169" u="1"/>
        <n v="5002452" u="1"/>
        <n v="5010051" u="1"/>
        <n v="5016961" u="1"/>
        <n v="5033171" u="1"/>
        <n v="5033173" u="1"/>
        <n v="5033215" u="1"/>
        <n v="5033373" u="1"/>
        <n v="5033207" u="1"/>
        <n v="5033232" u="1"/>
        <n v="5030445" u="1"/>
        <n v="5033159" u="1"/>
        <n v="5033280" u="1"/>
        <n v="5033234" u="1"/>
        <n v="5033240" u="1"/>
        <n v="5033282" u="1"/>
        <n v="5033239" u="1"/>
        <n v="5033217" u="1"/>
        <n v="5033224" u="1"/>
        <n v="5033175" u="1"/>
        <n v="5028523" u="1"/>
        <n v="5033244" u="1"/>
        <n v="5033044" u="1"/>
        <n v="5011833" u="1"/>
        <n v="5033184" u="1"/>
        <n v="5033301" u="1"/>
        <n v="5033320" u="1"/>
        <n v="5033322" u="1"/>
        <n v="5033323" u="1"/>
        <n v="5032834" u="1"/>
        <n v="5033170" u="1"/>
        <n v="5033183" u="1"/>
        <n v="5033212" u="1"/>
        <n v="5033206" u="1"/>
        <n v="5010408" u="1"/>
        <n v="5012744" u="1"/>
        <n v="5017218" u="1"/>
        <n v="5033208" u="1"/>
        <n v="5033210" u="1"/>
        <n v="5033269" u="1"/>
        <n v="5033093" u="1"/>
        <n v="5033270" u="1"/>
        <n v="5032748" u="1"/>
        <n v="5033278" u="1"/>
        <n v="5033279" u="1"/>
        <n v="5033287" u="1"/>
        <n v="5033289" u="1"/>
        <n v="5033291" u="1"/>
        <n v="5033242" u="1"/>
        <n v="5033343" u="1"/>
        <n v="5033275" u="1"/>
        <n v="5033302" u="1"/>
        <n v="5033303" u="1"/>
        <n v="5033304" u="1"/>
        <n v="5032189" u="1"/>
        <n v="5033172" u="1"/>
        <n v="5033354" u="1"/>
        <n v="5033255" u="1"/>
        <n v="5033276" u="1"/>
        <n v="5020780" u="1"/>
        <n v="5021885" u="1"/>
        <n v="5025618" u="1"/>
        <n v="5027561" u="1"/>
        <n v="5028496" u="1"/>
        <n v="5029784" u="1"/>
        <n v="5033243" u="1"/>
        <n v="5033246" u="1"/>
        <n v="5033345" u="1"/>
        <n v="5033259" u="1"/>
        <n v="5033241" u="1"/>
        <n v="5033252" u="1"/>
        <n v="5033324" u="1"/>
        <n v="5033364" u="1"/>
        <n v="5033262" u="1"/>
        <n v="5033263" u="1"/>
        <n v="5033346" u="1"/>
        <n v="5033374" u="1"/>
        <n v="5033339" u="1"/>
        <n v="5033297" u="1"/>
        <n v="5033344" u="1"/>
        <n v="5033347" u="1"/>
        <n v="5033309" u="1"/>
        <n v="5033310" u="1"/>
        <n v="5033311" u="1"/>
        <n v="5032883" u="1"/>
        <n v="5017359" u="1"/>
        <n v="5017816" u="1"/>
        <n v="5008255" u="1"/>
        <n v="5033319" u="1"/>
        <n v="5033325" u="1"/>
        <n v="5033277" u="1"/>
        <n v="5033295" u="1"/>
        <n v="5033268" u="1"/>
        <n v="5033296" u="1"/>
        <n v="5033313" u="1"/>
        <n v="5032043" u="1"/>
        <n v="5007194" u="1"/>
        <n v="5032371" u="1"/>
        <n v="5032132" u="1"/>
        <n v="5031625" u="1"/>
        <n v="5032078" u="1"/>
        <n v="5031698" u="1"/>
        <n v="5032116" u="1"/>
        <n v="5020060" u="1"/>
        <n v="5032384" u="1"/>
        <n v="5031735" u="1"/>
        <n v="5032115" u="1"/>
        <n v="5023942" u="1"/>
        <n v="5031807" u="1"/>
        <n v="5031918" u="1"/>
        <n v="5032175" u="1"/>
        <n v="5031584" u="1"/>
        <n v="5025736" u="1"/>
        <n v="5032266" u="1"/>
        <n v="5032374" u="1"/>
        <n v="5027116" u="1"/>
        <n v="5031950" u="1"/>
        <n v="5032543" u="1"/>
        <n v="5027708" u="1"/>
        <n v="5028385" u="1"/>
        <n v="5032174" u="1"/>
        <n v="5028373" u="1"/>
        <n v="5029090" u="1"/>
        <n v="5032149" u="1"/>
        <n v="5029416" u="1"/>
        <n v="5031553" u="1"/>
        <n v="5029957" u="1"/>
        <n v="5031692" u="1"/>
        <n v="5031728" u="1"/>
        <n v="5031678" u="1"/>
        <n v="5032377" u="1"/>
        <n v="5030758" u="1"/>
        <n v="5032125" u="1"/>
        <n v="5032131" u="1"/>
        <n v="5031084" u="1"/>
        <n v="5031365" u="1"/>
        <n v="5032380" u="1"/>
        <n v="5031998" u="1"/>
        <n v="5031522" u="1"/>
        <n v="5031526" u="1"/>
        <n v="5031617" u="1"/>
        <n v="5031567" u="1"/>
        <n v="5032347" u="1"/>
        <n v="5031701" u="1"/>
        <n v="5031709" u="1"/>
        <n v="5031715" u="1"/>
        <n v="5032284" u="1"/>
        <n v="5031638" u="1"/>
        <n v="5031561" u="1"/>
        <n v="5032493" u="1"/>
        <n v="5031590" u="1"/>
        <n v="5031594" u="1"/>
        <n v="5031595" u="1"/>
        <n v="5031596" u="1"/>
        <n v="5031683" u="1"/>
        <n v="5031684" u="1"/>
        <n v="5031619" u="1"/>
        <n v="5031762" u="1"/>
        <n v="5031713" u="1"/>
        <n v="5031919" u="1"/>
        <n v="5031839" u="1"/>
        <n v="5032145" u="1"/>
        <n v="5031703" u="1"/>
        <n v="5031662" u="1"/>
        <n v="5031700" u="1"/>
        <n v="5031689" u="1"/>
        <n v="5032108" u="1"/>
        <n v="5031899" u="1"/>
        <n v="5031714" u="1"/>
        <n v="5032063" u="1"/>
        <n v="5031799" u="1"/>
        <n v="5031931" u="1"/>
        <n v="5031779" u="1"/>
        <n v="5032014" u="1"/>
        <n v="5031757" u="1"/>
        <n v="5031794" u="1"/>
        <n v="5031795" u="1"/>
        <n v="5032033" u="1"/>
        <n v="5031844" u="1"/>
        <n v="5031702" u="1"/>
        <n v="5031827" u="1"/>
        <n v="5031792" u="1"/>
        <n v="5032215" u="1"/>
        <n v="5032271" u="1"/>
        <n v="5031809" u="1"/>
        <n v="5031810" u="1"/>
        <n v="5031811" u="1"/>
        <n v="5031667" u="1"/>
        <n v="5032133" u="1"/>
        <n v="5032476" u="1"/>
        <n v="5032345" u="1"/>
        <n v="5032165" u="1"/>
        <n v="5031721" u="1"/>
        <n v="5031824" u="1"/>
        <n v="5031629" u="1"/>
        <n v="5031851" u="1"/>
        <n v="5031875" u="1"/>
        <n v="5031880" u="1"/>
        <n v="5031859" u="1"/>
        <n v="5031900" u="1"/>
        <n v="5031905" u="1"/>
        <n v="5031906" u="1"/>
        <n v="5031955" u="1"/>
        <n v="5031958" u="1"/>
        <n v="5032146" u="1"/>
        <n v="5032485" u="1"/>
        <n v="5032155" u="1"/>
        <n v="5032393" u="1"/>
        <n v="5032309" u="1"/>
        <n v="5032408" u="1"/>
        <n v="5031707" u="1"/>
        <n v="5032222" u="1"/>
        <n v="5031941" u="1"/>
        <n v="5032472" u="1"/>
        <n v="5032034" u="1"/>
        <n v="5032035" u="1"/>
        <n v="5031942" u="1"/>
        <n v="5032055" u="1"/>
        <n v="5031944" u="1"/>
        <n v="5032430" u="1"/>
        <n v="5032120" u="1"/>
        <n v="5032023" u="1"/>
        <n v="5032262" u="1"/>
        <n v="5032109" u="1"/>
        <n v="5032094" u="1"/>
        <n v="5032162" u="1"/>
        <n v="5032163" u="1"/>
        <n v="5032164" u="1"/>
        <n v="5032124" u="1"/>
        <n v="5032257" u="1"/>
        <n v="5032193" u="1"/>
        <n v="5032230" u="1"/>
        <n v="5032231" u="1"/>
        <n v="5032235" u="1"/>
        <n v="5032236" u="1"/>
        <n v="5032391" u="1"/>
        <n v="5032265" u="1"/>
        <n v="5032312" u="1"/>
        <n v="5032397" u="1"/>
        <n v="5032296" u="1"/>
        <n v="5031910" u="1"/>
        <n v="5032353" u="1"/>
        <n v="5032354" u="1"/>
        <n v="5032336" u="1"/>
        <n v="5032419" u="1"/>
        <n v="5032409" u="1"/>
        <n v="5032368" u="1"/>
        <n v="5032369" u="1"/>
        <n v="5032373" u="1"/>
        <n v="5032426" u="1"/>
        <n v="5032442" u="1"/>
        <n v="5031937" u="1"/>
        <n v="5032471" u="1"/>
        <n v="5032123" u="1"/>
        <n v="5032513" u="1"/>
        <n v="5032477" u="1"/>
        <n v="5032478" u="1"/>
        <n v="5032536" u="1"/>
        <n v="5032544" u="1"/>
        <n v="5032339" u="1"/>
        <n v="5032372" u="1"/>
        <n v="5021695" u="1"/>
        <n v="5022349" u="1"/>
        <n v="5032376" u="1"/>
        <n v="5028599" u="1"/>
        <n v="5031597" u="1"/>
        <n v="5031758" u="1"/>
        <n v="5031981" u="1"/>
        <n v="5031935" u="1"/>
        <n v="5031902" u="1"/>
        <n v="5031994" u="1"/>
        <n v="5032318" u="1"/>
        <n v="5031778" u="1"/>
        <n v="5031734" u="1"/>
        <n v="5031670" u="1"/>
        <n v="5031838" u="1"/>
        <n v="5031854" u="1"/>
        <n v="5032144" u="1"/>
        <n v="5031911" u="1"/>
        <n v="5031719" u="1"/>
        <n v="5032290" u="1"/>
        <n v="5032114" u="1"/>
        <n v="5032379" u="1"/>
        <n v="5032273" u="1"/>
        <n v="5032305" u="1"/>
        <n v="5032362" u="1"/>
        <n v="5032424" u="1"/>
        <n v="5031929" u="1"/>
        <n v="5032475" u="1"/>
        <n v="5014602" u="1"/>
        <n v="5015071" u="1"/>
        <n v="5017471" u="1"/>
        <n v="5031921" u="1"/>
        <n v="5022787" u="1"/>
        <n v="5023445" u="1"/>
        <n v="5024366" u="1"/>
        <n v="5024728" u="1"/>
        <n v="5025124" u="1"/>
        <n v="5025449" u="1"/>
        <n v="5025552" u="1"/>
        <n v="5025781" u="1"/>
        <n v="5025832" u="1"/>
        <n v="5026174" u="1"/>
        <n v="5026491" u="1"/>
        <n v="5026601" u="1"/>
        <n v="5032537" u="1"/>
        <n v="5026798" u="1"/>
        <n v="5026958" u="1"/>
        <n v="5032532" u="1"/>
        <n v="5027230" u="1"/>
        <n v="5027288" u="1"/>
        <n v="5032074" u="1"/>
        <n v="5027429" u="1"/>
        <n v="5032437" u="1"/>
        <n v="5031820" u="1"/>
        <n v="5027968" u="1"/>
        <n v="5028684" u="1"/>
        <n v="5032152" u="1"/>
        <n v="5029055" u="1"/>
        <n v="5029167" u="1"/>
        <n v="5029305" u="1"/>
        <n v="5029494" u="1"/>
        <n v="5032057" u="1"/>
        <n v="5031668" u="1"/>
        <n v="5029707" u="1"/>
        <n v="5029834" u="1"/>
        <n v="5029905" u="1"/>
        <n v="5029933" u="1"/>
        <n v="5029958" u="1"/>
        <n v="5032073" u="1"/>
        <n v="5030060" u="1"/>
        <n v="5030103" u="1"/>
        <n v="5032279" u="1"/>
        <n v="5030222" u="1"/>
        <n v="5030273" u="1"/>
        <n v="5030249" u="1"/>
        <n v="5030252" u="1"/>
        <n v="5032259" u="1"/>
        <n v="5031761" u="1"/>
        <n v="5031556" u="1"/>
        <n v="5030799" u="1"/>
        <n v="5030735" u="1"/>
        <n v="5031022" u="1"/>
        <n v="5031760" u="1"/>
        <n v="5031276" u="1"/>
        <n v="5031278" u="1"/>
        <n v="5031529" u="1"/>
        <n v="5031535" u="1"/>
        <n v="5031570" u="1"/>
        <n v="5031571" u="1"/>
        <n v="5031582" u="1"/>
        <n v="5031717" u="1"/>
        <n v="5031796" u="1"/>
        <n v="5031720" u="1"/>
        <n v="5031563" u="1"/>
        <n v="5031612" u="1"/>
        <n v="5031613" u="1"/>
        <n v="5031565" u="1"/>
        <n v="5031575" u="1"/>
        <n v="5031578" u="1"/>
        <n v="5031659" u="1"/>
        <n v="5031592" u="1"/>
        <n v="5031593" u="1"/>
        <n v="5031598" u="1"/>
        <n v="5031658" u="1"/>
        <n v="5031623" u="1"/>
        <n v="5031928" u="1"/>
        <n v="5031562" u="1"/>
        <n v="5031632" u="1"/>
        <n v="5031704" u="1"/>
        <n v="5031922" u="1"/>
        <n v="5031694" u="1"/>
        <n v="5031697" u="1"/>
        <n v="5031915" u="1"/>
        <n v="5031923" u="1"/>
        <n v="5031924" u="1"/>
        <n v="5031925" u="1"/>
        <n v="5031731" u="1"/>
        <n v="5031732" u="1"/>
        <n v="5032212" u="1"/>
        <n v="5032435" u="1"/>
        <n v="5031557" u="1"/>
        <n v="5031773" u="1"/>
        <n v="5031730" u="1"/>
        <n v="5032047" u="1"/>
        <n v="5031765" u="1"/>
        <n v="5032076" u="1"/>
        <n v="5031770" u="1"/>
        <n v="5031831" u="1"/>
        <n v="5031832" u="1"/>
        <n v="5031913" u="1"/>
        <n v="5031914" u="1"/>
        <n v="5031812" u="1"/>
        <n v="5031825" u="1"/>
        <n v="5032134" u="1"/>
        <n v="5031874" u="1"/>
        <n v="5031940" u="1"/>
        <n v="5032239" u="1"/>
        <n v="5031554" u="1"/>
        <n v="5032097" u="1"/>
        <n v="5032009" u="1"/>
        <n v="5032197" u="1"/>
        <n v="5031864" u="1"/>
        <n v="5031876" u="1"/>
        <n v="5031882" u="1"/>
        <n v="5032046" u="1"/>
        <n v="5031949" u="1"/>
        <n v="5031952" u="1"/>
        <n v="5031953" u="1"/>
        <n v="5031966" u="1"/>
        <n v="5031967" u="1"/>
        <n v="5032159" u="1"/>
        <n v="5031996" u="1"/>
        <n v="5032156" u="1"/>
        <n v="5032026" u="1"/>
        <n v="5032052" u="1"/>
        <n v="5032028" u="1"/>
        <n v="5032072" u="1"/>
        <n v="5032465" u="1"/>
        <n v="5032031" u="1"/>
        <n v="5032198" u="1"/>
        <n v="5032044" u="1"/>
        <n v="5032432" u="1"/>
        <n v="5032054" u="1"/>
        <n v="5031246" u="1"/>
        <n v="5032105" u="1"/>
        <n v="5032201" u="1"/>
        <n v="5032178" u="1"/>
        <n v="5032111" u="1"/>
        <n v="5031733" u="1"/>
        <n v="5032269" u="1"/>
        <n v="5032117" u="1"/>
        <n v="5032122" u="1"/>
        <n v="5032183" u="1"/>
        <n v="5032473" u="1"/>
        <n v="5032185" u="1"/>
        <n v="5032192" u="1"/>
        <n v="5032267" u="1"/>
        <n v="5032191" u="1"/>
        <n v="5032268" u="1"/>
        <n v="5031635" u="1"/>
        <n v="5032218" u="1"/>
        <n v="5032221" u="1"/>
        <n v="5031519" u="1"/>
        <n v="5032238" u="1"/>
        <n v="5032398" u="1"/>
        <n v="5032316" u="1"/>
        <n v="5032282" u="1"/>
        <n v="5032285" u="1"/>
        <n v="5032283" u="1"/>
        <n v="5032304" u="1"/>
        <n v="5032349" u="1"/>
        <n v="5032333" u="1"/>
        <n v="5031836" u="1"/>
        <n v="5032411" u="1"/>
        <n v="5032337" u="1"/>
        <n v="5032453" u="1"/>
        <n v="5031524" u="1"/>
        <n v="5032365" u="1"/>
        <n v="5031897" u="1"/>
        <n v="5032436" u="1"/>
        <n v="5032479" u="1"/>
        <n v="5032388" u="1"/>
        <n v="5032428" u="1"/>
        <n v="5032489" u="1"/>
        <n v="5032503" u="1"/>
        <n v="5032446" u="1"/>
        <n v="5032447" u="1"/>
        <n v="5032450" u="1"/>
        <n v="5032523" u="1"/>
        <n v="5032128" u="1"/>
        <n v="5032538" u="1"/>
        <n v="5032474" u="1"/>
        <n v="5032546" u="1"/>
        <n v="5031973" u="1"/>
        <n v="5007664" u="1"/>
        <n v="5006395" u="1"/>
        <n v="5013488" u="1"/>
        <n v="5014578" u="1"/>
        <n v="5032015" u="1"/>
        <n v="5019856" u="1"/>
        <n v="5032004" u="1"/>
        <n v="5032223" u="1"/>
        <n v="5032022" u="1"/>
        <n v="5025666" u="1"/>
        <n v="5031878" u="1"/>
        <n v="5032214" u="1"/>
        <n v="5027812" u="1"/>
        <n v="5031685" u="1"/>
        <n v="5029980" u="1"/>
        <n v="5031860" u="1"/>
        <n v="5030228" u="1"/>
        <n v="5030376" u="1"/>
        <n v="5030741" u="1"/>
        <n v="5030967" u="1"/>
        <n v="5031044" u="1"/>
        <n v="5031420" u="1"/>
        <n v="5031452" u="1"/>
        <n v="5031482" u="1"/>
        <n v="5031461" u="1"/>
        <n v="5031568" u="1"/>
        <n v="5031569" u="1"/>
        <n v="5031545" u="1"/>
        <n v="5031548" u="1"/>
        <n v="5031793" u="1"/>
        <n v="5031850" u="1"/>
        <n v="5031722" u="1"/>
        <n v="5031555" u="1"/>
        <n v="5031558" u="1"/>
        <n v="5031564" u="1"/>
        <n v="5031581" u="1"/>
        <n v="5031607" u="1"/>
        <n v="5031655" u="1"/>
        <n v="5031660" u="1"/>
        <n v="5031634" u="1"/>
        <n v="5032506" u="1"/>
        <n v="5031661" u="1"/>
        <n v="5031664" u="1"/>
        <n v="5031675" u="1"/>
        <n v="5031751" u="1"/>
        <n v="5031845" u="1"/>
        <n v="5031846" u="1"/>
        <n v="5031753" u="1"/>
        <n v="5031756" u="1"/>
        <n v="5031766" u="1"/>
        <n v="5031798" u="1"/>
        <n v="5031800" u="1"/>
        <n v="5031926" u="1"/>
        <n v="5031805" u="1"/>
        <n v="5031767" u="1"/>
        <n v="5031776" u="1"/>
        <n v="5031848" u="1"/>
        <n v="5031852" u="1"/>
        <n v="5031853" u="1"/>
        <n v="5032075" u="1"/>
        <n v="5031819" u="1"/>
        <n v="5031821" u="1"/>
        <n v="5031843" u="1"/>
        <n v="5031847" u="1"/>
        <n v="5031849" u="1"/>
        <n v="5031856" u="1"/>
        <n v="5031887" u="1"/>
        <n v="5031861" u="1"/>
        <n v="5031834" u="1"/>
        <n v="5032278" u="1"/>
        <n v="5031909" u="1"/>
        <n v="5032020" u="1"/>
        <n v="5031884" u="1"/>
        <n v="5031888" u="1"/>
        <n v="5031889" u="1"/>
        <n v="5031885" u="1"/>
        <n v="5031886" u="1"/>
        <n v="5031890" u="1"/>
        <n v="5031871" u="1"/>
        <n v="5032064" u="1"/>
        <n v="5032065" u="1"/>
        <n v="5032066" u="1"/>
        <n v="5032295" u="1"/>
        <n v="5032096" u="1"/>
        <n v="5031891" u="1"/>
        <n v="5032067" u="1"/>
        <n v="5032068" u="1"/>
        <n v="5032069" u="1"/>
        <n v="5031947" u="1"/>
        <n v="5032010" u="1"/>
        <n v="5032011" u="1"/>
        <n v="5032012" u="1"/>
        <n v="5032017" u="1"/>
        <n v="5032510" u="1"/>
        <n v="5032051" u="1"/>
        <n v="5031999" u="1"/>
        <n v="5032103" u="1"/>
        <n v="5032157" u="1"/>
        <n v="5030439" u="1"/>
        <n v="5032058" u="1"/>
        <n v="5032029" u="1"/>
        <n v="5032030" u="1"/>
        <n v="5032080" u="1"/>
        <n v="5032039" u="1"/>
        <n v="5032107" u="1"/>
        <n v="5032320" u="1"/>
        <n v="5031559" u="1"/>
        <n v="5032169" u="1"/>
        <n v="5032091" u="1"/>
        <n v="5032092" u="1"/>
        <n v="5032104" u="1"/>
        <n v="5032171" u="1"/>
        <n v="5032172" u="1"/>
        <n v="5032173" u="1"/>
        <n v="5032200" u="1"/>
        <n v="5032112" u="1"/>
        <n v="5032208" u="1"/>
        <n v="5032328" u="1"/>
        <n v="5032202" u="1"/>
        <n v="5032276" u="1"/>
        <n v="5032187" u="1"/>
        <n v="5031633" u="1"/>
        <n v="5032245" u="1"/>
        <n v="5031840" u="1"/>
        <n v="5032251" u="1"/>
        <n v="5032206" u="1"/>
        <n v="5032254" u="1"/>
        <n v="5032311" u="1"/>
        <n v="5032327" u="1"/>
        <n v="5032220" u="1"/>
        <n v="5032289" u="1"/>
        <n v="5032242" u="1"/>
        <n v="5032400" u="1"/>
        <n v="5032352" u="1"/>
        <n v="5032180" u="1"/>
        <n v="5032334" u="1"/>
        <n v="5032486" u="1"/>
        <n v="5032280" u="1"/>
        <n v="5032291" u="1"/>
        <n v="5032292" u="1"/>
        <n v="5032293" u="1"/>
        <n v="5032303" u="1"/>
        <n v="5029988" u="1"/>
        <n v="5032346" u="1"/>
        <n v="5032402" u="1"/>
        <n v="5032317" u="1"/>
        <n v="5032454" u="1"/>
        <n v="5032462" u="1"/>
        <n v="5032343" u="1"/>
        <n v="5032497" u="1"/>
        <n v="5032498" u="1"/>
        <n v="5032530" u="1"/>
        <n v="5032410" u="1"/>
        <n v="5032413" u="1"/>
        <n v="5031618" u="1"/>
        <n v="5032480" u="1"/>
        <n v="5032383" u="1"/>
        <n v="5032494" u="1"/>
        <n v="5032499" u="1"/>
        <n v="5032511" u="1"/>
        <n v="5032512" u="1"/>
        <n v="5032387" u="1"/>
        <n v="5032524" u="1"/>
        <n v="5032482" u="1"/>
        <n v="5032444" u="1"/>
        <n v="5032514" u="1"/>
        <n v="5032449" u="1"/>
        <n v="5032522" u="1"/>
        <n v="5032455" u="1"/>
        <n v="5032470" u="1"/>
        <n v="5032484" u="1"/>
        <n v="5032542" u="1"/>
        <n v="5030788" u="1"/>
        <n v="5031993" u="1"/>
        <n v="5032338" u="1"/>
        <n v="5025131" u="1"/>
        <n v="5032253" u="1"/>
        <n v="5032487" u="1"/>
        <n v="5029863" u="1"/>
        <n v="5032534" u="1"/>
        <n v="5031665" u="1"/>
        <n v="5032394" u="1"/>
        <n v="5032099" u="1"/>
        <n v="5032003" u="1"/>
        <n v="5031744" u="1"/>
        <n v="5032270" u="1"/>
        <n v="5032363" u="1"/>
        <n v="5032210" u="1"/>
        <n v="5032209" u="1"/>
        <n v="5031907" u="1"/>
        <n v="5031688" u="1"/>
        <n v="5031637" u="1"/>
        <n v="5032364" u="1"/>
        <n v="5031699" u="1"/>
        <n v="5032000" u="1"/>
        <n v="5031696" u="1"/>
        <n v="5032405" u="1"/>
        <n v="5031992" u="1"/>
        <n v="5032102" u="1"/>
        <n v="5028049" u="1"/>
        <n v="5031750" u="1"/>
        <n v="5031690" u="1"/>
        <n v="5032018" u="1"/>
        <n v="5032129" u="1"/>
        <n v="5032151" u="1"/>
        <n v="5030209" u="1"/>
        <n v="5032425" u="1"/>
        <n v="5031786" u="1"/>
        <n v="5031816" u="1"/>
        <n v="5032527" u="1"/>
        <n v="5032324" u="1"/>
        <n v="5032100" u="1"/>
        <n v="5031680" u="1"/>
        <n v="5031951" u="1"/>
        <n v="5032160" u="1"/>
        <n v="5032344" u="1"/>
        <n v="5032181" u="1"/>
        <n v="5031932" u="1"/>
        <n v="5031988" u="1"/>
        <n v="5031833" u="1"/>
        <n v="5002944" u="1"/>
        <n v="5032445" u="1"/>
        <n v="5032294" u="1"/>
        <n v="5032496" u="1"/>
        <n v="5027636" u="1"/>
        <n v="5032502" u="1"/>
        <n v="5032456" u="1"/>
        <n v="5031895" u="1"/>
        <n v="5032130" u="1"/>
        <n v="5032323" u="1"/>
        <n v="5031986" u="1"/>
        <n v="5031857" u="1"/>
        <n v="5032460" u="1"/>
        <n v="5032252" u="1"/>
        <n v="5032098" u="1"/>
        <n v="5032153" u="1"/>
        <n v="5031679" u="1"/>
        <n v="5031775" u="1"/>
        <n v="5017898" u="1"/>
        <n v="5031710" u="1"/>
        <n v="5031738" u="1"/>
        <n v="5032417" u="1"/>
        <n v="5030861" u="1"/>
        <n v="5020688" u="1"/>
        <n v="5032113" u="1"/>
        <n v="5031933" u="1"/>
        <n v="5032213" u="1"/>
        <n v="5032322" u="1"/>
        <n v="5032529" u="1"/>
        <n v="5027356" u="1"/>
        <n v="5031858" u="1"/>
        <n v="5032233" u="1"/>
        <n v="5028358" u="1"/>
        <n v="5031672" u="1"/>
        <n v="5032412" u="1"/>
        <n v="5030651" u="1"/>
        <n v="5025992" u="1"/>
        <n v="5030196" u="1"/>
        <n v="5032002" u="1"/>
        <n v="5026953" u="1"/>
        <n v="5031019" u="1"/>
        <n v="5031308" u="1"/>
        <n v="5031023" u="1"/>
        <n v="5021344" u="1"/>
        <n v="5031676" u="1"/>
        <n v="5032256" u="1"/>
        <n v="5029354" u="1"/>
        <n v="5032433" u="1"/>
        <n v="5032331" u="1"/>
        <n v="5031131" u="1"/>
        <n v="5024627" u="1"/>
        <n v="5015303" u="1"/>
        <n v="5029573" u="1"/>
        <n v="5024122" u="1"/>
        <n v="5029189" u="1"/>
        <n v="5025062" u="1"/>
        <n v="5026167" u="1"/>
        <n v="5016440" u="1"/>
        <n v="5029178" u="1"/>
        <n v="5028057" u="1"/>
        <n v="5017987" u="1"/>
        <n v="5032199" u="1"/>
        <n v="5019785" u="1"/>
        <n v="5017886" u="1"/>
        <n v="5031047" u="1"/>
        <n v="5011742" u="1"/>
        <n v="5031636" u="1"/>
        <n v="5028507" u="1"/>
        <n v="5032332" u="1"/>
        <n v="5019076" u="1"/>
        <n v="5031118" u="1"/>
        <n v="5031747" u="1"/>
        <n v="5031537" u="1"/>
        <n v="5031523" u="1"/>
        <n v="5031639" u="1"/>
        <n v="5031542" u="1"/>
        <n v="5031576" u="1"/>
        <n v="5031641" u="1"/>
        <n v="5031642" u="1"/>
        <n v="5031614" u="1"/>
        <n v="5031580" u="1"/>
        <n v="5031718" u="1"/>
        <n v="5010216" u="1"/>
        <n v="5026194" u="1"/>
        <n v="5032126" u="1"/>
        <n v="5032458" u="1"/>
        <n v="5031677" u="1"/>
        <n v="5031752" u="1"/>
        <n v="5031908" u="1"/>
        <n v="5031946" u="1"/>
        <n v="5031806" u="1"/>
        <n v="5030805" u="1"/>
        <n v="5031729" u="1"/>
        <n v="5031333" u="1"/>
        <n v="5032459" u="1"/>
        <n v="5031771" u="1"/>
        <n v="5019478" u="1"/>
        <n v="5017763" u="1"/>
        <n v="5024797" u="1"/>
        <n v="5026593" u="1"/>
        <n v="5031872" u="1"/>
        <n v="5030070" u="1"/>
        <n v="5030254" u="1"/>
        <n v="5031943" u="1"/>
        <n v="5026302" u="1"/>
        <n v="5031842" u="1"/>
        <n v="5032161" u="1"/>
        <n v="5031892" u="1"/>
        <n v="5031920" u="1"/>
        <n v="5032071" u="1"/>
        <n v="5032415" u="1"/>
        <n v="5031948" u="1"/>
        <n v="5032147" u="1"/>
        <n v="5032001" u="1"/>
        <n v="5032170" u="1"/>
        <n v="5032045" u="1"/>
        <n v="5031985" u="1"/>
        <n v="5032321" u="1"/>
        <n v="5032027" u="1"/>
        <n v="5032059" u="1"/>
        <n v="5032135" u="1"/>
        <n v="5032056" u="1"/>
        <n v="5032263" u="1"/>
        <n v="5032060" u="1"/>
        <n v="5023574" u="1"/>
        <n v="5032137" u="1"/>
        <n v="5032167" u="1"/>
        <n v="5032168" u="1"/>
        <n v="5032119" u="1"/>
        <n v="5031817" u="1"/>
        <n v="5030247" u="1"/>
        <n v="5032204" u="1"/>
        <n v="5032261" u="1"/>
        <n v="5032216" u="1"/>
        <n v="5032188" u="1"/>
        <n v="5032190" u="1"/>
        <n v="5032195" u="1"/>
        <n v="5032348" u="1"/>
        <n v="5032392" u="1"/>
        <n v="5032395" u="1"/>
        <n v="5030457" u="1"/>
        <n v="5032418" u="1"/>
        <n v="5032396" u="1"/>
        <n v="5032399" u="1"/>
        <n v="5032355" u="1"/>
        <n v="5032356" u="1"/>
        <n v="5012285" u="1"/>
        <n v="5032526" u="1"/>
        <n v="5032491" u="1"/>
        <n v="5032500" u="1"/>
        <n v="5032439" u="1"/>
        <n v="5032443" u="1"/>
        <n v="5032505" u="1"/>
        <n v="5032515" u="1"/>
        <n v="5032516" u="1"/>
        <n v="5032525" u="1"/>
        <n v="5032533" u="1"/>
        <n v="5032370" u="1"/>
        <n v="5031085" u="1"/>
        <n v="5020196" u="1"/>
        <n v="5026675" u="1"/>
        <n v="5024893" u="1"/>
        <n v="5031797" u="1"/>
        <n v="5026053" u="1"/>
        <n v="5030506" u="1"/>
        <n v="5029700" u="1"/>
        <n v="5032457" u="1"/>
        <n v="5032244" u="1"/>
        <n v="5031997" u="1"/>
        <n v="5032495" u="1"/>
        <n v="5032403" u="1"/>
        <n v="5032414" u="1"/>
        <n v="5032340" u="1"/>
        <n v="5024233" u="1"/>
        <n v="5026420" u="1"/>
        <n v="5032461" u="1"/>
        <n v="5032406" u="1"/>
        <n v="5031901" u="1"/>
        <n v="5020760" u="1"/>
        <n v="5030216" u="1"/>
        <n v="5031630" u="1"/>
        <n v="5030313" u="1"/>
        <n v="5031774" u="1"/>
        <n v="5031749" u="1"/>
        <n v="5032463" u="1"/>
        <n v="5032509" u="1"/>
        <n v="5024575" u="1"/>
        <n v="5032535" u="1"/>
        <n v="5003343" u="1"/>
        <n v="5031956" u="1"/>
        <n v="5003471" u="1"/>
        <n v="5016928" u="1"/>
        <n v="5032382" u="1"/>
        <n v="5032287" u="1"/>
        <n v="5032241" u="1"/>
        <n v="5031712" u="1"/>
        <n v="5032407" u="1"/>
        <n v="5030237" u="1"/>
        <n v="5031896" u="1"/>
        <n v="5032048" u="1"/>
        <n v="5031883" u="1"/>
        <n v="5032288" u="1"/>
        <n v="5031930" u="1"/>
        <n v="5032041" u="1"/>
        <n v="5031893" u="1"/>
        <n v="5012721" u="1"/>
        <n v="5031706" u="1"/>
        <n v="5032217" u="1"/>
        <n v="5032329" u="1"/>
        <n v="5032501" u="1"/>
        <n v="5028082" u="1"/>
        <n v="5032298" u="1"/>
        <n v="5032299" u="1"/>
        <n v="5031881" u="1"/>
        <n v="5032177" u="1"/>
        <n v="5031631" u="1"/>
        <n v="5031643" u="1"/>
        <n v="5032350" u="1"/>
        <n v="5032016" u="1"/>
        <n v="5031782" u="1"/>
        <n v="5011866" u="1"/>
        <n v="5032326" u="1"/>
        <n v="5028307" u="1"/>
        <n v="5018669" u="1"/>
        <n v="5029884" u="1"/>
        <n v="5030387" u="1"/>
        <n v="5020750" u="1"/>
        <n v="5030013" u="1"/>
        <n v="5030349" u="1"/>
        <n v="5013839" u="1"/>
        <n v="5029807" u="1"/>
        <n v="5017837" u="1"/>
        <n v="5030910" u="1"/>
        <n v="5013945" u="1"/>
        <n v="5030112" u="1"/>
        <n v="5017902" u="1"/>
        <n v="5019374" u="1"/>
        <n v="5020811" u="1"/>
        <n v="5020654" u="1"/>
        <n v="5031475" u="1"/>
        <n v="5019372" u="1"/>
        <n v="5011269" u="1"/>
        <n v="5018092" u="1"/>
        <n v="5019801" u="1"/>
        <n v="5019990" u="1"/>
        <n v="5030604" u="1"/>
        <n v="5016113" u="1"/>
        <n v="5027650" u="1"/>
        <n v="5002552" u="1"/>
        <n v="5002733" u="1"/>
        <n v="5019603" u="1"/>
        <n v="5002956" u="1"/>
        <n v="5003429" u="1"/>
        <n v="5003551" u="1"/>
        <n v="5003830" u="1"/>
        <n v="5005600" u="1"/>
        <n v="5008096" u="1"/>
        <n v="5008911" u="1"/>
        <n v="5023890" u="1"/>
        <n v="5009064" u="1"/>
        <n v="5009558" u="1"/>
        <n v="5010341" u="1"/>
        <n v="5010484" u="1"/>
        <n v="5010520" u="1"/>
        <n v="5010571" u="1"/>
        <n v="5010782" u="1"/>
        <n v="5011424" u="1"/>
        <n v="5011455" u="1"/>
        <n v="5012076" u="1"/>
        <n v="5012428" u="1"/>
        <n v="5012680" u="1"/>
        <n v="5012886" u="1"/>
        <n v="5013236" u="1"/>
        <n v="5013643" u="1"/>
        <n v="5013707" u="1"/>
        <n v="5013832" u="1"/>
        <n v="5015189" u="1"/>
        <n v="5015784" u="1"/>
        <n v="5016223" u="1"/>
        <n v="5016659" u="1"/>
        <n v="5016716" u="1"/>
        <n v="5017110" u="1"/>
        <n v="5017132" u="1"/>
        <n v="5018268" u="1"/>
        <n v="5020283" u="1"/>
        <n v="5020561" u="1"/>
        <n v="5022213" u="1"/>
        <n v="5022363" u="1"/>
        <n v="5023456" u="1"/>
        <n v="5023683" u="1"/>
        <n v="5027451" u="1"/>
        <n v="5025108" u="1"/>
        <n v="5029718" u="1"/>
        <n v="5026810" u="1"/>
        <n v="5027135" u="1"/>
        <n v="5027932" u="1"/>
        <n v="5028140" u="1"/>
        <n v="5020047" u="1"/>
        <n v="5029256" u="1"/>
        <n v="5029395" u="1"/>
        <n v="5029851" u="1"/>
        <n v="5030508" u="1"/>
        <n v="5030386" u="1"/>
        <n v="5030392" u="1"/>
        <n v="5030630" u="1"/>
        <n v="5030739" u="1"/>
        <n v="5031070" u="1"/>
        <n v="5031123" u="1"/>
        <n v="5031255" u="1"/>
        <n v="5031263" u="1"/>
        <n v="5031426" u="1"/>
        <n v="5008998" u="1"/>
        <n v="5028790" u="1"/>
        <n v="5028974" u="1"/>
        <n v="5018540" u="1"/>
        <n v="5031521" u="1"/>
        <n v="5031525" u="1"/>
        <n v="5031527" u="1"/>
        <n v="5031528" u="1"/>
        <n v="5031530" u="1"/>
        <n v="5031573" u="1"/>
        <n v="5031577" u="1"/>
        <n v="5031708" u="1"/>
        <n v="5031711" u="1"/>
        <n v="5031551" u="1"/>
        <n v="5031552" u="1"/>
        <n v="5031560" u="1"/>
        <n v="5014968" u="1"/>
        <n v="5023962" u="1"/>
        <n v="5031615" u="1"/>
        <n v="5031645" u="1"/>
        <n v="5031574" u="1"/>
        <n v="5031579" u="1"/>
        <n v="5031591" u="1"/>
        <n v="5024734" u="1"/>
        <n v="5031599" u="1"/>
        <n v="5031600" u="1"/>
        <n v="5031682" u="1"/>
        <n v="5031601" u="1"/>
        <n v="5031608" u="1"/>
        <n v="5031646" u="1"/>
        <n v="5031624" u="1"/>
        <n v="5031626" u="1"/>
        <n v="5031627" u="1"/>
        <n v="5031640" u="1"/>
        <n v="5030382" u="1"/>
        <n v="5031666" u="1"/>
        <n v="5031669" u="1"/>
        <n v="5017043" u="1"/>
        <n v="5031671" u="1"/>
        <n v="5031673" u="1"/>
        <n v="5027366" u="1"/>
        <n v="5029677" u="1"/>
        <n v="5031739" u="1"/>
        <n v="5031740" u="1"/>
        <n v="5031742" u="1"/>
        <n v="5031743" u="1"/>
        <n v="5020115" u="1"/>
        <n v="5032246" u="1"/>
        <n v="5031687" u="1"/>
        <n v="5031780" u="1"/>
        <n v="5031693" u="1"/>
        <n v="5031791" u="1"/>
        <n v="5031724" u="1"/>
        <n v="5031945" u="1"/>
        <n v="5031737" u="1"/>
        <n v="5031755" u="1"/>
        <n v="5031781" u="1"/>
        <n v="5031783" u="1"/>
        <n v="5031784" u="1"/>
        <n v="5031788" u="1"/>
        <n v="5031789" u="1"/>
        <n v="5031764" u="1"/>
        <n v="5010969" u="1"/>
        <n v="5031768" u="1"/>
        <n v="5031769" u="1"/>
        <n v="5031841" u="1"/>
        <n v="5031772" u="1"/>
        <n v="5022798" u="1"/>
        <n v="5031828" u="1"/>
        <n v="5031777" u="1"/>
        <n v="5031790" u="1"/>
        <n v="5019645" u="1"/>
        <n v="5031912" u="1"/>
        <n v="5031917" u="1"/>
        <n v="5031934" u="1"/>
        <n v="5031936" u="1"/>
        <n v="5031808" u="1"/>
        <n v="5031823" u="1"/>
        <n v="5031826" u="1"/>
        <n v="5031835" u="1"/>
        <n v="5031938" u="1"/>
        <n v="5031939" u="1"/>
        <n v="5031837" u="1"/>
        <n v="5031954" u="1"/>
        <n v="5031903" u="1"/>
        <n v="5031904" u="1"/>
        <n v="5031877" u="1"/>
        <n v="5032007" u="1"/>
        <n v="5032008" u="1"/>
        <n v="5031894" u="1"/>
        <n v="5031957" u="1"/>
        <n v="5032141" u="1"/>
        <n v="5032142" u="1"/>
        <n v="5032143" u="1"/>
        <n v="5030559" u="1"/>
        <n v="5032013" u="1"/>
        <n v="5032019" u="1"/>
        <n v="5031979" u="1"/>
        <n v="5031991" u="1"/>
        <n v="5031995" u="1"/>
        <n v="5032148" u="1"/>
        <n v="5009021" u="1"/>
        <n v="5032247" u="1"/>
        <n v="5032176" u="1"/>
        <n v="5032154" u="1"/>
        <n v="5032005" u="1"/>
        <n v="5032158" u="1"/>
        <n v="5032025" u="1"/>
        <n v="5032297" u="1"/>
        <n v="5032079" u="1"/>
        <n v="5032139" u="1"/>
        <n v="5032038" u="1"/>
        <n v="5032049" u="1"/>
        <n v="5032062" u="1"/>
        <n v="5031286" u="1"/>
        <n v="5032077" u="1"/>
        <n v="5032224" u="1"/>
        <n v="5032089" u="1"/>
        <n v="5032090" u="1"/>
        <n v="5018251" u="1"/>
        <n v="5027109" u="1"/>
        <n v="5032166" u="1"/>
        <n v="5032179" u="1"/>
        <n v="5032207" u="1"/>
        <n v="5032118" u="1"/>
        <n v="5032243" u="1"/>
        <n v="5018256" u="1"/>
        <n v="5029388" u="1"/>
        <n v="5032150" u="1"/>
        <n v="5015020" u="1"/>
        <n v="5032438" u="1"/>
        <n v="5032203" u="1"/>
        <n v="5032255" u="1"/>
        <n v="5032258" u="1"/>
        <n v="5032260" u="1"/>
        <n v="5032211" u="1"/>
        <n v="5032184" u="1"/>
        <n v="5032186" u="1"/>
        <n v="5032342" u="1"/>
        <n v="5032248" u="1"/>
        <n v="5032249" u="1"/>
        <n v="5032272" u="1"/>
        <n v="5032226" u="1"/>
        <n v="5032227" u="1"/>
        <n v="5032228" u="1"/>
        <n v="5032237" u="1"/>
        <n v="5032240" u="1"/>
        <n v="5032300" u="1"/>
        <n v="5032302" u="1"/>
        <n v="5032250" u="1"/>
        <n v="5032389" u="1"/>
        <n v="5032390" u="1"/>
        <n v="5032401" u="1"/>
        <n v="5032274" u="1"/>
        <n v="5032313" u="1"/>
        <n v="5032314" u="1"/>
        <n v="5032315" u="1"/>
        <n v="5032325" u="1"/>
        <n v="5032286" u="1"/>
        <n v="5032335" u="1"/>
        <n v="5032466" u="1"/>
        <n v="5012521" u="1"/>
        <n v="5032375" u="1"/>
        <n v="5032378" u="1"/>
        <n v="5030936" u="1"/>
        <n v="5032504" u="1"/>
        <n v="5032507" u="1"/>
        <n v="5032508" u="1"/>
        <n v="5032386" u="1"/>
        <n v="5032452" u="1"/>
        <n v="5031487" u="1"/>
        <n v="5032427" u="1"/>
        <n v="5032127" u="1"/>
        <n v="5032490" u="1"/>
        <n v="5032440" u="1"/>
        <n v="5032539" u="1"/>
        <n v="5032517" u="1"/>
        <n v="5032518" u="1"/>
        <n v="5032519" u="1"/>
        <n v="5032520" u="1"/>
        <n v="5030420" u="1"/>
        <n v="5030421" u="1"/>
        <n v="5030836" u="1"/>
        <n v="5030422" u="1"/>
        <n v="5031198" u="1"/>
        <n v="5031179" u="1"/>
        <n v="5030417" u="1"/>
        <n v="5030490" u="1"/>
        <n v="5023644" u="1"/>
        <n v="5030424" u="1"/>
        <n v="5030426" u="1"/>
        <n v="5030425" u="1"/>
        <n v="5030450" u="1"/>
        <n v="5030451" u="1"/>
        <n v="5030452" u="1"/>
        <n v="5030429" u="1"/>
        <n v="5030455" u="1"/>
        <n v="5030586" u="1"/>
        <n v="5030432" u="1"/>
        <n v="5030430" u="1"/>
        <n v="5030427" u="1"/>
        <n v="5030496" u="1"/>
        <n v="5031245" u="1"/>
        <n v="5031079" u="1"/>
        <n v="5030745" u="1"/>
        <n v="5031073" u="1"/>
        <n v="5030767" u="1"/>
        <n v="5031243" u="1"/>
        <n v="5030514" u="1"/>
        <n v="5030519" u="1"/>
        <n v="5031107" u="1"/>
        <n v="5030434" u="1"/>
        <n v="5023829" u="1"/>
        <n v="5027816" u="1"/>
        <n v="5030534" u="1"/>
        <n v="5030682" u="1"/>
        <n v="5030946" u="1"/>
        <n v="5030862" u="1"/>
        <n v="5030438" u="1"/>
        <n v="5031384" u="1"/>
        <n v="5030568" u="1"/>
        <n v="5030442" u="1"/>
        <n v="5030479" u="1"/>
        <n v="5030755" u="1"/>
        <n v="5030431" u="1"/>
        <n v="5029698" u="1"/>
        <n v="5031435" u="1"/>
        <n v="5030444" u="1"/>
        <n v="5030848" u="1"/>
        <n v="5030712" u="1"/>
        <n v="5030446" u="1"/>
        <n v="5031483" u="1"/>
        <n v="5030847" u="1"/>
        <n v="5030448" u="1"/>
        <n v="5030653" u="1"/>
        <n v="5030543" u="1"/>
        <n v="5030474" u="1"/>
        <n v="5031270" u="1"/>
        <n v="5030816" u="1"/>
        <n v="5031133" u="1"/>
        <n v="5031024" u="1"/>
        <n v="5030876" u="1"/>
        <n v="5031514" u="1"/>
        <n v="5030875" u="1"/>
        <n v="5030829" u="1"/>
        <n v="5014637" u="1"/>
        <n v="5019973" u="1"/>
        <n v="5028078" u="1"/>
        <n v="5030659" u="1"/>
        <n v="5022447" u="1"/>
        <n v="5031162" u="1"/>
        <n v="5013633" u="1"/>
        <n v="5031232" u="1"/>
        <n v="5028629" u="1"/>
        <n v="5029686" u="1"/>
        <n v="5031146" u="1"/>
        <n v="5031300" u="1"/>
        <n v="5030481" u="1"/>
        <n v="5030717" u="1"/>
        <n v="5030486" u="1"/>
        <n v="5030521" u="1"/>
        <n v="5030487" u="1"/>
        <n v="5030488" u="1"/>
        <n v="5031240" u="1"/>
        <n v="5031410" u="1"/>
        <n v="5031433" u="1"/>
        <n v="5030780" u="1"/>
        <n v="5030595" u="1"/>
        <n v="5030824" u="1"/>
        <n v="5030467" u="1"/>
        <n v="5030721" u="1"/>
        <n v="5030752" u="1"/>
        <n v="5030460" u="1"/>
        <n v="5030480" u="1"/>
        <n v="5031330" u="1"/>
        <n v="5030531" u="1"/>
        <n v="5030763" u="1"/>
        <n v="5031053" u="1"/>
        <n v="5030839" u="1"/>
        <n v="5030822" u="1"/>
        <n v="5030515" u="1"/>
        <n v="5031397" u="1"/>
        <n v="5030522" u="1"/>
        <n v="5031349" u="1"/>
        <n v="5030463" u="1"/>
        <n v="5031013" u="1"/>
        <n v="5030644" u="1"/>
        <n v="5030709" u="1"/>
        <n v="5030773" u="1"/>
        <n v="5031042" u="1"/>
        <n v="5030886" u="1"/>
        <n v="5030468" u="1"/>
        <n v="5030469" u="1"/>
        <n v="5030470" u="1"/>
        <n v="5030471" u="1"/>
        <n v="5031054" u="1"/>
        <n v="5030473" u="1"/>
        <n v="5031197" u="1"/>
        <n v="5030817" u="1"/>
        <n v="5030544" u="1"/>
        <n v="5030658" u="1"/>
        <n v="5030794" u="1"/>
        <n v="5030823" u="1"/>
        <n v="5030647" u="1"/>
        <n v="5030648" u="1"/>
        <n v="5031021" u="1"/>
        <n v="5031096" u="1"/>
        <n v="5030545" u="1"/>
        <n v="5031350" u="1"/>
        <n v="5030546" u="1"/>
        <n v="5030761" u="1"/>
        <n v="5031335" u="1"/>
        <n v="5030551" u="1"/>
        <n v="5030706" u="1"/>
        <n v="5030697" u="1"/>
        <n v="5030649" u="1"/>
        <n v="5030591" u="1"/>
        <n v="5030830" u="1"/>
        <n v="5031014" u="1"/>
        <n v="5031392" u="1"/>
        <n v="5030621" u="1"/>
        <n v="5030563" u="1"/>
        <n v="5015339" u="1"/>
        <n v="5030646" u="1"/>
        <n v="5031391" u="1"/>
        <n v="5031041" u="1"/>
        <n v="5031259" u="1"/>
        <n v="5031012" u="1"/>
        <n v="5031341" u="1"/>
        <n v="5030645" u="1"/>
        <n v="5031549" u="1"/>
        <n v="5030695" u="1"/>
        <n v="5030443" u="1"/>
        <n v="5031423" u="1"/>
        <n v="5030493" u="1"/>
        <n v="5030603" u="1"/>
        <n v="5030494" u="1"/>
        <n v="5030691" u="1"/>
        <n v="5031032" u="1"/>
        <n v="5019408" u="1"/>
        <n v="5031438" u="1"/>
        <n v="5030716" u="1"/>
        <n v="5030684" u="1"/>
        <n v="5030692" u="1"/>
        <n v="5030498" u="1"/>
        <n v="5030905" u="1"/>
        <n v="5031087" u="1"/>
        <n v="5030620" u="1"/>
        <n v="5030840" u="1"/>
        <n v="5030625" u="1"/>
        <n v="5031319" u="1"/>
        <n v="5030572" u="1"/>
        <n v="5030937" u="1"/>
        <n v="5030532" u="1"/>
        <n v="5031517" u="1"/>
        <n v="5030935" u="1"/>
        <n v="5030535" u="1"/>
        <n v="5031220" u="1"/>
        <n v="5030538" u="1"/>
        <n v="5030539" u="1"/>
        <n v="5031052" u="1"/>
        <n v="5030482" u="1"/>
        <n v="5030484" u="1"/>
        <n v="5030485" u="1"/>
        <n v="5026019" u="1"/>
        <n v="5030472" u="1"/>
        <n v="5030491" u="1"/>
        <n v="5030492" u="1"/>
        <n v="5030524" u="1"/>
        <n v="5031329" u="1"/>
        <n v="5030520" u="1"/>
        <n v="5030529" u="1"/>
        <n v="5031366" u="1"/>
        <n v="5030623" u="1"/>
        <n v="5030537" u="1"/>
        <n v="5030540" u="1"/>
        <n v="5023555" u="1"/>
        <n v="5031518" u="1"/>
        <n v="5030440" u="1"/>
        <n v="5031508" u="1"/>
        <n v="5030921" u="1"/>
        <n v="5031177" u="1"/>
        <n v="5031547" u="1"/>
        <n v="5030650" u="1"/>
        <n v="5030626" u="1"/>
        <n v="5030793" u="1"/>
        <n v="5030652" u="1"/>
        <n v="5030458" u="1"/>
        <n v="5031113" u="1"/>
        <n v="5030525" u="1"/>
        <n v="5030889" u="1"/>
        <n v="5030657" u="1"/>
        <n v="5030632" u="1"/>
        <n v="5030796" u="1"/>
        <n v="5030977" u="1"/>
        <n v="5030668" u="1"/>
        <n v="5030881" u="1"/>
        <n v="5030549" u="1"/>
        <n v="5030550" u="1"/>
        <n v="5030703" u="1"/>
        <n v="5031168" u="1"/>
        <n v="5030615" u="1"/>
        <n v="5030553" u="1"/>
        <n v="5030590" u="1"/>
        <n v="5030593" u="1"/>
        <n v="5031328" u="1"/>
        <n v="5030764" u="1"/>
        <n v="5030556" u="1"/>
        <n v="5031269" u="1"/>
        <n v="5030244" u="1"/>
        <n v="5031199" u="1"/>
        <n v="5030959" u="1"/>
        <n v="5030598" u="1"/>
        <n v="5030599" u="1"/>
        <n v="5031434" u="1"/>
        <n v="5030602" u="1"/>
        <n v="5031408" u="1"/>
        <n v="5031207" u="1"/>
        <n v="5030562" u="1"/>
        <n v="5030613" u="1"/>
        <n v="5030614" u="1"/>
        <n v="5030618" u="1"/>
        <n v="5031398" u="1"/>
        <n v="5030670" u="1"/>
        <n v="5031158" u="1"/>
        <n v="5031161" u="1"/>
        <n v="5030547" u="1"/>
        <n v="5030548" u="1"/>
        <n v="5030642" u="1"/>
        <n v="5030558" u="1"/>
        <n v="5031289" u="1"/>
        <n v="5031505" u="1"/>
        <n v="5030560" u="1"/>
        <n v="5030854" u="1"/>
        <n v="5030909" u="1"/>
      </sharedItems>
    </cacheField>
    <cacheField name="Cod. Cliente" numFmtId="4"/>
    <cacheField name="Cliente" numFmtId="4"/>
    <cacheField name="Doc. Cargo" numFmtId="4"/>
    <cacheField name="Fecha Cargo" numFmtId="177"/>
    <cacheField name="Valor Pagado" numFmtId="4"/>
    <cacheField name="Vendedor" numFmtId="4">
      <sharedItems containsNumber="1" containsInteger="1" containsMixedTypes="1" count="8">
        <s v="ANDREA MARQUEZ"/>
        <s v="ANGEL MOTA RODRIGUEZ "/>
        <s v="DIEGO  GUERRERO"/>
        <s v="MARIANGELY CISNEROS"/>
        <s v="FRANCISCO PEREZ"/>
        <s v="AUGUSTO RUBIO"/>
        <s v="FREDDY BENITO ROBLES VASQUEZ"/>
        <n v="1" u="1"/>
      </sharedItems>
    </cacheField>
    <cacheField name="Fecha Aplicacion" numFmtId="177"/>
    <cacheField name="Fecha Cargo S" numFmtId="185"/>
    <cacheField name="Fecha Aplicación S" numFmtId="185"/>
    <cacheField name="Dias de Credito" numFmtId="1"/>
    <cacheField name="Tipo" numFmtId="1"/>
    <cacheField name="Dias al pago" numFmtId="1"/>
    <cacheField name="Dias pasado" numFmtId="1"/>
    <cacheField name="% aplicar" numFmtId="1"/>
    <cacheField name="Mes" numFmtId="0"/>
    <cacheField name="Papel" numFmtId="0"/>
    <cacheField name="% A pagar Vendedor" numFmtId="2"/>
    <cacheField name="% A pagar Gerente" numFmtId="0"/>
    <cacheField name="Vencido" numFmtId="0"/>
    <cacheField name="Pago Comision" numFmtId="2"/>
    <cacheField name="Pago Gerente" numFmtId="2"/>
    <cacheField name="Columna1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8">
  <r>
    <s v="USDT $ "/>
    <x v="0"/>
    <s v="J501638799"/>
    <s v="INVERSIONES ARTHA TECHNOLOGY, C.A"/>
    <s v="FCLIE/2026/02137"/>
    <d v="2026-06-23T00:00:00"/>
    <n v="401.75"/>
    <x v="0"/>
    <d v="2026-07-01T00:00:00"/>
    <d v="2026-06-23T00:00:00"/>
    <d v="2026-07-01T00:00:00"/>
    <s v="15"/>
    <s v="Credito"/>
    <n v="8"/>
    <n v="-7"/>
    <n v="100"/>
    <n v="1"/>
    <n v="0"/>
    <n v="1"/>
    <n v="0.005"/>
    <n v="1"/>
    <n v="2.00875"/>
    <n v="2.00875"/>
    <m/>
  </r>
  <r>
    <s v="USDT $ "/>
    <x v="1"/>
    <s v="J315051435"/>
    <s v="KAMAL CYBER &amp; SERVICE, C.A"/>
    <s v="FCLIE/2026/01733"/>
    <d v="2026-06-08T00:00:00"/>
    <n v="2507.18"/>
    <x v="1"/>
    <d v="2026-07-01T00:00:00"/>
    <d v="2026-06-08T00:00:00"/>
    <d v="2026-07-01T00:00:00"/>
    <s v="15"/>
    <s v="Credito"/>
    <n v="23"/>
    <n v="8"/>
    <n v="100"/>
    <n v="1"/>
    <n v="0"/>
    <n v="1"/>
    <n v="0.005"/>
    <n v="1"/>
    <n v="25.0718"/>
    <n v="12.5359"/>
    <m/>
  </r>
  <r>
    <s v="USDT $ "/>
    <x v="1"/>
    <s v="J315051435"/>
    <s v="KAMAL CYBER &amp; SERVICE, C.A"/>
    <s v="FCLIE/2026/01734"/>
    <d v="2026-06-08T00:00:00"/>
    <n v="1562.82"/>
    <x v="1"/>
    <d v="2026-07-01T00:00:00"/>
    <d v="2026-06-08T00:00:00"/>
    <d v="2026-07-01T00:00:00"/>
    <s v="15"/>
    <s v="Credito"/>
    <n v="23"/>
    <n v="8"/>
    <n v="100"/>
    <n v="1"/>
    <n v="0"/>
    <n v="1"/>
    <n v="0.005"/>
    <n v="1"/>
    <n v="15.6282"/>
    <n v="7.8141"/>
    <m/>
  </r>
  <r>
    <s v="USDT $ "/>
    <x v="2"/>
    <s v="J508004841"/>
    <s v="GRUPO NOVA 2025, C.A"/>
    <s v="FCLIE/2026/02028"/>
    <d v="2026-06-18T00:00:00"/>
    <n v="3558"/>
    <x v="2"/>
    <d v="2026-07-01T00:00:00"/>
    <d v="2026-06-18T00:00:00"/>
    <d v="2026-07-01T00:00:00"/>
    <s v="7"/>
    <s v="Credito"/>
    <n v="13"/>
    <n v="6"/>
    <n v="100"/>
    <n v="1"/>
    <n v="0"/>
    <n v="1.25"/>
    <n v="0.005"/>
    <n v="1"/>
    <n v="44.475"/>
    <n v="17.79"/>
    <m/>
  </r>
  <r>
    <s v="USDT $ "/>
    <x v="3"/>
    <s v="J505605739"/>
    <s v="ALGE SOLUTIONS 2024, C.A."/>
    <s v="FCLIE/2026/02209"/>
    <d v="2026-07-01T00:00:00"/>
    <n v="1616.7"/>
    <x v="3"/>
    <d v="2026-07-01T00:00:00"/>
    <d v="2026-07-01T00:00:00"/>
    <d v="2026-07-01T00:00:00"/>
    <n v="0"/>
    <s v="Contado"/>
    <n v="0"/>
    <n v="0"/>
    <n v="100"/>
    <n v="0"/>
    <n v="0"/>
    <n v="1"/>
    <n v="0.005"/>
    <n v="1"/>
    <n v="16.167"/>
    <n v="8.0835"/>
    <m/>
  </r>
  <r>
    <s v="USDT $ "/>
    <x v="4"/>
    <s v="J507010872"/>
    <s v="EMPRENDIMIENTO KIMBERLYN MENDEZ"/>
    <s v="FCLIE/2026/02205"/>
    <d v="2026-07-01T00:00:00"/>
    <n v="232.95"/>
    <x v="4"/>
    <d v="2026-07-01T00:00:00"/>
    <d v="2026-07-01T00:00:00"/>
    <d v="2026-07-01T00:00:00"/>
    <n v="0"/>
    <s v="Contado"/>
    <n v="0"/>
    <n v="0"/>
    <n v="100"/>
    <n v="0"/>
    <n v="0"/>
    <n v="1.25"/>
    <n v="0.005"/>
    <n v="1"/>
    <n v="2.911875"/>
    <n v="1.16475"/>
    <m/>
  </r>
  <r>
    <s v="USDT $ "/>
    <x v="5"/>
    <s v="J296651566"/>
    <s v="ADVANTAGE TECHNOLOGY, C.A"/>
    <s v="FCLIE/2026/02208"/>
    <d v="2026-07-01T00:00:00"/>
    <n v="460"/>
    <x v="0"/>
    <d v="2026-07-01T00:00:00"/>
    <d v="2026-07-01T00:00:00"/>
    <d v="2026-07-01T00:00:00"/>
    <n v="0"/>
    <s v="Contado"/>
    <n v="0"/>
    <n v="0"/>
    <n v="100"/>
    <n v="0"/>
    <n v="0"/>
    <n v="1.25"/>
    <n v="0.005"/>
    <n v="1"/>
    <n v="5.75"/>
    <n v="2.3"/>
    <m/>
  </r>
  <r>
    <s v="Caja Principal"/>
    <x v="6"/>
    <s v="J503445475"/>
    <s v="SOAL T COMPUTER, C.A."/>
    <s v="FCLIE/2026/00181"/>
    <d v="2026-03-19T00:00:00"/>
    <n v="30"/>
    <x v="1"/>
    <d v="2026-07-01T00:00:00"/>
    <d v="2026-03-19T00:00:00"/>
    <d v="2026-07-01T00:00:00"/>
    <n v="21"/>
    <s v="Credito"/>
    <n v="104"/>
    <n v="83"/>
    <n v="0"/>
    <n v="0"/>
    <n v="0"/>
    <n v="0"/>
    <n v="0.005"/>
    <n v="0"/>
    <n v="0"/>
    <n v="0.15"/>
    <m/>
  </r>
  <r>
    <s v="USDT $ "/>
    <x v="7"/>
    <s v="J408660180"/>
    <s v="ZONA TECH, C.A"/>
    <s v="FCLIE/2026/01320"/>
    <d v="2026-05-22T00:00:00"/>
    <n v="18082.5"/>
    <x v="0"/>
    <d v="2026-07-01T00:00:00"/>
    <d v="2026-05-22T00:00:00"/>
    <d v="2026-07-01T00:00:00"/>
    <s v="30"/>
    <s v="Credito"/>
    <n v="40"/>
    <n v="10"/>
    <n v="100"/>
    <n v="2"/>
    <n v="0"/>
    <n v="1"/>
    <n v="0.005"/>
    <n v="1"/>
    <n v="180.825"/>
    <n v="90.4125"/>
    <m/>
  </r>
  <r>
    <s v="USDT $ "/>
    <x v="8"/>
    <s v="J308792730"/>
    <s v="CORPORACION EMINENT PC, C. A."/>
    <s v="FCLIE/2026/02212"/>
    <d v="2026-07-01T00:00:00"/>
    <n v="2500"/>
    <x v="1"/>
    <d v="2026-07-01T00:00:00"/>
    <d v="2026-07-01T00:00:00"/>
    <d v="2026-07-01T00:00:00"/>
    <n v="0"/>
    <s v="Contado"/>
    <n v="0"/>
    <n v="0"/>
    <n v="100"/>
    <n v="0"/>
    <n v="0"/>
    <n v="1"/>
    <n v="0.005"/>
    <n v="1"/>
    <n v="25"/>
    <n v="12.5"/>
    <m/>
  </r>
  <r>
    <s v="Caja Principal"/>
    <x v="9"/>
    <s v="J504330027"/>
    <s v="COMPUTER BUY 7"/>
    <s v="FCLIE/2026/02213"/>
    <d v="2026-07-01T00:00:00"/>
    <n v="860"/>
    <x v="0"/>
    <d v="2026-07-01T00:00:00"/>
    <d v="2026-07-01T00:00:00"/>
    <d v="2026-07-01T00:00:00"/>
    <n v="0"/>
    <s v="Contado"/>
    <n v="0"/>
    <n v="0"/>
    <n v="100"/>
    <n v="0"/>
    <n v="0"/>
    <n v="1.25"/>
    <n v="0.005"/>
    <n v="1"/>
    <n v="10.75"/>
    <n v="4.3"/>
    <m/>
  </r>
  <r>
    <s v="Banco del Caribe  BS"/>
    <x v="10"/>
    <s v="J504330027"/>
    <s v="COMPUTER BUY 7"/>
    <s v="FCLIE/2026/02213"/>
    <d v="2026-07-01T00:00:00"/>
    <n v="2"/>
    <x v="0"/>
    <d v="2026-07-01T00:00:00"/>
    <d v="2026-07-01T00:00:00"/>
    <d v="2026-07-01T00:00:00"/>
    <n v="0"/>
    <s v="Contado"/>
    <n v="0"/>
    <n v="0"/>
    <n v="100"/>
    <n v="0"/>
    <n v="0"/>
    <n v="1.25"/>
    <n v="0.005"/>
    <n v="1"/>
    <n v="0.025"/>
    <n v="0.01"/>
    <m/>
  </r>
  <r>
    <s v="Caja Principal"/>
    <x v="11"/>
    <s v="J401637051"/>
    <s v="CENTRO TECNOLOGICO CHACAO, C.A."/>
    <s v="FCLIE/2026/01545"/>
    <d v="2026-06-02T00:00:00"/>
    <n v="571.26"/>
    <x v="2"/>
    <d v="2026-07-01T00:00:00"/>
    <d v="2026-06-02T00:00:00"/>
    <d v="2026-07-01T00:00:00"/>
    <s v="7"/>
    <s v="Credito"/>
    <n v="29"/>
    <n v="22"/>
    <n v="50"/>
    <n v="1"/>
    <n v="0"/>
    <n v="1.25"/>
    <n v="0.005"/>
    <n v="1"/>
    <n v="3.570375"/>
    <n v="2.8563"/>
    <m/>
  </r>
  <r>
    <s v="USDT $ "/>
    <x v="12"/>
    <s v="V140412747"/>
    <s v="JUAN CARLOS ACOSTA BRACAMONTE "/>
    <s v="FCLIE/2026/01085"/>
    <d v="2026-05-13T00:00:00"/>
    <n v="521"/>
    <x v="0"/>
    <d v="2026-07-01T00:00:00"/>
    <d v="2026-05-13T00:00:00"/>
    <d v="2026-07-01T00:00:00"/>
    <s v="15"/>
    <s v="Credito"/>
    <n v="49"/>
    <n v="34"/>
    <n v="30"/>
    <n v="2"/>
    <n v="0"/>
    <n v="1"/>
    <n v="0.005"/>
    <n v="1"/>
    <n v="1.563"/>
    <n v="2.605"/>
    <m/>
  </r>
  <r>
    <s v="USDT $ "/>
    <x v="12"/>
    <s v="V140412747"/>
    <s v="JUAN CARLOS ACOSTA BRACAMONTE "/>
    <s v="FCLIE/2026/01112"/>
    <d v="2026-05-14T00:00:00"/>
    <n v="2490"/>
    <x v="0"/>
    <d v="2026-07-01T00:00:00"/>
    <d v="2026-05-14T00:00:00"/>
    <d v="2026-07-01T00:00:00"/>
    <n v="30"/>
    <s v="Credito"/>
    <n v="48"/>
    <n v="18"/>
    <n v="50"/>
    <n v="2"/>
    <n v="0"/>
    <n v="1"/>
    <n v="0.005"/>
    <n v="1"/>
    <n v="12.45"/>
    <n v="12.45"/>
    <m/>
  </r>
  <r>
    <s v="USDT $ "/>
    <x v="12"/>
    <s v="V140412747"/>
    <s v="JUAN CARLOS ACOSTA BRACAMONTE "/>
    <s v="FCLIE/2026/01225"/>
    <d v="2026-05-19T00:00:00"/>
    <n v="880"/>
    <x v="0"/>
    <d v="2026-07-01T00:00:00"/>
    <d v="2026-05-19T00:00:00"/>
    <d v="2026-07-01T00:00:00"/>
    <s v="15"/>
    <s v="Credito"/>
    <n v="43"/>
    <n v="28"/>
    <n v="50"/>
    <n v="2"/>
    <n v="0"/>
    <n v="1"/>
    <n v="0.005"/>
    <n v="1"/>
    <n v="4.4"/>
    <n v="4.4"/>
    <m/>
  </r>
  <r>
    <s v="USDT $ "/>
    <x v="13"/>
    <s v="J503305576"/>
    <s v="SIGMA TIENDAS JC FP, C.A."/>
    <s v="FCLIE/2026/01297"/>
    <d v="2026-05-21T00:00:00"/>
    <n v="258"/>
    <x v="0"/>
    <d v="2026-07-01T00:00:00"/>
    <d v="2026-05-21T00:00:00"/>
    <d v="2026-07-01T00:00:00"/>
    <s v="15"/>
    <s v="Credito"/>
    <n v="41"/>
    <n v="26"/>
    <n v="50"/>
    <n v="2"/>
    <n v="0"/>
    <n v="1"/>
    <n v="0.005"/>
    <n v="1"/>
    <n v="1.29"/>
    <n v="1.29"/>
    <m/>
  </r>
  <r>
    <s v="USDT $ "/>
    <x v="13"/>
    <s v="J503305576"/>
    <s v="SIGMA TIENDAS JC FP, C.A."/>
    <s v="FCLIE/2026/01452"/>
    <d v="2026-05-28T00:00:00"/>
    <n v="997"/>
    <x v="0"/>
    <d v="2026-07-01T00:00:00"/>
    <d v="2026-05-28T00:00:00"/>
    <d v="2026-07-01T00:00:00"/>
    <s v="15"/>
    <s v="Credito"/>
    <n v="34"/>
    <n v="19"/>
    <n v="50"/>
    <n v="2"/>
    <n v="0"/>
    <n v="1"/>
    <n v="0.005"/>
    <n v="1"/>
    <n v="4.985"/>
    <n v="4.985"/>
    <m/>
  </r>
  <r>
    <s v="USDT $ "/>
    <x v="13"/>
    <s v="J503305576"/>
    <s v="SIGMA TIENDAS JC FP, C.A."/>
    <s v="FCLIE/2026/01562"/>
    <d v="2026-06-03T00:00:00"/>
    <n v="199.9"/>
    <x v="0"/>
    <d v="2026-07-01T00:00:00"/>
    <d v="2026-06-03T00:00:00"/>
    <d v="2026-07-01T00:00:00"/>
    <s v="15"/>
    <s v="Credito"/>
    <n v="28"/>
    <n v="13"/>
    <n v="100"/>
    <n v="1"/>
    <n v="0"/>
    <n v="1"/>
    <n v="0.005"/>
    <n v="1"/>
    <n v="1.999"/>
    <n v="0.9995"/>
    <m/>
  </r>
  <r>
    <s v="USDT $ "/>
    <x v="13"/>
    <s v="J503305576"/>
    <s v="SIGMA TIENDAS JC FP, C.A."/>
    <s v="FCLIE/2026/01568"/>
    <d v="2026-06-03T00:00:00"/>
    <n v="174.5"/>
    <x v="0"/>
    <d v="2026-07-01T00:00:00"/>
    <d v="2026-06-03T00:00:00"/>
    <d v="2026-07-01T00:00:00"/>
    <s v="15"/>
    <s v="Credito"/>
    <n v="28"/>
    <n v="13"/>
    <n v="100"/>
    <n v="1"/>
    <n v="0"/>
    <n v="1"/>
    <n v="0.005"/>
    <n v="1"/>
    <n v="1.745"/>
    <n v="0.8725"/>
    <m/>
  </r>
  <r>
    <s v="USDT $ "/>
    <x v="14"/>
    <s v="J407920561"/>
    <s v="CERRO VERDE DIGITAL, C.A."/>
    <s v="FCLIE/2026/02215"/>
    <d v="2026-07-01T00:00:00"/>
    <n v="805"/>
    <x v="3"/>
    <d v="2026-07-01T00:00:00"/>
    <d v="2026-07-01T00:00:00"/>
    <d v="2026-07-01T00:00:00"/>
    <n v="0"/>
    <s v="Contado"/>
    <n v="0"/>
    <n v="0"/>
    <n v="100"/>
    <n v="0"/>
    <n v="0"/>
    <n v="1"/>
    <n v="0.005"/>
    <n v="1"/>
    <n v="8.05"/>
    <n v="4.025"/>
    <m/>
  </r>
  <r>
    <s v="USDT $ "/>
    <x v="15"/>
    <s v="J503403853"/>
    <s v="TINTA`S LARA 2022, C.A"/>
    <s v="FCLIE/2026/01729"/>
    <d v="2026-06-08T00:00:00"/>
    <n v="1800"/>
    <x v="5"/>
    <d v="2026-07-01T00:00:00"/>
    <d v="2026-06-08T00:00:00"/>
    <d v="2026-07-01T00:00:00"/>
    <s v="15"/>
    <s v="Credito"/>
    <n v="23"/>
    <n v="8"/>
    <n v="100"/>
    <n v="1"/>
    <n v="0"/>
    <n v="1"/>
    <n v="0.005"/>
    <n v="1"/>
    <n v="18"/>
    <n v="9"/>
    <m/>
  </r>
  <r>
    <s v="Caja Principal"/>
    <x v="16"/>
    <s v="J500487720"/>
    <s v="MG TECHNOLOGY, C.A"/>
    <s v="FCLIE/2026/02216"/>
    <d v="2026-07-01T00:00:00"/>
    <n v="449.61"/>
    <x v="0"/>
    <d v="2026-07-01T00:00:00"/>
    <d v="2026-07-01T00:00:00"/>
    <d v="2026-07-01T00:00:00"/>
    <n v="0"/>
    <s v="Contado"/>
    <n v="0"/>
    <n v="0"/>
    <n v="100"/>
    <n v="0"/>
    <n v="0"/>
    <n v="1.25"/>
    <n v="0.005"/>
    <n v="1"/>
    <n v="5.620125"/>
    <n v="2.24805"/>
    <m/>
  </r>
  <r>
    <s v="Banesco BS. 3049"/>
    <x v="17"/>
    <s v="J507010872"/>
    <s v="EMPRENDIMIENTO KIMBERLYN MENDEZ"/>
    <s v="FCLIE/2026/02217"/>
    <d v="2026-07-01T00:00:00"/>
    <n v="634.25"/>
    <x v="4"/>
    <d v="2026-07-01T00:00:00"/>
    <d v="2026-07-01T00:00:00"/>
    <d v="2026-07-01T00:00:00"/>
    <n v="30"/>
    <s v="Credito"/>
    <n v="0"/>
    <n v="-30"/>
    <n v="100"/>
    <n v="0"/>
    <n v="0"/>
    <n v="1.25"/>
    <n v="0.005"/>
    <n v="1"/>
    <n v="7.928125"/>
    <n v="3.17125"/>
    <m/>
  </r>
  <r>
    <s v="USDT $ "/>
    <x v="18"/>
    <s v="J299174564"/>
    <s v="JANSCAR SUPPLY, C. A."/>
    <s v="FCLIE/2026/02148"/>
    <d v="2026-06-23T00:00:00"/>
    <n v="326"/>
    <x v="1"/>
    <d v="2026-07-01T00:00:00"/>
    <d v="2026-06-23T00:00:00"/>
    <d v="2026-07-01T00:00:00"/>
    <s v="15"/>
    <s v="Credito"/>
    <n v="8"/>
    <n v="-7"/>
    <n v="100"/>
    <n v="1"/>
    <n v="0"/>
    <n v="1"/>
    <n v="0.005"/>
    <n v="1"/>
    <n v="3.26"/>
    <n v="1.63"/>
    <m/>
  </r>
  <r>
    <s v="USDT $ "/>
    <x v="18"/>
    <s v="J299174564"/>
    <s v="JANSCAR SUPPLY, C. A."/>
    <s v="FCLIE/2026/01460"/>
    <d v="2026-05-28T00:00:00"/>
    <n v="50.88"/>
    <x v="1"/>
    <d v="2026-07-01T00:00:00"/>
    <d v="2026-05-28T00:00:00"/>
    <d v="2026-07-01T00:00:00"/>
    <s v="15"/>
    <s v="Credito"/>
    <n v="34"/>
    <n v="19"/>
    <n v="50"/>
    <n v="1"/>
    <n v="0"/>
    <n v="1"/>
    <n v="0.005"/>
    <n v="1"/>
    <n v="0.2544"/>
    <n v="0.2544"/>
    <m/>
  </r>
  <r>
    <s v="USDT $ "/>
    <x v="19"/>
    <s v="J306148973"/>
    <s v="EQUIP OFFICE COMPUTERS, C.A."/>
    <s v="FCLIE/2026/01740"/>
    <d v="2026-06-09T00:00:00"/>
    <n v="2110.8"/>
    <x v="1"/>
    <d v="2026-07-01T00:00:00"/>
    <d v="2026-06-09T00:00:00"/>
    <d v="2026-07-01T00:00:00"/>
    <s v="21"/>
    <s v="Credito"/>
    <n v="22"/>
    <n v="1"/>
    <n v="100"/>
    <n v="1"/>
    <n v="0"/>
    <n v="1"/>
    <n v="0.005"/>
    <n v="1"/>
    <n v="21.108"/>
    <n v="10.554"/>
    <m/>
  </r>
  <r>
    <s v="USDT $ "/>
    <x v="20"/>
    <s v="J503445475"/>
    <s v="SOAL T COMPUTER, C.A."/>
    <s v="FCLIE/2026/00181"/>
    <d v="2026-03-19T00:00:00"/>
    <n v="1000"/>
    <x v="1"/>
    <d v="2026-07-02T00:00:00"/>
    <d v="2026-03-19T00:00:00"/>
    <d v="2026-07-02T00:00:00"/>
    <n v="21"/>
    <s v="Credito"/>
    <n v="105"/>
    <n v="84"/>
    <n v="0"/>
    <n v="0"/>
    <n v="0"/>
    <n v="1"/>
    <n v="0.005"/>
    <n v="0"/>
    <n v="0"/>
    <n v="5"/>
    <m/>
  </r>
  <r>
    <s v="USDT $ "/>
    <x v="21"/>
    <s v="J506775000"/>
    <s v="EMPRENDIMIENTO LAURANAILETH NUÑEZ"/>
    <s v="FCLIE/2026/02165"/>
    <d v="2026-06-29T00:00:00"/>
    <n v="105"/>
    <x v="4"/>
    <d v="2026-07-02T00:00:00"/>
    <d v="2026-06-29T00:00:00"/>
    <d v="2026-07-02T00:00:00"/>
    <s v="7"/>
    <s v="Credito"/>
    <n v="3"/>
    <n v="-4"/>
    <n v="100"/>
    <n v="1"/>
    <n v="0"/>
    <n v="1.25"/>
    <n v="0.005"/>
    <n v="1"/>
    <n v="1.3125"/>
    <n v="0.525"/>
    <m/>
  </r>
  <r>
    <s v="USDT $ "/>
    <x v="22"/>
    <s v="J507199037"/>
    <s v="ZHEN TECH, C.A"/>
    <s v="FCLIE/2026/01768"/>
    <d v="2026-06-10T00:00:00"/>
    <n v="1000"/>
    <x v="4"/>
    <d v="2026-07-02T00:00:00"/>
    <d v="2026-06-10T00:00:00"/>
    <d v="2026-07-02T00:00:00"/>
    <s v="15"/>
    <s v="Credito"/>
    <n v="22"/>
    <n v="7"/>
    <n v="100"/>
    <n v="1"/>
    <n v="0"/>
    <n v="1.25"/>
    <n v="0.005"/>
    <n v="1"/>
    <n v="12.5"/>
    <n v="5"/>
    <m/>
  </r>
  <r>
    <s v="Caja Principal"/>
    <x v="23"/>
    <s v="J507010872"/>
    <s v="EMPRENDIMIENTO KIMBERLYN MENDEZ"/>
    <s v="FCLIE/2026/02222"/>
    <d v="2026-07-02T00:00:00"/>
    <n v="132"/>
    <x v="4"/>
    <d v="2026-07-02T00:00:00"/>
    <d v="2026-07-02T00:00:00"/>
    <d v="2026-07-02T00:00:00"/>
    <n v="0"/>
    <s v="Contado"/>
    <n v="0"/>
    <n v="0"/>
    <n v="100"/>
    <n v="0"/>
    <n v="0"/>
    <n v="1.25"/>
    <n v="0.005"/>
    <n v="1"/>
    <n v="1.65"/>
    <n v="0.66"/>
    <m/>
  </r>
  <r>
    <s v="USDT $ "/>
    <x v="24"/>
    <s v="J506426331"/>
    <s v="DISTRIBUIDORA COMPU TONER 3000, C.A."/>
    <s v="FCLIE/2026/01927"/>
    <d v="2026-06-16T00:00:00"/>
    <n v="188.75"/>
    <x v="1"/>
    <d v="2026-07-02T00:00:00"/>
    <d v="2026-06-16T00:00:00"/>
    <d v="2026-07-02T00:00:00"/>
    <s v="15"/>
    <s v="Credito"/>
    <n v="16"/>
    <n v="1"/>
    <n v="100"/>
    <n v="1"/>
    <n v="0"/>
    <n v="1"/>
    <n v="0.005"/>
    <n v="1"/>
    <n v="1.8875"/>
    <n v="0.94375"/>
    <m/>
  </r>
  <r>
    <s v="USDT $ "/>
    <x v="24"/>
    <s v="J506426331"/>
    <s v="DISTRIBUIDORA COMPU TONER 3000, C.A."/>
    <s v="FCLIE/2026/01997"/>
    <d v="2026-06-18T00:00:00"/>
    <n v="21.25"/>
    <x v="1"/>
    <d v="2026-07-02T00:00:00"/>
    <d v="2026-06-18T00:00:00"/>
    <d v="2026-07-02T00:00:00"/>
    <s v="15"/>
    <s v="Credito"/>
    <n v="14"/>
    <n v="-1"/>
    <n v="100"/>
    <n v="1"/>
    <n v="0"/>
    <n v="1"/>
    <n v="0.005"/>
    <n v="1"/>
    <n v="0.2125"/>
    <n v="0.10625"/>
    <m/>
  </r>
  <r>
    <s v="Facturas de cliente"/>
    <x v="25"/>
    <s v="J299174564"/>
    <s v="JANSCAR SUPPLY, C. A."/>
    <s v="FCLIE/2026/02221"/>
    <d v="2026-07-01T00:00:00"/>
    <n v="1304"/>
    <x v="1"/>
    <d v="2026-07-02T00:00:00"/>
    <d v="2026-07-01T00:00:00"/>
    <d v="2026-07-02T00:00:00"/>
    <s v="15"/>
    <s v="Credito"/>
    <n v="1"/>
    <n v="-14"/>
    <n v="100"/>
    <n v="0"/>
    <n v="0"/>
    <n v="1"/>
    <n v="0.005"/>
    <n v="1"/>
    <n v="13.04"/>
    <n v="6.52"/>
    <m/>
  </r>
  <r>
    <s v="Caja Principal"/>
    <x v="26"/>
    <s v="J312567120"/>
    <s v="REPRESENTACIONES DASARA,C.A"/>
    <s v="FCLIE/2026/02226"/>
    <d v="2026-07-02T00:00:00"/>
    <n v="56"/>
    <x v="1"/>
    <d v="2026-07-02T00:00:00"/>
    <d v="2026-07-02T00:00:00"/>
    <d v="2026-07-02T00:00:00"/>
    <n v="0"/>
    <s v="Contado"/>
    <n v="0"/>
    <n v="0"/>
    <n v="100"/>
    <n v="0"/>
    <n v="0"/>
    <n v="1"/>
    <n v="0.005"/>
    <n v="1"/>
    <n v="0.56"/>
    <n v="0.28"/>
    <m/>
  </r>
  <r>
    <s v="Caja Principal"/>
    <x v="27"/>
    <s v="J401032095"/>
    <s v="WORTEM PC, C.A."/>
    <s v="FCLIE/2026/02230"/>
    <d v="2026-07-02T00:00:00"/>
    <n v="102"/>
    <x v="5"/>
    <d v="2026-07-02T00:00:00"/>
    <d v="2026-07-02T00:00:00"/>
    <d v="2026-07-02T00:00:00"/>
    <n v="0"/>
    <s v="Contado"/>
    <n v="0"/>
    <n v="0"/>
    <n v="100"/>
    <n v="0"/>
    <n v="0"/>
    <n v="1.25"/>
    <n v="0.005"/>
    <n v="1"/>
    <n v="1.275"/>
    <n v="0.51"/>
    <m/>
  </r>
  <r>
    <s v="Banco del Caribe  BS"/>
    <x v="28"/>
    <s v="J311865144"/>
    <s v="DISTRIBUIDORA SEIKON 777,C. A."/>
    <s v="FCLIE/2026/02228"/>
    <d v="2026-07-02T00:00:00"/>
    <n v="329.64"/>
    <x v="0"/>
    <d v="2026-07-02T00:00:00"/>
    <d v="2026-07-02T00:00:00"/>
    <d v="2026-07-02T00:00:00"/>
    <n v="0"/>
    <s v="Contado"/>
    <n v="0"/>
    <n v="0"/>
    <n v="100"/>
    <n v="1"/>
    <n v="0"/>
    <n v="1"/>
    <n v="0.005"/>
    <n v="1"/>
    <n v="3.2964"/>
    <n v="1.6482"/>
    <m/>
  </r>
  <r>
    <s v="REGIONSBANK"/>
    <x v="29"/>
    <s v="J407023608"/>
    <s v="CORPORACION YOOBAO CCS, C.A"/>
    <s v="FCLIE/2026/00393"/>
    <d v="2026-04-14T00:00:00"/>
    <n v="2070.6"/>
    <x v="0"/>
    <d v="2026-07-02T00:00:00"/>
    <d v="2026-04-14T00:00:00"/>
    <d v="2026-07-02T00:00:00"/>
    <s v="60"/>
    <s v="Credito"/>
    <n v="79"/>
    <n v="19"/>
    <n v="100"/>
    <n v="0"/>
    <n v="0"/>
    <n v="1.25"/>
    <n v="0.005"/>
    <n v="1"/>
    <n v="25.8825"/>
    <n v="10.353"/>
    <m/>
  </r>
  <r>
    <s v="REGIONSBANK"/>
    <x v="29"/>
    <s v="J407023608"/>
    <s v="CORPORACION YOOBAO CCS, C.A"/>
    <s v="FCLIE/2026/00394"/>
    <d v="2026-04-14T00:00:00"/>
    <n v="69615"/>
    <x v="0"/>
    <d v="2026-07-02T00:00:00"/>
    <d v="2026-04-14T00:00:00"/>
    <d v="2026-07-02T00:00:00"/>
    <s v="60"/>
    <s v="Credito"/>
    <n v="79"/>
    <n v="19"/>
    <n v="100"/>
    <n v="0"/>
    <n v="0"/>
    <n v="1.25"/>
    <n v="0.005"/>
    <n v="1"/>
    <n v="870.1875"/>
    <n v="348.075"/>
    <m/>
  </r>
  <r>
    <s v="REGIONSBANK"/>
    <x v="30"/>
    <s v="J501328102"/>
    <s v="CORPORACION SOYTECHNO OUTLET, C.A."/>
    <s v="FCLIE/2026/00549"/>
    <d v="2026-04-20T00:00:00"/>
    <n v="16984.9"/>
    <x v="0"/>
    <d v="2026-07-02T00:00:00"/>
    <d v="2026-04-20T00:00:00"/>
    <d v="2026-07-02T00:00:00"/>
    <n v="30"/>
    <s v="Credito"/>
    <n v="73"/>
    <n v="43"/>
    <n v="30"/>
    <n v="0"/>
    <n v="0"/>
    <n v="1.25"/>
    <n v="0.005"/>
    <n v="1"/>
    <n v="63.693375"/>
    <n v="84.9245"/>
    <m/>
  </r>
  <r>
    <s v="REGIONSBANK"/>
    <x v="30"/>
    <s v="J501328102"/>
    <s v="CORPORACION SOYTECHNO OUTLET, C.A."/>
    <s v="FCLIE/2026/00674"/>
    <d v="2026-04-24T00:00:00"/>
    <n v="4321"/>
    <x v="0"/>
    <d v="2026-07-02T00:00:00"/>
    <d v="2026-04-24T00:00:00"/>
    <d v="2026-07-02T00:00:00"/>
    <s v="60"/>
    <s v="Credito"/>
    <n v="69"/>
    <n v="9"/>
    <n v="100"/>
    <n v="0"/>
    <n v="0"/>
    <n v="1.25"/>
    <n v="0.005"/>
    <n v="1"/>
    <n v="54.0125"/>
    <n v="21.605"/>
    <m/>
  </r>
  <r>
    <s v="REGIONSBANK"/>
    <x v="30"/>
    <s v="J501328102"/>
    <s v="CORPORACION SOYTECHNO OUTLET, C.A."/>
    <s v="FCLIE/2026/00686"/>
    <d v="2026-04-24T00:00:00"/>
    <n v="98415"/>
    <x v="0"/>
    <d v="2026-07-02T00:00:00"/>
    <d v="2026-04-24T00:00:00"/>
    <d v="2026-07-02T00:00:00"/>
    <s v="60"/>
    <s v="Credito"/>
    <n v="69"/>
    <n v="9"/>
    <n v="100"/>
    <n v="0"/>
    <n v="0"/>
    <n v="1.25"/>
    <n v="0.005"/>
    <n v="1"/>
    <n v="1230.1875"/>
    <n v="492.075"/>
    <m/>
  </r>
  <r>
    <s v="REGIONSBANK"/>
    <x v="30"/>
    <s v="J501328102"/>
    <s v="CORPORACION SOYTECHNO OUTLET, C.A."/>
    <s v="FCLIE/2026/01307"/>
    <d v="2026-05-22T00:00:00"/>
    <n v="79.1"/>
    <x v="0"/>
    <d v="2026-07-02T00:00:00"/>
    <d v="2026-05-22T00:00:00"/>
    <d v="2026-07-02T00:00:00"/>
    <s v="60"/>
    <s v="Credito"/>
    <n v="41"/>
    <n v="-19"/>
    <n v="100"/>
    <n v="2"/>
    <n v="0"/>
    <n v="1"/>
    <n v="0.005"/>
    <n v="1"/>
    <n v="0.791"/>
    <n v="0.3955"/>
    <m/>
  </r>
  <r>
    <s v="REGIONSBANK"/>
    <x v="31"/>
    <s v="J412058541"/>
    <s v="SIDDHI TECNOLOGIA, C.A"/>
    <s v="FCLIE/2026/02188"/>
    <d v="2026-06-30T00:00:00"/>
    <n v="19500"/>
    <x v="3"/>
    <d v="2026-07-02T00:00:00"/>
    <d v="2026-06-30T00:00:00"/>
    <d v="2026-07-02T00:00:00"/>
    <s v="3"/>
    <s v="Credito"/>
    <n v="2"/>
    <n v="-1"/>
    <n v="100"/>
    <n v="1"/>
    <n v="0"/>
    <n v="1"/>
    <n v="0.005"/>
    <n v="1"/>
    <n v="195"/>
    <n v="97.5"/>
    <m/>
  </r>
  <r>
    <s v="REGIONSBANK"/>
    <x v="31"/>
    <s v="J412058541"/>
    <s v="SIDDHI TECNOLOGIA, C.A"/>
    <s v="FCLIE/2026/02194"/>
    <d v="2026-06-30T00:00:00"/>
    <n v="1950"/>
    <x v="3"/>
    <d v="2026-07-02T00:00:00"/>
    <d v="2026-06-30T00:00:00"/>
    <d v="2026-07-02T00:00:00"/>
    <s v="3"/>
    <s v="Credito"/>
    <n v="2"/>
    <n v="-1"/>
    <n v="100"/>
    <n v="1"/>
    <n v="0"/>
    <n v="1"/>
    <n v="0.005"/>
    <n v="1"/>
    <n v="19.5"/>
    <n v="9.75"/>
    <m/>
  </r>
  <r>
    <s v="USDT $ "/>
    <x v="32"/>
    <s v="J506055856"/>
    <s v="MESRAM.2024, C.A."/>
    <s v="FCLIE/2026/02238"/>
    <d v="2026-07-02T00:00:00"/>
    <n v="78.2"/>
    <x v="3"/>
    <d v="2026-07-02T00:00:00"/>
    <d v="2026-07-02T00:00:00"/>
    <d v="2026-07-02T00:00:00"/>
    <n v="0"/>
    <s v="Contado"/>
    <n v="0"/>
    <n v="0"/>
    <n v="100"/>
    <n v="0"/>
    <n v="0"/>
    <n v="1"/>
    <n v="0.005"/>
    <n v="1"/>
    <n v="0.782"/>
    <n v="0.391"/>
    <m/>
  </r>
  <r>
    <s v="USDT $ "/>
    <x v="33"/>
    <s v="J502282203"/>
    <s v="NFT SHOP INC"/>
    <s v="FCLIE/2026/02242"/>
    <d v="2026-07-02T00:00:00"/>
    <n v="278.75"/>
    <x v="0"/>
    <d v="2026-07-02T00:00:00"/>
    <d v="2026-07-02T00:00:00"/>
    <d v="2026-07-02T00:00:00"/>
    <n v="0"/>
    <s v="Contado"/>
    <n v="0"/>
    <n v="0"/>
    <n v="100"/>
    <n v="0"/>
    <n v="0"/>
    <n v="1.25"/>
    <n v="0.005"/>
    <n v="1"/>
    <n v="3.484375"/>
    <n v="1.39375"/>
    <m/>
  </r>
  <r>
    <s v="Caja Principal"/>
    <x v="34"/>
    <s v="J502282203"/>
    <s v="NFT SHOP INC"/>
    <s v="FCLIE/2026/02242"/>
    <d v="2026-07-02T00:00:00"/>
    <n v="179.6"/>
    <x v="0"/>
    <d v="2026-07-02T00:00:00"/>
    <d v="2026-07-02T00:00:00"/>
    <d v="2026-07-02T00:00:00"/>
    <n v="0"/>
    <s v="Contado"/>
    <n v="0"/>
    <n v="0"/>
    <n v="100"/>
    <n v="0"/>
    <n v="0"/>
    <n v="1.25"/>
    <n v="0.005"/>
    <n v="1"/>
    <n v="2.245"/>
    <n v="0.898"/>
    <m/>
  </r>
  <r>
    <s v="USDT $ "/>
    <x v="35"/>
    <s v="J506775000"/>
    <s v="EMPRENDIMIENTO LAURANAILETH NUÑEZ"/>
    <s v="FCLIE/2026/02165"/>
    <d v="2026-06-29T00:00:00"/>
    <n v="200"/>
    <x v="4"/>
    <d v="2026-07-02T00:00:00"/>
    <d v="2026-06-29T00:00:00"/>
    <d v="2026-07-02T00:00:00"/>
    <s v="7"/>
    <s v="Credito"/>
    <n v="3"/>
    <n v="-4"/>
    <n v="100"/>
    <n v="1"/>
    <n v="0"/>
    <n v="1.25"/>
    <n v="0.005"/>
    <n v="1"/>
    <n v="2.5"/>
    <n v="1"/>
    <m/>
  </r>
  <r>
    <s v="USDT $ "/>
    <x v="36"/>
    <s v="J307291184"/>
    <s v="GALLERY COMPUTER, EL TIGRE, C.A"/>
    <s v="FCLIE/2026/01331"/>
    <d v="2026-05-22T00:00:00"/>
    <n v="1755"/>
    <x v="3"/>
    <d v="2026-07-02T00:00:00"/>
    <d v="2026-05-22T00:00:00"/>
    <d v="2026-07-02T00:00:00"/>
    <s v="21"/>
    <s v="Credito"/>
    <n v="41"/>
    <n v="20"/>
    <n v="50"/>
    <n v="2"/>
    <n v="0"/>
    <n v="1"/>
    <n v="0.005"/>
    <n v="1"/>
    <n v="8.775"/>
    <n v="8.775"/>
    <m/>
  </r>
  <r>
    <s v="USDT $ "/>
    <x v="36"/>
    <s v="J307291184"/>
    <s v="GALLERY COMPUTER, EL TIGRE, C.A"/>
    <s v="FCLIE/2026/01498"/>
    <d v="2026-05-29T00:00:00"/>
    <n v="2253.35"/>
    <x v="3"/>
    <d v="2026-07-02T00:00:00"/>
    <d v="2026-05-29T00:00:00"/>
    <d v="2026-07-02T00:00:00"/>
    <s v="21"/>
    <s v="Credito"/>
    <n v="34"/>
    <n v="13"/>
    <n v="100"/>
    <n v="2"/>
    <n v="0"/>
    <n v="1"/>
    <n v="0.005"/>
    <n v="1"/>
    <n v="22.5335"/>
    <n v="11.26675"/>
    <m/>
  </r>
  <r>
    <s v="USDT $ "/>
    <x v="37"/>
    <s v="J508458613"/>
    <s v="EMPRENDIMIENTO ROSSIELL PALENCIA"/>
    <s v="FCLIE/2026/02249"/>
    <d v="2026-07-02T00:00:00"/>
    <n v="44.35"/>
    <x v="2"/>
    <d v="2026-07-02T00:00:00"/>
    <d v="2026-07-02T00:00:00"/>
    <d v="2026-07-02T00:00:00"/>
    <n v="0"/>
    <s v="Contado"/>
    <n v="0"/>
    <n v="0"/>
    <n v="100"/>
    <n v="0"/>
    <n v="0"/>
    <n v="1.25"/>
    <n v="0.005"/>
    <n v="1"/>
    <n v="0.554375"/>
    <n v="0.22175"/>
    <m/>
  </r>
  <r>
    <s v="TRANSITORIA ZELLE"/>
    <x v="38"/>
    <s v="J317298004"/>
    <s v="GALLERY COMPUTER, PZO, C.A"/>
    <s v="FCLIE/2026/01330"/>
    <d v="2026-05-22T00:00:00"/>
    <n v="1170"/>
    <x v="3"/>
    <d v="2026-07-02T00:00:00"/>
    <d v="2026-05-22T00:00:00"/>
    <d v="2026-07-02T00:00:00"/>
    <s v="21"/>
    <s v="Credito"/>
    <n v="41"/>
    <n v="20"/>
    <n v="50"/>
    <n v="2"/>
    <n v="0"/>
    <n v="1"/>
    <n v="0.005"/>
    <n v="1"/>
    <n v="5.85"/>
    <n v="5.85"/>
    <m/>
  </r>
  <r>
    <s v="TRANSITORIA ZELLE"/>
    <x v="38"/>
    <s v="J317298004"/>
    <s v="GALLERY COMPUTER, PZO, C.A"/>
    <s v="FCLIE/2026/01503"/>
    <d v="2026-05-29T00:00:00"/>
    <n v="2030"/>
    <x v="3"/>
    <d v="2026-07-02T00:00:00"/>
    <d v="2026-05-29T00:00:00"/>
    <d v="2026-07-02T00:00:00"/>
    <s v="21"/>
    <s v="Credito"/>
    <n v="34"/>
    <n v="13"/>
    <n v="100"/>
    <n v="2"/>
    <n v="0"/>
    <n v="1"/>
    <n v="0.005"/>
    <n v="1"/>
    <n v="20.3"/>
    <n v="10.15"/>
    <m/>
  </r>
  <r>
    <s v="USDT $ "/>
    <x v="39"/>
    <s v="J411217263"/>
    <s v="INVERSIONES CARFAVE 24, C.A"/>
    <s v="FCLIE/2026/02246"/>
    <d v="2026-07-02T00:00:00"/>
    <n v="278"/>
    <x v="3"/>
    <d v="2026-07-02T00:00:00"/>
    <d v="2026-07-02T00:00:00"/>
    <d v="2026-07-02T00:00:00"/>
    <n v="0"/>
    <s v="Contado"/>
    <n v="0"/>
    <n v="0"/>
    <n v="100"/>
    <n v="0"/>
    <n v="0"/>
    <n v="1"/>
    <n v="0.005"/>
    <n v="1"/>
    <n v="2.78"/>
    <n v="1.39"/>
    <m/>
  </r>
  <r>
    <s v="USDT $ "/>
    <x v="40"/>
    <s v="J317298004"/>
    <s v="GALLERY COMPUTER, PZO, C.A"/>
    <s v="FCLIE/2026/01503"/>
    <d v="2026-05-29T00:00:00"/>
    <n v="223.35"/>
    <x v="3"/>
    <d v="2026-07-02T00:00:00"/>
    <d v="2026-05-29T00:00:00"/>
    <d v="2026-07-02T00:00:00"/>
    <s v="21"/>
    <s v="Credito"/>
    <n v="34"/>
    <n v="13"/>
    <n v="100"/>
    <n v="2"/>
    <n v="0"/>
    <n v="1"/>
    <n v="0.005"/>
    <n v="1"/>
    <n v="2.2335"/>
    <n v="1.11675"/>
    <m/>
  </r>
  <r>
    <s v="Banesco Custodia $"/>
    <x v="41"/>
    <s v="J501820813"/>
    <s v="A&amp;J INVERSIONES, C.A"/>
    <s v="FCLIE/2026/01135"/>
    <d v="2026-05-15T00:00:00"/>
    <n v="1205.45"/>
    <x v="3"/>
    <d v="2026-07-02T00:00:00"/>
    <d v="2026-05-15T00:00:00"/>
    <d v="2026-07-02T00:00:00"/>
    <s v="15"/>
    <s v="Credito"/>
    <n v="48"/>
    <n v="33"/>
    <n v="30"/>
    <n v="2"/>
    <n v="0"/>
    <n v="1"/>
    <n v="0.005"/>
    <n v="1"/>
    <n v="3.61635"/>
    <n v="6.02725"/>
    <m/>
  </r>
  <r>
    <s v="Banesco Custodia $"/>
    <x v="41"/>
    <s v="J501820813"/>
    <s v="A&amp;J INVERSIONES, C.A"/>
    <s v="FCLIE/2026/01347"/>
    <d v="2026-05-22T00:00:00"/>
    <n v="794.55"/>
    <x v="3"/>
    <d v="2026-07-02T00:00:00"/>
    <d v="2026-05-22T00:00:00"/>
    <d v="2026-07-02T00:00:00"/>
    <s v="15"/>
    <s v="Credito"/>
    <n v="41"/>
    <n v="26"/>
    <n v="50"/>
    <n v="2"/>
    <n v="0"/>
    <n v="1"/>
    <n v="0.005"/>
    <n v="1"/>
    <n v="3.97275"/>
    <n v="3.97275"/>
    <m/>
  </r>
  <r>
    <s v="Caja Principal"/>
    <x v="42"/>
    <s v="J501737320"/>
    <s v="TECHNOSAYTEL, C.A"/>
    <s v="FCLIE/2026/01834"/>
    <d v="2026-06-11T00:00:00"/>
    <n v="47.75"/>
    <x v="5"/>
    <d v="2026-07-03T00:00:00"/>
    <d v="2026-06-11T00:00:00"/>
    <d v="2026-07-03T00:00:00"/>
    <s v="15"/>
    <s v="Credito"/>
    <n v="22"/>
    <n v="7"/>
    <n v="100"/>
    <n v="1"/>
    <n v="0"/>
    <n v="1"/>
    <n v="0.005"/>
    <n v="1"/>
    <n v="0.4775"/>
    <n v="0.23875"/>
    <m/>
  </r>
  <r>
    <s v="Caja Principal"/>
    <x v="42"/>
    <s v="J501737320"/>
    <s v="TECHNOSAYTEL, C.A"/>
    <s v="FCLIE/2026/01942"/>
    <d v="2026-06-16T00:00:00"/>
    <n v="3726.25"/>
    <x v="5"/>
    <d v="2026-07-03T00:00:00"/>
    <d v="2026-06-16T00:00:00"/>
    <d v="2026-07-03T00:00:00"/>
    <s v="15"/>
    <s v="Credito"/>
    <n v="17"/>
    <n v="2"/>
    <n v="100"/>
    <n v="1"/>
    <n v="0"/>
    <n v="1"/>
    <n v="0.005"/>
    <n v="1"/>
    <n v="37.2625"/>
    <n v="18.63125"/>
    <m/>
  </r>
  <r>
    <s v="USDT $ "/>
    <x v="43"/>
    <s v="J293897050"/>
    <s v="DCS POWER TECHNOLOGY C.A."/>
    <s v="FCLIE/2026/02251"/>
    <d v="2026-07-02T00:00:00"/>
    <n v="351"/>
    <x v="0"/>
    <d v="2026-07-02T00:00:00"/>
    <d v="2026-07-02T00:00:00"/>
    <d v="2026-07-02T00:00:00"/>
    <n v="0"/>
    <s v="Contado"/>
    <n v="-3"/>
    <n v="-3"/>
    <n v="100"/>
    <n v="0"/>
    <n v="0"/>
    <n v="1.25"/>
    <n v="0.005"/>
    <n v="1"/>
    <n v="4.3875"/>
    <n v="1.755"/>
    <m/>
  </r>
  <r>
    <s v="Banco del Caribe  BS"/>
    <x v="44"/>
    <s v="J293897050"/>
    <s v="DCS POWER TECHNOLOGY C.A."/>
    <s v="FCLIE/2026/02251"/>
    <d v="2026-07-02T00:00:00"/>
    <n v="326"/>
    <x v="0"/>
    <d v="2026-07-02T00:00:00"/>
    <d v="2026-07-02T00:00:00"/>
    <d v="2026-07-02T00:00:00"/>
    <n v="0"/>
    <s v="Contado"/>
    <n v="0"/>
    <n v="0"/>
    <n v="100"/>
    <n v="0"/>
    <n v="0"/>
    <n v="1.25"/>
    <n v="0.005"/>
    <n v="1"/>
    <n v="4.075"/>
    <n v="1.63"/>
    <m/>
  </r>
  <r>
    <s v="USDT $ "/>
    <x v="45"/>
    <s v="J503445475"/>
    <s v="SOAL T COMPUTER, C.A."/>
    <s v="FCLIE/2026/00181"/>
    <d v="2026-03-19T00:00:00"/>
    <n v="599.9"/>
    <x v="1"/>
    <d v="2026-07-03T00:00:00"/>
    <d v="2026-03-19T00:00:00"/>
    <d v="2026-07-03T00:00:00"/>
    <n v="21"/>
    <s v="Credito"/>
    <n v="106"/>
    <n v="85"/>
    <n v="0"/>
    <n v="0"/>
    <n v="0"/>
    <n v="1"/>
    <n v="0.005"/>
    <n v="0"/>
    <n v="0"/>
    <n v="2.9995"/>
    <m/>
  </r>
  <r>
    <s v="USDT $ "/>
    <x v="45"/>
    <s v="J503445475"/>
    <s v="SOAL T COMPUTER, C.A."/>
    <s v="FCLIE/2026/00201"/>
    <d v="2026-03-31T00:00:00"/>
    <n v="400.1"/>
    <x v="1"/>
    <d v="2026-07-03T00:00:00"/>
    <d v="2026-03-31T00:00:00"/>
    <d v="2026-07-03T00:00:00"/>
    <n v="21"/>
    <s v="Credito"/>
    <n v="94"/>
    <n v="73"/>
    <n v="0"/>
    <n v="0"/>
    <n v="0"/>
    <n v="1"/>
    <n v="0.005"/>
    <n v="0"/>
    <n v="0"/>
    <n v="2.0005"/>
    <m/>
  </r>
  <r>
    <s v="USDT $ "/>
    <x v="46"/>
    <s v="J314639935"/>
    <s v="VENESERVICIOS INTEGRALES J.U. C.A."/>
    <s v="FCLIE/2026/01900"/>
    <d v="2026-06-15T00:00:00"/>
    <n v="744.54"/>
    <x v="0"/>
    <d v="2026-07-03T00:00:00"/>
    <d v="2026-06-15T00:00:00"/>
    <d v="2026-07-03T00:00:00"/>
    <s v="7"/>
    <s v="Credito"/>
    <n v="18"/>
    <n v="11"/>
    <n v="100"/>
    <n v="1"/>
    <n v="0"/>
    <n v="1"/>
    <n v="0.005"/>
    <n v="1"/>
    <n v="7.4454"/>
    <n v="3.7227"/>
    <m/>
  </r>
  <r>
    <s v="Banesco BS. 3049"/>
    <x v="47"/>
    <s v="J400595185"/>
    <s v="MUNDO ELECTRONIC ZYL, C.A"/>
    <s v="FCLIE/2026/02255"/>
    <d v="2026-07-03T00:00:00"/>
    <n v="1378.32"/>
    <x v="3"/>
    <d v="2026-07-03T00:00:00"/>
    <d v="2026-07-03T00:00:00"/>
    <d v="2026-07-03T00:00:00"/>
    <n v="0"/>
    <s v="Contado"/>
    <n v="0"/>
    <n v="0"/>
    <n v="100"/>
    <n v="1"/>
    <n v="0"/>
    <n v="1"/>
    <n v="0.005"/>
    <n v="1"/>
    <n v="13.7832"/>
    <n v="6.8916"/>
    <m/>
  </r>
  <r>
    <s v="Banesco BS. 3049"/>
    <x v="48"/>
    <s v="J400595185"/>
    <s v="MUNDO ELECTRONIC ZYL, C.A"/>
    <s v="FCLIE/2026/02255"/>
    <d v="2026-07-03T00:00:00"/>
    <n v="1273.68"/>
    <x v="3"/>
    <d v="2026-07-03T00:00:00"/>
    <d v="2026-07-03T00:00:00"/>
    <d v="2026-07-03T00:00:00"/>
    <n v="0"/>
    <s v="Contado"/>
    <n v="0"/>
    <n v="0"/>
    <n v="100"/>
    <n v="0"/>
    <n v="0"/>
    <n v="1"/>
    <n v="0.005"/>
    <n v="1"/>
    <n v="12.7368"/>
    <n v="6.3684"/>
    <m/>
  </r>
  <r>
    <s v="USDT $ "/>
    <x v="49"/>
    <s v="J504978680"/>
    <s v="CORPORACIÓN DIGIPRO, C.A"/>
    <s v="FCLIE/2026/01480"/>
    <d v="2026-05-29T00:00:00"/>
    <n v="3123.6"/>
    <x v="6"/>
    <d v="2026-07-02T00:00:00"/>
    <d v="2026-05-29T00:00:00"/>
    <d v="2026-07-02T00:00:00"/>
    <s v="30"/>
    <s v="Credito"/>
    <n v="34"/>
    <n v="4"/>
    <n v="100"/>
    <n v="2"/>
    <n v="0"/>
    <n v="1"/>
    <n v="0.005"/>
    <n v="1"/>
    <n v="31.236"/>
    <n v="15.618"/>
    <m/>
  </r>
  <r>
    <s v="Banesco BS. 3049"/>
    <x v="50"/>
    <s v="J412239961"/>
    <s v=" INVERSIONES VALCASAR 2010, C.A."/>
    <s v="FCLIE/2026/01608"/>
    <d v="2026-06-04T00:00:00"/>
    <n v="259"/>
    <x v="2"/>
    <d v="2026-07-03T00:00:00"/>
    <d v="2026-06-04T00:00:00"/>
    <d v="2026-07-03T00:00:00"/>
    <n v="30"/>
    <s v="Credito"/>
    <n v="29"/>
    <n v="-1"/>
    <n v="100"/>
    <n v="1"/>
    <n v="0"/>
    <n v="1.25"/>
    <n v="0.005"/>
    <n v="1"/>
    <n v="3.2375"/>
    <n v="1.295"/>
    <m/>
  </r>
  <r>
    <s v="Banesco BS. 3049"/>
    <x v="51"/>
    <s v="V137277383"/>
    <s v="COMERCIALIZADORA Y SUMINISTROS ZARATE 2009 FP"/>
    <s v="FCLIE/2026/02276"/>
    <d v="2026-07-03T00:00:00"/>
    <n v="250"/>
    <x v="0"/>
    <d v="2026-07-03T00:00:00"/>
    <d v="2026-07-03T00:00:00"/>
    <d v="2026-07-03T00:00:00"/>
    <n v="0"/>
    <s v="Contado"/>
    <n v="0"/>
    <n v="0"/>
    <n v="100"/>
    <n v="0"/>
    <n v="0"/>
    <n v="1.25"/>
    <n v="0.005"/>
    <n v="1"/>
    <n v="3.125"/>
    <n v="1.25"/>
    <m/>
  </r>
  <r>
    <s v="Caja Principal"/>
    <x v="52"/>
    <s v="J500962568"/>
    <s v="CORPORACION CATECHNOLOGY, C.A."/>
    <s v="FCLIE/2026/01637"/>
    <d v="2026-06-05T00:00:00"/>
    <n v="770"/>
    <x v="4"/>
    <d v="2026-07-03T00:00:00"/>
    <d v="2026-06-05T00:00:00"/>
    <d v="2026-07-03T00:00:00"/>
    <s v="21"/>
    <s v="Credito"/>
    <n v="28"/>
    <n v="7"/>
    <n v="100"/>
    <n v="1"/>
    <n v="0"/>
    <n v="1.25"/>
    <n v="0.005"/>
    <n v="1"/>
    <n v="9.625"/>
    <n v="3.85"/>
    <m/>
  </r>
  <r>
    <s v="Caja Principal"/>
    <x v="53"/>
    <s v="V094813766"/>
    <s v="PIETRO CHIOMMINO PC NETWORK CONSULTING"/>
    <s v="FCLIE/2026/02268"/>
    <d v="2026-07-03T00:00:00"/>
    <n v="60"/>
    <x v="4"/>
    <d v="2026-07-03T00:00:00"/>
    <d v="2026-07-03T00:00:00"/>
    <d v="2026-07-03T00:00:00"/>
    <n v="0"/>
    <s v="Contado"/>
    <n v="0"/>
    <n v="0"/>
    <n v="100"/>
    <n v="1"/>
    <n v="0"/>
    <n v="1.25"/>
    <n v="0.005"/>
    <n v="1"/>
    <n v="0.75"/>
    <n v="0.3"/>
    <m/>
  </r>
  <r>
    <s v="Caja Principal"/>
    <x v="54"/>
    <s v="J508240324"/>
    <s v="EMPREDIMIENTO JHON POLO"/>
    <s v="FCLIE/2026/02272"/>
    <d v="2026-07-03T00:00:00"/>
    <n v="34.5"/>
    <x v="2"/>
    <d v="2026-07-03T00:00:00"/>
    <d v="2026-07-03T00:00:00"/>
    <d v="2026-07-03T00:00:00"/>
    <n v="0"/>
    <s v="Contado"/>
    <n v="0"/>
    <n v="0"/>
    <n v="100"/>
    <n v="0"/>
    <n v="0"/>
    <n v="1.25"/>
    <n v="0.005"/>
    <n v="1"/>
    <n v="0.43125"/>
    <n v="0.1725"/>
    <m/>
  </r>
  <r>
    <s v="USDT $ "/>
    <x v="55"/>
    <s v="J410686219"/>
    <s v="INVERSIONES PULSAR ALIANZA, C.A"/>
    <s v="FCLIE/2026/01686"/>
    <d v="2026-06-08T00:00:00"/>
    <n v="144"/>
    <x v="5"/>
    <d v="2026-07-03T00:00:00"/>
    <d v="2026-06-08T00:00:00"/>
    <d v="2026-07-03T00:00:00"/>
    <s v="15"/>
    <s v="Credito"/>
    <n v="25"/>
    <n v="10"/>
    <n v="100"/>
    <n v="1"/>
    <n v="0"/>
    <n v="1"/>
    <n v="0.005"/>
    <n v="1"/>
    <n v="1.44"/>
    <n v="0.72"/>
    <m/>
  </r>
  <r>
    <s v="USDT $ "/>
    <x v="56"/>
    <s v="J500962568"/>
    <s v="CORPORACION CATECHNOLOGY, C.A."/>
    <s v="FCLIE/2026/01637"/>
    <d v="2026-06-05T00:00:00"/>
    <n v="670"/>
    <x v="4"/>
    <d v="2026-07-03T00:00:00"/>
    <d v="2026-06-05T00:00:00"/>
    <d v="2026-07-03T00:00:00"/>
    <s v="21"/>
    <s v="Credito"/>
    <n v="28"/>
    <n v="7"/>
    <n v="100"/>
    <n v="1"/>
    <n v="0"/>
    <n v="1.25"/>
    <n v="0.005"/>
    <n v="1"/>
    <n v="8.375"/>
    <n v="3.35"/>
    <m/>
  </r>
  <r>
    <s v="USDT $ "/>
    <x v="56"/>
    <s v="J500962568"/>
    <s v="CORPORACION CATECHNOLOGY, C.A."/>
    <s v="FCLIE/2026/01690"/>
    <d v="2026-06-08T00:00:00"/>
    <n v="129.5"/>
    <x v="4"/>
    <d v="2026-07-03T00:00:00"/>
    <d v="2026-06-08T00:00:00"/>
    <d v="2026-07-03T00:00:00"/>
    <s v="21"/>
    <s v="Credito"/>
    <n v="25"/>
    <n v="4"/>
    <n v="100"/>
    <n v="1"/>
    <n v="0"/>
    <n v="1.25"/>
    <n v="0.005"/>
    <n v="1"/>
    <n v="1.61875"/>
    <n v="0.6475"/>
    <m/>
  </r>
  <r>
    <s v="USDT $ "/>
    <x v="57"/>
    <s v="J410965266"/>
    <s v="INVERSIONES ALDAYO C.A"/>
    <s v="FCLIE/2026/02057"/>
    <d v="2026-06-19T00:00:00"/>
    <n v="8.97"/>
    <x v="2"/>
    <d v="2026-07-03T00:00:00"/>
    <d v="2026-06-19T00:00:00"/>
    <d v="2026-07-03T00:00:00"/>
    <s v="7"/>
    <s v="Credito"/>
    <n v="14"/>
    <n v="7"/>
    <n v="100"/>
    <n v="1"/>
    <n v="0"/>
    <n v="1.25"/>
    <n v="0.005"/>
    <n v="1"/>
    <n v="0.112125"/>
    <n v="0.04485"/>
    <m/>
  </r>
  <r>
    <s v="USDT $ "/>
    <x v="57"/>
    <s v="J410965266"/>
    <s v="INVERSIONES ALDAYO C.A"/>
    <s v="FCLIE/2026/02058"/>
    <d v="2026-06-19T00:00:00"/>
    <n v="191.03"/>
    <x v="2"/>
    <d v="2026-07-03T00:00:00"/>
    <d v="2026-06-19T00:00:00"/>
    <d v="2026-07-03T00:00:00"/>
    <s v="7"/>
    <s v="Credito"/>
    <n v="14"/>
    <n v="7"/>
    <n v="100"/>
    <n v="1"/>
    <n v="0"/>
    <n v="1.25"/>
    <n v="0.005"/>
    <n v="1"/>
    <n v="2.387875"/>
    <n v="0.95515"/>
    <m/>
  </r>
  <r>
    <s v="USDT $ "/>
    <x v="58"/>
    <s v="J506775000"/>
    <s v="EMPRENDIMIENTO LAURANAILETH NUÑEZ"/>
    <s v="FCLIE/2026/02267"/>
    <d v="2026-07-03T00:00:00"/>
    <n v="300"/>
    <x v="4"/>
    <d v="2026-07-03T00:00:00"/>
    <d v="2026-07-03T00:00:00"/>
    <d v="2026-07-03T00:00:00"/>
    <s v="7"/>
    <s v="Credito"/>
    <n v="0"/>
    <n v="-7"/>
    <n v="100"/>
    <n v="0"/>
    <n v="0"/>
    <n v="1.25"/>
    <n v="0.005"/>
    <n v="1"/>
    <n v="3.75"/>
    <n v="1.5"/>
    <m/>
  </r>
  <r>
    <s v="USDT $ "/>
    <x v="59"/>
    <s v="J410965266"/>
    <s v="INVERSIONES ALDAYO C.A"/>
    <s v="FCLIE/2026/02058"/>
    <d v="2026-06-19T00:00:00"/>
    <n v="261.67"/>
    <x v="2"/>
    <d v="2026-07-03T00:00:00"/>
    <d v="2026-06-19T00:00:00"/>
    <d v="2026-07-03T00:00:00"/>
    <s v="7"/>
    <s v="Credito"/>
    <n v="14"/>
    <n v="7"/>
    <n v="100"/>
    <n v="1"/>
    <n v="0"/>
    <n v="1.25"/>
    <n v="0.005"/>
    <n v="1"/>
    <n v="3.270875"/>
    <n v="1.30835"/>
    <m/>
  </r>
  <r>
    <s v="USDT $ "/>
    <x v="59"/>
    <s v="J410965266"/>
    <s v="INVERSIONES ALDAYO C.A"/>
    <s v="FCLIE/2026/02107"/>
    <d v="2026-06-22T00:00:00"/>
    <n v="128.33"/>
    <x v="2"/>
    <d v="2026-07-03T00:00:00"/>
    <d v="2026-06-22T00:00:00"/>
    <d v="2026-07-03T00:00:00"/>
    <s v="7"/>
    <s v="Credito"/>
    <n v="-3"/>
    <n v="-10"/>
    <n v="100"/>
    <n v="1"/>
    <n v="0"/>
    <n v="1.25"/>
    <n v="0.005"/>
    <n v="1"/>
    <n v="1.604125"/>
    <n v="0.64165"/>
    <m/>
  </r>
  <r>
    <s v="REGIONSBANK"/>
    <x v="60"/>
    <s v="J500242816"/>
    <s v=" SMART FIX 168, C.A"/>
    <s v="FCLIE/2026/01148"/>
    <d v="2026-05-15T00:00:00"/>
    <n v="1500"/>
    <x v="6"/>
    <d v="2026-07-03T00:00:00"/>
    <d v="2026-05-15T00:00:00"/>
    <d v="2026-07-03T00:00:00"/>
    <n v="30"/>
    <s v="Credito"/>
    <n v="49"/>
    <n v="19"/>
    <n v="50"/>
    <n v="2"/>
    <n v="0"/>
    <n v="1"/>
    <n v="0.005"/>
    <n v="1"/>
    <n v="7.5"/>
    <n v="7.5"/>
    <m/>
  </r>
  <r>
    <s v="REGIONSBANK"/>
    <x v="60"/>
    <s v="J500242816"/>
    <s v=" SMART FIX 168, C.A"/>
    <s v="FCLIE/2026/01163"/>
    <d v="2026-05-15T00:00:00"/>
    <n v="5806.98"/>
    <x v="6"/>
    <d v="2026-07-03T00:00:00"/>
    <d v="2026-05-15T00:00:00"/>
    <d v="2026-07-03T00:00:00"/>
    <n v="30"/>
    <s v="Credito"/>
    <n v="49"/>
    <n v="19"/>
    <n v="50"/>
    <n v="2"/>
    <n v="0"/>
    <n v="1"/>
    <n v="0.005"/>
    <n v="1"/>
    <n v="29.0349"/>
    <n v="29.0349"/>
    <m/>
  </r>
  <r>
    <s v="REGIONSBANK"/>
    <x v="61"/>
    <s v="J501297711"/>
    <s v="DISTRIBUIDORA PARTNER ONE, C.A"/>
    <s v="FCLIE/2026/02231"/>
    <d v="2026-07-02T00:00:00"/>
    <n v="349"/>
    <x v="4"/>
    <d v="2026-07-03T00:00:00"/>
    <d v="2026-07-02T00:00:00"/>
    <d v="2026-07-03T00:00:00"/>
    <s v="3"/>
    <s v="Credito"/>
    <n v="1"/>
    <n v="-2"/>
    <n v="100"/>
    <n v="0"/>
    <n v="0"/>
    <n v="1.25"/>
    <n v="0.005"/>
    <n v="1"/>
    <n v="4.3625"/>
    <n v="1.745"/>
    <m/>
  </r>
  <r>
    <s v="REGIONSBANK"/>
    <x v="62"/>
    <s v="J315051435"/>
    <s v="KAMAL CYBER &amp; SERVICE, C.A"/>
    <s v="FCLIE/2026/01734"/>
    <d v="2026-06-08T00:00:00"/>
    <n v="3000"/>
    <x v="1"/>
    <d v="2026-07-03T00:00:00"/>
    <d v="2026-06-08T00:00:00"/>
    <d v="2026-07-03T00:00:00"/>
    <s v="15"/>
    <s v="Credito"/>
    <n v="25"/>
    <n v="10"/>
    <n v="100"/>
    <n v="1"/>
    <n v="0"/>
    <n v="1"/>
    <n v="0.005"/>
    <n v="1"/>
    <n v="30"/>
    <n v="15"/>
    <m/>
  </r>
  <r>
    <s v="USDT $ "/>
    <x v="63"/>
    <s v="J506055856"/>
    <s v="MESRAM.2024, C.A."/>
    <s v="FCLIE/2026/02274"/>
    <d v="2026-07-03T00:00:00"/>
    <n v="118.3"/>
    <x v="3"/>
    <d v="2026-07-03T00:00:00"/>
    <d v="2026-07-03T00:00:00"/>
    <d v="2026-07-03T00:00:00"/>
    <n v="0"/>
    <s v="Contado"/>
    <n v="0"/>
    <n v="0"/>
    <n v="100"/>
    <n v="0"/>
    <n v="0"/>
    <n v="1"/>
    <n v="0.005"/>
    <n v="1"/>
    <n v="1.183"/>
    <n v="0.5915"/>
    <m/>
  </r>
  <r>
    <s v="USDT $ "/>
    <x v="64"/>
    <s v="J503403853"/>
    <s v="TINTA`S LARA 2022, C.A"/>
    <s v="FCLIE/2026/01729"/>
    <d v="2026-06-08T00:00:00"/>
    <n v="1182.82"/>
    <x v="5"/>
    <d v="2026-07-03T00:00:00"/>
    <d v="2026-06-08T00:00:00"/>
    <d v="2026-07-03T00:00:00"/>
    <s v="15"/>
    <s v="Credito"/>
    <n v="25"/>
    <n v="10"/>
    <n v="100"/>
    <n v="1"/>
    <n v="0"/>
    <n v="1"/>
    <n v="0.005"/>
    <n v="1"/>
    <n v="11.8282"/>
    <n v="5.9141"/>
    <m/>
  </r>
  <r>
    <s v="Caja Principal"/>
    <x v="65"/>
    <s v="J500998627"/>
    <s v="INVERSIONES SPC HARBOR, C.A"/>
    <s v="FCLIE/2026/02271"/>
    <d v="2026-07-03T00:00:00"/>
    <n v="110"/>
    <x v="5"/>
    <d v="2026-07-03T00:00:00"/>
    <d v="2026-07-03T00:00:00"/>
    <d v="2026-07-03T00:00:00"/>
    <n v="0"/>
    <s v="Contado"/>
    <n v="0"/>
    <n v="0"/>
    <n v="100"/>
    <n v="1"/>
    <n v="0"/>
    <n v="1"/>
    <n v="0.005"/>
    <n v="1"/>
    <n v="1.1"/>
    <n v="0.55"/>
    <m/>
  </r>
  <r>
    <s v="USDT $ "/>
    <x v="66"/>
    <s v="J500998627"/>
    <s v="INVERSIONES SPC HARBOR, C.A"/>
    <s v="FCLIE/2026/02271"/>
    <d v="2026-07-03T00:00:00"/>
    <n v="105.75"/>
    <x v="5"/>
    <d v="2026-07-03T00:00:00"/>
    <d v="2026-07-03T00:00:00"/>
    <d v="2026-07-03T00:00:00"/>
    <n v="0"/>
    <s v="Contado"/>
    <n v="0"/>
    <n v="0"/>
    <n v="100"/>
    <n v="0"/>
    <n v="0"/>
    <n v="1.25"/>
    <n v="0.005"/>
    <n v="1"/>
    <n v="1.321875"/>
    <n v="0.52875"/>
    <m/>
  </r>
  <r>
    <s v="USDT $ "/>
    <x v="67"/>
    <s v="J298110112"/>
    <s v="INVERSIONES IP-LAN, C.A."/>
    <s v="FCLIE/2026/02265"/>
    <d v="2026-07-03T00:00:00"/>
    <n v="59.7"/>
    <x v="5"/>
    <d v="2026-07-03T00:00:00"/>
    <d v="2026-07-03T00:00:00"/>
    <d v="2026-07-03T00:00:00"/>
    <n v="0"/>
    <s v="Contado"/>
    <n v="0"/>
    <n v="0"/>
    <n v="100"/>
    <n v="0"/>
    <n v="0"/>
    <n v="1.25"/>
    <n v="0.005"/>
    <n v="1"/>
    <n v="0.74625"/>
    <n v="0.2985"/>
    <m/>
  </r>
  <r>
    <s v="Banco del Caribe  BS"/>
    <x v="68"/>
    <s v="J506426331"/>
    <s v="DISTRIBUIDORA COMPU TONER 3000, C.A."/>
    <s v="FCLIE/2026/01997"/>
    <d v="2026-06-18T00:00:00"/>
    <n v="64.7"/>
    <x v="1"/>
    <d v="2026-07-03T00:00:00"/>
    <d v="2026-06-18T00:00:00"/>
    <d v="2026-07-03T00:00:00"/>
    <s v="15"/>
    <s v="Credito"/>
    <n v="15"/>
    <n v="0"/>
    <n v="100"/>
    <n v="1"/>
    <n v="0"/>
    <n v="1"/>
    <n v="0.005"/>
    <n v="1"/>
    <n v="0.647"/>
    <n v="0.3235"/>
    <m/>
  </r>
  <r>
    <s v="Banco del Caribe  BS"/>
    <x v="68"/>
    <s v="J506426331"/>
    <s v="DISTRIBUIDORA COMPU TONER 3000, C.A."/>
    <s v="FCLIE/2026/02156"/>
    <d v="2026-06-23T00:00:00"/>
    <n v="21.25"/>
    <x v="1"/>
    <d v="2026-07-03T00:00:00"/>
    <d v="2026-06-23T00:00:00"/>
    <d v="2026-07-03T00:00:00"/>
    <s v="15"/>
    <s v="Credito"/>
    <n v="10"/>
    <n v="-5"/>
    <n v="100"/>
    <n v="1"/>
    <n v="0"/>
    <n v="1"/>
    <n v="0.005"/>
    <n v="1"/>
    <n v="0.2125"/>
    <n v="0.10625"/>
    <m/>
  </r>
  <r>
    <s v="USDT $ "/>
    <x v="69"/>
    <s v="J507234487"/>
    <s v="BRUT'S STORE 1, C.A."/>
    <s v="FCLIE/2026/02284"/>
    <d v="2026-07-03T00:00:00"/>
    <n v="50.45"/>
    <x v="4"/>
    <d v="2026-07-03T00:00:00"/>
    <d v="2026-07-03T00:00:00"/>
    <d v="2026-07-03T00:00:00"/>
    <n v="0"/>
    <s v="Contado"/>
    <n v="0"/>
    <n v="0"/>
    <n v="100"/>
    <n v="0"/>
    <n v="0"/>
    <n v="1.25"/>
    <n v="0.005"/>
    <n v="1"/>
    <n v="0.630625"/>
    <n v="0.25225"/>
    <m/>
  </r>
  <r>
    <s v="USDT $ "/>
    <x v="70"/>
    <s v="J409263290"/>
    <s v="&quot;TECNOMAS VENEZUELA, C.A.&quot;"/>
    <s v="FCLIE/2026/01677"/>
    <d v="2026-06-05T00:00:00"/>
    <n v="1942.5"/>
    <x v="3"/>
    <d v="2026-07-03T00:00:00"/>
    <d v="2026-06-05T00:00:00"/>
    <d v="2026-07-03T00:00:00"/>
    <s v="15"/>
    <s v="Credito"/>
    <n v="28"/>
    <n v="13"/>
    <n v="100"/>
    <n v="1"/>
    <n v="0"/>
    <n v="1"/>
    <n v="0.005"/>
    <n v="1"/>
    <n v="19.425"/>
    <n v="9.7125"/>
    <m/>
  </r>
  <r>
    <s v="Caja Principal"/>
    <x v="71"/>
    <s v="J294802362"/>
    <s v="OFIPROYECTOS K.G., C.A"/>
    <s v="FCLIE/2026/02286"/>
    <d v="2026-07-03T00:00:00"/>
    <n v="168.5"/>
    <x v="0"/>
    <d v="2026-07-03T00:00:00"/>
    <d v="2026-07-03T00:00:00"/>
    <d v="2026-07-03T00:00:00"/>
    <n v="0"/>
    <s v="Contado"/>
    <n v="0"/>
    <n v="0"/>
    <n v="100"/>
    <n v="0"/>
    <n v="0"/>
    <n v="1.25"/>
    <n v="0.005"/>
    <n v="1"/>
    <n v="2.10625"/>
    <n v="0.8425"/>
    <m/>
  </r>
  <r>
    <s v="Caja Principal"/>
    <x v="72"/>
    <s v="J316301869"/>
    <s v="2216 APR INVERSIONES ,C.A"/>
    <s v="FCLIE/2026/02289"/>
    <d v="2026-07-03T00:00:00"/>
    <n v="679"/>
    <x v="1"/>
    <d v="2026-07-03T00:00:00"/>
    <d v="2026-07-03T00:00:00"/>
    <d v="2026-07-03T00:00:00"/>
    <n v="0"/>
    <s v="Contado"/>
    <n v="0"/>
    <n v="0"/>
    <n v="100"/>
    <n v="0"/>
    <n v="0"/>
    <n v="1"/>
    <n v="0.005"/>
    <n v="1"/>
    <n v="6.79"/>
    <n v="3.395"/>
    <m/>
  </r>
  <r>
    <s v="Banco del Caribe  BS"/>
    <x v="73"/>
    <s v="J505965670"/>
    <s v="SOLUCIONES RORAIMA, C.A."/>
    <s v="FCLIE/2026/02296"/>
    <d v="2026-07-03T00:00:00"/>
    <n v="406"/>
    <x v="3"/>
    <d v="2026-07-03T00:00:00"/>
    <d v="2026-07-03T00:00:00"/>
    <d v="2026-07-03T00:00:00"/>
    <n v="0"/>
    <s v="Contado"/>
    <n v="0"/>
    <n v="0"/>
    <n v="100"/>
    <n v="0"/>
    <n v="0"/>
    <n v="1"/>
    <n v="0.005"/>
    <n v="1"/>
    <n v="4.06"/>
    <n v="2.03"/>
    <m/>
  </r>
  <r>
    <s v="Caja Principal"/>
    <x v="74"/>
    <s v="J507010872"/>
    <s v="EMPRENDIMIENTO KIMBERLYN MENDEZ"/>
    <s v="FCLIE/2026/02264"/>
    <d v="2026-07-03T00:00:00"/>
    <n v="200"/>
    <x v="4"/>
    <d v="2026-07-03T00:00:00"/>
    <d v="2026-07-03T00:00:00"/>
    <d v="2026-07-03T00:00:00"/>
    <n v="0"/>
    <s v="Contado"/>
    <n v="0"/>
    <n v="0"/>
    <n v="100"/>
    <n v="0"/>
    <n v="0"/>
    <n v="1.25"/>
    <n v="0.005"/>
    <n v="1"/>
    <n v="2.5"/>
    <n v="1"/>
    <m/>
  </r>
  <r>
    <s v="Caja Principal"/>
    <x v="75"/>
    <s v="J506775000"/>
    <s v="EMPRENDIMIENTO LAURANAILETH NUÑEZ"/>
    <s v="FCLIE/2026/02267"/>
    <d v="2026-07-03T00:00:00"/>
    <n v="150"/>
    <x v="4"/>
    <d v="2026-07-03T00:00:00"/>
    <d v="2026-07-03T00:00:00"/>
    <d v="2026-07-03T00:00:00"/>
    <s v="7"/>
    <s v="Credito"/>
    <n v="0"/>
    <n v="-7"/>
    <n v="100"/>
    <n v="0"/>
    <n v="0"/>
    <n v="1.25"/>
    <n v="0.005"/>
    <n v="1"/>
    <n v="1.875"/>
    <n v="0.75"/>
    <m/>
  </r>
  <r>
    <s v="Caja Principal"/>
    <x v="76"/>
    <s v="J294096549"/>
    <s v="VANGUARDIA Y TECNOLOGIA 3000"/>
    <s v="FCLIE/2026/02101"/>
    <d v="2026-06-22T00:00:00"/>
    <n v="197.09"/>
    <x v="5"/>
    <d v="2026-07-06T00:00:00"/>
    <d v="2026-06-22T00:00:00"/>
    <d v="2026-07-06T00:00:00"/>
    <s v="7"/>
    <s v="Credito"/>
    <n v="14"/>
    <n v="7"/>
    <n v="100"/>
    <n v="1"/>
    <n v="0"/>
    <n v="1"/>
    <n v="0.005"/>
    <n v="1"/>
    <n v="1.9709"/>
    <n v="0.98545"/>
    <m/>
  </r>
  <r>
    <s v="Caja Principal"/>
    <x v="76"/>
    <s v="J294096549"/>
    <s v="VANGUARDIA Y TECNOLOGIA 3000"/>
    <s v="FCLIE/2026/02125"/>
    <d v="2026-06-23T00:00:00"/>
    <n v="129.5"/>
    <x v="5"/>
    <d v="2026-07-06T00:00:00"/>
    <d v="2026-06-23T00:00:00"/>
    <d v="2026-07-06T00:00:00"/>
    <s v="7"/>
    <s v="Credito"/>
    <n v="13"/>
    <n v="6"/>
    <n v="100"/>
    <n v="1"/>
    <n v="0"/>
    <n v="1"/>
    <n v="0.005"/>
    <n v="1"/>
    <n v="1.295"/>
    <n v="0.6475"/>
    <m/>
  </r>
  <r>
    <s v="Caja Principal"/>
    <x v="77"/>
    <s v="J315575604"/>
    <s v=" CIO'S SOLUCIONES IT C.A"/>
    <s v="FCLIE/2026/02306"/>
    <d v="2026-07-06T00:00:00"/>
    <n v="69"/>
    <x v="0"/>
    <d v="2026-07-06T00:00:00"/>
    <d v="2026-07-06T00:00:00"/>
    <d v="2026-07-06T00:00:00"/>
    <n v="0"/>
    <s v="Contado"/>
    <n v="0"/>
    <n v="0"/>
    <n v="100"/>
    <n v="0"/>
    <n v="0"/>
    <n v="1.25"/>
    <n v="0.005"/>
    <n v="1"/>
    <n v="0.8625"/>
    <n v="0.345"/>
    <m/>
  </r>
  <r>
    <s v="Caja Principal"/>
    <x v="78"/>
    <s v="J502888438"/>
    <s v="SUMINISTROS Y SERVICIOS ELONAR C.A"/>
    <s v="FCLIE/2026/02304"/>
    <d v="2026-07-06T00:00:00"/>
    <n v="65"/>
    <x v="0"/>
    <d v="2026-07-06T00:00:00"/>
    <d v="2026-07-06T00:00:00"/>
    <d v="2026-07-06T00:00:00"/>
    <n v="0"/>
    <s v="Contado"/>
    <n v="0"/>
    <n v="0"/>
    <n v="100"/>
    <n v="0"/>
    <n v="0"/>
    <n v="1.25"/>
    <n v="0.005"/>
    <n v="1"/>
    <n v="0.8125"/>
    <n v="0.325"/>
    <m/>
  </r>
  <r>
    <s v="Caja Principal"/>
    <x v="79"/>
    <s v="J310178909"/>
    <s v="JARL CONSULTORES &amp; ASOCIADOS, C. A."/>
    <s v="FCLIE/2026/02310"/>
    <d v="2026-07-06T00:00:00"/>
    <n v="340"/>
    <x v="0"/>
    <d v="2026-07-06T00:00:00"/>
    <d v="2026-07-06T00:00:00"/>
    <d v="2026-07-06T00:00:00"/>
    <n v="0"/>
    <s v="Contado"/>
    <n v="0"/>
    <n v="0"/>
    <n v="100"/>
    <n v="0"/>
    <n v="0"/>
    <n v="1.25"/>
    <n v="0.005"/>
    <n v="1"/>
    <n v="4.25"/>
    <n v="1.7"/>
    <m/>
  </r>
  <r>
    <s v="USDT $ "/>
    <x v="80"/>
    <s v="J315095076"/>
    <s v="PC MALL, C.A."/>
    <s v="FCLIE/2026/02090"/>
    <d v="2026-06-22T00:00:00"/>
    <n v="1057"/>
    <x v="6"/>
    <d v="2026-07-06T00:00:00"/>
    <d v="2026-06-22T00:00:00"/>
    <d v="2026-07-06T00:00:00"/>
    <s v="7"/>
    <s v="Credito"/>
    <n v="14"/>
    <n v="7"/>
    <n v="100"/>
    <n v="1"/>
    <n v="0"/>
    <n v="1"/>
    <n v="0.005"/>
    <n v="1"/>
    <n v="10.57"/>
    <n v="5.285"/>
    <m/>
  </r>
  <r>
    <s v="USDT $ "/>
    <x v="81"/>
    <s v="V272422369"/>
    <s v="NOUEL INVERSIONES NN STORE BARINAS FP"/>
    <s v="FCLIE/2026/01845"/>
    <d v="2026-06-11T00:00:00"/>
    <n v="11041.55"/>
    <x v="6"/>
    <d v="2026-07-06T00:00:00"/>
    <d v="2026-06-11T00:00:00"/>
    <d v="2026-07-06T00:00:00"/>
    <s v="15"/>
    <s v="Credito"/>
    <n v="25"/>
    <n v="10"/>
    <n v="100"/>
    <n v="1"/>
    <n v="0"/>
    <n v="1"/>
    <n v="0.005"/>
    <n v="1"/>
    <n v="110.4155"/>
    <n v="55.20775"/>
    <m/>
  </r>
  <r>
    <s v="USDT $ "/>
    <x v="82"/>
    <s v="J506775000"/>
    <s v="EMPRENDIMIENTO LAURANAILETH NUÑEZ"/>
    <s v="FCLIE/2026/02165"/>
    <d v="2026-06-29T00:00:00"/>
    <n v="300"/>
    <x v="4"/>
    <d v="2026-07-06T00:00:00"/>
    <d v="2026-06-29T00:00:00"/>
    <d v="2026-07-06T00:00:00"/>
    <s v="7"/>
    <s v="Credito"/>
    <n v="7"/>
    <n v="0"/>
    <n v="100"/>
    <n v="1"/>
    <n v="0"/>
    <n v="1.25"/>
    <n v="0.005"/>
    <n v="1"/>
    <n v="3.75"/>
    <n v="1.5"/>
    <m/>
  </r>
  <r>
    <s v="USDT $ "/>
    <x v="83"/>
    <s v="J503184515"/>
    <s v="ARYP TECNOPOLIS, C.A"/>
    <s v="FCLIE/2026/01982"/>
    <d v="2026-06-17T00:00:00"/>
    <n v="100"/>
    <x v="0"/>
    <d v="2026-07-06T00:00:00"/>
    <d v="2026-06-17T00:00:00"/>
    <d v="2026-07-06T00:00:00"/>
    <s v="15"/>
    <s v="Credito"/>
    <n v="19"/>
    <n v="4"/>
    <n v="100"/>
    <n v="1"/>
    <n v="0"/>
    <n v="1"/>
    <n v="0.005"/>
    <n v="1"/>
    <n v="1"/>
    <n v="0.5"/>
    <m/>
  </r>
  <r>
    <s v="USDT $ "/>
    <x v="46"/>
    <s v="J314639935"/>
    <s v="VENESERVICIOS INTEGRALES J.U. C.A."/>
    <s v="FCLIE/2026/02261"/>
    <d v="2026-07-03T00:00:00"/>
    <n v="3.11"/>
    <x v="0"/>
    <d v="2026-07-03T00:00:00"/>
    <d v="2026-07-03T00:00:00"/>
    <d v="2026-07-03T00:00:00"/>
    <s v="7"/>
    <s v="Credito"/>
    <n v="0"/>
    <n v="-7"/>
    <n v="100"/>
    <n v="0"/>
    <n v="0"/>
    <n v="1.25"/>
    <n v="0.005"/>
    <n v="1"/>
    <n v="0.038875"/>
    <n v="0.01555"/>
    <m/>
  </r>
  <r>
    <s v="USDT $ "/>
    <x v="84"/>
    <s v="J314639935"/>
    <s v="VENESERVICIOS INTEGRALES J.U. C.A."/>
    <s v="FCLIE/2026/02261"/>
    <d v="2026-07-03T00:00:00"/>
    <n v="202.75"/>
    <x v="0"/>
    <d v="2026-07-06T00:00:00"/>
    <d v="2026-07-03T00:00:00"/>
    <d v="2026-07-06T00:00:00"/>
    <s v="7"/>
    <s v="Credito"/>
    <n v="3"/>
    <n v="-4"/>
    <n v="100"/>
    <n v="0"/>
    <n v="0"/>
    <n v="1.25"/>
    <n v="0.005"/>
    <n v="1"/>
    <n v="2.534375"/>
    <n v="1.01375"/>
    <m/>
  </r>
  <r>
    <s v="Caja Principal"/>
    <x v="85"/>
    <s v="J506775000"/>
    <s v="EMPRENDIMIENTO LAURANAILETH NUÑEZ"/>
    <s v="FCLIE/2026/02165"/>
    <d v="2026-06-29T00:00:00"/>
    <n v="269.1"/>
    <x v="4"/>
    <d v="2026-07-06T00:00:00"/>
    <d v="2026-06-29T00:00:00"/>
    <d v="2026-07-06T00:00:00"/>
    <s v="7"/>
    <s v="Credito"/>
    <n v="7"/>
    <n v="0"/>
    <n v="100"/>
    <n v="1"/>
    <n v="0"/>
    <n v="1.25"/>
    <n v="0.005"/>
    <n v="1"/>
    <n v="3.36375"/>
    <n v="1.3455"/>
    <m/>
  </r>
  <r>
    <s v="USDT $ "/>
    <x v="86"/>
    <s v="J507010872"/>
    <s v="EMPRENDIMIENTO KIMBERLYN MENDEZ"/>
    <s v="FCLIE/2026/02305"/>
    <d v="2026-07-06T00:00:00"/>
    <n v="232.95"/>
    <x v="4"/>
    <d v="2026-07-06T00:00:00"/>
    <d v="2026-07-06T00:00:00"/>
    <d v="2026-07-06T00:00:00"/>
    <n v="0"/>
    <s v="Contado"/>
    <n v="0"/>
    <n v="0"/>
    <n v="100"/>
    <n v="0"/>
    <n v="0"/>
    <n v="1.25"/>
    <n v="0.005"/>
    <n v="1"/>
    <n v="2.911875"/>
    <n v="1.16475"/>
    <m/>
  </r>
  <r>
    <s v="USDT $ "/>
    <x v="87"/>
    <s v="J502888438"/>
    <s v="SUMINISTROS Y SERVICIOS ELONAR C.A"/>
    <s v="FCLIE/2026/02304"/>
    <d v="2026-07-06T00:00:00"/>
    <n v="155.16"/>
    <x v="0"/>
    <d v="2026-07-06T00:00:00"/>
    <d v="2026-07-06T00:00:00"/>
    <d v="2026-07-06T00:00:00"/>
    <n v="0"/>
    <s v="Contado"/>
    <n v="0"/>
    <n v="0"/>
    <n v="100"/>
    <n v="0"/>
    <n v="0"/>
    <n v="1.25"/>
    <n v="0.005"/>
    <n v="1"/>
    <n v="1.9395"/>
    <n v="0.7758"/>
    <m/>
  </r>
  <r>
    <s v="USDT $ "/>
    <x v="88"/>
    <s v="J317356675"/>
    <s v="TIC 99, C."/>
    <s v="FCLIE/2026/02315"/>
    <d v="2026-07-06T00:00:00"/>
    <n v="732"/>
    <x v="4"/>
    <d v="2026-07-06T00:00:00"/>
    <d v="2026-07-06T00:00:00"/>
    <d v="2026-07-06T00:00:00"/>
    <n v="0"/>
    <s v="Contado"/>
    <n v="0"/>
    <n v="0"/>
    <n v="100"/>
    <n v="0"/>
    <n v="0"/>
    <n v="1.25"/>
    <n v="0.005"/>
    <n v="1"/>
    <n v="9.15"/>
    <n v="3.66"/>
    <m/>
  </r>
  <r>
    <s v="USDT $ "/>
    <x v="89"/>
    <s v="J501365822"/>
    <s v="MULTI PC VENEZUELA, C.A."/>
    <s v="FCLIE/2026/02162"/>
    <d v="2026-06-26T00:00:00"/>
    <n v="3000"/>
    <x v="4"/>
    <d v="2026-07-06T00:00:00"/>
    <d v="2026-06-26T00:00:00"/>
    <d v="2026-07-06T00:00:00"/>
    <s v="7"/>
    <s v="Credito"/>
    <n v="10"/>
    <n v="3"/>
    <n v="100"/>
    <n v="1"/>
    <n v="0"/>
    <n v="1.25"/>
    <n v="0.005"/>
    <n v="1"/>
    <n v="37.5"/>
    <n v="15"/>
    <m/>
  </r>
  <r>
    <s v="USDT $ "/>
    <x v="90"/>
    <s v="J406277991"/>
    <s v="SEGURITY NETWORW C.A"/>
    <s v="FCLIE/2026/02318"/>
    <d v="2026-07-06T00:00:00"/>
    <n v="754"/>
    <x v="1"/>
    <d v="2026-07-06T00:00:00"/>
    <d v="2026-07-06T00:00:00"/>
    <d v="2026-07-06T00:00:00"/>
    <n v="0"/>
    <s v="Contado"/>
    <n v="0"/>
    <n v="0"/>
    <n v="100"/>
    <n v="0"/>
    <n v="0"/>
    <n v="1"/>
    <n v="0.005"/>
    <n v="1"/>
    <n v="7.54"/>
    <n v="3.77"/>
    <m/>
  </r>
  <r>
    <s v="USDT $ "/>
    <x v="91"/>
    <s v="J315051435"/>
    <s v="KAMAL CYBER &amp; SERVICE, C.A"/>
    <s v="FCLIE/2026/01734"/>
    <d v="2026-06-08T00:00:00"/>
    <n v="4300"/>
    <x v="1"/>
    <d v="2026-07-06T00:00:00"/>
    <d v="2026-06-08T00:00:00"/>
    <d v="2026-07-06T00:00:00"/>
    <s v="15"/>
    <s v="Credito"/>
    <n v="28"/>
    <n v="13"/>
    <n v="100"/>
    <n v="1"/>
    <n v="0"/>
    <n v="1"/>
    <n v="0.005"/>
    <n v="1"/>
    <n v="43"/>
    <n v="21.5"/>
    <m/>
  </r>
  <r>
    <s v="USDT $ "/>
    <x v="92"/>
    <s v="J501281157"/>
    <s v="GLOBAL PC VZLA, C.A."/>
    <s v="FCLIE/2026/01663"/>
    <d v="2026-06-05T00:00:00"/>
    <n v="2480"/>
    <x v="2"/>
    <d v="2026-07-06T00:00:00"/>
    <d v="2026-06-05T00:00:00"/>
    <d v="2026-07-06T00:00:00"/>
    <s v="21"/>
    <s v="Credito"/>
    <n v="31"/>
    <n v="10"/>
    <n v="100"/>
    <n v="1"/>
    <n v="0"/>
    <n v="1.25"/>
    <n v="0.005"/>
    <n v="1"/>
    <n v="31"/>
    <n v="12.4"/>
    <m/>
  </r>
  <r>
    <s v="USDT $ "/>
    <x v="93"/>
    <s v="J410965266"/>
    <s v="INVERSIONES ALDAYO C.A"/>
    <s v="FCLIE/2026/02107"/>
    <d v="2026-06-22T00:00:00"/>
    <n v="1.17"/>
    <x v="2"/>
    <d v="2026-07-06T00:00:00"/>
    <d v="2026-06-22T00:00:00"/>
    <d v="2026-07-06T00:00:00"/>
    <s v="7"/>
    <s v="Credito"/>
    <n v="14"/>
    <n v="7"/>
    <n v="100"/>
    <n v="1"/>
    <n v="0"/>
    <n v="1.25"/>
    <n v="0.005"/>
    <n v="1"/>
    <n v="0.014625"/>
    <n v="0.00585"/>
    <m/>
  </r>
  <r>
    <s v="USDT $ "/>
    <x v="93"/>
    <s v="J410965266"/>
    <s v="INVERSIONES ALDAYO C.A"/>
    <s v="FCLIE/2026/02282"/>
    <d v="2026-07-03T00:00:00"/>
    <n v="188.83"/>
    <x v="2"/>
    <d v="2026-07-06T00:00:00"/>
    <d v="2026-07-03T00:00:00"/>
    <d v="2026-07-06T00:00:00"/>
    <s v="7"/>
    <s v="Credito"/>
    <n v="3"/>
    <n v="-4"/>
    <n v="100"/>
    <n v="0"/>
    <n v="0"/>
    <n v="1.25"/>
    <n v="0.005"/>
    <n v="1"/>
    <n v="2.360375"/>
    <n v="0.94415"/>
    <m/>
  </r>
  <r>
    <s v="USDT $ "/>
    <x v="94"/>
    <s v="J506775000"/>
    <s v="EMPRENDIMIENTO LAURANAILETH NUÑEZ"/>
    <s v="FCLIE/2026/02267"/>
    <d v="2026-07-03T00:00:00"/>
    <n v="200"/>
    <x v="4"/>
    <d v="2026-07-06T00:00:00"/>
    <d v="2026-07-03T00:00:00"/>
    <d v="2026-07-06T00:00:00"/>
    <s v="7"/>
    <s v="Credito"/>
    <n v="3"/>
    <n v="-4"/>
    <n v="100"/>
    <n v="1"/>
    <n v="0"/>
    <n v="1.25"/>
    <n v="0.005"/>
    <n v="1"/>
    <n v="2.5"/>
    <n v="1"/>
    <m/>
  </r>
  <r>
    <s v="Caja Principal"/>
    <x v="85"/>
    <s v="J506775000"/>
    <s v="EMPRENDIMIENTO LAURANAILETH NUÑEZ"/>
    <s v="FCLIE/2026/02267"/>
    <d v="2026-07-03T00:00:00"/>
    <n v="330.9"/>
    <x v="4"/>
    <d v="2026-07-06T00:00:00"/>
    <d v="2026-07-03T00:00:00"/>
    <d v="2026-07-06T00:00:00"/>
    <s v="7"/>
    <s v="Credito"/>
    <n v="3"/>
    <n v="-4"/>
    <n v="100"/>
    <n v="1"/>
    <n v="0"/>
    <n v="1.25"/>
    <n v="0.005"/>
    <n v="1"/>
    <n v="4.13625"/>
    <n v="1.6545"/>
    <m/>
  </r>
  <r>
    <s v="USDT $ "/>
    <x v="95"/>
    <s v="J296537453"/>
    <s v="VN GROUP 3000, C.A."/>
    <s v="FCLIE/2026/01434"/>
    <d v="2026-05-27T00:00:00"/>
    <n v="1690.23"/>
    <x v="2"/>
    <d v="2026-07-06T00:00:00"/>
    <d v="2026-05-27T00:00:00"/>
    <d v="2026-07-06T00:00:00"/>
    <n v="30"/>
    <s v="Credito"/>
    <n v="40"/>
    <n v="10"/>
    <n v="100"/>
    <n v="2"/>
    <n v="0"/>
    <n v="1"/>
    <n v="0.005"/>
    <n v="1"/>
    <n v="16.9023"/>
    <n v="8.45115"/>
    <m/>
  </r>
  <r>
    <s v="USDT $ "/>
    <x v="96"/>
    <s v="J500636750"/>
    <s v="PHONE CELL VEM II, C.A."/>
    <s v="FCLIE/2026/01965"/>
    <d v="2026-06-17T00:00:00"/>
    <n v="2394"/>
    <x v="5"/>
    <d v="2026-07-06T00:00:00"/>
    <d v="2026-06-17T00:00:00"/>
    <d v="2026-07-06T00:00:00"/>
    <s v="21"/>
    <s v="Credito"/>
    <n v="19"/>
    <n v="-2"/>
    <n v="100"/>
    <n v="1"/>
    <n v="0"/>
    <n v="1"/>
    <n v="0.005"/>
    <n v="1"/>
    <n v="23.94"/>
    <n v="11.97"/>
    <m/>
  </r>
  <r>
    <s v="USDT $ "/>
    <x v="96"/>
    <s v="J500636750"/>
    <s v="PHONE CELL VEM II, C.A."/>
    <s v="FCLIE/2026/02095"/>
    <d v="2026-06-22T00:00:00"/>
    <n v="6"/>
    <x v="5"/>
    <d v="2026-07-06T00:00:00"/>
    <d v="2026-06-22T00:00:00"/>
    <d v="2026-07-06T00:00:00"/>
    <s v="21"/>
    <s v="Credito"/>
    <n v="14"/>
    <n v="-7"/>
    <n v="100"/>
    <n v="1"/>
    <n v="0"/>
    <n v="1"/>
    <n v="0.005"/>
    <n v="1"/>
    <n v="0.06"/>
    <n v="0.03"/>
    <m/>
  </r>
  <r>
    <s v="USDT $ "/>
    <x v="97"/>
    <s v="J500662998"/>
    <s v="INVERSIONES SHOP COMPUTER 2020 C.A"/>
    <s v="FCLIE/2026/01447"/>
    <d v="2026-05-28T00:00:00"/>
    <n v="100"/>
    <x v="1"/>
    <d v="2026-07-06T00:00:00"/>
    <d v="2026-05-28T00:00:00"/>
    <d v="2026-07-06T00:00:00"/>
    <s v="10"/>
    <s v="Credito"/>
    <n v="39"/>
    <n v="29"/>
    <n v="50"/>
    <n v="2"/>
    <n v="0"/>
    <n v="1"/>
    <n v="0.005"/>
    <n v="1"/>
    <n v="0.5"/>
    <n v="0.5"/>
    <m/>
  </r>
  <r>
    <s v="USDT $ "/>
    <x v="98"/>
    <s v="J504013390"/>
    <s v="GLOBAL PRINT 1994, C.A."/>
    <s v="FCLIE/2026/01869"/>
    <d v="2026-06-12T00:00:00"/>
    <n v="48.82"/>
    <x v="0"/>
    <d v="2026-07-06T00:00:00"/>
    <d v="2026-06-12T00:00:00"/>
    <d v="2026-07-06T00:00:00"/>
    <n v="0"/>
    <s v="Contado"/>
    <n v="24"/>
    <n v="24"/>
    <n v="0"/>
    <n v="1"/>
    <n v="0"/>
    <n v="1"/>
    <n v="0.005"/>
    <n v="0"/>
    <n v="0"/>
    <n v="0.2441"/>
    <m/>
  </r>
  <r>
    <s v="USDT $ "/>
    <x v="98"/>
    <s v="J504013390"/>
    <s v="GLOBAL PRINT 1994, C.A."/>
    <s v="FCLIE/2026/01947"/>
    <d v="2026-06-16T00:00:00"/>
    <n v="123.3"/>
    <x v="0"/>
    <d v="2026-07-06T00:00:00"/>
    <d v="2026-06-16T00:00:00"/>
    <d v="2026-07-06T00:00:00"/>
    <s v="10"/>
    <s v="Credito"/>
    <n v="20"/>
    <n v="10"/>
    <n v="100"/>
    <n v="1"/>
    <n v="0"/>
    <n v="1"/>
    <n v="0.005"/>
    <n v="1"/>
    <n v="1.233"/>
    <n v="0.6165"/>
    <m/>
  </r>
  <r>
    <s v="USDT $ "/>
    <x v="98"/>
    <s v="J504013390"/>
    <s v="GLOBAL PRINT 1994, C.A."/>
    <s v="FCLIE/2026/02163"/>
    <d v="2026-06-29T00:00:00"/>
    <n v="426"/>
    <x v="0"/>
    <d v="2026-07-06T00:00:00"/>
    <d v="2026-06-29T00:00:00"/>
    <d v="2026-07-06T00:00:00"/>
    <n v="0"/>
    <s v="Contado"/>
    <n v="7"/>
    <n v="7"/>
    <n v="0"/>
    <n v="1"/>
    <n v="0"/>
    <n v="1"/>
    <n v="0.005"/>
    <n v="0"/>
    <n v="0"/>
    <n v="2.13"/>
    <m/>
  </r>
  <r>
    <s v="USDT $ "/>
    <x v="99"/>
    <s v="J501821631"/>
    <s v="MULTI CONFORT CA"/>
    <s v="FCLIE/2026/01348"/>
    <d v="2026-05-22T00:00:00"/>
    <n v="2000"/>
    <x v="5"/>
    <d v="2026-07-06T00:00:00"/>
    <d v="2026-05-22T00:00:00"/>
    <d v="2026-07-06T00:00:00"/>
    <s v="10"/>
    <s v="Credito"/>
    <n v="45"/>
    <n v="35"/>
    <n v="30"/>
    <n v="2"/>
    <n v="0"/>
    <n v="0"/>
    <n v="0.005"/>
    <n v="1"/>
    <n v="0"/>
    <n v="10"/>
    <m/>
  </r>
  <r>
    <s v="USDT $ "/>
    <x v="100"/>
    <s v="J506775000"/>
    <s v="EMPRENDIMIENTO LAURANAILETH NUÑEZ"/>
    <s v="FCLIE/2026/02267"/>
    <d v="2026-07-03T00:00:00"/>
    <n v="78.6"/>
    <x v="4"/>
    <d v="2026-07-06T00:00:00"/>
    <d v="2026-07-03T00:00:00"/>
    <d v="2026-07-06T00:00:00"/>
    <s v="7"/>
    <s v="Credito"/>
    <n v="3"/>
    <n v="-4"/>
    <n v="100"/>
    <n v="0"/>
    <n v="0"/>
    <n v="1.25"/>
    <n v="0.005"/>
    <n v="1"/>
    <n v="0.9825"/>
    <n v="0.393"/>
    <m/>
  </r>
  <r>
    <s v="USDT $ "/>
    <x v="100"/>
    <s v="J506775000"/>
    <s v="EMPRENDIMIENTO LAURANAILETH NUÑEZ"/>
    <s v="FCLIE/2026/02269"/>
    <d v="2026-07-03T00:00:00"/>
    <n v="221.4"/>
    <x v="4"/>
    <d v="2026-07-06T00:00:00"/>
    <d v="2026-07-03T00:00:00"/>
    <d v="2026-07-06T00:00:00"/>
    <s v="7"/>
    <s v="Credito"/>
    <n v="3"/>
    <n v="-4"/>
    <n v="100"/>
    <n v="0"/>
    <n v="0"/>
    <n v="1.25"/>
    <n v="0.005"/>
    <n v="1"/>
    <n v="2.7675"/>
    <n v="1.107"/>
    <m/>
  </r>
  <r>
    <s v="USDT $ "/>
    <x v="101"/>
    <s v="J506775000"/>
    <s v="EMPRENDIMIENTO LAURANAILETH NUÑEZ"/>
    <s v="FCLIE/2026/02269"/>
    <d v="2026-07-03T00:00:00"/>
    <n v="100"/>
    <x v="4"/>
    <d v="2026-07-06T00:00:00"/>
    <d v="2026-07-03T00:00:00"/>
    <d v="2026-07-06T00:00:00"/>
    <s v="7"/>
    <s v="Credito"/>
    <n v="3"/>
    <n v="-4"/>
    <n v="100"/>
    <n v="0"/>
    <n v="0"/>
    <n v="1.25"/>
    <n v="0.005"/>
    <n v="1"/>
    <n v="1.25"/>
    <n v="0.5"/>
    <m/>
  </r>
  <r>
    <s v="USDT $ "/>
    <x v="102"/>
    <s v="V27748606"/>
    <s v="SANTIAGO CHAMBUCO"/>
    <s v="FCLIE/2026/02322"/>
    <d v="2026-07-06T00:00:00"/>
    <n v="645"/>
    <x v="5"/>
    <d v="2026-07-06T00:00:00"/>
    <d v="2026-07-06T00:00:00"/>
    <d v="2026-07-06T00:00:00"/>
    <n v="0"/>
    <s v="Contado"/>
    <n v="0"/>
    <n v="0"/>
    <n v="100"/>
    <n v="0"/>
    <n v="0"/>
    <n v="1.25"/>
    <n v="0.005"/>
    <n v="1"/>
    <n v="8.0625"/>
    <n v="3.225"/>
    <m/>
  </r>
  <r>
    <s v="Caja Principal"/>
    <x v="103"/>
    <s v="V27748606"/>
    <s v="SANTIAGO CHAMBUCO"/>
    <s v="FCLIE/2026/02316"/>
    <d v="2026-07-06T00:00:00"/>
    <n v="235"/>
    <x v="5"/>
    <d v="2026-07-06T00:00:00"/>
    <d v="2026-07-06T00:00:00"/>
    <d v="2026-07-06T00:00:00"/>
    <n v="0"/>
    <s v="Contado"/>
    <n v="0"/>
    <n v="0"/>
    <n v="100"/>
    <n v="0"/>
    <n v="0"/>
    <n v="1.25"/>
    <n v="0.005"/>
    <n v="1"/>
    <n v="2.9375"/>
    <n v="1.175"/>
    <m/>
  </r>
  <r>
    <s v="USDT $ "/>
    <x v="104"/>
    <s v="J402290179"/>
    <s v="SERVITEC R &amp; M, C.A."/>
    <s v="FCLIE/2026/02323"/>
    <d v="2026-07-06T00:00:00"/>
    <n v="241.95"/>
    <x v="1"/>
    <d v="2026-07-06T00:00:00"/>
    <d v="2026-07-06T00:00:00"/>
    <d v="2026-07-06T00:00:00"/>
    <n v="0"/>
    <s v="Contado"/>
    <n v="0"/>
    <n v="0"/>
    <n v="100"/>
    <n v="0"/>
    <n v="0"/>
    <n v="1"/>
    <n v="0.005"/>
    <n v="1"/>
    <n v="2.4195"/>
    <n v="1.20975"/>
    <m/>
  </r>
  <r>
    <s v="USDT $ "/>
    <x v="105"/>
    <s v="J412058541"/>
    <s v="SIDDHI TECNOLOGIA, C.A"/>
    <s v="FCLIE/2026/02311"/>
    <d v="2026-07-06T00:00:00"/>
    <n v="731.9"/>
    <x v="3"/>
    <d v="2026-07-06T00:00:00"/>
    <d v="2026-07-06T00:00:00"/>
    <d v="2026-07-06T00:00:00"/>
    <s v="3"/>
    <s v="Credito"/>
    <n v="0"/>
    <n v="-3"/>
    <n v="100"/>
    <n v="0"/>
    <n v="0"/>
    <n v="1"/>
    <n v="0.005"/>
    <n v="1"/>
    <n v="7.319"/>
    <n v="3.6595"/>
    <m/>
  </r>
  <r>
    <s v="Caja Principal"/>
    <x v="23"/>
    <s v="J507010872"/>
    <s v="EMPRENDIMIENTO KIMBERLYN MENDEZ"/>
    <s v="FCLIE/2026/02324"/>
    <d v="2026-07-06T00:00:00"/>
    <n v="3"/>
    <x v="4"/>
    <d v="2026-07-02T00:00:00"/>
    <d v="2026-07-06T00:00:00"/>
    <d v="2026-07-02T00:00:00"/>
    <n v="0"/>
    <s v="Contado"/>
    <n v="-4"/>
    <n v="-4"/>
    <n v="100"/>
    <n v="0"/>
    <n v="0"/>
    <n v="1.25"/>
    <n v="0.005"/>
    <n v="1"/>
    <n v="0.0375"/>
    <n v="0.015"/>
    <m/>
  </r>
  <r>
    <s v="Caja Principal"/>
    <x v="106"/>
    <s v="J507010872"/>
    <s v="EMPRENDIMIENTO KIMBERLYN MENDEZ"/>
    <s v="FCLIE/2026/02324"/>
    <d v="2026-07-06T00:00:00"/>
    <n v="49"/>
    <x v="4"/>
    <d v="2026-07-06T00:00:00"/>
    <d v="2026-07-06T00:00:00"/>
    <d v="2026-07-06T00:00:00"/>
    <n v="0"/>
    <s v="Contado"/>
    <n v="0"/>
    <n v="0"/>
    <n v="100"/>
    <n v="0"/>
    <n v="0"/>
    <n v="1.25"/>
    <n v="0.005"/>
    <n v="1"/>
    <n v="0.6125"/>
    <n v="0.245"/>
    <m/>
  </r>
  <r>
    <s v="Caja Principal"/>
    <x v="107"/>
    <s v="J001724958"/>
    <s v="MOBIL CHIC, C.A."/>
    <s v="FCLIE/2026/02330"/>
    <d v="2026-07-06T00:00:00"/>
    <n v="112.5"/>
    <x v="0"/>
    <d v="2026-07-06T00:00:00"/>
    <d v="2026-07-06T00:00:00"/>
    <d v="2026-07-06T00:00:00"/>
    <n v="0"/>
    <s v="Contado"/>
    <n v="0"/>
    <n v="0"/>
    <n v="100"/>
    <n v="0"/>
    <n v="0"/>
    <n v="1.25"/>
    <n v="0.005"/>
    <n v="1"/>
    <n v="1.40625"/>
    <n v="0.5625"/>
    <m/>
  </r>
  <r>
    <s v="USDT $ "/>
    <x v="108"/>
    <s v="J503445475"/>
    <s v="SOAL T COMPUTER, C.A."/>
    <s v="FCLIE/2026/00201"/>
    <d v="2026-03-31T00:00:00"/>
    <n v="1000"/>
    <x v="1"/>
    <d v="2026-07-06T00:00:00"/>
    <d v="2026-03-31T00:00:00"/>
    <d v="2026-07-06T00:00:00"/>
    <n v="21"/>
    <s v="Credito"/>
    <n v="97"/>
    <n v="76"/>
    <n v="0"/>
    <n v="0"/>
    <n v="0"/>
    <n v="1"/>
    <n v="0.005"/>
    <n v="0"/>
    <n v="0"/>
    <n v="5"/>
    <m/>
  </r>
  <r>
    <s v="Banesco Custodia $"/>
    <x v="109"/>
    <s v="J501820813"/>
    <s v="A&amp;J INVERSIONES, C.A"/>
    <s v="FCLIE/2026/01347"/>
    <d v="2026-05-22T00:00:00"/>
    <n v="585.63"/>
    <x v="3"/>
    <d v="2026-07-06T00:00:00"/>
    <d v="2026-05-22T00:00:00"/>
    <d v="2026-07-06T00:00:00"/>
    <s v="15"/>
    <s v="Credito"/>
    <n v="45"/>
    <n v="30"/>
    <n v="50"/>
    <n v="2"/>
    <n v="0"/>
    <n v="1"/>
    <n v="0.005"/>
    <n v="1"/>
    <n v="2.92815"/>
    <n v="2.92815"/>
    <m/>
  </r>
  <r>
    <s v="Banesco Custodia $"/>
    <x v="109"/>
    <s v="J501820813"/>
    <s v="A&amp;J INVERSIONES, C.A"/>
    <s v="FCLIE/2026/01486"/>
    <d v="2026-05-29T00:00:00"/>
    <n v="1814.37"/>
    <x v="3"/>
    <d v="2026-07-06T00:00:00"/>
    <d v="2026-05-29T00:00:00"/>
    <d v="2026-07-06T00:00:00"/>
    <s v="15"/>
    <s v="Credito"/>
    <n v="38"/>
    <n v="23"/>
    <n v="50"/>
    <n v="2"/>
    <n v="0"/>
    <n v="1"/>
    <n v="0.005"/>
    <n v="1"/>
    <n v="9.07185"/>
    <n v="9.07185"/>
    <m/>
  </r>
  <r>
    <s v="Banco del Caribe  BS"/>
    <x v="110"/>
    <s v="J505393928"/>
    <s v="WENKAPC, C.A."/>
    <s v="FCLIE/2026/02334"/>
    <d v="2026-07-06T00:00:00"/>
    <n v="166"/>
    <x v="1"/>
    <d v="2026-07-06T00:00:00"/>
    <d v="2026-07-06T00:00:00"/>
    <d v="2026-07-06T00:00:00"/>
    <n v="0"/>
    <s v="Contado"/>
    <n v="0"/>
    <n v="0"/>
    <n v="100"/>
    <n v="0"/>
    <n v="0"/>
    <n v="1"/>
    <n v="0.005"/>
    <n v="1"/>
    <n v="1.66"/>
    <n v="0.83"/>
    <m/>
  </r>
  <r>
    <s v="Banco del Caribe  BS"/>
    <x v="111"/>
    <s v="J297727639"/>
    <s v="ALQUI EQUIPOS G. P. C.A"/>
    <s v="FCLIE/2026/02336"/>
    <d v="2026-07-06T00:00:00"/>
    <n v="626.2"/>
    <x v="1"/>
    <d v="2026-07-06T00:00:00"/>
    <d v="2026-07-06T00:00:00"/>
    <d v="2026-07-06T00:00:00"/>
    <n v="0"/>
    <s v="Contado"/>
    <n v="0"/>
    <n v="0"/>
    <n v="100"/>
    <n v="0"/>
    <n v="0"/>
    <n v="1"/>
    <n v="0.005"/>
    <n v="1"/>
    <n v="6.262"/>
    <n v="3.131"/>
    <m/>
  </r>
  <r>
    <s v="Banesco BS. 3049"/>
    <x v="112"/>
    <s v="J308190802"/>
    <s v="COMPU DEPOT C.A"/>
    <s v="FCLIE/2026/02034"/>
    <d v="2026-06-19T00:00:00"/>
    <n v="251.1"/>
    <x v="0"/>
    <d v="2026-07-06T00:00:00"/>
    <d v="2026-06-19T00:00:00"/>
    <d v="2026-07-06T00:00:00"/>
    <s v="15"/>
    <s v="Credito"/>
    <n v="17"/>
    <n v="2"/>
    <n v="100"/>
    <n v="1"/>
    <n v="0"/>
    <n v="1"/>
    <n v="0.005"/>
    <n v="1"/>
    <n v="2.511"/>
    <n v="1.2555"/>
    <m/>
  </r>
  <r>
    <s v="Banco del Caribe  BS"/>
    <x v="113"/>
    <s v="J505605739"/>
    <s v="ALGE SOLUTIONS 2024, C.A."/>
    <s v="FCLIE/2026/02338"/>
    <d v="2026-07-06T00:00:00"/>
    <n v="39.9"/>
    <x v="3"/>
    <d v="2026-07-06T00:00:00"/>
    <d v="2026-07-06T00:00:00"/>
    <d v="2026-07-06T00:00:00"/>
    <n v="0"/>
    <s v="Contado"/>
    <n v="0"/>
    <n v="0"/>
    <n v="100"/>
    <n v="0"/>
    <n v="0"/>
    <n v="1"/>
    <n v="0.005"/>
    <n v="1"/>
    <n v="0.399"/>
    <n v="0.1995"/>
    <m/>
  </r>
  <r>
    <s v="Banesco BS. 3049"/>
    <x v="114"/>
    <s v="J408592312"/>
    <s v="DISTRIBUIDORA COMPU PAPEL 2016,C.A."/>
    <s v="FCLIE/2026/01866"/>
    <d v="2026-06-12T00:00:00"/>
    <n v="44.52"/>
    <x v="3"/>
    <d v="2026-07-03T00:00:00"/>
    <d v="2026-06-12T00:00:00"/>
    <d v="2026-07-03T00:00:00"/>
    <n v="0"/>
    <s v="Contado"/>
    <n v="21"/>
    <n v="21"/>
    <n v="0"/>
    <n v="1"/>
    <n v="0"/>
    <n v="1"/>
    <n v="0.005"/>
    <n v="0"/>
    <n v="0"/>
    <n v="0.2226"/>
    <m/>
  </r>
  <r>
    <s v="Banesco BS. 3049"/>
    <x v="114"/>
    <s v="J408592312"/>
    <s v="DISTRIBUIDORA COMPU PAPEL 2016,C.A."/>
    <s v="FCLIE/2026/00791"/>
    <d v="2026-04-29T00:00:00"/>
    <n v="103.41"/>
    <x v="3"/>
    <d v="2026-07-03T00:00:00"/>
    <d v="2026-04-29T00:00:00"/>
    <d v="2026-07-03T00:00:00"/>
    <n v="0"/>
    <s v="Contado"/>
    <n v="65"/>
    <n v="65"/>
    <n v="0"/>
    <n v="0"/>
    <n v="0"/>
    <n v="1"/>
    <n v="0.005"/>
    <n v="0"/>
    <n v="0"/>
    <n v="0.51705"/>
    <m/>
  </r>
  <r>
    <s v="Banesco Custodia $"/>
    <x v="115"/>
    <s v="V124354591"/>
    <s v="MEDIOMUNDO COMERCIALIZADORA 2014"/>
    <s v="FCLIE/2026/02219"/>
    <d v="2026-07-01T00:00:00"/>
    <n v="1410"/>
    <x v="3"/>
    <d v="2026-07-01T00:00:00"/>
    <d v="2026-07-01T00:00:00"/>
    <d v="2026-07-01T00:00:00"/>
    <n v="0"/>
    <s v="Contado"/>
    <n v="0"/>
    <n v="0"/>
    <n v="100"/>
    <n v="0"/>
    <n v="0"/>
    <n v="1"/>
    <n v="0.005"/>
    <n v="1"/>
    <n v="14.1"/>
    <n v="7.05"/>
    <m/>
  </r>
  <r>
    <s v="Banco del Caribe  BS"/>
    <x v="116"/>
    <s v="J502428925"/>
    <s v="MULTISERVICIOS Y DISTRIBUIDORA ROMAR, C.A"/>
    <s v="FCLIE/2026/02253"/>
    <d v="2026-07-02T00:00:00"/>
    <n v="60"/>
    <x v="3"/>
    <d v="2026-07-02T00:00:00"/>
    <d v="2026-07-02T00:00:00"/>
    <d v="2026-07-02T00:00:00"/>
    <n v="0"/>
    <s v="Contado"/>
    <n v="0"/>
    <n v="0"/>
    <n v="100"/>
    <n v="0"/>
    <n v="0"/>
    <n v="1"/>
    <n v="0.005"/>
    <n v="1"/>
    <n v="0.6"/>
    <n v="0.3"/>
    <m/>
  </r>
  <r>
    <s v="USDT $ "/>
    <x v="117"/>
    <s v="J314792237"/>
    <s v="PERFUMERIA Y COSMETICOS DANIEL C.A"/>
    <s v="FCLIE/2026/02332"/>
    <d v="2026-07-06T00:00:00"/>
    <n v="122.6"/>
    <x v="3"/>
    <d v="2026-07-06T00:00:00"/>
    <d v="2026-07-06T00:00:00"/>
    <d v="2026-07-06T00:00:00"/>
    <n v="0"/>
    <s v="Contado"/>
    <n v="0"/>
    <n v="0"/>
    <n v="100"/>
    <n v="0"/>
    <n v="0"/>
    <n v="1"/>
    <n v="0.005"/>
    <n v="1"/>
    <n v="1.226"/>
    <n v="0.613"/>
    <m/>
  </r>
  <r>
    <s v="USDT $ "/>
    <x v="118"/>
    <s v="J302738741"/>
    <s v="TECNISISTEMA LANWORK PLACE, C.A."/>
    <s v="FCLIE/2026/02232"/>
    <d v="2026-07-02T00:00:00"/>
    <n v="705"/>
    <x v="3"/>
    <d v="2026-07-01T00:00:00"/>
    <d v="2026-07-02T00:00:00"/>
    <d v="2026-07-01T00:00:00"/>
    <n v="0"/>
    <s v="Contado"/>
    <n v="-1"/>
    <n v="-1"/>
    <n v="100"/>
    <n v="0"/>
    <n v="0"/>
    <n v="1"/>
    <n v="0.005"/>
    <n v="1"/>
    <n v="7.05"/>
    <n v="3.525"/>
    <m/>
  </r>
  <r>
    <s v="USDT $ "/>
    <x v="119"/>
    <s v="J410965266"/>
    <s v="INVERSIONES ALDAYO C.A"/>
    <s v="FCLIE/2026/02282"/>
    <d v="2026-07-03T00:00:00"/>
    <n v="150"/>
    <x v="2"/>
    <d v="2026-07-07T00:00:00"/>
    <d v="2026-07-03T00:00:00"/>
    <d v="2026-07-07T00:00:00"/>
    <s v="7"/>
    <s v="Credito"/>
    <n v="4"/>
    <n v="-3"/>
    <n v="100"/>
    <n v="0"/>
    <n v="0"/>
    <n v="1.25"/>
    <n v="0.005"/>
    <n v="1"/>
    <n v="1.875"/>
    <n v="0.75"/>
    <m/>
  </r>
  <r>
    <s v="USDT $ "/>
    <x v="120"/>
    <s v="J408660180"/>
    <s v="ZONA TECH, C.A"/>
    <s v="FCLIE/2026/01320"/>
    <d v="2026-05-22T00:00:00"/>
    <n v="10000"/>
    <x v="0"/>
    <d v="2026-07-07T00:00:00"/>
    <d v="2026-05-22T00:00:00"/>
    <d v="2026-07-07T00:00:00"/>
    <s v="30"/>
    <s v="Credito"/>
    <n v="46"/>
    <n v="16"/>
    <n v="50"/>
    <n v="2"/>
    <n v="0"/>
    <n v="1"/>
    <n v="0.005"/>
    <n v="1"/>
    <n v="50"/>
    <n v="50"/>
    <m/>
  </r>
  <r>
    <s v="USDT $ "/>
    <x v="121"/>
    <s v="J505977393"/>
    <s v="EMPRENDIMIENTO JUAN GUERRA 14"/>
    <s v="FCLIE/2026/02335"/>
    <d v="2026-07-06T00:00:00"/>
    <n v="96.85"/>
    <x v="4"/>
    <d v="2026-07-07T00:00:00"/>
    <d v="2026-07-06T00:00:00"/>
    <d v="2026-07-07T00:00:00"/>
    <n v="0"/>
    <s v="Contado"/>
    <n v="1"/>
    <n v="1"/>
    <n v="100"/>
    <n v="0"/>
    <n v="0"/>
    <n v="1.25"/>
    <n v="0.005"/>
    <n v="1"/>
    <n v="1.210625"/>
    <n v="0.48425"/>
    <m/>
  </r>
  <r>
    <s v="Caja Principal"/>
    <x v="122"/>
    <s v="J505977393"/>
    <s v="EMPRENDIMIENTO JUAN GUERRA 14"/>
    <s v="FCLIE/2026/02333"/>
    <d v="2026-07-06T00:00:00"/>
    <n v="35.25"/>
    <x v="4"/>
    <d v="2026-07-06T00:00:00"/>
    <d v="2026-07-06T00:00:00"/>
    <d v="2026-07-06T00:00:00"/>
    <n v="0"/>
    <s v="Contado"/>
    <n v="0"/>
    <n v="0"/>
    <n v="100"/>
    <n v="0"/>
    <n v="0"/>
    <n v="1.25"/>
    <n v="0.005"/>
    <n v="1"/>
    <n v="0.440625"/>
    <n v="0.17625"/>
    <m/>
  </r>
  <r>
    <s v="USDT $ "/>
    <x v="123"/>
    <s v="J315051435"/>
    <s v="KAMAL CYBER &amp; SERVICE, C.A"/>
    <s v="FCLIE/2026/01734"/>
    <d v="2026-06-08T00:00:00"/>
    <n v="1500"/>
    <x v="1"/>
    <d v="2026-07-07T00:00:00"/>
    <d v="2026-06-08T00:00:00"/>
    <d v="2026-07-07T00:00:00"/>
    <s v="15"/>
    <s v="Credito"/>
    <n v="29"/>
    <n v="14"/>
    <n v="100"/>
    <n v="1"/>
    <n v="0"/>
    <n v="1"/>
    <n v="0.005"/>
    <n v="1"/>
    <n v="15"/>
    <n v="7.5"/>
    <m/>
  </r>
  <r>
    <s v="USDT $ "/>
    <x v="124"/>
    <s v="J506775000"/>
    <s v="EMPRENDIMIENTO LAURANAILETH NUÑEZ"/>
    <s v="FCLIE/2026/02294"/>
    <d v="2026-07-03T00:00:00"/>
    <n v="190.15"/>
    <x v="4"/>
    <d v="2026-07-07T00:00:00"/>
    <d v="2026-07-03T00:00:00"/>
    <d v="2026-07-07T00:00:00"/>
    <s v="7"/>
    <s v="Credito"/>
    <n v="4"/>
    <n v="-3"/>
    <n v="100"/>
    <n v="0"/>
    <n v="0"/>
    <n v="1.25"/>
    <n v="0.005"/>
    <n v="1"/>
    <n v="2.376875"/>
    <n v="0.95075"/>
    <m/>
  </r>
  <r>
    <s v="USDT $ "/>
    <x v="125"/>
    <s v="J506775000"/>
    <s v="EMPRENDIMIENTO LAURANAILETH NUÑEZ"/>
    <s v="FCLIE/2026/02269"/>
    <d v="2026-07-03T00:00:00"/>
    <n v="400"/>
    <x v="4"/>
    <d v="2026-07-07T00:00:00"/>
    <d v="2026-07-03T00:00:00"/>
    <d v="2026-07-07T00:00:00"/>
    <n v="30"/>
    <s v="Credito"/>
    <n v="4"/>
    <n v="-26"/>
    <n v="100"/>
    <n v="0"/>
    <n v="0"/>
    <n v="1.25"/>
    <n v="0.005"/>
    <n v="1"/>
    <n v="5"/>
    <n v="2"/>
    <m/>
  </r>
  <r>
    <s v="USDT $ "/>
    <x v="126"/>
    <s v="J501580383"/>
    <s v="STRIG TECHNOLOGY, C.A"/>
    <s v="FCLIE/2026/01732"/>
    <d v="2026-06-08T00:00:00"/>
    <n v="1300"/>
    <x v="1"/>
    <d v="2026-07-07T00:00:00"/>
    <d v="2026-06-08T00:00:00"/>
    <d v="2026-07-07T00:00:00"/>
    <s v="15"/>
    <s v="Credito"/>
    <n v="29"/>
    <n v="14"/>
    <n v="100"/>
    <n v="1"/>
    <n v="0"/>
    <n v="1"/>
    <n v="0.005"/>
    <n v="1"/>
    <n v="13"/>
    <n v="6.5"/>
    <m/>
  </r>
  <r>
    <s v="Banco del Caribe  BS"/>
    <x v="127"/>
    <s v="J501580383"/>
    <s v="STRIG TECHNOLOGY, C.A"/>
    <s v="FCLIE/2026/01732"/>
    <d v="2026-06-08T00:00:00"/>
    <n v="409.31"/>
    <x v="1"/>
    <d v="2026-07-06T00:00:00"/>
    <d v="2026-06-08T00:00:00"/>
    <d v="2026-07-06T00:00:00"/>
    <s v="15"/>
    <s v="Credito"/>
    <n v="28"/>
    <n v="13"/>
    <n v="100"/>
    <n v="1"/>
    <n v="0"/>
    <n v="1"/>
    <n v="0.005"/>
    <n v="1"/>
    <n v="4.0931"/>
    <n v="2.04655"/>
    <m/>
  </r>
  <r>
    <s v="USDT $ "/>
    <x v="128"/>
    <s v="J306148973"/>
    <s v="EQUIP OFFICE COMPUTERS, C.A."/>
    <s v="FCLIE/2026/01749"/>
    <d v="2026-06-09T00:00:00"/>
    <n v="2967"/>
    <x v="1"/>
    <d v="2026-07-07T00:00:00"/>
    <d v="2026-06-09T00:00:00"/>
    <d v="2026-07-07T00:00:00"/>
    <s v="21"/>
    <s v="Credito"/>
    <n v="28"/>
    <n v="7"/>
    <n v="100"/>
    <n v="1"/>
    <n v="0"/>
    <n v="1"/>
    <n v="0.005"/>
    <n v="1"/>
    <n v="29.67"/>
    <n v="14.835"/>
    <m/>
  </r>
  <r>
    <s v="USDT $ "/>
    <x v="129"/>
    <s v="J294530338"/>
    <s v="COMERCIALIZADORA DORALIAN C.A"/>
    <s v="FCLIE/2026/01911"/>
    <d v="2026-06-15T00:00:00"/>
    <n v="350"/>
    <x v="5"/>
    <d v="2026-07-07T00:00:00"/>
    <d v="2026-06-15T00:00:00"/>
    <d v="2026-07-07T00:00:00"/>
    <s v="15"/>
    <s v="Credito"/>
    <n v="22"/>
    <n v="7"/>
    <n v="100"/>
    <n v="1"/>
    <n v="0"/>
    <n v="1"/>
    <n v="0.005"/>
    <n v="1"/>
    <n v="3.5"/>
    <n v="1.75"/>
    <m/>
  </r>
  <r>
    <s v="USDT $ "/>
    <x v="130"/>
    <s v="J507199037"/>
    <s v="ZHEN TECH, C.A"/>
    <s v="FCLIE/2026/01768"/>
    <d v="2026-06-10T00:00:00"/>
    <n v="456"/>
    <x v="4"/>
    <d v="2026-07-07T00:00:00"/>
    <d v="2026-06-10T00:00:00"/>
    <d v="2026-07-07T00:00:00"/>
    <s v="15"/>
    <s v="Credito"/>
    <n v="27"/>
    <n v="12"/>
    <n v="100"/>
    <n v="1"/>
    <n v="0"/>
    <n v="1.25"/>
    <n v="0.005"/>
    <n v="1"/>
    <n v="5.7"/>
    <n v="2.28"/>
    <m/>
  </r>
  <r>
    <s v="USDT $ "/>
    <x v="130"/>
    <s v="J507199037"/>
    <s v="ZHEN TECH, C.A"/>
    <s v="FCLIE/2026/02002"/>
    <d v="2026-06-18T00:00:00"/>
    <n v="144"/>
    <x v="4"/>
    <d v="2026-07-07T00:00:00"/>
    <d v="2026-06-18T00:00:00"/>
    <d v="2026-07-07T00:00:00"/>
    <s v="15"/>
    <s v="Credito"/>
    <n v="19"/>
    <n v="4"/>
    <n v="100"/>
    <n v="1"/>
    <n v="0"/>
    <n v="1.25"/>
    <n v="0.005"/>
    <n v="1"/>
    <n v="1.8"/>
    <n v="0.72"/>
    <m/>
  </r>
  <r>
    <s v="Caja Principal"/>
    <x v="131"/>
    <s v="J501580383"/>
    <s v="STRIG TECHNOLOGY, C.A"/>
    <s v="FCLIE/2026/01732"/>
    <d v="2026-06-08T00:00:00"/>
    <n v="1200"/>
    <x v="1"/>
    <d v="2026-07-07T00:00:00"/>
    <d v="2026-06-08T00:00:00"/>
    <d v="2026-07-07T00:00:00"/>
    <s v="15"/>
    <s v="Credito"/>
    <n v="29"/>
    <n v="14"/>
    <n v="100"/>
    <n v="1"/>
    <n v="0"/>
    <n v="1"/>
    <n v="0.005"/>
    <n v="1"/>
    <n v="12"/>
    <n v="6"/>
    <m/>
  </r>
  <r>
    <s v="USDT $ "/>
    <x v="132"/>
    <s v="J407268880"/>
    <s v="INVERSIONES PCELLJC.2015, C.A."/>
    <s v="FCLIE/2026/01816"/>
    <d v="2026-06-11T00:00:00"/>
    <n v="13650"/>
    <x v="5"/>
    <d v="2026-07-07T00:00:00"/>
    <d v="2026-06-11T00:00:00"/>
    <d v="2026-07-07T00:00:00"/>
    <s v="30 Días"/>
    <s v="Credito"/>
    <n v="26"/>
    <e v="#VALUE!"/>
    <n v="0"/>
    <n v="1"/>
    <n v="0"/>
    <n v="1"/>
    <n v="0.005"/>
    <n v="1"/>
    <n v="0"/>
    <n v="68.25"/>
    <m/>
  </r>
  <r>
    <s v="USDT $ "/>
    <x v="133"/>
    <s v="J406699128"/>
    <s v="DIGITAL BLESS, C.A."/>
    <s v="FCLIE/2026/01823"/>
    <d v="2026-06-11T00:00:00"/>
    <n v="940"/>
    <x v="0"/>
    <d v="2026-07-07T00:00:00"/>
    <d v="2026-06-11T00:00:00"/>
    <d v="2026-07-07T00:00:00"/>
    <s v="21"/>
    <s v="Credito"/>
    <n v="26"/>
    <n v="5"/>
    <n v="100"/>
    <n v="1"/>
    <n v="0"/>
    <n v="1"/>
    <n v="0.005"/>
    <n v="1"/>
    <n v="9.4"/>
    <n v="4.7"/>
    <m/>
  </r>
  <r>
    <s v="USDT $ "/>
    <x v="133"/>
    <s v="J406699128"/>
    <s v="DIGITAL BLESS, C.A."/>
    <s v="FCLIE/2026/01861"/>
    <d v="2026-06-12T00:00:00"/>
    <n v="61.95"/>
    <x v="0"/>
    <d v="2026-07-07T00:00:00"/>
    <d v="2026-06-12T00:00:00"/>
    <d v="2026-07-07T00:00:00"/>
    <s v="21"/>
    <s v="Credito"/>
    <n v="25"/>
    <n v="4"/>
    <n v="100"/>
    <n v="1"/>
    <n v="0"/>
    <n v="1"/>
    <n v="0.005"/>
    <n v="1"/>
    <n v="0.6195"/>
    <n v="0.30975"/>
    <m/>
  </r>
  <r>
    <s v="USDT $ "/>
    <x v="133"/>
    <s v="J406699128"/>
    <s v="DIGITAL BLESS, C.A."/>
    <s v="FCLIE/2026/01901"/>
    <d v="2026-06-15T00:00:00"/>
    <n v="75"/>
    <x v="0"/>
    <d v="2026-07-07T00:00:00"/>
    <d v="2026-06-15T00:00:00"/>
    <d v="2026-07-07T00:00:00"/>
    <s v="21"/>
    <s v="Credito"/>
    <n v="22"/>
    <n v="1"/>
    <n v="100"/>
    <n v="1"/>
    <n v="0"/>
    <n v="1"/>
    <n v="0.005"/>
    <n v="1"/>
    <n v="0.75"/>
    <n v="0.375"/>
    <m/>
  </r>
  <r>
    <s v="USDT $ "/>
    <x v="133"/>
    <s v="J406699128"/>
    <s v="DIGITAL BLESS, C.A."/>
    <s v="FCLIE/2026/01937"/>
    <d v="2026-06-16T00:00:00"/>
    <n v="426"/>
    <x v="0"/>
    <d v="2026-07-07T00:00:00"/>
    <d v="2026-06-16T00:00:00"/>
    <d v="2026-07-07T00:00:00"/>
    <s v="21"/>
    <s v="Credito"/>
    <n v="21"/>
    <n v="0"/>
    <n v="100"/>
    <n v="1"/>
    <n v="0"/>
    <n v="1"/>
    <n v="0.005"/>
    <n v="1"/>
    <n v="4.26"/>
    <n v="2.13"/>
    <m/>
  </r>
  <r>
    <s v="USDT $ "/>
    <x v="133"/>
    <s v="J406699128"/>
    <s v="DIGITAL BLESS, C.A."/>
    <s v="FCLIE/2026/01978"/>
    <d v="2026-06-17T00:00:00"/>
    <n v="883.3"/>
    <x v="3"/>
    <d v="2026-07-07T00:00:00"/>
    <d v="2026-06-17T00:00:00"/>
    <d v="2026-07-07T00:00:00"/>
    <s v="21"/>
    <s v="Credito"/>
    <n v="20"/>
    <n v="-1"/>
    <n v="100"/>
    <n v="1"/>
    <n v="0"/>
    <n v="1"/>
    <n v="0.005"/>
    <n v="1"/>
    <n v="8.833"/>
    <n v="4.4165"/>
    <m/>
  </r>
  <r>
    <s v="USDT $ "/>
    <x v="134"/>
    <s v="J501737320"/>
    <s v="TECHNOSAYTEL, C.A"/>
    <s v="FCLIE/2026/01942"/>
    <d v="2026-06-16T00:00:00"/>
    <n v="1800"/>
    <x v="5"/>
    <d v="2026-07-07T00:00:00"/>
    <d v="2026-06-16T00:00:00"/>
    <d v="2026-07-07T00:00:00"/>
    <s v="15"/>
    <s v="Credito"/>
    <n v="21"/>
    <n v="6"/>
    <n v="100"/>
    <n v="1"/>
    <n v="0"/>
    <n v="1"/>
    <n v="0.005"/>
    <n v="1"/>
    <n v="18"/>
    <n v="9"/>
    <m/>
  </r>
  <r>
    <s v="USDT $ "/>
    <x v="135"/>
    <s v="J500962568"/>
    <s v="CORPORACION CATECHNOLOGY, C.A."/>
    <s v="FCLIE/2026/01913"/>
    <d v="2026-06-15T00:00:00"/>
    <n v="206.7"/>
    <x v="4"/>
    <d v="2026-07-07T00:00:00"/>
    <d v="2026-06-15T00:00:00"/>
    <d v="2026-07-07T00:00:00"/>
    <s v="21"/>
    <s v="Credito"/>
    <n v="22"/>
    <n v="1"/>
    <n v="100"/>
    <n v="1"/>
    <n v="0"/>
    <n v="1.25"/>
    <n v="0.005"/>
    <n v="1"/>
    <n v="2.58375"/>
    <n v="1.0335"/>
    <m/>
  </r>
  <r>
    <s v="USDT $ "/>
    <x v="56"/>
    <s v="J500962568"/>
    <s v="CORPORACION CATECHNOLOGY, C.A."/>
    <s v="FCLIE/2026/01913"/>
    <d v="2026-06-15T00:00:00"/>
    <n v="0.5"/>
    <x v="4"/>
    <d v="2026-07-03T00:00:00"/>
    <d v="2026-06-15T00:00:00"/>
    <d v="2026-07-03T00:00:00"/>
    <n v="0"/>
    <s v="Contado"/>
    <n v="18"/>
    <n v="18"/>
    <n v="0"/>
    <n v="1"/>
    <n v="0"/>
    <n v="1.25"/>
    <n v="0.005"/>
    <n v="0"/>
    <n v="0"/>
    <n v="0.0025"/>
    <m/>
  </r>
  <r>
    <s v="USDT $ "/>
    <x v="136"/>
    <s v="J314639935"/>
    <s v="VENESERVICIOS INTEGRALES J.U. C.A."/>
    <s v="FCLIE/2026/02261"/>
    <d v="2026-07-03T00:00:00"/>
    <n v="253.44"/>
    <x v="0"/>
    <d v="2026-07-07T00:00:00"/>
    <d v="2026-07-03T00:00:00"/>
    <d v="2026-07-07T00:00:00"/>
    <s v="7"/>
    <s v="Credito"/>
    <n v="4"/>
    <n v="-3"/>
    <n v="100"/>
    <n v="0"/>
    <n v="0"/>
    <n v="1.25"/>
    <n v="0.005"/>
    <n v="1"/>
    <n v="3.168"/>
    <n v="1.2672"/>
    <m/>
  </r>
  <r>
    <s v="Caja Principal"/>
    <x v="137"/>
    <s v="J500751990"/>
    <s v="INVERSIONES RGB 2020, C.A."/>
    <s v="FCLIE/2026/01183"/>
    <d v="2026-05-18T00:00:00"/>
    <n v="2618"/>
    <x v="1"/>
    <d v="2026-07-07T00:00:00"/>
    <d v="2026-05-18T00:00:00"/>
    <d v="2026-07-07T00:00:00"/>
    <s v="15"/>
    <s v="Credito"/>
    <n v="50"/>
    <n v="35"/>
    <n v="30"/>
    <n v="2"/>
    <n v="0"/>
    <n v="1"/>
    <n v="0.005"/>
    <n v="1"/>
    <n v="7.854"/>
    <n v="13.09"/>
    <m/>
  </r>
  <r>
    <s v="Caja Principal"/>
    <x v="137"/>
    <s v="J500751990"/>
    <s v="INVERSIONES RGB 2020, C.A."/>
    <s v="FCLIE/2026/01279"/>
    <d v="2026-05-21T00:00:00"/>
    <n v="890"/>
    <x v="1"/>
    <d v="2026-07-07T00:00:00"/>
    <d v="2026-05-21T00:00:00"/>
    <d v="2026-07-07T00:00:00"/>
    <s v="15"/>
    <s v="Credito"/>
    <n v="47"/>
    <n v="32"/>
    <n v="30"/>
    <n v="2"/>
    <n v="0"/>
    <n v="1"/>
    <n v="0.005"/>
    <n v="1"/>
    <n v="2.67"/>
    <n v="4.45"/>
    <m/>
  </r>
  <r>
    <s v="Caja Principal"/>
    <x v="137"/>
    <s v="J500751990"/>
    <s v="INVERSIONES RGB 2020, C.A."/>
    <s v="FCLIE/2026/01409"/>
    <d v="2026-05-26T00:00:00"/>
    <n v="27.5"/>
    <x v="1"/>
    <d v="2026-07-07T00:00:00"/>
    <d v="2026-05-26T00:00:00"/>
    <d v="2026-07-07T00:00:00"/>
    <s v="15"/>
    <s v="Credito"/>
    <n v="42"/>
    <n v="27"/>
    <n v="50"/>
    <n v="2"/>
    <n v="0"/>
    <n v="1"/>
    <n v="0.005"/>
    <n v="1"/>
    <n v="0.1375"/>
    <n v="0.1375"/>
    <m/>
  </r>
  <r>
    <s v="Caja Principal"/>
    <x v="137"/>
    <s v="J500751990"/>
    <s v="INVERSIONES RGB 2020, C.A."/>
    <s v="FCLIE/2026/02346"/>
    <d v="2026-07-07T00:00:00"/>
    <n v="4.5"/>
    <x v="1"/>
    <d v="2026-07-07T00:00:00"/>
    <d v="2026-07-07T00:00:00"/>
    <d v="2026-07-07T00:00:00"/>
    <s v="15"/>
    <s v="Credito"/>
    <n v="0"/>
    <n v="-15"/>
    <n v="100"/>
    <n v="0"/>
    <n v="0"/>
    <n v="1"/>
    <n v="0.005"/>
    <n v="1"/>
    <n v="0.045"/>
    <n v="0.0225"/>
    <m/>
  </r>
  <r>
    <s v="Caja Principal"/>
    <x v="138"/>
    <s v="J500962568"/>
    <s v="CORPORACION CATECHNOLOGY, C.A."/>
    <s v="FCLIE/2026/01913"/>
    <d v="2026-06-15T00:00:00"/>
    <n v="320.5"/>
    <x v="4"/>
    <d v="2026-07-07T00:00:00"/>
    <d v="2026-06-15T00:00:00"/>
    <d v="2026-07-07T00:00:00"/>
    <s v="21"/>
    <s v="Credito"/>
    <n v="22"/>
    <n v="1"/>
    <n v="100"/>
    <n v="1"/>
    <n v="0"/>
    <n v="1.25"/>
    <n v="0.005"/>
    <n v="1"/>
    <n v="4.00625"/>
    <n v="1.6025"/>
    <m/>
  </r>
  <r>
    <s v="Caja Principal"/>
    <x v="138"/>
    <s v="J500962568"/>
    <s v="CORPORACION CATECHNOLOGY, C.A."/>
    <s v="FCLIE/2026/01914"/>
    <d v="2026-06-15T00:00:00"/>
    <n v="199.5"/>
    <x v="4"/>
    <d v="2026-07-07T00:00:00"/>
    <d v="2026-06-15T00:00:00"/>
    <d v="2026-07-07T00:00:00"/>
    <s v="21"/>
    <s v="Credito"/>
    <n v="22"/>
    <n v="1"/>
    <n v="100"/>
    <n v="1"/>
    <n v="0"/>
    <n v="1.25"/>
    <n v="0.005"/>
    <n v="1"/>
    <n v="2.49375"/>
    <n v="0.9975"/>
    <m/>
  </r>
  <r>
    <s v="USDT $ "/>
    <x v="139"/>
    <s v="J501737320"/>
    <s v="TECHNOSAYTEL, C.A"/>
    <s v="FCLIE/2026/01942"/>
    <d v="2026-06-16T00:00:00"/>
    <n v="4.75"/>
    <x v="5"/>
    <d v="2026-07-07T00:00:00"/>
    <d v="2026-06-16T00:00:00"/>
    <d v="2026-07-07T00:00:00"/>
    <s v="15"/>
    <s v="Credito"/>
    <n v="21"/>
    <n v="6"/>
    <n v="100"/>
    <n v="1"/>
    <n v="0"/>
    <n v="1"/>
    <n v="0.005"/>
    <n v="1"/>
    <n v="0.0475"/>
    <n v="0.02375"/>
    <m/>
  </r>
  <r>
    <s v="USDT $ "/>
    <x v="140"/>
    <s v="J500487720"/>
    <s v="MG TECHNOLOGY, C.A"/>
    <s v="FCLIE/2026/02351"/>
    <d v="2026-07-07T00:00:00"/>
    <n v="693.4"/>
    <x v="0"/>
    <d v="2026-07-07T00:00:00"/>
    <d v="2026-07-07T00:00:00"/>
    <d v="2026-07-07T00:00:00"/>
    <n v="0"/>
    <s v="Contado"/>
    <n v="0"/>
    <n v="0"/>
    <n v="100"/>
    <n v="0"/>
    <n v="0"/>
    <n v="1.25"/>
    <n v="0.005"/>
    <n v="1"/>
    <n v="8.6675"/>
    <n v="3.467"/>
    <m/>
  </r>
  <r>
    <s v="USDT $ "/>
    <x v="141"/>
    <s v="J500487720"/>
    <s v="MG TECHNOLOGY, C.A"/>
    <s v="FCLIE/2026/02352"/>
    <d v="2026-07-07T00:00:00"/>
    <n v="34.5"/>
    <x v="0"/>
    <d v="2026-07-07T00:00:00"/>
    <d v="2026-07-07T00:00:00"/>
    <d v="2026-07-07T00:00:00"/>
    <n v="0"/>
    <s v="Contado"/>
    <n v="0"/>
    <n v="0"/>
    <n v="100"/>
    <n v="0"/>
    <n v="0"/>
    <n v="1.25"/>
    <n v="0.005"/>
    <n v="1"/>
    <n v="0.43125"/>
    <n v="0.1725"/>
    <m/>
  </r>
  <r>
    <s v="Caja Principal"/>
    <x v="142"/>
    <s v="J506775000"/>
    <s v="EMPRENDIMIENTO LAURANAILETH NUÑEZ"/>
    <s v="FCLIE/2026/02269"/>
    <d v="2026-07-03T00:00:00"/>
    <n v="276.1"/>
    <x v="4"/>
    <d v="2026-07-07T00:00:00"/>
    <d v="2026-07-03T00:00:00"/>
    <d v="2026-07-07T00:00:00"/>
    <s v="7"/>
    <s v="Credito"/>
    <n v="4"/>
    <n v="-3"/>
    <n v="100"/>
    <n v="0"/>
    <n v="0"/>
    <n v="1.25"/>
    <n v="0.005"/>
    <n v="1"/>
    <n v="3.45125"/>
    <n v="1.3805"/>
    <m/>
  </r>
  <r>
    <s v="Caja Principal"/>
    <x v="142"/>
    <s v="J506775000"/>
    <s v="EMPRENDIMIENTO LAURANAILETH NUÑEZ"/>
    <s v="FCLIE/2026/02294"/>
    <d v="2026-07-03T00:00:00"/>
    <n v="45.45"/>
    <x v="4"/>
    <d v="2026-07-07T00:00:00"/>
    <d v="2026-07-03T00:00:00"/>
    <d v="2026-07-07T00:00:00"/>
    <s v="7"/>
    <s v="Credito"/>
    <n v="4"/>
    <n v="-3"/>
    <n v="100"/>
    <n v="0"/>
    <n v="0"/>
    <n v="1.25"/>
    <n v="0.005"/>
    <n v="1"/>
    <n v="0.568125"/>
    <n v="0.22725"/>
    <m/>
  </r>
  <r>
    <s v="Caja Principal"/>
    <x v="142"/>
    <s v="J506775000"/>
    <s v="EMPRENDIMIENTO LAURANAILETH NUÑEZ"/>
    <s v="FCLIE/2026/02307"/>
    <d v="2026-07-06T00:00:00"/>
    <n v="78.45"/>
    <x v="4"/>
    <d v="2026-07-07T00:00:00"/>
    <d v="2026-07-06T00:00:00"/>
    <d v="2026-07-07T00:00:00"/>
    <s v="7"/>
    <s v="Credito"/>
    <n v="1"/>
    <n v="-6"/>
    <n v="100"/>
    <n v="0"/>
    <n v="0"/>
    <n v="1.25"/>
    <n v="0.005"/>
    <n v="1"/>
    <n v="0.980625"/>
    <n v="0.39225"/>
    <m/>
  </r>
  <r>
    <s v="USDT $ "/>
    <x v="143"/>
    <s v="J295299184"/>
    <s v="IMPRESOS BERE, C.A"/>
    <s v="FCLIE/2026/02300"/>
    <d v="2026-07-03T00:00:00"/>
    <n v="460"/>
    <x v="0"/>
    <d v="2026-07-02T00:00:00"/>
    <d v="2026-07-03T00:00:00"/>
    <d v="2026-07-02T00:00:00"/>
    <n v="30"/>
    <s v="Credito"/>
    <n v="-1"/>
    <n v="-31"/>
    <n v="100"/>
    <n v="0"/>
    <n v="0"/>
    <n v="1.25"/>
    <n v="0.005"/>
    <n v="1"/>
    <n v="5.75"/>
    <n v="0"/>
    <m/>
  </r>
  <r>
    <s v="Banesco Custodia $"/>
    <x v="144"/>
    <s v="J295299184"/>
    <s v="IMPRESOS BERE, C.A"/>
    <s v="FCLIE/2026/02300"/>
    <d v="2026-07-03T00:00:00"/>
    <n v="1.64"/>
    <x v="0"/>
    <d v="2026-07-07T00:00:00"/>
    <d v="2026-07-03T00:00:00"/>
    <d v="2026-07-07T00:00:00"/>
    <n v="0"/>
    <s v="Contado"/>
    <n v="4"/>
    <n v="4"/>
    <n v="0"/>
    <n v="0"/>
    <n v="0"/>
    <n v="1.25"/>
    <n v="0.005"/>
    <n v="0"/>
    <n v="0"/>
    <n v="0.0082"/>
    <m/>
  </r>
  <r>
    <s v="Banco del Caribe  BS"/>
    <x v="145"/>
    <s v="J298895624"/>
    <s v="FULLMARK C.A"/>
    <s v="FCLIE/2026/01125"/>
    <d v="2026-05-15T00:00:00"/>
    <n v="2000"/>
    <x v="5"/>
    <d v="2026-07-07T00:00:00"/>
    <d v="2026-05-15T00:00:00"/>
    <d v="2026-07-07T00:00:00"/>
    <s v="21"/>
    <s v="Credito"/>
    <n v="53"/>
    <n v="32"/>
    <n v="30"/>
    <n v="2"/>
    <n v="0"/>
    <n v="0"/>
    <n v="0.005"/>
    <n v="1"/>
    <n v="0"/>
    <n v="10"/>
    <m/>
  </r>
  <r>
    <s v="Banesco BS. 3049"/>
    <x v="146"/>
    <s v="J505605739"/>
    <s v="ALGE SOLUTIONS 2024, C.A."/>
    <s v="FCLIE/2026/02343"/>
    <d v="2026-07-07T00:00:00"/>
    <n v="11232"/>
    <x v="3"/>
    <d v="2026-07-07T00:00:00"/>
    <d v="2026-07-07T00:00:00"/>
    <d v="2026-07-07T00:00:00"/>
    <n v="0"/>
    <s v="Contado"/>
    <n v="0"/>
    <n v="0"/>
    <n v="100"/>
    <n v="0"/>
    <n v="0"/>
    <n v="1"/>
    <n v="0.005"/>
    <n v="1"/>
    <n v="112.32"/>
    <n v="56.16"/>
    <m/>
  </r>
  <r>
    <s v="Caja Principal"/>
    <x v="147"/>
    <s v="J298675640"/>
    <s v="COMPUBLIK, C.A."/>
    <s v="FCLIE/2026/02362"/>
    <d v="2026-07-07T00:00:00"/>
    <n v="388.5"/>
    <x v="1"/>
    <d v="2026-07-07T00:00:00"/>
    <d v="2026-07-07T00:00:00"/>
    <d v="2026-07-07T00:00:00"/>
    <n v="0"/>
    <s v="Contado"/>
    <n v="0"/>
    <n v="0"/>
    <n v="100"/>
    <n v="0"/>
    <n v="0"/>
    <n v="1"/>
    <n v="0.005"/>
    <n v="1"/>
    <n v="3.885"/>
    <n v="1.9425"/>
    <m/>
  </r>
  <r>
    <s v="USDT $ "/>
    <x v="148"/>
    <s v="J296810508"/>
    <s v="GRUPO BLUETECH 1315, C.A"/>
    <s v="FCLIE/2026/02353"/>
    <d v="2026-07-07T00:00:00"/>
    <n v="23.1"/>
    <x v="5"/>
    <d v="2026-07-07T00:00:00"/>
    <d v="2026-07-07T00:00:00"/>
    <d v="2026-07-07T00:00:00"/>
    <s v="3"/>
    <s v="Credito"/>
    <n v="0"/>
    <n v="-3"/>
    <n v="100"/>
    <n v="0"/>
    <n v="0"/>
    <n v="1.25"/>
    <n v="0.005"/>
    <n v="1"/>
    <n v="0.28875"/>
    <n v="0.1155"/>
    <m/>
  </r>
  <r>
    <s v="REGIONSBANK"/>
    <x v="149"/>
    <s v="J315733170"/>
    <s v="INVERSIONES AVEL DRIVE,C.A."/>
    <s v="FCLIE/2026/01796"/>
    <d v="2026-06-10T00:00:00"/>
    <n v="278.5"/>
    <x v="3"/>
    <d v="2026-07-07T00:00:00"/>
    <d v="2026-06-10T00:00:00"/>
    <d v="2026-07-07T00:00:00"/>
    <s v="15"/>
    <s v="Credito"/>
    <n v="27"/>
    <n v="12"/>
    <n v="100"/>
    <n v="1"/>
    <n v="0"/>
    <n v="1"/>
    <n v="0.005"/>
    <n v="1"/>
    <n v="2.785"/>
    <n v="1.3925"/>
    <m/>
  </r>
  <r>
    <s v="REGIONSBANK"/>
    <x v="150"/>
    <s v="J315733170"/>
    <s v="INVERSIONES AVEL DRIVE,C.A."/>
    <s v="FCLIE/2026/01796"/>
    <d v="2026-06-10T00:00:00"/>
    <n v="300"/>
    <x v="3"/>
    <d v="2026-07-07T00:00:00"/>
    <d v="2026-06-10T00:00:00"/>
    <d v="2026-07-07T00:00:00"/>
    <s v="15"/>
    <s v="Credito"/>
    <n v="27"/>
    <n v="12"/>
    <n v="100"/>
    <n v="1"/>
    <n v="0"/>
    <n v="1"/>
    <n v="0.005"/>
    <n v="1"/>
    <n v="3"/>
    <n v="1.5"/>
    <m/>
  </r>
  <r>
    <s v="REGIONSBANK"/>
    <x v="151"/>
    <s v="J315733170"/>
    <s v="INVERSIONES AVEL DRIVE,C.A."/>
    <s v="FCLIE/2026/02022"/>
    <d v="2026-06-18T00:00:00"/>
    <n v="132.5"/>
    <x v="3"/>
    <d v="2026-07-07T00:00:00"/>
    <d v="2026-06-18T00:00:00"/>
    <d v="2026-07-07T00:00:00"/>
    <s v="15"/>
    <s v="Credito"/>
    <n v="19"/>
    <n v="4"/>
    <n v="100"/>
    <n v="1"/>
    <n v="0"/>
    <n v="1"/>
    <n v="0.005"/>
    <n v="1"/>
    <n v="1.325"/>
    <n v="0.6625"/>
    <m/>
  </r>
  <r>
    <s v="REGIONSBANK"/>
    <x v="152"/>
    <s v="J501580383"/>
    <s v="STRIG TECHNOLOGY, C.A"/>
    <s v="FCLIE/2026/01732"/>
    <d v="2026-06-08T00:00:00"/>
    <n v="2222.49"/>
    <x v="1"/>
    <d v="2026-07-07T00:00:00"/>
    <d v="2026-06-08T00:00:00"/>
    <d v="2026-07-07T00:00:00"/>
    <s v="15"/>
    <s v="Credito"/>
    <n v="29"/>
    <n v="14"/>
    <n v="100"/>
    <n v="1"/>
    <n v="0"/>
    <n v="1"/>
    <n v="0.005"/>
    <n v="1"/>
    <n v="22.2249"/>
    <n v="11.11245"/>
    <m/>
  </r>
  <r>
    <s v="REGIONSBANK"/>
    <x v="152"/>
    <s v="J501580383"/>
    <s v="STRIG TECHNOLOGY, C.A"/>
    <s v="FCLIE/2026/01742"/>
    <d v="2026-06-09T00:00:00"/>
    <n v="216"/>
    <x v="1"/>
    <d v="2026-07-07T00:00:00"/>
    <d v="2026-06-09T00:00:00"/>
    <d v="2026-07-07T00:00:00"/>
    <s v="15"/>
    <s v="Credito"/>
    <n v="28"/>
    <n v="13"/>
    <n v="100"/>
    <n v="1"/>
    <n v="0"/>
    <n v="1"/>
    <n v="0.005"/>
    <n v="1"/>
    <n v="2.16"/>
    <n v="1.08"/>
    <m/>
  </r>
  <r>
    <s v="USDT $ "/>
    <x v="153"/>
    <s v="J407269844"/>
    <s v="CORPORACION TAYLOR, C.A."/>
    <s v="FCLIE/2026/02367"/>
    <d v="2026-07-07T00:00:00"/>
    <n v="259.8"/>
    <x v="4"/>
    <d v="2026-07-07T00:00:00"/>
    <d v="2026-07-07T00:00:00"/>
    <d v="2026-07-07T00:00:00"/>
    <n v="0"/>
    <s v="Contado"/>
    <n v="0"/>
    <n v="0"/>
    <n v="100"/>
    <n v="1"/>
    <n v="0"/>
    <n v="1.25"/>
    <n v="0.005"/>
    <n v="1"/>
    <n v="3.2475"/>
    <n v="1.299"/>
    <m/>
  </r>
  <r>
    <s v="USDT $ "/>
    <x v="154"/>
    <s v="V27748606"/>
    <s v="SANTIAGO CHAMBUCO"/>
    <s v="FCLIE/2026/02365"/>
    <d v="2026-07-07T00:00:00"/>
    <n v="445"/>
    <x v="5"/>
    <d v="2026-07-07T00:00:00"/>
    <d v="2026-07-07T00:00:00"/>
    <d v="2026-07-07T00:00:00"/>
    <n v="0"/>
    <s v="Contado"/>
    <n v="0"/>
    <n v="0"/>
    <n v="100"/>
    <n v="0"/>
    <n v="0"/>
    <n v="1.25"/>
    <n v="0.005"/>
    <n v="1"/>
    <n v="5.5625"/>
    <n v="2.225"/>
    <m/>
  </r>
  <r>
    <s v="REGIONSBANK"/>
    <x v="155"/>
    <s v="J311589520"/>
    <s v="PLUS ELECTRONICS, C.A"/>
    <s v="FCLIE/2026/01138"/>
    <d v="2026-05-15T00:00:00"/>
    <n v="5931"/>
    <x v="3"/>
    <d v="2026-07-07T00:00:00"/>
    <d v="2026-05-15T00:00:00"/>
    <d v="2026-07-07T00:00:00"/>
    <s v="30"/>
    <s v="Credito"/>
    <n v="53"/>
    <n v="23"/>
    <n v="50"/>
    <n v="2"/>
    <n v="0"/>
    <n v="1"/>
    <n v="0.005"/>
    <n v="1"/>
    <n v="29.655"/>
    <n v="29.655"/>
    <m/>
  </r>
  <r>
    <s v="USDT $ "/>
    <x v="156"/>
    <s v="J503184515"/>
    <s v="ARYP TECNOPOLIS, C.A"/>
    <s v="FCLIE/2026/01982"/>
    <d v="2026-06-17T00:00:00"/>
    <n v="100"/>
    <x v="0"/>
    <d v="2026-07-07T00:00:00"/>
    <d v="2026-06-17T00:00:00"/>
    <d v="2026-07-07T00:00:00"/>
    <s v="15"/>
    <s v="Credito"/>
    <n v="20"/>
    <n v="5"/>
    <n v="100"/>
    <n v="1"/>
    <n v="0"/>
    <n v="1"/>
    <n v="0.005"/>
    <n v="1"/>
    <n v="1"/>
    <n v="0.5"/>
    <m/>
  </r>
  <r>
    <s v="Caja Principal"/>
    <x v="157"/>
    <s v="J408076772"/>
    <s v="INVERSIONES MULTISERVICIOS AC0803, C.A."/>
    <s v="FCLIE/2026/02355"/>
    <d v="2026-07-07T00:00:00"/>
    <n v="1460"/>
    <x v="5"/>
    <d v="2026-07-07T00:00:00"/>
    <d v="2026-07-07T00:00:00"/>
    <d v="2026-07-07T00:00:00"/>
    <n v="0"/>
    <s v="Contado"/>
    <n v="0"/>
    <n v="0"/>
    <n v="100"/>
    <n v="0"/>
    <n v="0"/>
    <n v="1.25"/>
    <n v="0.005"/>
    <n v="1"/>
    <n v="18.25"/>
    <n v="7.3"/>
    <m/>
  </r>
  <r>
    <s v="USDT $ "/>
    <x v="158"/>
    <s v="J408076772"/>
    <s v="INVERSIONES MULTISERVICIOS AC0803, C.A."/>
    <s v="FCLIE/2026/02355"/>
    <d v="2026-07-07T00:00:00"/>
    <n v="3"/>
    <x v="5"/>
    <d v="2026-07-07T00:00:00"/>
    <d v="2026-07-07T00:00:00"/>
    <d v="2026-07-07T00:00:00"/>
    <n v="0"/>
    <s v="Contado"/>
    <n v="0"/>
    <n v="0"/>
    <n v="100"/>
    <n v="0"/>
    <n v="0"/>
    <n v="1.25"/>
    <n v="0.005"/>
    <n v="1"/>
    <n v="0.0375"/>
    <n v="0.015"/>
    <m/>
  </r>
  <r>
    <s v="USDT $ "/>
    <x v="159"/>
    <s v="J506775000"/>
    <s v="EMPRENDIMIENTO LAURANAILETH NUÑEZ"/>
    <s v="FCLIE/2026/02340"/>
    <d v="2026-07-07T00:00:00"/>
    <n v="450"/>
    <x v="4"/>
    <d v="2026-07-07T00:00:00"/>
    <d v="2026-07-07T00:00:00"/>
    <d v="2026-07-07T00:00:00"/>
    <s v="7"/>
    <s v="Credito"/>
    <n v="0"/>
    <n v="-7"/>
    <n v="100"/>
    <n v="0"/>
    <n v="0"/>
    <n v="1.25"/>
    <n v="0.005"/>
    <n v="1"/>
    <n v="5.625"/>
    <n v="2.25"/>
    <m/>
  </r>
  <r>
    <s v="Caja Principal"/>
    <x v="11"/>
    <s v="J401637051"/>
    <s v="CENTRO TECNOLOGICO CHACAO, C.A."/>
    <s v="FCLIE/2026/02214"/>
    <d v="2026-07-01T00:00:00"/>
    <n v="3.74"/>
    <x v="2"/>
    <d v="2026-07-01T00:00:00"/>
    <d v="2026-07-01T00:00:00"/>
    <d v="2026-07-01T00:00:00"/>
    <s v="7"/>
    <s v="Credito"/>
    <n v="0"/>
    <n v="-7"/>
    <n v="100"/>
    <n v="0"/>
    <n v="0"/>
    <n v="1.25"/>
    <n v="0.005"/>
    <n v="1"/>
    <n v="0.04675"/>
    <n v="0.0187"/>
    <m/>
  </r>
  <r>
    <s v="USDT $ "/>
    <x v="160"/>
    <s v="V187327730"/>
    <s v="GERMAN ENRIQUE DE LA TORRE ABREU"/>
    <s v="FCLIE/2026/02309"/>
    <d v="2026-07-06T00:00:00"/>
    <n v="1300.6"/>
    <x v="2"/>
    <d v="2026-07-02T00:00:00"/>
    <d v="2026-07-06T00:00:00"/>
    <d v="2026-07-02T00:00:00"/>
    <n v="0"/>
    <s v="Contado"/>
    <n v="-4"/>
    <n v="-4"/>
    <n v="100"/>
    <n v="0"/>
    <n v="0"/>
    <n v="1.25"/>
    <n v="0.005"/>
    <n v="1"/>
    <n v="16.2575"/>
    <n v="6.503"/>
    <m/>
  </r>
  <r>
    <s v="Caja Principal"/>
    <x v="161"/>
    <s v="J411279609"/>
    <s v="SISTEMAS RJD, C.A."/>
    <s v="FCLIE/2026/02129"/>
    <d v="2026-06-23T00:00:00"/>
    <n v="500"/>
    <x v="2"/>
    <d v="2026-07-08T00:00:00"/>
    <d v="2026-06-23T00:00:00"/>
    <d v="2026-07-08T00:00:00"/>
    <s v="7"/>
    <s v="Credito"/>
    <n v="15"/>
    <n v="8"/>
    <n v="100"/>
    <n v="1"/>
    <n v="0"/>
    <n v="1.25"/>
    <n v="0.005"/>
    <n v="1"/>
    <n v="6.25"/>
    <n v="2.5"/>
    <m/>
  </r>
  <r>
    <s v="Banco del Caribe  BS"/>
    <x v="162"/>
    <s v="J306971203"/>
    <s v="XNET SISTEMAS, C.A."/>
    <s v="FCLIE/2026/02371"/>
    <d v="2026-07-07T00:00:00"/>
    <n v="69"/>
    <x v="4"/>
    <d v="2026-07-07T00:00:00"/>
    <d v="2026-07-07T00:00:00"/>
    <d v="2026-07-07T00:00:00"/>
    <n v="0"/>
    <s v="Contado"/>
    <n v="0"/>
    <n v="0"/>
    <n v="100"/>
    <n v="0"/>
    <n v="0"/>
    <n v="1.25"/>
    <n v="0.005"/>
    <n v="1"/>
    <n v="0.8625"/>
    <n v="0.345"/>
    <m/>
  </r>
  <r>
    <s v="Banco del Caribe  BS"/>
    <x v="163"/>
    <s v="J313304565"/>
    <s v="INVERSIONES HELP COMPUTER, C. A."/>
    <s v="FCLIE/2026/02151"/>
    <d v="2026-06-23T00:00:00"/>
    <n v="2123"/>
    <x v="1"/>
    <d v="2026-07-07T00:00:00"/>
    <d v="2026-06-23T00:00:00"/>
    <d v="2026-07-07T00:00:00"/>
    <s v="21"/>
    <s v="Credito"/>
    <n v="14"/>
    <n v="-7"/>
    <n v="100"/>
    <n v="1"/>
    <n v="0"/>
    <n v="1"/>
    <n v="0.005"/>
    <n v="1"/>
    <n v="21.23"/>
    <n v="10.615"/>
    <m/>
  </r>
  <r>
    <s v="Banco del Caribe  BS"/>
    <x v="164"/>
    <s v="J313304565"/>
    <s v="INVERSIONES HELP COMPUTER, C. A."/>
    <s v="FCLIE/2026/02151"/>
    <d v="2026-06-23T00:00:00"/>
    <n v="2278.48"/>
    <x v="1"/>
    <d v="2026-07-08T00:00:00"/>
    <d v="2026-06-23T00:00:00"/>
    <d v="2026-07-08T00:00:00"/>
    <s v="21"/>
    <s v="Credito"/>
    <n v="15"/>
    <n v="-6"/>
    <n v="100"/>
    <n v="1"/>
    <n v="0"/>
    <n v="1"/>
    <n v="0.005"/>
    <n v="1"/>
    <n v="22.7848"/>
    <n v="11.3924"/>
    <m/>
  </r>
  <r>
    <s v="Banco del Caribe  BS"/>
    <x v="165"/>
    <s v="J313304565"/>
    <s v="INVERSIONES HELP COMPUTER, C. A."/>
    <s v="FCLIE/2026/02151"/>
    <d v="2026-06-23T00:00:00"/>
    <n v="898.73"/>
    <x v="1"/>
    <d v="2026-07-08T00:00:00"/>
    <d v="2026-06-23T00:00:00"/>
    <d v="2026-07-08T00:00:00"/>
    <s v="21"/>
    <s v="Credito"/>
    <n v="15"/>
    <n v="-6"/>
    <n v="100"/>
    <n v="1"/>
    <n v="0"/>
    <n v="1"/>
    <n v="0.005"/>
    <n v="1"/>
    <n v="8.9873"/>
    <n v="4.49365"/>
    <m/>
  </r>
  <r>
    <s v="Banesco BS. 3049"/>
    <x v="166"/>
    <s v="J504567752"/>
    <s v="MUNDO DE SOLUCIONES J &amp; J, C.A."/>
    <s v="FCLIE/2026/02377"/>
    <d v="2026-07-08T00:00:00"/>
    <n v="79.86"/>
    <x v="0"/>
    <d v="2026-07-08T00:00:00"/>
    <d v="2026-07-08T00:00:00"/>
    <d v="2026-07-08T00:00:00"/>
    <n v="0"/>
    <s v="Contado"/>
    <n v="0"/>
    <n v="0"/>
    <n v="100"/>
    <n v="0"/>
    <n v="0"/>
    <n v="1.25"/>
    <n v="0.005"/>
    <n v="1"/>
    <n v="0.99825"/>
    <n v="0.3993"/>
    <m/>
  </r>
  <r>
    <s v="Caja Principal"/>
    <x v="167"/>
    <s v="J506775000"/>
    <s v="EMPRENDIMIENTO LAURANAILETH NUÑEZ"/>
    <s v="FCLIE/2026/02340"/>
    <d v="2026-07-07T00:00:00"/>
    <n v="600"/>
    <x v="4"/>
    <d v="2026-07-08T00:00:00"/>
    <d v="2026-07-07T00:00:00"/>
    <d v="2026-07-08T00:00:00"/>
    <s v="7"/>
    <s v="Credito"/>
    <n v="1"/>
    <n v="-6"/>
    <n v="100"/>
    <n v="0"/>
    <n v="0"/>
    <n v="1.25"/>
    <n v="0.005"/>
    <n v="1"/>
    <n v="7.5"/>
    <n v="3"/>
    <m/>
  </r>
  <r>
    <s v="Caja Principal"/>
    <x v="167"/>
    <s v="J506775000"/>
    <s v="EMPRENDIMIENTO LAURANAILETH NUÑEZ"/>
    <s v="FCLIE/2026/02348"/>
    <d v="2026-07-07T00:00:00"/>
    <n v="100"/>
    <x v="4"/>
    <d v="2026-07-08T00:00:00"/>
    <d v="2026-07-07T00:00:00"/>
    <d v="2026-07-08T00:00:00"/>
    <s v="7"/>
    <s v="Credito"/>
    <n v="1"/>
    <n v="-6"/>
    <n v="100"/>
    <n v="0"/>
    <n v="0"/>
    <n v="1.25"/>
    <n v="0.005"/>
    <n v="1"/>
    <n v="1.25"/>
    <n v="0.5"/>
    <m/>
  </r>
  <r>
    <s v="Caja Principal"/>
    <x v="168"/>
    <s v="J409655539"/>
    <s v="ELECTRONET 0316, C.A. "/>
    <s v="FCLIE/2026/02378"/>
    <d v="2026-07-08T00:00:00"/>
    <n v="59.13"/>
    <x v="3"/>
    <d v="2026-07-08T00:00:00"/>
    <d v="2026-07-08T00:00:00"/>
    <d v="2026-07-08T00:00:00"/>
    <n v="0"/>
    <s v="Contado"/>
    <n v="0"/>
    <n v="0"/>
    <n v="100"/>
    <n v="0"/>
    <n v="0"/>
    <n v="1"/>
    <n v="0.005"/>
    <n v="1"/>
    <n v="0.5913"/>
    <n v="0.29565"/>
    <m/>
  </r>
  <r>
    <s v="USDT $ "/>
    <x v="169"/>
    <s v="J315051435"/>
    <s v="KAMAL CYBER &amp; SERVICE, C.A"/>
    <s v="FCLIE/2026/01734"/>
    <d v="2026-06-08T00:00:00"/>
    <n v="1500"/>
    <x v="1"/>
    <d v="2026-07-08T00:00:00"/>
    <d v="2026-06-08T00:00:00"/>
    <d v="2026-07-08T00:00:00"/>
    <s v="15"/>
    <s v="Credito"/>
    <n v="30"/>
    <n v="15"/>
    <n v="100"/>
    <n v="1"/>
    <n v="0"/>
    <n v="1"/>
    <n v="0.005"/>
    <n v="1"/>
    <n v="15"/>
    <n v="7.5"/>
    <m/>
  </r>
  <r>
    <s v="USDT $ "/>
    <x v="170"/>
    <s v="J315095076"/>
    <s v="PC MALL, C.A."/>
    <s v="FCLIE/2026/02090"/>
    <d v="2026-06-22T00:00:00"/>
    <n v="346.7"/>
    <x v="6"/>
    <d v="2026-07-08T00:00:00"/>
    <d v="2026-06-22T00:00:00"/>
    <d v="2026-07-08T00:00:00"/>
    <s v="7"/>
    <s v="Credito"/>
    <n v="16"/>
    <n v="9"/>
    <n v="100"/>
    <n v="1"/>
    <n v="0"/>
    <n v="1"/>
    <n v="0.005"/>
    <n v="1"/>
    <n v="3.467"/>
    <n v="1.7335"/>
    <m/>
  </r>
  <r>
    <s v="USDT $ "/>
    <x v="171"/>
    <s v="J503184515"/>
    <s v="ARYP TECNOPOLIS, C.A"/>
    <s v="FCLIE/2026/01982"/>
    <d v="2026-06-17T00:00:00"/>
    <n v="168"/>
    <x v="0"/>
    <d v="2026-07-08T00:00:00"/>
    <d v="2026-06-17T00:00:00"/>
    <d v="2026-07-08T00:00:00"/>
    <s v="15"/>
    <s v="Credito"/>
    <n v="21"/>
    <n v="6"/>
    <n v="100"/>
    <n v="1"/>
    <n v="0"/>
    <n v="1"/>
    <n v="0.005"/>
    <n v="1"/>
    <n v="1.68"/>
    <n v="0.84"/>
    <m/>
  </r>
  <r>
    <s v="USDT $ "/>
    <x v="171"/>
    <s v="J503184515"/>
    <s v="ARYP TECNOPOLIS, C.A"/>
    <s v="FCLIE/2026/02017"/>
    <d v="2026-06-18T00:00:00"/>
    <n v="32"/>
    <x v="0"/>
    <d v="2026-07-08T00:00:00"/>
    <d v="2026-06-18T00:00:00"/>
    <d v="2026-07-08T00:00:00"/>
    <s v="15"/>
    <s v="Credito"/>
    <n v="20"/>
    <n v="5"/>
    <n v="100"/>
    <n v="1"/>
    <n v="0"/>
    <n v="1"/>
    <n v="0.005"/>
    <n v="1"/>
    <n v="0.32"/>
    <n v="0.16"/>
    <m/>
  </r>
  <r>
    <s v="USDT $ "/>
    <x v="172"/>
    <s v="J294530338"/>
    <s v="COMERCIALIZADORA DORALIAN C.A"/>
    <s v="FCLIE/2026/01911"/>
    <d v="2026-06-15T00:00:00"/>
    <n v="1000"/>
    <x v="5"/>
    <d v="2026-07-08T00:00:00"/>
    <d v="2026-06-15T00:00:00"/>
    <d v="2026-07-08T00:00:00"/>
    <s v="15"/>
    <s v="Credito"/>
    <n v="23"/>
    <n v="8"/>
    <n v="100"/>
    <n v="1"/>
    <n v="0"/>
    <n v="1"/>
    <n v="0.005"/>
    <n v="1"/>
    <n v="10"/>
    <n v="5"/>
    <m/>
  </r>
  <r>
    <s v="USDT $ "/>
    <x v="173"/>
    <s v="J314639935"/>
    <s v="VENESERVICIOS INTEGRALES J.U. C.A."/>
    <s v="FCLIE/2026/02261"/>
    <d v="2026-07-03T00:00:00"/>
    <n v="45.5"/>
    <x v="0"/>
    <d v="2026-07-08T00:00:00"/>
    <d v="2026-07-03T00:00:00"/>
    <d v="2026-07-08T00:00:00"/>
    <s v="7"/>
    <s v="Credito"/>
    <n v="5"/>
    <n v="-2"/>
    <n v="100"/>
    <n v="0"/>
    <n v="0"/>
    <n v="1.25"/>
    <n v="0.005"/>
    <n v="1"/>
    <n v="0.56875"/>
    <n v="0.2275"/>
    <m/>
  </r>
  <r>
    <s v="USDT $ "/>
    <x v="174"/>
    <s v="J507199037"/>
    <s v="ZHEN TECH, C.A"/>
    <s v="FCLIE/2026/02002"/>
    <d v="2026-06-18T00:00:00"/>
    <n v="935.5"/>
    <x v="4"/>
    <d v="2026-07-08T00:00:00"/>
    <d v="2026-06-18T00:00:00"/>
    <d v="2026-07-08T00:00:00"/>
    <s v="15"/>
    <s v="Credito"/>
    <n v="20"/>
    <n v="5"/>
    <n v="100"/>
    <n v="1"/>
    <n v="0"/>
    <n v="1.25"/>
    <n v="0.005"/>
    <n v="1"/>
    <n v="11.69375"/>
    <n v="4.6775"/>
    <m/>
  </r>
  <r>
    <s v="USDT $ "/>
    <x v="174"/>
    <s v="J507199037"/>
    <s v="ZHEN TECH, C.A"/>
    <s v="FCLIE/2026/02121"/>
    <d v="2026-06-23T00:00:00"/>
    <n v="733.4"/>
    <x v="4"/>
    <d v="2026-07-08T00:00:00"/>
    <d v="2026-06-23T00:00:00"/>
    <d v="2026-07-08T00:00:00"/>
    <s v="15"/>
    <s v="Credito"/>
    <n v="15"/>
    <n v="0"/>
    <n v="100"/>
    <n v="1"/>
    <n v="0"/>
    <n v="1.25"/>
    <n v="0.005"/>
    <n v="1"/>
    <n v="9.1675"/>
    <n v="3.667"/>
    <m/>
  </r>
  <r>
    <s v="USDT $ "/>
    <x v="175"/>
    <s v="J506775000"/>
    <s v="EMPRENDIMIENTO LAURANAILETH NUÑEZ"/>
    <s v="FCLIE/2026/02348"/>
    <d v="2026-07-07T00:00:00"/>
    <n v="681.5"/>
    <x v="4"/>
    <d v="2026-07-08T00:00:00"/>
    <d v="2026-07-07T00:00:00"/>
    <d v="2026-07-08T00:00:00"/>
    <s v="7"/>
    <s v="Credito"/>
    <n v="1"/>
    <n v="-6"/>
    <n v="100"/>
    <n v="0"/>
    <n v="0"/>
    <n v="1.25"/>
    <n v="0.005"/>
    <n v="1"/>
    <n v="8.51875"/>
    <n v="3.4075"/>
    <m/>
  </r>
  <r>
    <s v="USDT $ "/>
    <x v="176"/>
    <s v="J408837250"/>
    <s v="ELECTROSHOP 2025, C.A."/>
    <s v="FCLIE/2026/00141"/>
    <d v="2026-03-27T00:00:00"/>
    <n v="82.1"/>
    <x v="5"/>
    <d v="2026-07-08T00:00:00"/>
    <d v="2026-03-27T00:00:00"/>
    <d v="2026-07-08T00:00:00"/>
    <s v="21"/>
    <s v="Credito"/>
    <n v="103"/>
    <n v="82"/>
    <n v="0"/>
    <n v="0"/>
    <n v="0"/>
    <n v="1.25"/>
    <n v="0.005"/>
    <n v="0"/>
    <n v="0"/>
    <n v="0.4105"/>
    <m/>
  </r>
  <r>
    <s v="USDT $ "/>
    <x v="177"/>
    <s v="J310268843"/>
    <s v="MUNDO BLACK C.A"/>
    <s v="FCLIE/2026/01680"/>
    <d v="2026-06-08T00:00:00"/>
    <n v="368"/>
    <x v="6"/>
    <d v="2026-07-08T00:00:00"/>
    <d v="2026-06-08T00:00:00"/>
    <d v="2026-07-08T00:00:00"/>
    <s v="7"/>
    <s v="Credito"/>
    <n v="30"/>
    <n v="23"/>
    <n v="50"/>
    <n v="1"/>
    <n v="0"/>
    <n v="1"/>
    <n v="0.005"/>
    <n v="1"/>
    <n v="1.84"/>
    <n v="1.84"/>
    <m/>
  </r>
  <r>
    <s v="Banesco BS. 3049"/>
    <x v="178"/>
    <s v="J507010872"/>
    <s v="EMPRENDIMIENTO KIMBERLYN MENDEZ"/>
    <s v="FCLIE/2026/02394"/>
    <d v="2026-07-08T00:00:00"/>
    <n v="759.95"/>
    <x v="4"/>
    <d v="2026-07-08T00:00:00"/>
    <d v="2026-07-08T00:00:00"/>
    <d v="2026-07-08T00:00:00"/>
    <n v="0"/>
    <s v="Contado"/>
    <n v="0"/>
    <n v="0"/>
    <n v="100"/>
    <n v="0"/>
    <n v="0"/>
    <n v="1.25"/>
    <n v="0.005"/>
    <n v="1"/>
    <n v="9.499375"/>
    <n v="3.79975"/>
    <m/>
  </r>
  <r>
    <s v="Banco del Caribe  BS"/>
    <x v="179"/>
    <s v="J502374825"/>
    <s v="CLIP COMPUTER, C.A"/>
    <s v="FCLIE/2026/02399"/>
    <d v="2026-07-08T00:00:00"/>
    <n v="175.56"/>
    <x v="2"/>
    <d v="2026-07-08T00:00:00"/>
    <d v="2026-07-08T00:00:00"/>
    <d v="2026-07-08T00:00:00"/>
    <n v="0"/>
    <s v="Contado"/>
    <n v="0"/>
    <n v="0"/>
    <n v="100"/>
    <n v="0"/>
    <n v="0"/>
    <n v="1.25"/>
    <n v="0.005"/>
    <n v="1"/>
    <n v="2.1945"/>
    <n v="0.8778"/>
    <m/>
  </r>
  <r>
    <s v="Banco del Caribe  BS"/>
    <x v="180"/>
    <s v="J314309676"/>
    <s v="SERVICIOS A`S COMPUTER PC, C. A."/>
    <s v="FCLIE/2026/01541"/>
    <d v="2026-06-02T00:00:00"/>
    <n v="324.43"/>
    <x v="0"/>
    <d v="2026-07-08T00:00:00"/>
    <d v="2026-06-02T00:00:00"/>
    <d v="2026-07-08T00:00:00"/>
    <n v="0"/>
    <s v="Contado"/>
    <n v="36"/>
    <n v="36"/>
    <n v="0"/>
    <n v="1"/>
    <n v="0"/>
    <n v="1"/>
    <n v="0.005"/>
    <n v="0"/>
    <n v="0"/>
    <n v="1.62215"/>
    <m/>
  </r>
  <r>
    <s v="Banco del Caribe  BS"/>
    <x v="180"/>
    <s v="J314309676"/>
    <s v="SERVICIOS A`S COMPUTER PC, C. A."/>
    <s v="FCLIE/2026/01555"/>
    <d v="2026-06-02T00:00:00"/>
    <n v="1017.03"/>
    <x v="0"/>
    <d v="2026-07-08T00:00:00"/>
    <d v="2026-06-02T00:00:00"/>
    <d v="2026-07-08T00:00:00"/>
    <s v="30"/>
    <s v="Credito"/>
    <n v="36"/>
    <n v="6"/>
    <n v="100"/>
    <n v="1"/>
    <n v="0"/>
    <n v="1"/>
    <n v="0.005"/>
    <n v="1"/>
    <n v="10.1703"/>
    <n v="5.08515"/>
    <m/>
  </r>
  <r>
    <s v="Banco del Caribe  BS"/>
    <x v="181"/>
    <s v="J314309676"/>
    <s v="SERVICIOS A`S COMPUTER PC, C. A."/>
    <s v="FCLIE/2026/01555"/>
    <d v="2026-06-02T00:00:00"/>
    <n v="1204.82"/>
    <x v="0"/>
    <d v="2026-07-08T00:00:00"/>
    <d v="2026-06-02T00:00:00"/>
    <d v="2026-07-08T00:00:00"/>
    <s v="30"/>
    <s v="Credito"/>
    <n v="36"/>
    <n v="6"/>
    <n v="100"/>
    <n v="1"/>
    <n v="0"/>
    <n v="1"/>
    <n v="0.005"/>
    <n v="1"/>
    <n v="12.0482"/>
    <n v="6.0241"/>
    <m/>
  </r>
  <r>
    <s v="Banco del Caribe  BS"/>
    <x v="182"/>
    <s v="J314309676"/>
    <s v="SERVICIOS A`S COMPUTER PC, C. A."/>
    <s v="FCLIE/2026/01555"/>
    <d v="2026-06-02T00:00:00"/>
    <n v="682.15"/>
    <x v="0"/>
    <d v="2026-07-08T00:00:00"/>
    <d v="2026-06-02T00:00:00"/>
    <d v="2026-07-08T00:00:00"/>
    <s v="30"/>
    <s v="Credito"/>
    <n v="36"/>
    <n v="6"/>
    <n v="100"/>
    <n v="1"/>
    <n v="0"/>
    <n v="1"/>
    <n v="0.005"/>
    <n v="1"/>
    <n v="6.8215"/>
    <n v="3.41075"/>
    <m/>
  </r>
  <r>
    <s v="Banco del Caribe  BS"/>
    <x v="182"/>
    <s v="J314309676"/>
    <s v="SERVICIOS A`S COMPUTER PC, C. A."/>
    <s v="FCLIE/2026/01910"/>
    <d v="2026-06-15T00:00:00"/>
    <n v="199.5"/>
    <x v="0"/>
    <d v="2026-07-08T00:00:00"/>
    <d v="2026-06-15T00:00:00"/>
    <d v="2026-07-08T00:00:00"/>
    <s v="30"/>
    <s v="Credito"/>
    <n v="23"/>
    <n v="-7"/>
    <n v="100"/>
    <n v="1"/>
    <n v="0"/>
    <n v="1"/>
    <n v="0.005"/>
    <n v="1"/>
    <n v="1.995"/>
    <n v="0.9975"/>
    <m/>
  </r>
  <r>
    <s v="Banco del Caribe  BS"/>
    <x v="182"/>
    <s v="J314309676"/>
    <s v="SERVICIOS A`S COMPUTER PC, C. A."/>
    <s v="FCLIE/2026/02350"/>
    <d v="2026-07-07T00:00:00"/>
    <n v="323.17"/>
    <x v="0"/>
    <d v="2026-07-08T00:00:00"/>
    <d v="2026-07-07T00:00:00"/>
    <d v="2026-07-08T00:00:00"/>
    <s v="30"/>
    <s v="Credito"/>
    <n v="1"/>
    <n v="-29"/>
    <n v="100"/>
    <n v="0"/>
    <n v="0"/>
    <n v="1.25"/>
    <n v="0.005"/>
    <n v="1"/>
    <n v="4.039625"/>
    <n v="1.61585"/>
    <m/>
  </r>
  <r>
    <s v="Banco del Caribe  BS"/>
    <x v="183"/>
    <s v="J408396734"/>
    <s v="U CORPORATION C.A."/>
    <s v="FCLIE/2026/02379"/>
    <d v="2026-07-08T00:00:00"/>
    <n v="45.37"/>
    <x v="3"/>
    <d v="2026-07-08T00:00:00"/>
    <d v="2026-07-08T00:00:00"/>
    <d v="2026-07-08T00:00:00"/>
    <n v="0"/>
    <s v="Contado"/>
    <n v="0"/>
    <n v="0"/>
    <n v="100"/>
    <n v="0"/>
    <n v="0"/>
    <n v="1"/>
    <n v="0.005"/>
    <n v="1"/>
    <n v="0.4537"/>
    <n v="0.22685"/>
    <m/>
  </r>
  <r>
    <s v="TRANSITORIA ZELLE"/>
    <x v="184"/>
    <s v="J304709927"/>
    <s v="GALLERY COMPUTER, C.A"/>
    <s v="FCLIE/2026/01333"/>
    <d v="2026-05-22T00:00:00"/>
    <n v="1755"/>
    <x v="3"/>
    <d v="2026-07-08T00:00:00"/>
    <d v="2026-05-22T00:00:00"/>
    <d v="2026-07-08T00:00:00"/>
    <s v="21"/>
    <s v="Credito"/>
    <n v="47"/>
    <n v="26"/>
    <n v="50"/>
    <n v="2"/>
    <n v="0"/>
    <n v="1"/>
    <n v="0.005"/>
    <n v="1"/>
    <n v="8.775"/>
    <n v="8.775"/>
    <m/>
  </r>
  <r>
    <s v="TRANSITORIA ZELLE"/>
    <x v="184"/>
    <s v="J304709927"/>
    <s v="GALLERY COMPUTER, C.A"/>
    <s v="FCLIE/2026/01334"/>
    <d v="2026-05-22T00:00:00"/>
    <n v="1755"/>
    <x v="3"/>
    <d v="2026-07-08T00:00:00"/>
    <d v="2026-05-22T00:00:00"/>
    <d v="2026-07-08T00:00:00"/>
    <s v="21"/>
    <s v="Credito"/>
    <n v="47"/>
    <n v="26"/>
    <n v="50"/>
    <n v="2"/>
    <n v="0"/>
    <n v="1"/>
    <n v="0.005"/>
    <n v="1"/>
    <n v="8.775"/>
    <n v="8.775"/>
    <m/>
  </r>
  <r>
    <s v="TRANSITORIA ZELLE"/>
    <x v="184"/>
    <s v="J304709927"/>
    <s v="GALLERY COMPUTER, C.A"/>
    <s v="FCLIE/2026/01490"/>
    <d v="2026-05-29T00:00:00"/>
    <n v="3068.15"/>
    <x v="3"/>
    <d v="2026-07-08T00:00:00"/>
    <d v="2026-05-29T00:00:00"/>
    <d v="2026-07-08T00:00:00"/>
    <s v="21"/>
    <s v="Credito"/>
    <n v="40"/>
    <n v="19"/>
    <n v="50"/>
    <n v="2"/>
    <n v="0"/>
    <n v="1"/>
    <n v="0.005"/>
    <n v="1"/>
    <n v="15.34075"/>
    <n v="15.34075"/>
    <m/>
  </r>
  <r>
    <s v="TRANSITORIA ZELLE"/>
    <x v="184"/>
    <s v="J304709927"/>
    <s v="GALLERY COMPUTER, C.A"/>
    <s v="FCLIE/2026/01494"/>
    <d v="2026-05-29T00:00:00"/>
    <n v="2261.3"/>
    <x v="3"/>
    <d v="2026-07-08T00:00:00"/>
    <d v="2026-05-29T00:00:00"/>
    <d v="2026-07-08T00:00:00"/>
    <s v="21"/>
    <s v="Credito"/>
    <n v="40"/>
    <n v="19"/>
    <n v="50"/>
    <n v="2"/>
    <n v="0"/>
    <n v="1"/>
    <n v="0.005"/>
    <n v="1"/>
    <n v="11.3065"/>
    <n v="11.3065"/>
    <m/>
  </r>
  <r>
    <s v="USDT $ "/>
    <x v="185"/>
    <s v="J504296481"/>
    <s v="ZONA PRINTER, C.A"/>
    <s v="FCLIE/2026/02138"/>
    <d v="2026-06-23T00:00:00"/>
    <n v="805"/>
    <x v="0"/>
    <d v="2026-07-08T00:00:00"/>
    <d v="2026-06-23T00:00:00"/>
    <d v="2026-07-08T00:00:00"/>
    <s v="7"/>
    <s v="Credito"/>
    <n v="15"/>
    <n v="8"/>
    <n v="100"/>
    <n v="1"/>
    <n v="0"/>
    <n v="1"/>
    <n v="0.005"/>
    <n v="1"/>
    <n v="8.05"/>
    <n v="4.025"/>
    <m/>
  </r>
  <r>
    <s v="USDT $ "/>
    <x v="186"/>
    <s v="J506055856"/>
    <s v="MESRAM.2024, C.A."/>
    <s v="FCLIE/2026/02392"/>
    <d v="2026-07-08T00:00:00"/>
    <n v="87.5"/>
    <x v="3"/>
    <d v="2026-07-08T00:00:00"/>
    <d v="2026-07-08T00:00:00"/>
    <d v="2026-07-08T00:00:00"/>
    <n v="0"/>
    <s v="Contado"/>
    <n v="0"/>
    <n v="0"/>
    <n v="100"/>
    <n v="0"/>
    <n v="0"/>
    <n v="1"/>
    <n v="0.005"/>
    <n v="1"/>
    <n v="0.875"/>
    <n v="0.4375"/>
    <m/>
  </r>
  <r>
    <s v="USDT $ "/>
    <x v="187"/>
    <s v="J506100258"/>
    <s v="EMPRENDIMIENTO DANIEL LOPEZ 15"/>
    <s v="FCLIE/2026/02259"/>
    <d v="2026-07-03T00:00:00"/>
    <n v="532.45"/>
    <x v="0"/>
    <d v="2026-07-03T00:00:00"/>
    <d v="2026-07-03T00:00:00"/>
    <d v="2026-07-03T00:00:00"/>
    <n v="0"/>
    <s v="Contado"/>
    <n v="0"/>
    <n v="0"/>
    <n v="100"/>
    <n v="0"/>
    <n v="0"/>
    <n v="1.25"/>
    <n v="0.005"/>
    <n v="1"/>
    <n v="6.655625"/>
    <n v="2.66225"/>
    <m/>
  </r>
  <r>
    <s v="USDT $ "/>
    <x v="188"/>
    <s v="J506100258"/>
    <s v="EMPRENDIMIENTO DANIEL LOPEZ 15"/>
    <s v="FCLIE/2026/02396"/>
    <d v="2026-07-08T00:00:00"/>
    <n v="242.1"/>
    <x v="0"/>
    <d v="2026-07-08T00:00:00"/>
    <d v="2026-07-08T00:00:00"/>
    <d v="2026-07-08T00:00:00"/>
    <n v="0"/>
    <s v="Contado"/>
    <n v="0"/>
    <n v="0"/>
    <n v="100"/>
    <n v="0"/>
    <n v="0"/>
    <n v="1.25"/>
    <n v="0.005"/>
    <n v="1"/>
    <n v="3.02625"/>
    <n v="1.2105"/>
    <m/>
  </r>
  <r>
    <s v="USDT $ "/>
    <x v="189"/>
    <s v="J410965266"/>
    <s v="INVERSIONES ALDAYO C.A"/>
    <s v="FCLIE/2026/02404"/>
    <d v="2026-07-08T00:00:00"/>
    <n v="42.5"/>
    <x v="2"/>
    <d v="2026-07-08T00:00:00"/>
    <d v="2026-07-08T00:00:00"/>
    <d v="2026-07-08T00:00:00"/>
    <s v="7"/>
    <s v="Credito"/>
    <n v="0"/>
    <n v="-7"/>
    <n v="100"/>
    <n v="0"/>
    <n v="0"/>
    <n v="1.25"/>
    <n v="0.005"/>
    <n v="1"/>
    <n v="0.53125"/>
    <n v="0.2125"/>
    <m/>
  </r>
  <r>
    <s v="USDT $ "/>
    <x v="190"/>
    <s v="J405775319"/>
    <s v="COMPUTER INK, CA"/>
    <s v="FCLIE/2026/01892"/>
    <d v="2026-06-12T00:00:00"/>
    <n v="1009.97"/>
    <x v="0"/>
    <d v="2026-07-08T00:00:00"/>
    <d v="2026-06-12T00:00:00"/>
    <d v="2026-07-08T00:00:00"/>
    <s v="15"/>
    <s v="Credito"/>
    <n v="26"/>
    <n v="11"/>
    <n v="100"/>
    <n v="1"/>
    <n v="0"/>
    <n v="1"/>
    <n v="0.005"/>
    <n v="1"/>
    <n v="10.0997"/>
    <n v="5.04985"/>
    <m/>
  </r>
  <r>
    <s v="USDT $ "/>
    <x v="190"/>
    <s v="J405775319"/>
    <s v="COMPUTER INK, CA"/>
    <s v="FCLIE/2026/02166"/>
    <d v="2026-06-29T00:00:00"/>
    <n v="90.03"/>
    <x v="1"/>
    <d v="2026-07-08T00:00:00"/>
    <d v="2026-06-29T00:00:00"/>
    <d v="2026-07-08T00:00:00"/>
    <s v="15"/>
    <s v="Credito"/>
    <n v="9"/>
    <n v="-6"/>
    <n v="100"/>
    <n v="1"/>
    <n v="0"/>
    <n v="1"/>
    <n v="0.005"/>
    <n v="1"/>
    <n v="0.9003"/>
    <n v="0.45015"/>
    <m/>
  </r>
  <r>
    <s v="USDT $ "/>
    <x v="191"/>
    <s v="J295163436"/>
    <s v="SUMINISTROS BASE20, C.A."/>
    <s v="FCLIE/2026/02398"/>
    <d v="2026-07-08T00:00:00"/>
    <n v="225"/>
    <x v="1"/>
    <d v="2026-07-08T00:00:00"/>
    <d v="2026-07-08T00:00:00"/>
    <d v="2026-07-08T00:00:00"/>
    <n v="0"/>
    <s v="Contado"/>
    <n v="0"/>
    <n v="0"/>
    <n v="100"/>
    <n v="0"/>
    <n v="0"/>
    <n v="1"/>
    <n v="0.005"/>
    <n v="1"/>
    <n v="2.25"/>
    <n v="1.125"/>
    <m/>
  </r>
  <r>
    <s v="USDT $ "/>
    <x v="192"/>
    <s v="J506775000"/>
    <s v="EMPRENDIMIENTO LAURANAILETH NUÑEZ"/>
    <s v="FCLIE/2026/02373"/>
    <d v="2026-07-08T00:00:00"/>
    <n v="500"/>
    <x v="4"/>
    <d v="2026-07-08T00:00:00"/>
    <d v="2026-07-08T00:00:00"/>
    <d v="2026-07-08T00:00:00"/>
    <s v="7"/>
    <s v="Credito"/>
    <n v="0"/>
    <n v="-7"/>
    <n v="100"/>
    <n v="0"/>
    <n v="0"/>
    <n v="1.25"/>
    <n v="0.005"/>
    <n v="1"/>
    <n v="6.25"/>
    <n v="2.5"/>
    <m/>
  </r>
  <r>
    <s v="USDT $ "/>
    <x v="193"/>
    <s v="J505218034"/>
    <s v="CANELON ARANZAZU I, C.A"/>
    <s v="FCLIE/2026/02402"/>
    <d v="2026-07-08T00:00:00"/>
    <n v="1254"/>
    <x v="4"/>
    <d v="2026-07-08T00:00:00"/>
    <d v="2026-07-08T00:00:00"/>
    <d v="2026-07-08T00:00:00"/>
    <n v="0"/>
    <s v="Contado"/>
    <n v="0"/>
    <n v="0"/>
    <n v="100"/>
    <n v="0"/>
    <n v="0"/>
    <n v="1.25"/>
    <n v="0.005"/>
    <n v="1"/>
    <n v="15.675"/>
    <n v="6.27"/>
    <m/>
  </r>
  <r>
    <s v="USDT $ "/>
    <x v="194"/>
    <s v="J404312480"/>
    <s v="STORE SYSTEM WR, C.A."/>
    <s v="FCLIE/2026/02400"/>
    <d v="2026-07-08T00:00:00"/>
    <n v="298.6"/>
    <x v="1"/>
    <d v="2026-07-08T00:00:00"/>
    <d v="2026-07-08T00:00:00"/>
    <d v="2026-07-08T00:00:00"/>
    <n v="0"/>
    <s v="Contado"/>
    <n v="0"/>
    <n v="0"/>
    <n v="100"/>
    <n v="0"/>
    <n v="0"/>
    <n v="1"/>
    <n v="0.005"/>
    <n v="1"/>
    <n v="2.986"/>
    <n v="1.493"/>
    <m/>
  </r>
  <r>
    <s v="USDT $ "/>
    <x v="195"/>
    <s v="J501329214"/>
    <s v="GIGAHERTZ STORE, C.A"/>
    <s v="FCLIE/2026/01890"/>
    <d v="2026-06-12T00:00:00"/>
    <n v="8397.72"/>
    <x v="5"/>
    <d v="2026-07-08T00:00:00"/>
    <d v="2026-06-12T00:00:00"/>
    <d v="2026-07-08T00:00:00"/>
    <s v="21"/>
    <s v="Credito"/>
    <n v="26"/>
    <n v="5"/>
    <n v="100"/>
    <n v="1"/>
    <n v="0"/>
    <n v="1"/>
    <n v="0.005"/>
    <n v="1"/>
    <n v="83.9772"/>
    <n v="41.9886"/>
    <m/>
  </r>
  <r>
    <s v="USDT $ "/>
    <x v="196"/>
    <s v="J500782349"/>
    <s v="COMERCIALIZADORA ENCARGALO AQUI, C.A"/>
    <s v="FCLIE/2026/01577"/>
    <d v="2026-06-03T00:00:00"/>
    <n v="1000"/>
    <x v="1"/>
    <d v="2026-07-08T00:00:00"/>
    <d v="2026-06-03T00:00:00"/>
    <d v="2026-07-08T00:00:00"/>
    <s v="21"/>
    <s v="Credito"/>
    <n v="35"/>
    <n v="14"/>
    <n v="100"/>
    <n v="1"/>
    <n v="0"/>
    <n v="1"/>
    <n v="0.005"/>
    <n v="1"/>
    <n v="10"/>
    <n v="5"/>
    <m/>
  </r>
  <r>
    <s v="USDT $ "/>
    <x v="197"/>
    <s v="J501821631"/>
    <s v="MULTI CONFORT CA"/>
    <s v="FCLIE/2026/01348"/>
    <d v="2026-05-22T00:00:00"/>
    <n v="587.3"/>
    <x v="5"/>
    <d v="2026-07-08T00:00:00"/>
    <d v="2026-05-22T00:00:00"/>
    <d v="2026-07-08T00:00:00"/>
    <s v="10"/>
    <s v="Credito"/>
    <n v="47"/>
    <n v="37"/>
    <n v="30"/>
    <n v="2"/>
    <n v="0"/>
    <n v="1"/>
    <n v="0.005"/>
    <n v="1"/>
    <n v="1.7619"/>
    <n v="2.9365"/>
    <m/>
  </r>
  <r>
    <s v="REGIONSBANK"/>
    <x v="198"/>
    <s v="J315733170"/>
    <s v="INVERSIONES AVEL DRIVE,C.A."/>
    <s v="FCLIE/2026/02089"/>
    <d v="2026-06-22T00:00:00"/>
    <n v="198.3"/>
    <x v="3"/>
    <d v="2026-07-08T00:00:00"/>
    <d v="2026-06-22T00:00:00"/>
    <d v="2026-07-08T00:00:00"/>
    <s v="15"/>
    <s v="Credito"/>
    <n v="16"/>
    <n v="1"/>
    <n v="100"/>
    <n v="1"/>
    <n v="0"/>
    <n v="1"/>
    <n v="0.005"/>
    <n v="1"/>
    <n v="1.983"/>
    <n v="0.9915"/>
    <m/>
  </r>
  <r>
    <s v="REGIONSBANK"/>
    <x v="198"/>
    <s v="J315733170"/>
    <s v="INVERSIONES AVEL DRIVE,C.A."/>
    <s v="FCLIE/2026/02327"/>
    <d v="2026-07-06T00:00:00"/>
    <n v="5"/>
    <x v="3"/>
    <d v="2026-07-08T00:00:00"/>
    <d v="2026-07-06T00:00:00"/>
    <d v="2026-07-08T00:00:00"/>
    <s v="15"/>
    <s v="Credito"/>
    <n v="2"/>
    <n v="-13"/>
    <n v="100"/>
    <n v="0"/>
    <n v="0"/>
    <n v="1"/>
    <n v="0.005"/>
    <n v="1"/>
    <n v="0.05"/>
    <n v="0.025"/>
    <m/>
  </r>
  <r>
    <s v="REGIONSBANK"/>
    <x v="199"/>
    <s v="J294315356"/>
    <s v="CORPORACION ROCIEL CA"/>
    <s v="FCLIE/2026/01422"/>
    <d v="2026-05-27T00:00:00"/>
    <n v="335.1"/>
    <x v="0"/>
    <d v="2026-07-08T00:00:00"/>
    <d v="2026-05-27T00:00:00"/>
    <d v="2026-07-08T00:00:00"/>
    <s v="45"/>
    <s v="Credito"/>
    <n v="42"/>
    <n v="-3"/>
    <n v="100"/>
    <n v="2"/>
    <n v="0"/>
    <n v="1"/>
    <n v="0.005"/>
    <n v="1"/>
    <n v="3.351"/>
    <n v="1.6755"/>
    <m/>
  </r>
  <r>
    <s v="REGIONSBANK"/>
    <x v="199"/>
    <s v="J294315356"/>
    <s v="CORPORACION ROCIEL CA"/>
    <s v="FCLIE/2026/01448"/>
    <d v="2026-05-28T00:00:00"/>
    <n v="4062"/>
    <x v="0"/>
    <d v="2026-07-08T00:00:00"/>
    <d v="2026-05-28T00:00:00"/>
    <d v="2026-07-08T00:00:00"/>
    <s v="45"/>
    <s v="Credito"/>
    <n v="41"/>
    <n v="-4"/>
    <n v="100"/>
    <n v="2"/>
    <n v="0"/>
    <n v="1"/>
    <n v="0.005"/>
    <n v="1"/>
    <n v="40.62"/>
    <n v="20.31"/>
    <m/>
  </r>
  <r>
    <s v="USDT $ "/>
    <x v="200"/>
    <s v="J314639935"/>
    <s v="VENESERVICIOS INTEGRALES J.U. C.A."/>
    <s v="FCLIE/2026/02261"/>
    <d v="2026-07-03T00:00:00"/>
    <n v="253.44"/>
    <x v="0"/>
    <d v="2026-07-09T00:00:00"/>
    <d v="2026-07-03T00:00:00"/>
    <d v="2026-07-09T00:00:00"/>
    <s v="7"/>
    <s v="Credito"/>
    <n v="6"/>
    <n v="-1"/>
    <n v="100"/>
    <n v="0"/>
    <n v="0"/>
    <n v="1.25"/>
    <n v="0.005"/>
    <n v="1"/>
    <n v="3.168"/>
    <n v="1.2672"/>
    <m/>
  </r>
  <r>
    <s v="USDT $ "/>
    <x v="201"/>
    <s v="J503184515"/>
    <s v="ARYP TECNOPOLIS, C.A"/>
    <s v="FCLIE/2026/02017"/>
    <d v="2026-06-18T00:00:00"/>
    <n v="300"/>
    <x v="0"/>
    <d v="2026-07-09T00:00:00"/>
    <d v="2026-06-18T00:00:00"/>
    <d v="2026-07-09T00:00:00"/>
    <s v="15"/>
    <s v="Credito"/>
    <n v="21"/>
    <n v="6"/>
    <n v="100"/>
    <n v="1"/>
    <n v="0"/>
    <n v="1"/>
    <n v="0.005"/>
    <n v="1"/>
    <n v="3"/>
    <n v="1.5"/>
    <m/>
  </r>
  <r>
    <s v="USDT $ "/>
    <x v="202"/>
    <s v="J314639935"/>
    <s v="VENESERVICIOS INTEGRALES J.U. C.A."/>
    <s v="FCLIE/2026/02383"/>
    <d v="2026-07-08T00:00:00"/>
    <n v="321"/>
    <x v="0"/>
    <d v="2026-07-09T00:00:00"/>
    <d v="2026-07-08T00:00:00"/>
    <d v="2026-07-09T00:00:00"/>
    <s v="7"/>
    <s v="Credito"/>
    <n v="1"/>
    <n v="-6"/>
    <n v="100"/>
    <n v="0"/>
    <n v="0"/>
    <n v="1.25"/>
    <n v="0.005"/>
    <n v="1"/>
    <n v="4.0125"/>
    <n v="1.605"/>
    <m/>
  </r>
  <r>
    <s v="USDT $ "/>
    <x v="203"/>
    <s v="J500544014"/>
    <s v="BIG SMART DESTINY, C.A."/>
    <s v="FCLIE/2026/02409"/>
    <d v="2026-07-08T00:00:00"/>
    <n v="291.95"/>
    <x v="2"/>
    <d v="2026-07-09T00:00:00"/>
    <d v="2026-07-08T00:00:00"/>
    <d v="2026-07-09T00:00:00"/>
    <n v="0"/>
    <s v="Contado"/>
    <n v="1"/>
    <n v="1"/>
    <n v="100"/>
    <n v="0"/>
    <n v="0"/>
    <n v="1.25"/>
    <n v="0.005"/>
    <n v="1"/>
    <n v="3.649375"/>
    <n v="1.45975"/>
    <m/>
  </r>
  <r>
    <s v="USDT $ "/>
    <x v="204"/>
    <s v="J408076772"/>
    <s v="INVERSIONES MULTISERVICIOS AC0803, C.A."/>
    <s v="FCLIE/2026/02410"/>
    <d v="2026-07-09T00:00:00"/>
    <n v="32"/>
    <x v="5"/>
    <d v="2026-07-09T00:00:00"/>
    <d v="2026-07-09T00:00:00"/>
    <d v="2026-07-09T00:00:00"/>
    <n v="0"/>
    <s v="Contado"/>
    <n v="0"/>
    <n v="0"/>
    <n v="100"/>
    <n v="0"/>
    <n v="0"/>
    <n v="1.25"/>
    <n v="0.005"/>
    <n v="1"/>
    <n v="0.4"/>
    <n v="0.16"/>
    <m/>
  </r>
  <r>
    <s v="USDT $ "/>
    <x v="158"/>
    <s v="J408076772"/>
    <s v="INVERSIONES MULTISERVICIOS AC0803, C.A."/>
    <s v="FCLIE/2026/02410"/>
    <d v="2026-07-09T00:00:00"/>
    <n v="1"/>
    <x v="5"/>
    <d v="2026-07-07T00:00:00"/>
    <d v="2026-07-09T00:00:00"/>
    <d v="2026-07-07T00:00:00"/>
    <n v="0"/>
    <s v="Contado"/>
    <n v="-2"/>
    <n v="-2"/>
    <n v="100"/>
    <n v="0"/>
    <n v="0"/>
    <n v="1.25"/>
    <n v="0.005"/>
    <n v="1"/>
    <n v="0.0125"/>
    <n v="0.005"/>
    <m/>
  </r>
  <r>
    <s v="Caja Principal"/>
    <x v="205"/>
    <s v="J408076772"/>
    <s v="INVERSIONES MULTISERVICIOS AC0803, C.A."/>
    <s v="FCLIE/2026/02410"/>
    <d v="2026-07-09T00:00:00"/>
    <n v="699"/>
    <x v="5"/>
    <d v="2026-07-09T00:00:00"/>
    <d v="2026-07-09T00:00:00"/>
    <d v="2026-07-09T00:00:00"/>
    <n v="0"/>
    <s v="Contado"/>
    <n v="0"/>
    <n v="0"/>
    <n v="100"/>
    <n v="0"/>
    <n v="0"/>
    <n v="1.25"/>
    <n v="0.005"/>
    <n v="1"/>
    <n v="8.7375"/>
    <n v="3.495"/>
    <m/>
  </r>
  <r>
    <s v="Banesco BS. 3049"/>
    <x v="206"/>
    <s v="J308190802"/>
    <s v="COMPU DEPOT C.A"/>
    <s v="FCLIE/2026/02119"/>
    <d v="2026-06-23T00:00:00"/>
    <n v="329"/>
    <x v="0"/>
    <d v="2026-07-09T00:00:00"/>
    <d v="2026-06-23T00:00:00"/>
    <d v="2026-07-09T00:00:00"/>
    <s v="15"/>
    <s v="Credito"/>
    <n v="16"/>
    <n v="1"/>
    <n v="100"/>
    <n v="1"/>
    <n v="0"/>
    <n v="1"/>
    <n v="0.005"/>
    <n v="1"/>
    <n v="3.29"/>
    <n v="1.645"/>
    <m/>
  </r>
  <r>
    <s v="Caja Principal"/>
    <x v="207"/>
    <s v="J411960071"/>
    <s v="CONSUMIBLES Y SERVICIOS PRINT YOU WORD, C.A."/>
    <s v="FCLIE/2026/02391"/>
    <d v="2026-07-08T00:00:00"/>
    <n v="210"/>
    <x v="0"/>
    <d v="2026-07-09T00:00:00"/>
    <d v="2026-07-08T00:00:00"/>
    <d v="2026-07-09T00:00:00"/>
    <n v="0"/>
    <s v="Contado"/>
    <n v="1"/>
    <n v="1"/>
    <n v="100"/>
    <n v="0"/>
    <n v="0"/>
    <n v="1.25"/>
    <n v="0.005"/>
    <n v="1"/>
    <n v="2.625"/>
    <n v="1.05"/>
    <m/>
  </r>
  <r>
    <s v="USDT $ "/>
    <x v="208"/>
    <s v="V250773192"/>
    <s v="CARLOS MARIO PARRA SUAREZ"/>
    <s v="FCLIE/2026/02292"/>
    <d v="2026-07-03T00:00:00"/>
    <n v="209.95"/>
    <x v="6"/>
    <d v="2026-07-03T00:00:00"/>
    <d v="2026-07-03T00:00:00"/>
    <d v="2026-07-03T00:00:00"/>
    <n v="0"/>
    <s v="Contado"/>
    <n v="0"/>
    <n v="0"/>
    <n v="100"/>
    <n v="0"/>
    <n v="0"/>
    <n v="1"/>
    <n v="0.005"/>
    <n v="1"/>
    <n v="2.0995"/>
    <n v="1.04975"/>
    <m/>
  </r>
  <r>
    <s v="USDT $ "/>
    <x v="209"/>
    <s v="J309735160"/>
    <s v="COMPURAMA"/>
    <s v="FCLIE/2026/01678"/>
    <d v="2026-06-05T00:00:00"/>
    <n v="2985"/>
    <x v="6"/>
    <d v="2026-07-09T00:00:00"/>
    <d v="2026-06-05T00:00:00"/>
    <d v="2026-07-09T00:00:00"/>
    <s v="15"/>
    <s v="Credito"/>
    <n v="34"/>
    <n v="19"/>
    <n v="50"/>
    <n v="1"/>
    <n v="0"/>
    <n v="1"/>
    <n v="0.005"/>
    <n v="1"/>
    <n v="14.925"/>
    <n v="14.925"/>
    <m/>
  </r>
  <r>
    <s v="Banco del Caribe  BS"/>
    <x v="210"/>
    <s v="J413210010"/>
    <s v="FIRMA DIGITAL, C.A."/>
    <s v="FCLIE/2026/02257"/>
    <d v="2026-07-03T00:00:00"/>
    <n v="56.7"/>
    <x v="6"/>
    <d v="2026-07-02T00:00:00"/>
    <d v="2026-07-03T00:00:00"/>
    <d v="2026-07-02T00:00:00"/>
    <n v="0"/>
    <s v="Contado"/>
    <n v="-1"/>
    <n v="-1"/>
    <n v="100"/>
    <n v="0"/>
    <n v="0"/>
    <n v="1"/>
    <n v="0.005"/>
    <n v="1"/>
    <n v="0.567"/>
    <n v="0.2835"/>
    <m/>
  </r>
  <r>
    <s v="USDT $ "/>
    <x v="211"/>
    <s v="J501499942"/>
    <s v="MEGATIK C.A."/>
    <s v="FCLIE/2026/02206"/>
    <d v="2026-07-01T00:00:00"/>
    <n v="44.55"/>
    <x v="6"/>
    <d v="2026-07-01T00:00:00"/>
    <d v="2026-07-01T00:00:00"/>
    <d v="2026-07-01T00:00:00"/>
    <n v="0"/>
    <s v="Contado"/>
    <n v="0"/>
    <n v="0"/>
    <n v="100"/>
    <n v="0"/>
    <n v="0"/>
    <n v="1"/>
    <n v="0.005"/>
    <n v="1"/>
    <n v="0.4455"/>
    <n v="0.22275"/>
    <m/>
  </r>
  <r>
    <s v="USDT $ "/>
    <x v="212"/>
    <s v="J501320586"/>
    <s v="TECNO SERVICIOS CARDOZA CONTRERAS, C.A."/>
    <s v="FCLIE/2026/02302"/>
    <d v="2026-07-03T00:00:00"/>
    <n v="92"/>
    <x v="6"/>
    <d v="2026-07-03T00:00:00"/>
    <d v="2026-07-03T00:00:00"/>
    <d v="2026-07-03T00:00:00"/>
    <n v="0"/>
    <s v="Contado"/>
    <n v="0"/>
    <n v="0"/>
    <n v="100"/>
    <n v="0"/>
    <n v="0"/>
    <n v="1"/>
    <n v="0.005"/>
    <n v="1"/>
    <n v="0.92"/>
    <n v="0.46"/>
    <m/>
  </r>
  <r>
    <s v="Caja Principal"/>
    <x v="213"/>
    <s v="J410719869"/>
    <s v="GRUPO BIILIGO, C.A."/>
    <s v="FCLIE/2026/02416"/>
    <d v="2026-07-09T00:00:00"/>
    <n v="45.5"/>
    <x v="2"/>
    <d v="2026-07-09T00:00:00"/>
    <d v="2026-07-09T00:00:00"/>
    <d v="2026-07-09T00:00:00"/>
    <n v="0"/>
    <s v="Contado"/>
    <n v="0"/>
    <n v="0"/>
    <n v="100"/>
    <n v="0"/>
    <n v="0"/>
    <n v="1.25"/>
    <n v="0.005"/>
    <n v="1"/>
    <n v="0.56875"/>
    <n v="0.2275"/>
    <m/>
  </r>
  <r>
    <s v="Caja Principal"/>
    <x v="106"/>
    <s v="J507010872"/>
    <s v="EMPRENDIMIENTO KIMBERLYN MENDEZ"/>
    <s v="FCLIE/2026/02420"/>
    <d v="2026-07-09T00:00:00"/>
    <n v="1"/>
    <x v="4"/>
    <d v="2026-07-06T00:00:00"/>
    <d v="2026-07-09T00:00:00"/>
    <d v="2026-07-06T00:00:00"/>
    <n v="0"/>
    <s v="Contado"/>
    <n v="-3"/>
    <n v="-3"/>
    <n v="100"/>
    <n v="0"/>
    <n v="0"/>
    <n v="1.25"/>
    <n v="0.005"/>
    <n v="1"/>
    <n v="0.0125"/>
    <n v="0.005"/>
    <m/>
  </r>
  <r>
    <s v="Caja Principal"/>
    <x v="214"/>
    <s v="J507010872"/>
    <s v="EMPRENDIMIENTO KIMBERLYN MENDEZ"/>
    <s v="FCLIE/2026/02420"/>
    <d v="2026-07-09T00:00:00"/>
    <n v="209.6"/>
    <x v="4"/>
    <d v="2026-07-09T00:00:00"/>
    <d v="2026-07-09T00:00:00"/>
    <d v="2026-07-09T00:00:00"/>
    <n v="0"/>
    <s v="Contado"/>
    <n v="0"/>
    <n v="0"/>
    <n v="100"/>
    <n v="0"/>
    <n v="0"/>
    <n v="1.25"/>
    <n v="0.005"/>
    <n v="1"/>
    <n v="2.62"/>
    <n v="1.048"/>
    <m/>
  </r>
  <r>
    <s v="USDT $ "/>
    <x v="215"/>
    <s v="J315051435"/>
    <s v="KAMAL CYBER &amp; SERVICE, C.A"/>
    <s v="FCLIE/2026/01734"/>
    <d v="2026-06-08T00:00:00"/>
    <n v="3800"/>
    <x v="1"/>
    <d v="2026-07-09T00:00:00"/>
    <d v="2026-06-08T00:00:00"/>
    <d v="2026-07-09T00:00:00"/>
    <s v="15"/>
    <s v="Credito"/>
    <n v="31"/>
    <n v="16"/>
    <n v="50"/>
    <n v="1"/>
    <n v="0"/>
    <n v="1"/>
    <n v="0.005"/>
    <n v="1"/>
    <n v="19"/>
    <n v="19"/>
    <m/>
  </r>
  <r>
    <s v="USDT $ "/>
    <x v="216"/>
    <s v="J507222047"/>
    <s v="GROUP TEC 2224,C.A. PYME"/>
    <s v="FCLIE/2026/02403"/>
    <d v="2026-07-08T00:00:00"/>
    <n v="269.1"/>
    <x v="4"/>
    <d v="2026-07-09T00:00:00"/>
    <d v="2026-07-08T00:00:00"/>
    <d v="2026-07-09T00:00:00"/>
    <n v="0"/>
    <s v="Contado"/>
    <n v="1"/>
    <n v="1"/>
    <n v="100"/>
    <n v="0"/>
    <n v="0"/>
    <n v="1.25"/>
    <n v="0.005"/>
    <n v="1"/>
    <n v="3.36375"/>
    <n v="1.3455"/>
    <m/>
  </r>
  <r>
    <s v="USDT $ "/>
    <x v="217"/>
    <s v="J410953446"/>
    <s v="HEY PROFIT SERVICES &amp; PRODUCTS, C.A."/>
    <s v="FCLIE/2026/02421"/>
    <d v="2026-07-09T00:00:00"/>
    <n v="501.75"/>
    <x v="2"/>
    <d v="2026-07-09T00:00:00"/>
    <d v="2026-07-09T00:00:00"/>
    <d v="2026-07-09T00:00:00"/>
    <n v="0"/>
    <s v="Contado"/>
    <n v="0"/>
    <n v="0"/>
    <n v="100"/>
    <n v="0"/>
    <n v="0"/>
    <n v="1.25"/>
    <n v="0.005"/>
    <n v="1"/>
    <n v="6.271875"/>
    <n v="2.50875"/>
    <m/>
  </r>
  <r>
    <s v="USDT $ "/>
    <x v="218"/>
    <s v="J296537453"/>
    <s v="VN GROUP 3000, C.A."/>
    <s v="FCLIE/2026/01485"/>
    <d v="2026-05-29T00:00:00"/>
    <n v="1240"/>
    <x v="2"/>
    <d v="2026-07-09T00:00:00"/>
    <d v="2026-05-29T00:00:00"/>
    <d v="2026-07-09T00:00:00"/>
    <s v="21"/>
    <s v="Credito"/>
    <n v="41"/>
    <n v="20"/>
    <n v="50"/>
    <n v="2"/>
    <n v="0"/>
    <n v="1"/>
    <n v="0.005"/>
    <n v="1"/>
    <n v="6.2"/>
    <n v="6.2"/>
    <m/>
  </r>
  <r>
    <s v="USDT $ "/>
    <x v="219"/>
    <s v="J500636750"/>
    <s v="PHONE CELL VEM II, C.A."/>
    <s v="FCLIE/2026/02095"/>
    <d v="2026-06-22T00:00:00"/>
    <n v="2388"/>
    <x v="5"/>
    <d v="2026-07-09T00:00:00"/>
    <d v="2026-06-22T00:00:00"/>
    <d v="2026-07-09T00:00:00"/>
    <s v="21"/>
    <s v="Credito"/>
    <n v="17"/>
    <n v="-4"/>
    <n v="100"/>
    <n v="1"/>
    <n v="0"/>
    <n v="1"/>
    <n v="0.005"/>
    <n v="1"/>
    <n v="23.88"/>
    <n v="11.94"/>
    <m/>
  </r>
  <r>
    <s v="USDT $ "/>
    <x v="220"/>
    <s v="J297534458"/>
    <s v="NETXUS DIGITAL COMUNICACIONES, C.A"/>
    <s v="FCLIE/2026/02425"/>
    <d v="2026-07-09T00:00:00"/>
    <n v="150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1.5"/>
    <n v="0.75"/>
    <m/>
  </r>
  <r>
    <s v="Banco del Caribe  BS"/>
    <x v="221"/>
    <s v="J297534458"/>
    <s v="NETXUS DIGITAL COMUNICACIONES, C.A"/>
    <s v="FCLIE/2026/02425"/>
    <d v="2026-07-09T00:00:00"/>
    <n v="600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6"/>
    <n v="3"/>
    <m/>
  </r>
  <r>
    <s v="USDT $ "/>
    <x v="222"/>
    <s v="J296214700"/>
    <s v="INVERSIONES MUNDO TECNOLEMZ, C.A"/>
    <s v="FCLIE/2026/02424"/>
    <d v="2026-07-09T00:00:00"/>
    <n v="458.76"/>
    <x v="1"/>
    <d v="2026-07-09T00:00:00"/>
    <d v="2026-07-09T00:00:00"/>
    <d v="2026-07-09T00:00:00"/>
    <n v="0"/>
    <s v="Contado"/>
    <n v="0"/>
    <n v="0"/>
    <n v="100"/>
    <n v="0"/>
    <n v="0"/>
    <n v="1"/>
    <n v="0.005"/>
    <n v="1"/>
    <n v="4.5876"/>
    <n v="2.2938"/>
    <m/>
  </r>
  <r>
    <s v="USDT $ "/>
    <x v="223"/>
    <s v="J410965266"/>
    <s v="INVERSIONES ALDAYO C.A"/>
    <s v="FCLIE/2026/02282"/>
    <d v="2026-07-03T00:00:00"/>
    <n v="90"/>
    <x v="2"/>
    <d v="2026-07-09T00:00:00"/>
    <d v="2026-07-03T00:00:00"/>
    <d v="2026-07-09T00:00:00"/>
    <s v="7"/>
    <s v="Credito"/>
    <n v="6"/>
    <n v="-1"/>
    <n v="100"/>
    <n v="0"/>
    <n v="0"/>
    <n v="1.25"/>
    <n v="0.005"/>
    <n v="1"/>
    <n v="1.125"/>
    <n v="0.45"/>
    <m/>
  </r>
  <r>
    <s v="USDT $ "/>
    <x v="224"/>
    <s v="V121526324"/>
    <s v="INVERSIONES LORENA TERESA ARIAS"/>
    <s v="FCLIE/2026/01705"/>
    <d v="2026-06-08T00:00:00"/>
    <n v="2427.23"/>
    <x v="0"/>
    <d v="2026-07-09T00:00:00"/>
    <d v="2026-06-08T00:00:00"/>
    <d v="2026-07-09T00:00:00"/>
    <s v="15"/>
    <s v="Credito"/>
    <n v="31"/>
    <n v="16"/>
    <n v="50"/>
    <n v="1"/>
    <n v="0"/>
    <n v="1"/>
    <n v="0.005"/>
    <n v="1"/>
    <n v="12.13615"/>
    <n v="12.13615"/>
    <m/>
  </r>
  <r>
    <s v="USDT $ "/>
    <x v="224"/>
    <s v="V121526324"/>
    <s v="INVERSIONES LORENA TERESA ARIAS"/>
    <s v="FCLIE/2026/01875"/>
    <d v="2026-06-12T00:00:00"/>
    <n v="72.77"/>
    <x v="0"/>
    <d v="2026-07-09T00:00:00"/>
    <d v="2026-06-12T00:00:00"/>
    <d v="2026-07-09T00:00:00"/>
    <s v="15"/>
    <s v="Credito"/>
    <n v="27"/>
    <n v="12"/>
    <n v="100"/>
    <n v="1"/>
    <n v="0"/>
    <n v="1"/>
    <n v="0.005"/>
    <n v="1"/>
    <n v="0.7277"/>
    <n v="0.36385"/>
    <m/>
  </r>
  <r>
    <s v="USDT $ "/>
    <x v="225"/>
    <s v="J301123760"/>
    <s v="INDUSTRIAL PAPELERO I.P.A.C.A., C.A."/>
    <s v="FCLIE/2026/02430"/>
    <d v="2026-07-09T00:00:00"/>
    <n v="103.5"/>
    <x v="0"/>
    <d v="2026-07-09T00:00:00"/>
    <d v="2026-07-09T00:00:00"/>
    <d v="2026-07-09T00:00:00"/>
    <n v="0"/>
    <s v="Contado"/>
    <n v="0"/>
    <n v="0"/>
    <n v="100"/>
    <n v="0"/>
    <n v="0"/>
    <n v="1.25"/>
    <n v="0.005"/>
    <n v="1"/>
    <n v="1.29375"/>
    <n v="0.5175"/>
    <m/>
  </r>
  <r>
    <s v="USDT $ "/>
    <x v="226"/>
    <s v="J506520230"/>
    <s v="3HENLINEA, C.A."/>
    <s v="FCLIE/2026/01675"/>
    <d v="2026-06-05T00:00:00"/>
    <n v="1579"/>
    <x v="1"/>
    <d v="2026-07-09T00:00:00"/>
    <d v="2026-06-05T00:00:00"/>
    <d v="2026-07-09T00:00:00"/>
    <s v="7"/>
    <s v="Credito"/>
    <n v="34"/>
    <n v="27"/>
    <n v="50"/>
    <n v="1"/>
    <n v="0"/>
    <n v="1"/>
    <n v="0.005"/>
    <n v="1"/>
    <n v="7.895"/>
    <n v="7.895"/>
    <m/>
  </r>
  <r>
    <s v="USDT $ "/>
    <x v="227"/>
    <s v="J310836531"/>
    <s v="CORPORACION 3H, C.A"/>
    <s v="FCLIE/2026/01676"/>
    <d v="2026-06-05T00:00:00"/>
    <n v="2899"/>
    <x v="1"/>
    <d v="2026-07-09T00:00:00"/>
    <d v="2026-06-05T00:00:00"/>
    <d v="2026-07-09T00:00:00"/>
    <s v="7"/>
    <s v="Credito"/>
    <n v="34"/>
    <n v="27"/>
    <n v="50"/>
    <n v="1"/>
    <n v="0"/>
    <n v="1"/>
    <n v="0.005"/>
    <n v="1"/>
    <n v="14.495"/>
    <n v="14.495"/>
    <m/>
  </r>
  <r>
    <s v="USDT $ "/>
    <x v="228"/>
    <s v="J505605739"/>
    <s v="ALGE SOLUTIONS 2024, C.A."/>
    <s v="FCLIE/2026/02431"/>
    <d v="2026-07-09T00:00:00"/>
    <n v="1304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13.04"/>
    <n v="6.52"/>
    <m/>
  </r>
  <r>
    <s v="USDT $ "/>
    <x v="229"/>
    <s v="J314792237"/>
    <s v="PERFUMERIA Y COSMETICOS DANIEL C.A"/>
    <s v="FCLIE/2026/02435"/>
    <d v="2026-07-09T00:00:00"/>
    <n v="168.3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1.683"/>
    <n v="0.8415"/>
    <m/>
  </r>
  <r>
    <s v="USDT $ "/>
    <x v="230"/>
    <s v="V121526324"/>
    <s v="INVERSIONES LORENA TERESA ARIAS"/>
    <s v="FCLIE/2026/01875"/>
    <d v="2026-06-12T00:00:00"/>
    <n v="544"/>
    <x v="0"/>
    <d v="2026-07-09T00:00:00"/>
    <d v="2026-06-12T00:00:00"/>
    <d v="2026-07-09T00:00:00"/>
    <s v="15"/>
    <s v="Credito"/>
    <n v="27"/>
    <n v="12"/>
    <n v="100"/>
    <n v="1"/>
    <n v="0"/>
    <n v="1"/>
    <n v="0.005"/>
    <n v="1"/>
    <n v="5.44"/>
    <n v="2.72"/>
    <m/>
  </r>
  <r>
    <s v="Caja Principal"/>
    <x v="231"/>
    <s v="J507222047"/>
    <s v="GROUP TEC 2224,C.A. PYME"/>
    <s v="FCLIE/2026/02403"/>
    <d v="2026-07-08T00:00:00"/>
    <n v="400"/>
    <x v="4"/>
    <d v="2026-07-09T00:00:00"/>
    <d v="2026-07-08T00:00:00"/>
    <d v="2026-07-09T00:00:00"/>
    <n v="0"/>
    <s v="Contado"/>
    <n v="1"/>
    <n v="1"/>
    <n v="100"/>
    <n v="0"/>
    <n v="0"/>
    <n v="1.25"/>
    <n v="0.005"/>
    <n v="1"/>
    <n v="5"/>
    <n v="2"/>
    <m/>
  </r>
  <r>
    <s v="USDT $ "/>
    <x v="232"/>
    <s v="V149429898"/>
    <s v="DUDMAN ADOLFO MEDINA ORTIZ"/>
    <s v="FCLIE/2026/02438"/>
    <d v="2026-07-09T00:00:00"/>
    <n v="140"/>
    <x v="1"/>
    <d v="2026-07-09T00:00:00"/>
    <d v="2026-07-09T00:00:00"/>
    <d v="2026-07-09T00:00:00"/>
    <n v="0"/>
    <s v="Contado"/>
    <n v="0"/>
    <n v="0"/>
    <n v="100"/>
    <n v="0"/>
    <n v="0"/>
    <n v="1"/>
    <n v="0.005"/>
    <n v="1"/>
    <n v="1.4"/>
    <n v="0.7"/>
    <m/>
  </r>
  <r>
    <s v="Banesco BS. 3049"/>
    <x v="233"/>
    <s v="J505605739"/>
    <s v="ALGE SOLUTIONS 2024, C.A."/>
    <s v="FCLIE/2026/02432"/>
    <d v="2026-07-09T00:00:00"/>
    <n v="214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2.14"/>
    <n v="1.07"/>
    <m/>
  </r>
  <r>
    <s v="Banco del Caribe  BS"/>
    <x v="234"/>
    <s v="J408592312"/>
    <s v="DISTRIBUIDORA COMPU PAPEL 2016,C.A."/>
    <s v="FCLIE/2026/02444"/>
    <d v="2026-07-09T00:00:00"/>
    <n v="37.5"/>
    <x v="3"/>
    <d v="2026-07-09T00:00:00"/>
    <d v="2026-07-09T00:00:00"/>
    <d v="2026-07-09T00:00:00"/>
    <n v="30"/>
    <s v="Credito"/>
    <n v="0"/>
    <n v="-30"/>
    <n v="100"/>
    <n v="0"/>
    <n v="0"/>
    <n v="1"/>
    <n v="0.005"/>
    <n v="1"/>
    <n v="0.375"/>
    <n v="0.1875"/>
    <m/>
  </r>
  <r>
    <s v="Banesco BS. 3049"/>
    <x v="235"/>
    <s v="J408592312"/>
    <s v="DISTRIBUIDORA COMPU PAPEL 2016,C.A."/>
    <s v="FCLIE/2026/02266"/>
    <d v="2026-07-03T00:00:00"/>
    <n v="882.12"/>
    <x v="3"/>
    <d v="2026-07-03T00:00:00"/>
    <d v="2026-07-03T00:00:00"/>
    <d v="2026-07-03T00:00:00"/>
    <n v="0"/>
    <s v="Contado"/>
    <n v="0"/>
    <n v="0"/>
    <n v="100"/>
    <n v="0"/>
    <n v="0"/>
    <n v="1"/>
    <n v="0.005"/>
    <n v="1"/>
    <n v="8.8212"/>
    <n v="4.4106"/>
    <m/>
  </r>
  <r>
    <s v="Banesco BS. 3049"/>
    <x v="114"/>
    <s v="J408592312"/>
    <s v="DISTRIBUIDORA COMPU PAPEL 2016,C.A."/>
    <s v="FCLIE/2026/02266"/>
    <d v="2026-07-03T00:00:00"/>
    <n v="44.95"/>
    <x v="3"/>
    <d v="2026-07-03T00:00:00"/>
    <d v="2026-07-03T00:00:00"/>
    <d v="2026-07-03T00:00:00"/>
    <n v="0"/>
    <s v="Contado"/>
    <n v="0"/>
    <n v="0"/>
    <n v="100"/>
    <n v="0"/>
    <n v="0"/>
    <n v="1"/>
    <n v="0.005"/>
    <n v="1"/>
    <n v="0.4495"/>
    <n v="0.22475"/>
    <m/>
  </r>
  <r>
    <s v="USDT $ "/>
    <x v="236"/>
    <s v="J409546128"/>
    <s v="DARTETT TECNO PUNDA, C.A."/>
    <s v="FCLIE/2026/02441"/>
    <d v="2026-07-09T00:00:00"/>
    <n v="481"/>
    <x v="4"/>
    <d v="2026-07-09T00:00:00"/>
    <d v="2026-07-09T00:00:00"/>
    <d v="2026-07-09T00:00:00"/>
    <n v="0"/>
    <s v="Contado"/>
    <n v="0"/>
    <n v="0"/>
    <n v="100"/>
    <n v="0"/>
    <n v="0"/>
    <n v="1.25"/>
    <n v="0.005"/>
    <n v="1"/>
    <n v="6.0125"/>
    <n v="2.405"/>
    <m/>
  </r>
  <r>
    <s v="TRANSITORIA ZELLE"/>
    <x v="237"/>
    <s v="J503305576"/>
    <s v="SIGMA TIENDAS JC FP, C.A."/>
    <s v="FCLIE/2026/01703"/>
    <d v="2026-06-08T00:00:00"/>
    <n v="481"/>
    <x v="0"/>
    <d v="2026-07-10T00:00:00"/>
    <d v="2026-06-08T00:00:00"/>
    <d v="2026-07-10T00:00:00"/>
    <s v="15"/>
    <s v="Credito"/>
    <n v="32"/>
    <n v="17"/>
    <n v="50"/>
    <n v="1"/>
    <n v="0"/>
    <n v="1"/>
    <n v="0.005"/>
    <n v="1"/>
    <n v="2.405"/>
    <n v="2.405"/>
    <m/>
  </r>
  <r>
    <s v="TRANSITORIA ZELLE"/>
    <x v="237"/>
    <s v="J503305576"/>
    <s v="SIGMA TIENDAS JC FP, C.A."/>
    <s v="FCLIE/2026/01708"/>
    <d v="2026-06-08T00:00:00"/>
    <n v="1358"/>
    <x v="0"/>
    <d v="2026-07-10T00:00:00"/>
    <d v="2026-06-08T00:00:00"/>
    <d v="2026-07-10T00:00:00"/>
    <s v="15"/>
    <s v="Credito"/>
    <n v="32"/>
    <n v="17"/>
    <n v="50"/>
    <n v="1"/>
    <n v="0"/>
    <n v="1"/>
    <n v="0.005"/>
    <n v="1"/>
    <n v="6.79"/>
    <n v="6.79"/>
    <m/>
  </r>
  <r>
    <s v="TRANSITORIA ZELLE"/>
    <x v="237"/>
    <s v="J503305576"/>
    <s v="SIGMA TIENDAS JC FP, C.A."/>
    <s v="FCLIE/2026/01862"/>
    <d v="2026-06-12T00:00:00"/>
    <n v="564.35"/>
    <x v="0"/>
    <d v="2026-07-10T00:00:00"/>
    <d v="2026-06-12T00:00:00"/>
    <d v="2026-07-10T00:00:00"/>
    <s v="15"/>
    <s v="Credito"/>
    <n v="28"/>
    <n v="13"/>
    <n v="100"/>
    <n v="1"/>
    <n v="0"/>
    <n v="1"/>
    <n v="0.005"/>
    <n v="1"/>
    <n v="5.6435"/>
    <n v="2.82175"/>
    <m/>
  </r>
  <r>
    <s v="TRANSITORIA ZELLE"/>
    <x v="238"/>
    <s v="J315714566"/>
    <s v="AL GIORNO CYBER CAFE, C.A"/>
    <s v="FCLIE/2026/01262"/>
    <d v="2026-05-20T00:00:00"/>
    <n v="4788.6"/>
    <x v="5"/>
    <d v="2026-07-10T00:00:00"/>
    <d v="2026-05-20T00:00:00"/>
    <d v="2026-07-10T00:00:00"/>
    <s v="45"/>
    <s v="Credito"/>
    <n v="51"/>
    <n v="6"/>
    <n v="100"/>
    <n v="2"/>
    <n v="0"/>
    <n v="1"/>
    <n v="0.005"/>
    <n v="1"/>
    <n v="47.886"/>
    <n v="23.943"/>
    <m/>
  </r>
  <r>
    <s v="TRANSITORIA ZELLE"/>
    <x v="238"/>
    <s v="J315714566"/>
    <s v="AL GIORNO CYBER CAFE, C.A"/>
    <s v="FCLIE/2026/01722"/>
    <d v="2026-06-08T00:00:00"/>
    <n v="41.4"/>
    <x v="5"/>
    <d v="2026-07-10T00:00:00"/>
    <d v="2026-06-08T00:00:00"/>
    <d v="2026-07-10T00:00:00"/>
    <s v="45"/>
    <s v="Credito"/>
    <n v="32"/>
    <n v="-13"/>
    <n v="100"/>
    <n v="1"/>
    <n v="0"/>
    <n v="1"/>
    <n v="0.005"/>
    <n v="1"/>
    <n v="0.414"/>
    <n v="0.207"/>
    <m/>
  </r>
  <r>
    <s v="TRANSITORIA ZELLE"/>
    <x v="239"/>
    <s v="J500574665"/>
    <s v="TECNOLOGIA JASPE, C. A."/>
    <s v="FCLIE/2026/01420"/>
    <d v="2026-05-27T00:00:00"/>
    <n v="0.5"/>
    <x v="0"/>
    <d v="2026-07-10T00:00:00"/>
    <d v="2026-05-27T00:00:00"/>
    <d v="2026-07-10T00:00:00"/>
    <s v="15"/>
    <s v="Credito"/>
    <n v="44"/>
    <n v="29"/>
    <n v="50"/>
    <n v="2"/>
    <n v="0"/>
    <n v="1"/>
    <n v="0.005"/>
    <n v="1"/>
    <n v="0.0025"/>
    <n v="0.0025"/>
    <m/>
  </r>
  <r>
    <s v="TRANSITORIA ZELLE"/>
    <x v="239"/>
    <s v="J500574665"/>
    <s v="TECNOLOGIA JASPE, C. A."/>
    <s v="FCLIE/2026/01779"/>
    <d v="2026-06-10T00:00:00"/>
    <n v="850"/>
    <x v="0"/>
    <d v="2026-07-10T00:00:00"/>
    <d v="2026-06-10T00:00:00"/>
    <d v="2026-07-10T00:00:00"/>
    <s v="15"/>
    <s v="Credito"/>
    <n v="30"/>
    <n v="15"/>
    <n v="100"/>
    <n v="1"/>
    <n v="0"/>
    <n v="1"/>
    <n v="0.005"/>
    <n v="1"/>
    <n v="8.5"/>
    <n v="4.25"/>
    <m/>
  </r>
  <r>
    <s v="TRANSITORIA ZELLE"/>
    <x v="240"/>
    <s v="J297079025"/>
    <s v="CENTRO DE COMUNICACIONES D.J.D., CA"/>
    <s v="FCLIE/2026/02359"/>
    <d v="2026-07-07T00:00:00"/>
    <n v="845"/>
    <x v="1"/>
    <d v="2026-07-10T00:00:00"/>
    <d v="2026-07-07T00:00:00"/>
    <d v="2026-07-10T00:00:00"/>
    <n v="0"/>
    <s v="Contado"/>
    <n v="3"/>
    <n v="3"/>
    <n v="100"/>
    <n v="0"/>
    <n v="0"/>
    <n v="1"/>
    <n v="0.005"/>
    <n v="1"/>
    <n v="8.45"/>
    <n v="4.225"/>
    <m/>
  </r>
  <r>
    <s v="REGIONSBANK"/>
    <x v="241"/>
    <s v="J500114613"/>
    <s v="GRUPO IARAS, C.A."/>
    <s v="FCLIE/2026/02436"/>
    <d v="2026-07-09T00:00:00"/>
    <n v="1899.86"/>
    <x v="0"/>
    <d v="2026-07-10T00:00:00"/>
    <d v="2026-07-09T00:00:00"/>
    <d v="2026-07-10T00:00:00"/>
    <n v="0"/>
    <s v="Contado"/>
    <n v="1"/>
    <n v="1"/>
    <n v="100"/>
    <n v="0"/>
    <n v="0"/>
    <n v="1.25"/>
    <n v="0.005"/>
    <n v="1"/>
    <n v="23.74825"/>
    <n v="9.4993"/>
    <m/>
  </r>
  <r>
    <s v="REGIONSBANK"/>
    <x v="242"/>
    <s v="J000901805"/>
    <s v="MERCANTIL SEGUROS, C.A."/>
    <s v="FCLIE/2026/02158"/>
    <d v="2026-06-23T00:00:00"/>
    <n v="2990"/>
    <x v="3"/>
    <d v="2026-07-10T00:00:00"/>
    <d v="2026-06-23T00:00:00"/>
    <d v="2026-07-10T00:00:00"/>
    <n v="20"/>
    <s v="Credito"/>
    <n v="17"/>
    <n v="-3"/>
    <n v="100"/>
    <n v="1"/>
    <n v="0"/>
    <n v="1"/>
    <n v="0.005"/>
    <n v="1"/>
    <n v="29.9"/>
    <n v="14.95"/>
    <m/>
  </r>
  <r>
    <s v="REGIONSBANK"/>
    <x v="243"/>
    <s v="J500603800"/>
    <s v="GFIVETECH, C. A"/>
    <s v="FCLIE/2026/01373"/>
    <d v="2026-05-25T00:00:00"/>
    <n v="6050"/>
    <x v="3"/>
    <d v="2026-07-10T00:00:00"/>
    <d v="2026-05-25T00:00:00"/>
    <d v="2026-07-10T00:00:00"/>
    <s v="21"/>
    <s v="Credito"/>
    <n v="46"/>
    <n v="25"/>
    <n v="50"/>
    <n v="2"/>
    <n v="0"/>
    <n v="1"/>
    <n v="0.005"/>
    <n v="1"/>
    <n v="30.25"/>
    <n v="30.25"/>
    <m/>
  </r>
  <r>
    <s v="REGIONSBANK"/>
    <x v="243"/>
    <s v="J500603800"/>
    <s v="GFIVETECH, C. A"/>
    <s v="FCLIE/2026/01484"/>
    <d v="2026-05-29T00:00:00"/>
    <n v="8950"/>
    <x v="3"/>
    <d v="2026-07-10T00:00:00"/>
    <d v="2026-05-29T00:00:00"/>
    <d v="2026-07-10T00:00:00"/>
    <s v="21"/>
    <s v="Credito"/>
    <n v="42"/>
    <n v="21"/>
    <n v="50"/>
    <n v="2"/>
    <n v="0"/>
    <n v="1"/>
    <n v="0.005"/>
    <n v="1"/>
    <n v="44.75"/>
    <n v="44.75"/>
    <m/>
  </r>
  <r>
    <s v="REGIONSBANK"/>
    <x v="244"/>
    <s v="J501329214"/>
    <s v="GIGAHERTZ STORE, C.A"/>
    <s v="FCLIE/2026/01890"/>
    <d v="2026-06-12T00:00:00"/>
    <n v="3000"/>
    <x v="5"/>
    <d v="2026-07-10T00:00:00"/>
    <d v="2026-06-12T00:00:00"/>
    <d v="2026-07-10T00:00:00"/>
    <s v="21"/>
    <s v="Credito"/>
    <n v="28"/>
    <n v="7"/>
    <n v="100"/>
    <n v="1"/>
    <n v="0"/>
    <n v="1"/>
    <n v="0.005"/>
    <n v="1"/>
    <n v="30"/>
    <n v="15"/>
    <m/>
  </r>
  <r>
    <s v="REGIONSBANK"/>
    <x v="245"/>
    <s v="J294530338"/>
    <s v="COMERCIALIZADORA DORALIAN C.A"/>
    <s v="FCLIE/2026/01911"/>
    <d v="2026-06-15T00:00:00"/>
    <n v="1198.95"/>
    <x v="5"/>
    <d v="2026-07-10T00:00:00"/>
    <d v="2026-06-15T00:00:00"/>
    <d v="2026-07-10T00:00:00"/>
    <s v="15"/>
    <s v="Credito"/>
    <n v="25"/>
    <n v="10"/>
    <n v="100"/>
    <n v="1"/>
    <n v="0"/>
    <n v="1"/>
    <n v="0.005"/>
    <n v="1"/>
    <n v="11.9895"/>
    <n v="5.99475"/>
    <m/>
  </r>
  <r>
    <s v="Banesco BS. 3049"/>
    <x v="246"/>
    <s v="J400595185"/>
    <s v="MUNDO ELECTRONIC ZYL, C.A"/>
    <s v="FCLIE/2026/02442"/>
    <d v="2026-07-09T00:00:00"/>
    <n v="197.04"/>
    <x v="3"/>
    <d v="2026-07-10T00:00:00"/>
    <d v="2026-07-09T00:00:00"/>
    <d v="2026-07-10T00:00:00"/>
    <n v="0"/>
    <s v="Contado"/>
    <n v="1"/>
    <n v="1"/>
    <n v="100"/>
    <n v="0"/>
    <n v="0"/>
    <n v="1"/>
    <n v="0.005"/>
    <n v="1"/>
    <n v="1.9704"/>
    <n v="0.9852"/>
    <m/>
  </r>
  <r>
    <s v="Banesco BS. 3049"/>
    <x v="247"/>
    <s v="J400595185"/>
    <s v="MUNDO ELECTRONIC ZYL, C.A"/>
    <s v="FCLIE/2026/02442"/>
    <d v="2026-07-09T00:00:00"/>
    <n v="334.18"/>
    <x v="3"/>
    <d v="2026-07-09T00:00:00"/>
    <d v="2026-07-09T00:00:00"/>
    <d v="2026-07-09T00:00:00"/>
    <n v="0"/>
    <s v="Contado"/>
    <n v="0"/>
    <n v="0"/>
    <n v="100"/>
    <n v="0"/>
    <n v="0"/>
    <n v="1"/>
    <n v="0.005"/>
    <n v="1"/>
    <n v="3.3418"/>
    <n v="1.6709"/>
    <m/>
  </r>
  <r>
    <s v="Banesco BS. 3049"/>
    <x v="248"/>
    <s v="J507115321"/>
    <s v="CONNECT CONSULTING, C.A."/>
    <s v="FCLIE/2026/02433"/>
    <d v="2026-07-09T00:00:00"/>
    <n v="243.6"/>
    <x v="2"/>
    <d v="2026-07-09T00:00:00"/>
    <d v="2026-07-09T00:00:00"/>
    <d v="2026-07-09T00:00:00"/>
    <n v="0"/>
    <s v="Contado"/>
    <n v="0"/>
    <n v="0"/>
    <n v="100"/>
    <n v="0"/>
    <n v="0"/>
    <n v="1.25"/>
    <n v="0.005"/>
    <n v="1"/>
    <n v="3.045"/>
    <n v="1.218"/>
    <m/>
  </r>
  <r>
    <s v="USDT $ "/>
    <x v="249"/>
    <s v="J310156140"/>
    <s v="COMPU OFERTAS T&amp;T, C.A."/>
    <s v="FCLIE/2026/02445"/>
    <d v="2026-07-10T00:00:00"/>
    <n v="1185"/>
    <x v="6"/>
    <d v="2026-07-10T00:00:00"/>
    <d v="2026-07-10T00:00:00"/>
    <d v="2026-07-10T00:00:00"/>
    <n v="0"/>
    <s v="Contado"/>
    <n v="0"/>
    <n v="0"/>
    <n v="100"/>
    <n v="0"/>
    <n v="0"/>
    <n v="1"/>
    <n v="0.005"/>
    <n v="1"/>
    <n v="11.85"/>
    <n v="5.925"/>
    <m/>
  </r>
  <r>
    <s v="USDT $ "/>
    <x v="250"/>
    <s v="J406296449"/>
    <s v="ZAAPTV, C.A"/>
    <s v="FCLIE/2026/01499"/>
    <d v="2026-05-29T00:00:00"/>
    <n v="900"/>
    <x v="3"/>
    <d v="2026-07-10T00:00:00"/>
    <d v="2026-05-29T00:00:00"/>
    <d v="2026-07-10T00:00:00"/>
    <s v="30"/>
    <s v="Credito"/>
    <n v="42"/>
    <n v="12"/>
    <n v="100"/>
    <n v="2"/>
    <n v="0"/>
    <n v="1"/>
    <n v="0.005"/>
    <n v="1"/>
    <n v="9"/>
    <n v="4.5"/>
    <m/>
  </r>
  <r>
    <s v="Caja Principal"/>
    <x v="251"/>
    <s v="J406074683"/>
    <s v="V &amp; G CONSOLIDADA DE RCV 23.01, C.A"/>
    <s v="FCLIE/2026/02455"/>
    <d v="2026-07-10T00:00:00"/>
    <n v="156.3"/>
    <x v="0"/>
    <d v="2026-07-10T00:00:00"/>
    <d v="2026-07-10T00:00:00"/>
    <d v="2026-07-10T00:00:00"/>
    <n v="0"/>
    <s v="Contado"/>
    <n v="0"/>
    <n v="0"/>
    <n v="100"/>
    <n v="0"/>
    <n v="0"/>
    <n v="1.25"/>
    <n v="0.005"/>
    <n v="1"/>
    <n v="1.95375"/>
    <n v="0.7815"/>
    <m/>
  </r>
  <r>
    <s v="USDT $ "/>
    <x v="252"/>
    <s v="J306148973"/>
    <s v="EQUIP OFFICE COMPUTERS, C.A."/>
    <s v="FCLIE/2026/02038"/>
    <d v="2026-06-19T00:00:00"/>
    <n v="2634"/>
    <x v="1"/>
    <d v="2026-07-10T00:00:00"/>
    <d v="2026-06-19T00:00:00"/>
    <d v="2026-07-10T00:00:00"/>
    <s v="21"/>
    <s v="Credito"/>
    <n v="21"/>
    <n v="0"/>
    <n v="100"/>
    <n v="1"/>
    <n v="0"/>
    <n v="1"/>
    <n v="0.005"/>
    <n v="1"/>
    <n v="26.34"/>
    <n v="13.17"/>
    <m/>
  </r>
  <r>
    <s v="USDT $ "/>
    <x v="253"/>
    <s v="J503777478"/>
    <s v="ALL PRINT SYSTEM 5201, C.A"/>
    <s v="FCLIE/2026/02447"/>
    <d v="2026-07-10T00:00:00"/>
    <n v="366.3"/>
    <x v="6"/>
    <d v="2026-07-10T00:00:00"/>
    <d v="2026-07-10T00:00:00"/>
    <d v="2026-07-10T00:00:00"/>
    <n v="0"/>
    <s v="Contado"/>
    <n v="0"/>
    <n v="0"/>
    <n v="100"/>
    <n v="0"/>
    <n v="0"/>
    <n v="1"/>
    <n v="0.005"/>
    <n v="1"/>
    <n v="3.663"/>
    <n v="1.8315"/>
    <m/>
  </r>
  <r>
    <s v="USDT $ "/>
    <x v="254"/>
    <s v="J503184515"/>
    <s v="ARYP TECNOPOLIS, C.A"/>
    <s v="FCLIE/2026/02017"/>
    <d v="2026-06-18T00:00:00"/>
    <n v="361.25"/>
    <x v="0"/>
    <d v="2026-07-10T00:00:00"/>
    <d v="2026-06-18T00:00:00"/>
    <d v="2026-07-10T00:00:00"/>
    <s v="15"/>
    <s v="Credito"/>
    <n v="22"/>
    <n v="7"/>
    <n v="100"/>
    <n v="1"/>
    <n v="0"/>
    <n v="1"/>
    <n v="0.005"/>
    <n v="1"/>
    <n v="3.6125"/>
    <n v="1.80625"/>
    <m/>
  </r>
  <r>
    <s v="USDT $ "/>
    <x v="254"/>
    <s v="J503184515"/>
    <s v="ARYP TECNOPOLIS, C.A"/>
    <s v="FCLIE/2026/02454"/>
    <d v="2026-07-10T00:00:00"/>
    <n v="0.75"/>
    <x v="0"/>
    <d v="2026-07-10T00:00:00"/>
    <d v="2026-07-10T00:00:00"/>
    <d v="2026-07-10T00:00:00"/>
    <s v="15"/>
    <s v="Credito"/>
    <n v="0"/>
    <n v="-15"/>
    <n v="100"/>
    <n v="0"/>
    <n v="0"/>
    <n v="1.25"/>
    <n v="0.005"/>
    <n v="1"/>
    <n v="0.009375"/>
    <n v="0.00375"/>
    <m/>
  </r>
  <r>
    <s v="USDT $ "/>
    <x v="255"/>
    <s v="J506775000"/>
    <s v="EMPRENDIMIENTO LAURANAILETH NUÑEZ"/>
    <s v="FCLIE/2026/02373"/>
    <d v="2026-07-08T00:00:00"/>
    <n v="700"/>
    <x v="4"/>
    <d v="2026-07-10T00:00:00"/>
    <d v="2026-07-08T00:00:00"/>
    <d v="2026-07-10T00:00:00"/>
    <s v="7"/>
    <s v="Credito"/>
    <n v="2"/>
    <n v="-5"/>
    <n v="100"/>
    <n v="0"/>
    <n v="0"/>
    <n v="1.25"/>
    <n v="0.005"/>
    <n v="1"/>
    <n v="8.75"/>
    <n v="3.5"/>
    <m/>
  </r>
  <r>
    <s v="Banco del Caribe  BS"/>
    <x v="256"/>
    <s v="J297727639"/>
    <s v="ALQUI EQUIPOS G. P. C.A"/>
    <s v="FCLIE/2026/02465"/>
    <d v="2026-07-10T00:00:00"/>
    <n v="54"/>
    <x v="1"/>
    <d v="2026-07-10T00:00:00"/>
    <d v="2026-07-10T00:00:00"/>
    <d v="2026-07-10T00:00:00"/>
    <n v="0"/>
    <s v="Contado"/>
    <n v="0"/>
    <n v="0"/>
    <n v="100"/>
    <n v="0"/>
    <n v="0"/>
    <n v="0"/>
    <n v="0.005"/>
    <n v="1"/>
    <n v="0"/>
    <n v="0.27"/>
    <m/>
  </r>
  <r>
    <s v="Banco del Caribe  BS"/>
    <x v="257"/>
    <s v="J312826835"/>
    <s v="SERVICIOS Y SUMINISTROS HARKI 2011, C. A."/>
    <s v="FCLIE/2026/01803"/>
    <d v="2026-06-10T00:00:00"/>
    <n v="49.5"/>
    <x v="3"/>
    <d v="2026-07-10T00:00:00"/>
    <d v="2026-06-10T00:00:00"/>
    <d v="2026-07-10T00:00:00"/>
    <s v="15"/>
    <s v="Credito"/>
    <n v="30"/>
    <n v="15"/>
    <n v="100"/>
    <n v="1"/>
    <n v="0"/>
    <n v="1"/>
    <n v="0.005"/>
    <n v="1"/>
    <n v="0.495"/>
    <n v="0.2475"/>
    <m/>
  </r>
  <r>
    <s v="Banco del Caribe  BS"/>
    <x v="257"/>
    <s v="J312826835"/>
    <s v="SERVICIOS Y SUMINISTROS HARKI 2011, C. A."/>
    <s v="FCLIE/2026/02408"/>
    <d v="2026-07-08T00:00:00"/>
    <n v="0.5"/>
    <x v="3"/>
    <d v="2026-07-10T00:00:00"/>
    <d v="2026-07-08T00:00:00"/>
    <d v="2026-07-10T00:00:00"/>
    <s v="15"/>
    <s v="Credito"/>
    <n v="2"/>
    <n v="-13"/>
    <n v="100"/>
    <n v="0"/>
    <n v="0"/>
    <n v="1"/>
    <n v="0.005"/>
    <n v="1"/>
    <n v="0.005"/>
    <n v="0.0025"/>
    <m/>
  </r>
  <r>
    <s v="Banesco BS. 3049"/>
    <x v="258"/>
    <s v="J502297413"/>
    <s v="ESPACIO INDUSTRIAL C.A."/>
    <s v="FCLIE/2026/02466"/>
    <d v="2026-07-10T00:00:00"/>
    <n v="901.42"/>
    <x v="1"/>
    <d v="2026-07-10T00:00:00"/>
    <d v="2026-07-10T00:00:00"/>
    <d v="2026-07-10T00:00:00"/>
    <n v="0"/>
    <s v="Contado"/>
    <n v="0"/>
    <n v="0"/>
    <n v="100"/>
    <n v="0"/>
    <n v="0"/>
    <n v="1"/>
    <n v="0.005"/>
    <n v="1"/>
    <n v="9.0142"/>
    <n v="4.5071"/>
    <m/>
  </r>
  <r>
    <s v="Banco del Caribe  BS"/>
    <x v="259"/>
    <s v="J312089881"/>
    <s v="BRAINCORP TECNOLOGIA R INFORMATICA, S.A."/>
    <s v="FCLIE/2026/02470"/>
    <d v="2026-07-10T00:00:00"/>
    <n v="179.5"/>
    <x v="3"/>
    <d v="2026-07-10T00:00:00"/>
    <d v="2026-07-10T00:00:00"/>
    <d v="2026-07-10T00:00:00"/>
    <n v="0"/>
    <s v="Contado"/>
    <n v="0"/>
    <n v="0"/>
    <n v="100"/>
    <n v="0"/>
    <n v="0"/>
    <n v="1"/>
    <n v="0.005"/>
    <n v="1"/>
    <n v="1.795"/>
    <n v="0.8975"/>
    <m/>
  </r>
  <r>
    <s v="Caja Principal"/>
    <x v="260"/>
    <s v="J506775000"/>
    <s v="EMPRENDIMIENTO LAURANAILETH NUÑEZ"/>
    <s v="FCLIE/2026/02373"/>
    <d v="2026-07-08T00:00:00"/>
    <n v="219.85"/>
    <x v="4"/>
    <d v="2026-07-10T00:00:00"/>
    <d v="2026-07-08T00:00:00"/>
    <d v="2026-07-10T00:00:00"/>
    <s v="7"/>
    <s v="Credito"/>
    <n v="2"/>
    <n v="-5"/>
    <n v="100"/>
    <n v="0"/>
    <n v="0"/>
    <n v="1.25"/>
    <n v="0.005"/>
    <n v="1"/>
    <n v="2.748125"/>
    <n v="1.09925"/>
    <m/>
  </r>
  <r>
    <s v="Caja Principal"/>
    <x v="260"/>
    <s v="J506775000"/>
    <s v="EMPRENDIMIENTO LAURANAILETH NUÑEZ"/>
    <s v="FCLIE/2026/02385"/>
    <d v="2026-07-08T00:00:00"/>
    <n v="80.15"/>
    <x v="4"/>
    <d v="2026-07-10T00:00:00"/>
    <d v="2026-07-08T00:00:00"/>
    <d v="2026-07-10T00:00:00"/>
    <s v="7"/>
    <s v="Credito"/>
    <n v="2"/>
    <n v="-5"/>
    <n v="100"/>
    <n v="0"/>
    <n v="0"/>
    <n v="1.25"/>
    <n v="0.005"/>
    <n v="1"/>
    <n v="1.001875"/>
    <n v="0.40075"/>
    <m/>
  </r>
  <r>
    <s v="USDT $ "/>
    <x v="261"/>
    <s v="J295299184"/>
    <s v="IMPRESOS BERE, C.A"/>
    <s v="FCLIE/2026/02450"/>
    <d v="2026-07-10T00:00:00"/>
    <n v="235"/>
    <x v="0"/>
    <d v="2026-07-10T00:00:00"/>
    <d v="2026-07-10T00:00:00"/>
    <d v="2026-07-10T00:00:00"/>
    <n v="0"/>
    <s v="Contado"/>
    <n v="0"/>
    <n v="0"/>
    <n v="100"/>
    <n v="0"/>
    <n v="0"/>
    <n v="1.25"/>
    <n v="0.005"/>
    <n v="1"/>
    <n v="2.9375"/>
    <n v="1.175"/>
    <m/>
  </r>
  <r>
    <s v="USDT $ "/>
    <x v="262"/>
    <s v="J402950560"/>
    <s v="SOLUCIONES INTEGRALES PC XPRESS, C.A"/>
    <s v="FCLIE/2026/01688"/>
    <d v="2026-06-08T00:00:00"/>
    <n v="1560.75"/>
    <x v="6"/>
    <d v="2026-07-10T00:00:00"/>
    <d v="2026-06-08T00:00:00"/>
    <d v="2026-07-10T00:00:00"/>
    <s v="15"/>
    <s v="Credito"/>
    <n v="32"/>
    <n v="17"/>
    <n v="50"/>
    <n v="1"/>
    <n v="0"/>
    <n v="1"/>
    <n v="0.005"/>
    <n v="1"/>
    <n v="7.80375"/>
    <n v="7.80375"/>
    <m/>
  </r>
  <r>
    <s v="USDT $ "/>
    <x v="263"/>
    <s v="J296537453"/>
    <s v="VN GROUP 3000, C.A."/>
    <s v="FCLIE/2026/01517"/>
    <d v="2026-06-01T00:00:00"/>
    <n v="1071.9"/>
    <x v="2"/>
    <d v="2026-07-10T00:00:00"/>
    <d v="2026-06-01T00:00:00"/>
    <d v="2026-07-10T00:00:00"/>
    <s v="21"/>
    <s v="Credito"/>
    <n v="39"/>
    <n v="18"/>
    <n v="50"/>
    <n v="1"/>
    <n v="0"/>
    <n v="1.25"/>
    <n v="0.005"/>
    <n v="1"/>
    <n v="6.699375"/>
    <n v="5.3595"/>
    <m/>
  </r>
  <r>
    <s v="USDT $ "/>
    <x v="263"/>
    <s v="J296537453"/>
    <s v="VN GROUP 3000, C.A."/>
    <s v="FCLIE/2026/01551"/>
    <d v="2026-06-02T00:00:00"/>
    <n v="60"/>
    <x v="2"/>
    <d v="2026-07-10T00:00:00"/>
    <d v="2026-06-02T00:00:00"/>
    <d v="2026-07-10T00:00:00"/>
    <s v="21"/>
    <s v="Credito"/>
    <n v="38"/>
    <n v="17"/>
    <n v="50"/>
    <n v="1"/>
    <n v="0"/>
    <n v="1.25"/>
    <n v="0.005"/>
    <n v="1"/>
    <n v="0.375"/>
    <n v="0.3"/>
    <m/>
  </r>
  <r>
    <s v="USDT $ "/>
    <x v="263"/>
    <s v="J296537453"/>
    <s v="VN GROUP 3000, C.A."/>
    <s v="FCLIE/2026/01630"/>
    <d v="2026-06-04T00:00:00"/>
    <n v="1069.7"/>
    <x v="2"/>
    <d v="2026-07-10T00:00:00"/>
    <d v="2026-06-04T00:00:00"/>
    <d v="2026-07-10T00:00:00"/>
    <s v="21"/>
    <s v="Credito"/>
    <n v="36"/>
    <n v="15"/>
    <n v="100"/>
    <n v="1"/>
    <n v="0"/>
    <n v="1.25"/>
    <n v="0.005"/>
    <n v="1"/>
    <n v="13.37125"/>
    <n v="5.3485"/>
    <m/>
  </r>
  <r>
    <s v="USDT $ "/>
    <x v="263"/>
    <s v="J296537453"/>
    <s v="VN GROUP 3000, C.A."/>
    <s v="FCLIE/2026/01640"/>
    <d v="2026-06-05T00:00:00"/>
    <n v="1062.9"/>
    <x v="2"/>
    <d v="2026-07-10T00:00:00"/>
    <d v="2026-06-05T00:00:00"/>
    <d v="2026-07-10T00:00:00"/>
    <s v="21"/>
    <s v="Credito"/>
    <n v="35"/>
    <n v="14"/>
    <n v="100"/>
    <n v="1"/>
    <n v="0"/>
    <n v="1.25"/>
    <n v="0.005"/>
    <n v="1"/>
    <n v="13.28625"/>
    <n v="5.3145"/>
    <m/>
  </r>
  <r>
    <s v="USDT $ "/>
    <x v="263"/>
    <s v="J296537453"/>
    <s v="VN GROUP 3000, C.A."/>
    <s v="FCLIE/2026/01693"/>
    <d v="2026-06-08T00:00:00"/>
    <n v="1245"/>
    <x v="2"/>
    <d v="2026-07-10T00:00:00"/>
    <d v="2026-06-08T00:00:00"/>
    <d v="2026-07-10T00:00:00"/>
    <s v="21"/>
    <s v="Credito"/>
    <n v="32"/>
    <n v="11"/>
    <n v="100"/>
    <n v="1"/>
    <n v="0"/>
    <n v="1.25"/>
    <n v="0.005"/>
    <n v="1"/>
    <n v="15.5625"/>
    <n v="6.225"/>
    <m/>
  </r>
  <r>
    <s v="USDT $ "/>
    <x v="263"/>
    <s v="J296537453"/>
    <s v="VN GROUP 3000, C.A."/>
    <s v="FCLIE/2026/01711"/>
    <d v="2026-06-08T00:00:00"/>
    <n v="1143.1"/>
    <x v="2"/>
    <d v="2026-07-10T00:00:00"/>
    <d v="2026-06-08T00:00:00"/>
    <d v="2026-07-10T00:00:00"/>
    <n v="0"/>
    <s v="Contado"/>
    <n v="32"/>
    <n v="32"/>
    <n v="0"/>
    <n v="1"/>
    <n v="0"/>
    <n v="1.25"/>
    <n v="0.005"/>
    <n v="0"/>
    <n v="0"/>
    <n v="5.7155"/>
    <m/>
  </r>
  <r>
    <s v="USDT $ "/>
    <x v="263"/>
    <s v="J296537453"/>
    <s v="VN GROUP 3000, C.A."/>
    <s v="FCLIE/2026/01760"/>
    <d v="2026-06-09T00:00:00"/>
    <n v="235"/>
    <x v="2"/>
    <d v="2026-07-10T00:00:00"/>
    <d v="2026-06-09T00:00:00"/>
    <d v="2026-07-10T00:00:00"/>
    <s v="21"/>
    <s v="Credito"/>
    <n v="31"/>
    <n v="10"/>
    <n v="100"/>
    <n v="1"/>
    <n v="0"/>
    <n v="1.25"/>
    <n v="0.005"/>
    <n v="1"/>
    <n v="2.9375"/>
    <n v="1.175"/>
    <m/>
  </r>
  <r>
    <s v="USDT $ "/>
    <x v="263"/>
    <s v="J296537453"/>
    <s v="VN GROUP 3000, C.A."/>
    <s v="FCLIE/2026/01783"/>
    <d v="2026-06-10T00:00:00"/>
    <n v="1050"/>
    <x v="2"/>
    <d v="2026-07-10T00:00:00"/>
    <d v="2026-06-10T00:00:00"/>
    <d v="2026-07-10T00:00:00"/>
    <s v="21"/>
    <s v="Credito"/>
    <n v="30"/>
    <n v="9"/>
    <n v="100"/>
    <n v="1"/>
    <n v="0"/>
    <n v="1.25"/>
    <n v="0.005"/>
    <n v="1"/>
    <n v="13.125"/>
    <n v="5.25"/>
    <m/>
  </r>
  <r>
    <s v="USDT $ "/>
    <x v="95"/>
    <s v="J296537453"/>
    <s v="VN GROUP 3000, C.A."/>
    <s v="FCLIE/2026/01783"/>
    <d v="2026-06-10T00:00:00"/>
    <n v="1.77"/>
    <x v="2"/>
    <d v="2026-07-06T00:00:00"/>
    <d v="2026-06-10T00:00:00"/>
    <d v="2026-07-06T00:00:00"/>
    <n v="0"/>
    <s v="Contado"/>
    <n v="26"/>
    <n v="26"/>
    <n v="0"/>
    <n v="1"/>
    <n v="0"/>
    <n v="1.25"/>
    <n v="0.005"/>
    <n v="0"/>
    <n v="0"/>
    <n v="0.00885"/>
    <m/>
  </r>
  <r>
    <s v="USDT $ "/>
    <x v="264"/>
    <s v="J405786400"/>
    <s v="VIPROP, C.A."/>
    <s v="FCLIE/2026/02456"/>
    <d v="2026-07-10T00:00:00"/>
    <n v="630"/>
    <x v="0"/>
    <d v="2026-07-10T00:00:00"/>
    <d v="2026-07-10T00:00:00"/>
    <d v="2026-07-10T00:00:00"/>
    <n v="0"/>
    <s v="Contado"/>
    <n v="0"/>
    <n v="0"/>
    <n v="100"/>
    <n v="0"/>
    <n v="0"/>
    <n v="1.25"/>
    <n v="0.005"/>
    <n v="1"/>
    <n v="7.875"/>
    <n v="3.15"/>
    <m/>
  </r>
  <r>
    <s v="USDT $ "/>
    <x v="265"/>
    <s v="J306148973"/>
    <s v="EQUIP OFFICE COMPUTERS, C.A."/>
    <s v="FCLIE/2026/01929"/>
    <d v="2026-06-16T00:00:00"/>
    <n v="2177.5"/>
    <x v="1"/>
    <d v="2026-07-10T00:00:00"/>
    <d v="2026-06-16T00:00:00"/>
    <d v="2026-07-10T00:00:00"/>
    <s v="21"/>
    <s v="Credito"/>
    <n v="24"/>
    <n v="3"/>
    <n v="100"/>
    <n v="1"/>
    <n v="0"/>
    <n v="1"/>
    <n v="0.005"/>
    <n v="1"/>
    <n v="21.775"/>
    <n v="10.8875"/>
    <m/>
  </r>
  <r>
    <s v="USDT $ "/>
    <x v="266"/>
    <s v="J506775000"/>
    <s v="EMPRENDIMIENTO LAURANAILETH NUÑEZ"/>
    <s v="FCLIE/2026/02385"/>
    <d v="2026-07-08T00:00:00"/>
    <n v="300"/>
    <x v="4"/>
    <d v="2026-07-10T00:00:00"/>
    <d v="2026-07-08T00:00:00"/>
    <d v="2026-07-10T00:00:00"/>
    <s v="7"/>
    <s v="Credito"/>
    <n v="2"/>
    <n v="-5"/>
    <n v="100"/>
    <n v="0"/>
    <n v="0"/>
    <n v="1.25"/>
    <n v="0.005"/>
    <n v="1"/>
    <n v="3.75"/>
    <n v="1.5"/>
    <m/>
  </r>
  <r>
    <s v="Banesco BS. 3049"/>
    <x v="267"/>
    <s v="J505787381"/>
    <s v="REPRESENTACIONES OFIMAX ORIENTE C.A"/>
    <s v="FCLIE/2026/01728"/>
    <d v="2026-06-08T00:00:00"/>
    <n v="59.45"/>
    <x v="0"/>
    <d v="2026-07-10T00:00:00"/>
    <d v="2026-06-08T00:00:00"/>
    <d v="2026-07-10T00:00:00"/>
    <s v="21"/>
    <s v="Credito"/>
    <n v="32"/>
    <n v="11"/>
    <n v="100"/>
    <n v="1"/>
    <n v="0"/>
    <n v="1"/>
    <n v="0.005"/>
    <n v="1"/>
    <n v="0.5945"/>
    <n v="0.29725"/>
    <m/>
  </r>
  <r>
    <s v="Banesco BS. 3049"/>
    <x v="268"/>
    <s v="J505787381"/>
    <s v="REPRESENTACIONES OFIMAX ORIENTE C.A"/>
    <s v="FCLIE/2026/01714"/>
    <d v="2026-06-08T00:00:00"/>
    <n v="703.05"/>
    <x v="0"/>
    <d v="2026-07-10T00:00:00"/>
    <d v="2026-06-08T00:00:00"/>
    <d v="2026-07-10T00:00:00"/>
    <s v="21"/>
    <s v="Credito"/>
    <n v="32"/>
    <n v="11"/>
    <n v="100"/>
    <n v="1"/>
    <n v="0"/>
    <n v="1"/>
    <n v="0.005"/>
    <n v="1"/>
    <n v="7.0305"/>
    <n v="3.51525"/>
    <m/>
  </r>
  <r>
    <s v="Banesco BS. 3049"/>
    <x v="269"/>
    <s v="J408592312"/>
    <s v="DISTRIBUIDORA COMPU PAPEL 2016,C.A."/>
    <s v="FCLIE/2026/02477"/>
    <d v="2026-07-10T00:00:00"/>
    <n v="368"/>
    <x v="3"/>
    <d v="2026-07-10T00:00:00"/>
    <d v="2026-07-10T00:00:00"/>
    <d v="2026-07-10T00:00:00"/>
    <n v="0"/>
    <s v="Contado"/>
    <n v="0"/>
    <n v="0"/>
    <n v="100"/>
    <n v="0"/>
    <n v="0"/>
    <n v="1"/>
    <n v="0.005"/>
    <n v="1"/>
    <n v="3.68"/>
    <n v="1.84"/>
    <m/>
  </r>
  <r>
    <s v="Banco del Caribe  BS"/>
    <x v="270"/>
    <s v="J404228586"/>
    <s v="COMPUORDEN, C.A"/>
    <s v="FCLIE/2026/02485"/>
    <d v="2026-07-10T00:00:00"/>
    <n v="98.85"/>
    <x v="5"/>
    <d v="2026-07-10T00:00:00"/>
    <d v="2026-07-10T00:00:00"/>
    <d v="2026-07-10T00:00:00"/>
    <n v="0"/>
    <s v="Contado"/>
    <n v="0"/>
    <n v="0"/>
    <n v="100"/>
    <n v="0"/>
    <n v="0"/>
    <n v="1.25"/>
    <n v="0.005"/>
    <n v="1"/>
    <n v="1.235625"/>
    <n v="0.49425"/>
    <m/>
  </r>
  <r>
    <s v="Banco del Caribe  BS"/>
    <x v="271"/>
    <s v="J502281991"/>
    <s v="COMERCIALIZADORA GIOTECH, C.A PYMES"/>
    <s v="FCLIE/2026/02481"/>
    <d v="2026-07-10T00:00:00"/>
    <n v="52.3"/>
    <x v="3"/>
    <d v="2026-07-10T00:00:00"/>
    <d v="2026-07-10T00:00:00"/>
    <d v="2026-07-10T00:00:00"/>
    <n v="0"/>
    <s v="Contado"/>
    <n v="0"/>
    <n v="0"/>
    <n v="100"/>
    <n v="0"/>
    <n v="0"/>
    <n v="1"/>
    <n v="0.005"/>
    <n v="1"/>
    <n v="0.523"/>
    <n v="0.2615"/>
    <m/>
  </r>
  <r>
    <s v="Banco del Caribe  BS"/>
    <x v="272"/>
    <s v="V062629381"/>
    <s v="FRANCISCO JOSE BORGES GALVIS"/>
    <s v="FCLIE/2026/02484"/>
    <d v="2026-07-10T00:00:00"/>
    <n v="32.31"/>
    <x v="5"/>
    <d v="2026-07-10T00:00:00"/>
    <d v="2026-07-10T00:00:00"/>
    <d v="2026-07-10T00:00:00"/>
    <n v="0"/>
    <s v="Contado"/>
    <n v="0"/>
    <n v="0"/>
    <n v="100"/>
    <n v="0"/>
    <n v="0"/>
    <n v="1.25"/>
    <n v="0.005"/>
    <n v="1"/>
    <n v="0.403875"/>
    <n v="0.16155"/>
    <m/>
  </r>
  <r>
    <s v="USDT $ "/>
    <x v="273"/>
    <s v="J404312480"/>
    <s v="STORE SYSTEM WR, C.A."/>
    <s v="FCLIE/2026/02486"/>
    <d v="2026-07-10T00:00:00"/>
    <n v="245"/>
    <x v="1"/>
    <d v="2026-07-10T00:00:00"/>
    <d v="2026-07-10T00:00:00"/>
    <d v="2026-07-10T00:00:00"/>
    <n v="0"/>
    <s v="Contado"/>
    <n v="0"/>
    <n v="0"/>
    <n v="100"/>
    <n v="0"/>
    <n v="0"/>
    <n v="1"/>
    <n v="0.005"/>
    <n v="1"/>
    <n v="2.45"/>
    <n v="1.225"/>
    <m/>
  </r>
  <r>
    <s v="USDT $ "/>
    <x v="274"/>
    <s v="J306148973"/>
    <s v="EQUIP OFFICE COMPUTERS, C.A."/>
    <s v="FCLIE/2026/01929"/>
    <d v="2026-06-16T00:00:00"/>
    <n v="1800"/>
    <x v="1"/>
    <d v="2026-07-10T00:00:00"/>
    <d v="2026-06-16T00:00:00"/>
    <d v="2026-07-10T00:00:00"/>
    <s v="21"/>
    <s v="Credito"/>
    <n v="24"/>
    <n v="3"/>
    <n v="100"/>
    <n v="1"/>
    <n v="0"/>
    <n v="1"/>
    <n v="0.005"/>
    <n v="1"/>
    <n v="18"/>
    <n v="9"/>
    <m/>
  </r>
  <r>
    <s v="Caja Principal"/>
    <x v="275"/>
    <s v="J306148973"/>
    <s v="EQUIP OFFICE COMPUTERS, C.A."/>
    <s v="FCLIE/2026/01929"/>
    <d v="2026-06-16T00:00:00"/>
    <n v="200"/>
    <x v="1"/>
    <d v="2026-07-10T00:00:00"/>
    <d v="2026-06-16T00:00:00"/>
    <d v="2026-07-10T00:00:00"/>
    <s v="21"/>
    <s v="Credito"/>
    <n v="24"/>
    <n v="3"/>
    <n v="100"/>
    <n v="1"/>
    <n v="0"/>
    <n v="1"/>
    <n v="0.005"/>
    <n v="1"/>
    <n v="2"/>
    <n v="1"/>
    <m/>
  </r>
  <r>
    <s v="USDT $ "/>
    <x v="276"/>
    <s v="J404312480"/>
    <s v="STORE SYSTEM WR, C.A."/>
    <s v="FCLIE/2026/02486"/>
    <d v="2026-07-10T00:00:00"/>
    <n v="22.6"/>
    <x v="1"/>
    <d v="2026-07-10T00:00:00"/>
    <d v="2026-07-10T00:00:00"/>
    <d v="2026-07-10T00:00:00"/>
    <n v="0"/>
    <s v="Contado"/>
    <n v="0"/>
    <n v="0"/>
    <n v="100"/>
    <n v="0"/>
    <n v="0"/>
    <n v="1"/>
    <n v="0.005"/>
    <n v="1"/>
    <n v="0.226"/>
    <n v="0.113"/>
    <m/>
  </r>
  <r>
    <s v="USDT $ "/>
    <x v="277"/>
    <s v="V062629381"/>
    <s v="FRANCISCO JOSE BORGES GALVIS"/>
    <s v="FCLIE/2026/02484"/>
    <d v="2026-07-10T00:00:00"/>
    <n v="32.5"/>
    <x v="5"/>
    <d v="2026-07-10T00:00:00"/>
    <d v="2026-07-10T00:00:00"/>
    <d v="2026-07-10T00:00:00"/>
    <n v="0"/>
    <s v="Contado"/>
    <n v="0"/>
    <n v="0"/>
    <n v="100"/>
    <n v="0"/>
    <n v="0"/>
    <n v="1.25"/>
    <n v="0.005"/>
    <n v="1"/>
    <n v="0.40625"/>
    <n v="0.1625"/>
    <m/>
  </r>
  <r>
    <s v="USDT $ "/>
    <x v="278"/>
    <s v="J507010872"/>
    <s v="EMPRENDIMIENTO KIMBERLYN MENDEZ"/>
    <s v="FCLIE/2026/02487"/>
    <d v="2026-07-10T00:00:00"/>
    <n v="232.95"/>
    <x v="4"/>
    <d v="2026-07-10T00:00:00"/>
    <d v="2026-07-10T00:00:00"/>
    <d v="2026-07-10T00:00:00"/>
    <n v="0"/>
    <s v="Contado"/>
    <n v="0"/>
    <n v="0"/>
    <n v="100"/>
    <n v="0"/>
    <n v="0"/>
    <n v="1.25"/>
    <n v="0.005"/>
    <n v="1"/>
    <n v="2.911875"/>
    <n v="1.16475"/>
    <m/>
  </r>
  <r>
    <s v="USDT $ "/>
    <x v="279"/>
    <s v="J500487720"/>
    <s v="MG TECHNOLOGY, C.A"/>
    <s v="FCLIE/2026/02476"/>
    <d v="2026-07-10T00:00:00"/>
    <n v="69"/>
    <x v="0"/>
    <d v="2026-07-10T00:00:00"/>
    <d v="2026-07-10T00:00:00"/>
    <d v="2026-07-10T00:00:00"/>
    <n v="30"/>
    <s v="Credito"/>
    <n v="0"/>
    <n v="-30"/>
    <n v="100"/>
    <n v="0"/>
    <n v="0"/>
    <n v="1.25"/>
    <n v="0.005"/>
    <n v="1"/>
    <n v="0.8625"/>
    <n v="0.345"/>
    <m/>
  </r>
  <r>
    <s v="USDT $ "/>
    <x v="280"/>
    <s v="J505620428"/>
    <s v="GRUPO SOLUCIONES 360, C.A"/>
    <s v="FCLIE/2026/02279"/>
    <d v="2026-07-03T00:00:00"/>
    <n v="426"/>
    <x v="0"/>
    <d v="2026-07-10T00:00:00"/>
    <d v="2026-07-03T00:00:00"/>
    <d v="2026-07-10T00:00:00"/>
    <s v="7"/>
    <s v="Credito"/>
    <n v="7"/>
    <n v="0"/>
    <n v="100"/>
    <n v="0"/>
    <n v="0"/>
    <n v="1.25"/>
    <n v="0.005"/>
    <n v="1"/>
    <n v="5.325"/>
    <n v="2.13"/>
    <m/>
  </r>
  <r>
    <s v="USDT $ "/>
    <x v="281"/>
    <s v="J506775000"/>
    <s v="EMPRENDIMIENTO LAURANAILETH NUÑEZ"/>
    <s v="FCLIE/2026/02385"/>
    <d v="2026-07-08T00:00:00"/>
    <n v="97.4"/>
    <x v="4"/>
    <d v="2026-07-10T00:00:00"/>
    <d v="2026-07-08T00:00:00"/>
    <d v="2026-07-10T00:00:00"/>
    <s v="7"/>
    <s v="Credito"/>
    <n v="2"/>
    <n v="-5"/>
    <n v="100"/>
    <n v="0"/>
    <n v="0"/>
    <n v="1.25"/>
    <n v="0.005"/>
    <n v="1"/>
    <n v="1.2175"/>
    <n v="0.487"/>
    <m/>
  </r>
  <r>
    <s v="USDT $ "/>
    <x v="282"/>
    <s v="J506775000"/>
    <s v="EMPRENDIMIENTO LAURANAILETH NUÑEZ"/>
    <s v="FCLIE/2026/02453"/>
    <d v="2026-07-10T00:00:00"/>
    <n v="10"/>
    <x v="4"/>
    <d v="2026-07-10T00:00:00"/>
    <d v="2026-07-10T00:00:00"/>
    <d v="2026-07-10T00:00:00"/>
    <s v="7"/>
    <s v="Credito"/>
    <n v="0"/>
    <n v="-7"/>
    <n v="100"/>
    <n v="0"/>
    <n v="0"/>
    <n v="1.25"/>
    <n v="0.005"/>
    <n v="1"/>
    <n v="0.125"/>
    <n v="0.05"/>
    <m/>
  </r>
  <r>
    <s v="USDT $ "/>
    <x v="283"/>
    <s v="J314639935"/>
    <s v="VENESERVICIOS INTEGRALES J.U. C.A."/>
    <s v="FCLIE/2026/02261"/>
    <d v="2026-07-03T00:00:00"/>
    <n v="458.26"/>
    <x v="0"/>
    <d v="2026-07-10T00:00:00"/>
    <d v="2026-07-03T00:00:00"/>
    <d v="2026-07-10T00:00:00"/>
    <s v="7"/>
    <s v="Credito"/>
    <n v="7"/>
    <n v="0"/>
    <n v="100"/>
    <n v="0"/>
    <n v="0"/>
    <n v="1.25"/>
    <n v="0.005"/>
    <n v="1"/>
    <n v="5.72825"/>
    <n v="2.2913"/>
    <m/>
  </r>
  <r>
    <s v="USDT $ "/>
    <x v="283"/>
    <s v="J314639935"/>
    <s v="VENESERVICIOS INTEGRALES J.U. C.A."/>
    <s v="FCLIE/2026/02369"/>
    <d v="2026-07-07T00:00:00"/>
    <n v="45.5"/>
    <x v="0"/>
    <d v="2026-07-10T00:00:00"/>
    <d v="2026-07-07T00:00:00"/>
    <d v="2026-07-10T00:00:00"/>
    <s v="7"/>
    <s v="Credito"/>
    <n v="3"/>
    <n v="-4"/>
    <n v="100"/>
    <n v="0"/>
    <n v="0"/>
    <n v="1.25"/>
    <n v="0.005"/>
    <n v="1"/>
    <n v="0.56875"/>
    <n v="0.2275"/>
    <m/>
  </r>
  <r>
    <s v="USDT $ "/>
    <x v="284"/>
    <s v="DISAVEN IMPORT, C.A"/>
    <s v="DISAVEN IMPORT, C.A"/>
    <s v="FCLIE/2026/02277"/>
    <d v="2026-07-03T00:00:00"/>
    <n v="950"/>
    <x v="0"/>
    <d v="2026-07-10T00:00:00"/>
    <d v="2026-07-03T00:00:00"/>
    <d v="2026-07-10T00:00:00"/>
    <n v="0"/>
    <s v="Contado"/>
    <n v="7"/>
    <n v="7"/>
    <n v="0"/>
    <n v="0"/>
    <n v="0"/>
    <n v="1.25"/>
    <n v="0.005"/>
    <n v="0"/>
    <n v="0"/>
    <n v="4.75"/>
    <m/>
  </r>
  <r>
    <s v="USDT $ "/>
    <x v="285"/>
    <s v="J501820813"/>
    <s v="A&amp;J INVERSIONES, C.A"/>
    <s v="FCLIE/2026/01486"/>
    <d v="2026-05-29T00:00:00"/>
    <n v="190"/>
    <x v="3"/>
    <d v="2026-07-10T00:00:00"/>
    <d v="2026-05-29T00:00:00"/>
    <d v="2026-07-10T00:00:00"/>
    <s v="15"/>
    <s v="Credito"/>
    <n v="42"/>
    <n v="27"/>
    <n v="50"/>
    <n v="2"/>
    <n v="0"/>
    <n v="1"/>
    <n v="0.005"/>
    <n v="1"/>
    <n v="0.95"/>
    <n v="0.95"/>
    <m/>
  </r>
  <r>
    <s v="Caja Principal"/>
    <x v="286"/>
    <s v="J507010872"/>
    <s v="EMPRENDIMIENTO KIMBERLYN MENDEZ"/>
    <s v="FCLIE/2026/02458"/>
    <d v="2026-07-10T00:00:00"/>
    <n v="85"/>
    <x v="4"/>
    <d v="2026-07-10T00:00:00"/>
    <d v="2026-07-10T00:00:00"/>
    <d v="2026-07-10T00:00:00"/>
    <n v="0"/>
    <s v="Contado"/>
    <n v="0"/>
    <n v="0"/>
    <n v="100"/>
    <n v="0"/>
    <n v="0"/>
    <n v="1.25"/>
    <n v="0.005"/>
    <n v="1"/>
    <n v="1.0625"/>
    <n v="0.425"/>
    <m/>
  </r>
  <r>
    <s v="Caja Principal"/>
    <x v="286"/>
    <s v="J507010872"/>
    <s v="EMPRENDIMIENTO KIMBERLYN MENDEZ"/>
    <s v="FCLIE/2026/02492"/>
    <d v="2026-07-10T00:00:00"/>
    <n v="26"/>
    <x v="4"/>
    <d v="2026-07-10T00:00:00"/>
    <d v="2026-07-10T00:00:00"/>
    <d v="2026-07-10T00:00:00"/>
    <n v="0"/>
    <s v="Contado"/>
    <n v="0"/>
    <n v="0"/>
    <n v="100"/>
    <n v="0"/>
    <n v="0"/>
    <n v="1.25"/>
    <n v="0.005"/>
    <n v="1"/>
    <n v="0.325"/>
    <n v="0.13"/>
    <m/>
  </r>
  <r>
    <s v="REGIONSBANK"/>
    <x v="287"/>
    <s v="J404228586"/>
    <s v="COMPUORDEN, C.A"/>
    <s v="FCLIE/2026/01777"/>
    <d v="2026-06-10T00:00:00"/>
    <n v="343.47"/>
    <x v="5"/>
    <d v="2026-07-10T00:00:00"/>
    <d v="2026-06-10T00:00:00"/>
    <d v="2026-07-10T00:00:00"/>
    <s v="7"/>
    <s v="Credito"/>
    <n v="30"/>
    <n v="23"/>
    <n v="50"/>
    <n v="1"/>
    <n v="0"/>
    <n v="1"/>
    <n v="0.005"/>
    <n v="1"/>
    <n v="1.71735"/>
    <n v="1.71735"/>
    <m/>
  </r>
  <r>
    <s v="REGIONSBANK"/>
    <x v="288"/>
    <s v="J003068357"/>
    <s v="DISTRIBUIDOR INTEGRAL DE SOLUCIONES PARA OFICINAS DISOFI C. A."/>
    <s v="FCLIE/2026/02401"/>
    <d v="2026-07-08T00:00:00"/>
    <n v="7290.4"/>
    <x v="4"/>
    <d v="2026-07-10T00:00:00"/>
    <d v="2026-07-08T00:00:00"/>
    <d v="2026-07-10T00:00:00"/>
    <s v="15"/>
    <s v="Credito"/>
    <n v="2"/>
    <n v="-13"/>
    <n v="100"/>
    <n v="0"/>
    <n v="0"/>
    <n v="1.25"/>
    <n v="0.005"/>
    <n v="1"/>
    <n v="91.13"/>
    <n v="36.452"/>
    <m/>
  </r>
  <r>
    <s v="REGIONSBANK"/>
    <x v="289"/>
    <s v="J405444274"/>
    <s v="MICROBYTE TECHNOLOGY, C.A."/>
    <s v="FCLIE/2026/02419"/>
    <d v="2026-07-09T00:00:00"/>
    <n v="237.6"/>
    <x v="4"/>
    <d v="2026-07-10T00:00:00"/>
    <d v="2026-07-09T00:00:00"/>
    <d v="2026-07-10T00:00:00"/>
    <n v="0"/>
    <s v="Contado"/>
    <n v="1"/>
    <n v="1"/>
    <n v="100"/>
    <n v="0"/>
    <n v="0"/>
    <n v="1.25"/>
    <n v="0.005"/>
    <n v="1"/>
    <n v="2.97"/>
    <n v="1.188"/>
    <m/>
  </r>
  <r>
    <s v="REGIONSBANK"/>
    <x v="290"/>
    <s v="DISAVEN IMPORT, C.A"/>
    <s v="DISAVEN IMPORT, C.A"/>
    <s v="FCLIE/2026/02277"/>
    <d v="2026-07-03T00:00:00"/>
    <n v="899.2"/>
    <x v="0"/>
    <d v="2026-07-10T00:00:00"/>
    <d v="2026-07-03T00:00:00"/>
    <d v="2026-07-10T00:00:00"/>
    <n v="0"/>
    <s v="Contado"/>
    <n v="7"/>
    <n v="7"/>
    <n v="0"/>
    <n v="0"/>
    <n v="0"/>
    <n v="1.25"/>
    <n v="0.005"/>
    <n v="0"/>
    <n v="0"/>
    <n v="4.496"/>
    <m/>
  </r>
  <r>
    <s v="Banco del Caribe  BS"/>
    <x v="291"/>
    <s v="J503281162"/>
    <s v="GRUPO TECHNOLOGY AC, C.A."/>
    <s v="FCLIE/2026/02491"/>
    <d v="2026-07-10T00:00:00"/>
    <n v="186.6"/>
    <x v="5"/>
    <d v="2026-07-10T00:00:00"/>
    <d v="2026-07-10T00:00:00"/>
    <d v="2026-07-10T00:00:00"/>
    <n v="0"/>
    <s v="Contado"/>
    <n v="0"/>
    <n v="0"/>
    <n v="100"/>
    <n v="0"/>
    <n v="0"/>
    <n v="1.25"/>
    <n v="0.005"/>
    <n v="1"/>
    <n v="2.3325"/>
    <n v="0.933"/>
    <m/>
  </r>
  <r>
    <s v="USDT $ "/>
    <x v="292"/>
    <s v="J307725427"/>
    <s v="SOLO HARDWARE, C.A."/>
    <s v="FCLIE/2026/01769"/>
    <d v="2026-06-10T00:00:00"/>
    <n v="960"/>
    <x v="3"/>
    <d v="2026-07-10T00:00:00"/>
    <d v="2026-06-10T00:00:00"/>
    <d v="2026-07-10T00:00:00"/>
    <s v="10"/>
    <s v="Credito"/>
    <n v="30"/>
    <n v="20"/>
    <n v="50"/>
    <n v="1"/>
    <n v="0"/>
    <n v="1"/>
    <n v="0.005"/>
    <n v="1"/>
    <n v="4.8"/>
    <n v="4.8"/>
    <m/>
  </r>
  <r>
    <s v="Facturas de cliente"/>
    <x v="293"/>
    <s v="J506775000"/>
    <s v="EMPRENDIMIENTO LAURANAILETH NUÑEZ"/>
    <s v="FCLIE/2026/02453"/>
    <d v="2026-07-10T00:00:00"/>
    <n v="748.2"/>
    <x v="4"/>
    <d v="2026-07-13T00:00:00"/>
    <d v="2026-07-10T00:00:00"/>
    <d v="2026-07-13T00:00:00"/>
    <s v="7"/>
    <s v="Credito"/>
    <n v="3"/>
    <n v="-4"/>
    <n v="100"/>
    <n v="0"/>
    <n v="0"/>
    <n v="1.25"/>
    <n v="0.005"/>
    <n v="1"/>
    <n v="9.3525"/>
    <n v="3.741"/>
    <m/>
  </r>
  <r>
    <s v="Banesco Custodia $"/>
    <x v="294"/>
    <s v="J501820813"/>
    <s v="A&amp;J INVERSIONES, C.A"/>
    <s v="FCLIE/2026/01486"/>
    <d v="2026-05-29T00:00:00"/>
    <n v="2350"/>
    <x v="3"/>
    <d v="2026-07-13T00:00:00"/>
    <d v="2026-05-29T00:00:00"/>
    <d v="2026-07-13T00:00:00"/>
    <s v="15"/>
    <s v="Credito"/>
    <n v="45"/>
    <n v="30"/>
    <n v="50"/>
    <n v="2"/>
    <n v="0"/>
    <n v="1"/>
    <n v="0.005"/>
    <n v="1"/>
    <n v="11.75"/>
    <n v="11.75"/>
    <m/>
  </r>
  <r>
    <s v="USDT $ "/>
    <x v="295"/>
    <s v="J407552007"/>
    <s v="DON BOSCO FULL PRINT Y ALGO MAS, C.A"/>
    <s v="FCLIE/2026/02211"/>
    <d v="2026-07-01T00:00:00"/>
    <n v="400"/>
    <x v="1"/>
    <d v="2026-07-01T00:00:00"/>
    <d v="2026-07-01T00:00:00"/>
    <d v="2026-07-01T00:00:00"/>
    <n v="30"/>
    <s v="Credito"/>
    <n v="0"/>
    <n v="-30"/>
    <n v="100"/>
    <n v="0"/>
    <n v="0"/>
    <n v="1"/>
    <n v="0.005"/>
    <n v="1"/>
    <n v="4"/>
    <n v="2"/>
    <m/>
  </r>
  <r>
    <s v="USDT $ "/>
    <x v="296"/>
    <s v="J407552007"/>
    <s v="DON BOSCO FULL PRINT Y ALGO MAS, C.A"/>
    <s v="FCLIE/2026/02494"/>
    <d v="2026-07-13T00:00:00"/>
    <n v="2"/>
    <x v="1"/>
    <d v="2026-07-13T00:00:00"/>
    <d v="2026-07-13T00:00:00"/>
    <d v="2026-07-13T00:00:00"/>
    <n v="0"/>
    <s v="Contado"/>
    <n v="0"/>
    <n v="0"/>
    <n v="100"/>
    <n v="0"/>
    <n v="0"/>
    <n v="1"/>
    <n v="0.005"/>
    <n v="1"/>
    <n v="0.02"/>
    <n v="0.01"/>
    <m/>
  </r>
  <r>
    <s v="Caja Principal"/>
    <x v="297"/>
    <s v="J407552007"/>
    <s v="DON BOSCO FULL PRINT Y ALGO MAS, C.A"/>
    <s v="FCLIE/2026/02494"/>
    <d v="2026-07-13T00:00:00"/>
    <n v="730"/>
    <x v="1"/>
    <d v="2026-07-13T00:00:00"/>
    <d v="2026-07-13T00:00:00"/>
    <d v="2026-07-13T00:00:00"/>
    <n v="0"/>
    <s v="Contado"/>
    <n v="0"/>
    <n v="0"/>
    <n v="100"/>
    <n v="0"/>
    <n v="0"/>
    <n v="1"/>
    <n v="0.005"/>
    <n v="1"/>
    <n v="7.3"/>
    <n v="3.65"/>
    <m/>
  </r>
  <r>
    <s v="Banesco BS. 3049"/>
    <x v="298"/>
    <s v="J500801726"/>
    <s v="INVERSIONES AVISAL, C.A."/>
    <s v="FCLIE/2026/02482"/>
    <d v="2026-07-10T00:00:00"/>
    <n v="35.25"/>
    <x v="3"/>
    <d v="2026-07-13T00:00:00"/>
    <d v="2026-07-10T00:00:00"/>
    <d v="2026-07-13T00:00:00"/>
    <n v="0"/>
    <s v="Contado"/>
    <n v="3"/>
    <n v="3"/>
    <n v="100"/>
    <n v="0"/>
    <n v="0"/>
    <n v="1"/>
    <n v="0.005"/>
    <n v="1"/>
    <n v="0.3525"/>
    <n v="0.17625"/>
    <m/>
  </r>
  <r>
    <s v="TRANSITORIA ZELLE"/>
    <x v="299"/>
    <s v="J315051435"/>
    <s v="KAMAL CYBER &amp; SERVICE, C.A"/>
    <s v="FCLIE/2026/01734"/>
    <d v="2026-06-08T00:00:00"/>
    <n v="2600"/>
    <x v="1"/>
    <d v="2026-07-13T00:00:00"/>
    <d v="2026-06-08T00:00:00"/>
    <d v="2026-07-13T00:00:00"/>
    <s v="15"/>
    <s v="Credito"/>
    <n v="35"/>
    <n v="20"/>
    <n v="50"/>
    <n v="1"/>
    <n v="0"/>
    <n v="1"/>
    <n v="0.005"/>
    <n v="1"/>
    <n v="13"/>
    <n v="13"/>
    <m/>
  </r>
  <r>
    <s v="Banco del Caribe  BS"/>
    <x v="300"/>
    <s v="J293619866"/>
    <s v="CIUDAD DIGITAL, C.A."/>
    <s v="FCLIE/2026/01856"/>
    <d v="2026-06-12T00:00:00"/>
    <n v="1178.57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14.732125"/>
    <n v="5.89285"/>
    <m/>
  </r>
  <r>
    <s v="Banco del Caribe  BS"/>
    <x v="301"/>
    <s v="J293619866"/>
    <s v="CIUDAD DIGITAL, C.A."/>
    <s v="FCLIE/2026/01856"/>
    <d v="2026-06-12T00:00:00"/>
    <n v="116.43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1.455375"/>
    <n v="0.58215"/>
    <m/>
  </r>
  <r>
    <s v="Banco del Caribe  BS"/>
    <x v="301"/>
    <s v="J293619866"/>
    <s v="CIUDAD DIGITAL, C.A."/>
    <s v="FCLIE/2026/01865"/>
    <d v="2026-06-12T00:00:00"/>
    <n v="502.62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6.28275"/>
    <n v="2.5131"/>
    <m/>
  </r>
  <r>
    <s v="Banco del Caribe  BS"/>
    <x v="302"/>
    <s v="J293619866"/>
    <s v="CIUDAD DIGITAL, C.A."/>
    <s v="FCLIE/2026/01865"/>
    <d v="2026-06-12T00:00:00"/>
    <n v="529.83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6.622875"/>
    <n v="2.64915"/>
    <m/>
  </r>
  <r>
    <s v="Banco del Caribe  BS"/>
    <x v="302"/>
    <s v="J293619866"/>
    <s v="CIUDAD DIGITAL, C.A."/>
    <s v="FCLIE/2026/01867"/>
    <d v="2026-06-12T00:00:00"/>
    <n v="473.5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5.91875"/>
    <n v="2.3675"/>
    <m/>
  </r>
  <r>
    <s v="Banco del Caribe  BS"/>
    <x v="302"/>
    <s v="J293619866"/>
    <s v="CIUDAD DIGITAL, C.A."/>
    <s v="FCLIE/2026/01868"/>
    <d v="2026-06-12T00:00:00"/>
    <n v="184.77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2.309625"/>
    <n v="0.92385"/>
    <m/>
  </r>
  <r>
    <s v="Banco del Caribe  BS"/>
    <x v="303"/>
    <s v="J293619866"/>
    <s v="CIUDAD DIGITAL, C.A."/>
    <s v="FCLIE/2026/01868"/>
    <d v="2026-06-12T00:00:00"/>
    <n v="1183.33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14.791625"/>
    <n v="5.91665"/>
    <m/>
  </r>
  <r>
    <s v="Banco del Caribe  BS"/>
    <x v="304"/>
    <s v="J293619866"/>
    <s v="CIUDAD DIGITAL, C.A."/>
    <s v="FCLIE/2026/01868"/>
    <d v="2026-06-12T00:00:00"/>
    <n v="1182.14"/>
    <x v="2"/>
    <d v="2026-07-13T00:00:00"/>
    <d v="2026-06-12T00:00:00"/>
    <d v="2026-07-13T00:00:00"/>
    <s v="30"/>
    <s v="Credito"/>
    <n v="31"/>
    <n v="1"/>
    <n v="100"/>
    <n v="1"/>
    <n v="0"/>
    <n v="1.25"/>
    <n v="0.005"/>
    <n v="1"/>
    <n v="14.77675"/>
    <n v="5.9107"/>
    <m/>
  </r>
  <r>
    <s v="Banco del Caribe  BS"/>
    <x v="305"/>
    <s v="J293619866"/>
    <s v="CIUDAD DIGITAL, C.A."/>
    <s v="FCLIE/2026/01868"/>
    <d v="2026-06-12T00:00:00"/>
    <n v="1180.95"/>
    <x v="2"/>
    <d v="2026-07-13T00:00:00"/>
    <d v="2026-06-12T00:00:00"/>
    <d v="2026-07-13T00:00:00"/>
    <n v="0"/>
    <s v="Contado"/>
    <n v="31"/>
    <n v="31"/>
    <n v="0"/>
    <n v="1"/>
    <n v="0"/>
    <n v="1.25"/>
    <n v="0.005"/>
    <n v="0"/>
    <n v="0"/>
    <n v="5.90475"/>
    <m/>
  </r>
  <r>
    <s v="Caja Principal"/>
    <x v="306"/>
    <s v="J406699128"/>
    <s v="DIGITAL BLESS, C.A."/>
    <s v="FCLIE/2026/01978"/>
    <d v="2026-06-17T00:00:00"/>
    <n v="426"/>
    <x v="3"/>
    <d v="2026-07-13T00:00:00"/>
    <d v="2026-06-17T00:00:00"/>
    <d v="2026-07-13T00:00:00"/>
    <s v="21"/>
    <s v="Credito"/>
    <n v="26"/>
    <n v="5"/>
    <n v="100"/>
    <n v="1"/>
    <n v="0"/>
    <n v="1"/>
    <n v="0.005"/>
    <n v="1"/>
    <n v="4.26"/>
    <n v="2.13"/>
    <m/>
  </r>
  <r>
    <s v="Caja Principal"/>
    <x v="306"/>
    <s v="J406699128"/>
    <s v="DIGITAL BLESS, C.A."/>
    <s v="FCLIE/2026/01979"/>
    <d v="2026-06-17T00:00:00"/>
    <n v="426"/>
    <x v="3"/>
    <d v="2026-07-13T00:00:00"/>
    <d v="2026-06-17T00:00:00"/>
    <d v="2026-07-13T00:00:00"/>
    <n v="30"/>
    <s v="Credito"/>
    <n v="26"/>
    <n v="-4"/>
    <n v="100"/>
    <n v="1"/>
    <n v="0"/>
    <n v="1"/>
    <n v="0.005"/>
    <n v="1"/>
    <n v="4.26"/>
    <n v="2.13"/>
    <m/>
  </r>
  <r>
    <s v="Caja Principal"/>
    <x v="306"/>
    <s v="J406699128"/>
    <s v="DIGITAL BLESS, C.A."/>
    <s v="FCLIE/2026/01998"/>
    <d v="2026-06-18T00:00:00"/>
    <n v="937.5"/>
    <x v="3"/>
    <d v="2026-07-13T00:00:00"/>
    <d v="2026-06-18T00:00:00"/>
    <d v="2026-07-13T00:00:00"/>
    <n v="30"/>
    <s v="Credito"/>
    <n v="25"/>
    <n v="-5"/>
    <n v="100"/>
    <n v="1"/>
    <n v="0"/>
    <n v="1"/>
    <n v="0.005"/>
    <n v="1"/>
    <n v="9.375"/>
    <n v="4.6875"/>
    <m/>
  </r>
  <r>
    <s v="Caja Principal"/>
    <x v="306"/>
    <s v="J406699128"/>
    <s v="DIGITAL BLESS, C.A."/>
    <s v="FCLIE/2026/02005"/>
    <d v="2026-06-18T00:00:00"/>
    <n v="110.5"/>
    <x v="3"/>
    <d v="2026-07-13T00:00:00"/>
    <d v="2026-06-18T00:00:00"/>
    <d v="2026-07-13T00:00:00"/>
    <s v="21"/>
    <s v="Credito"/>
    <n v="25"/>
    <n v="4"/>
    <n v="100"/>
    <n v="1"/>
    <n v="0"/>
    <n v="1"/>
    <n v="0.005"/>
    <n v="1"/>
    <n v="1.105"/>
    <n v="0.5525"/>
    <m/>
  </r>
  <r>
    <s v="USDT $ "/>
    <x v="307"/>
    <s v="J406699128"/>
    <s v="DIGITAL BLESS, C.A."/>
    <s v="FCLIE/2026/02005"/>
    <d v="2026-06-18T00:00:00"/>
    <n v="124.5"/>
    <x v="3"/>
    <d v="2026-07-13T00:00:00"/>
    <d v="2026-06-18T00:00:00"/>
    <d v="2026-07-13T00:00:00"/>
    <s v="21"/>
    <s v="Credito"/>
    <n v="25"/>
    <n v="4"/>
    <n v="100"/>
    <n v="1"/>
    <n v="0"/>
    <n v="1"/>
    <n v="0.005"/>
    <n v="1"/>
    <n v="1.245"/>
    <n v="0.6225"/>
    <m/>
  </r>
  <r>
    <s v="USDT $ "/>
    <x v="307"/>
    <s v="J406699128"/>
    <s v="DIGITAL BLESS, C.A."/>
    <s v="FCLIE/2026/02062"/>
    <d v="2026-06-19T00:00:00"/>
    <n v="305"/>
    <x v="3"/>
    <d v="2026-07-13T00:00:00"/>
    <d v="2026-06-19T00:00:00"/>
    <d v="2026-07-13T00:00:00"/>
    <s v="21"/>
    <s v="Credito"/>
    <n v="24"/>
    <n v="3"/>
    <n v="100"/>
    <n v="1"/>
    <n v="0"/>
    <n v="1"/>
    <n v="0.005"/>
    <n v="1"/>
    <n v="3.05"/>
    <n v="1.525"/>
    <m/>
  </r>
  <r>
    <s v="USDT $ "/>
    <x v="307"/>
    <s v="J406699128"/>
    <s v="DIGITAL BLESS, C.A."/>
    <s v="FCLIE/2026/02063"/>
    <d v="2026-06-19T00:00:00"/>
    <n v="69.5"/>
    <x v="3"/>
    <d v="2026-07-13T00:00:00"/>
    <d v="2026-06-19T00:00:00"/>
    <d v="2026-07-13T00:00:00"/>
    <s v="21"/>
    <s v="Credito"/>
    <n v="24"/>
    <n v="3"/>
    <n v="100"/>
    <n v="1"/>
    <n v="0"/>
    <n v="1"/>
    <n v="0.005"/>
    <n v="1"/>
    <n v="0.695"/>
    <n v="0.3475"/>
    <m/>
  </r>
  <r>
    <s v="USDT $ "/>
    <x v="307"/>
    <s v="J406699128"/>
    <s v="DIGITAL BLESS, C.A."/>
    <s v="FCLIE/2026/02124"/>
    <d v="2026-06-23T00:00:00"/>
    <n v="337.5"/>
    <x v="3"/>
    <d v="2026-07-13T00:00:00"/>
    <d v="2026-06-23T00:00:00"/>
    <d v="2026-07-13T00:00:00"/>
    <s v="21"/>
    <s v="Credito"/>
    <n v="20"/>
    <n v="-1"/>
    <n v="100"/>
    <n v="1"/>
    <n v="0"/>
    <n v="1"/>
    <n v="0.005"/>
    <n v="1"/>
    <n v="3.375"/>
    <n v="1.6875"/>
    <m/>
  </r>
  <r>
    <s v="Caja Principal"/>
    <x v="308"/>
    <s v="J302884667"/>
    <s v="JORFEL COMPUTER SYSTEM C.A"/>
    <s v="FCLIE/2026/02514"/>
    <d v="2026-07-13T00:00:00"/>
    <n v="110.95"/>
    <x v="2"/>
    <d v="2026-07-13T00:00:00"/>
    <d v="2026-07-13T00:00:00"/>
    <d v="2026-07-13T00:00:00"/>
    <n v="0"/>
    <s v="Contado"/>
    <n v="0"/>
    <n v="0"/>
    <n v="100"/>
    <n v="0"/>
    <n v="0"/>
    <n v="1.25"/>
    <n v="0.005"/>
    <n v="1"/>
    <n v="1.386875"/>
    <n v="0.55475"/>
    <m/>
  </r>
  <r>
    <s v="USDT $ "/>
    <x v="309"/>
    <s v="J308373478"/>
    <s v="COMSITE, C.A."/>
    <s v="FCLIE/2026/02313"/>
    <d v="2026-07-06T00:00:00"/>
    <n v="37.5"/>
    <x v="4"/>
    <d v="2026-07-03T00:00:00"/>
    <d v="2026-07-06T00:00:00"/>
    <d v="2026-07-03T00:00:00"/>
    <n v="0"/>
    <s v="Contado"/>
    <n v="-3"/>
    <n v="-3"/>
    <n v="100"/>
    <n v="0"/>
    <n v="0"/>
    <n v="1.25"/>
    <n v="0.005"/>
    <n v="1"/>
    <n v="0.46875"/>
    <n v="0.1875"/>
    <m/>
  </r>
  <r>
    <s v="Banesco BS. 3049"/>
    <x v="310"/>
    <s v="J504476196"/>
    <s v="TECNOMALL SUMINISTROS, C.A."/>
    <s v="FCLIE/2026/02237"/>
    <d v="2026-07-02T00:00:00"/>
    <n v="159"/>
    <x v="4"/>
    <d v="2026-07-02T00:00:00"/>
    <d v="2026-07-02T00:00:00"/>
    <d v="2026-07-02T00:00:00"/>
    <n v="0"/>
    <s v="Contado"/>
    <n v="0"/>
    <n v="0"/>
    <n v="100"/>
    <n v="0"/>
    <n v="0"/>
    <n v="1.25"/>
    <n v="0.005"/>
    <n v="1"/>
    <n v="1.9875"/>
    <n v="0.795"/>
    <m/>
  </r>
  <r>
    <s v="USDT $ "/>
    <x v="311"/>
    <s v="J505218034"/>
    <s v="CANELON ARANZAZU I, C.A"/>
    <s v="FCLIE/2026/02407"/>
    <d v="2026-07-08T00:00:00"/>
    <n v="481"/>
    <x v="4"/>
    <d v="2026-07-13T00:00:00"/>
    <d v="2026-07-08T00:00:00"/>
    <d v="2026-07-13T00:00:00"/>
    <n v="0"/>
    <s v="Contado"/>
    <n v="5"/>
    <n v="5"/>
    <n v="0"/>
    <n v="0"/>
    <n v="0"/>
    <n v="1.25"/>
    <n v="0.005"/>
    <n v="0"/>
    <n v="0"/>
    <n v="2.405"/>
    <m/>
  </r>
  <r>
    <s v="USDT $ "/>
    <x v="312"/>
    <s v="V180453594"/>
    <s v="INVERSIONES SUMINISTROS MONSALVES PC"/>
    <s v="FCLIE/2026/02094"/>
    <d v="2026-06-22T00:00:00"/>
    <n v="1125.15"/>
    <x v="6"/>
    <d v="2026-07-13T00:00:00"/>
    <d v="2026-06-22T00:00:00"/>
    <d v="2026-07-13T00:00:00"/>
    <s v="21"/>
    <s v="Credito"/>
    <n v="21"/>
    <n v="0"/>
    <n v="100"/>
    <n v="1"/>
    <n v="0"/>
    <n v="1"/>
    <n v="0.005"/>
    <n v="1"/>
    <n v="11.2515"/>
    <n v="5.62575"/>
    <m/>
  </r>
  <r>
    <s v="USDT $ "/>
    <x v="313"/>
    <s v="V121526324"/>
    <s v="INVERSIONES LORENA TERESA ARIAS"/>
    <s v="FCLIE/2026/01875"/>
    <d v="2026-06-12T00:00:00"/>
    <n v="760.23"/>
    <x v="0"/>
    <d v="2026-07-13T00:00:00"/>
    <d v="2026-06-12T00:00:00"/>
    <d v="2026-07-13T00:00:00"/>
    <s v="15"/>
    <s v="Credito"/>
    <n v="31"/>
    <n v="16"/>
    <n v="50"/>
    <n v="1"/>
    <n v="0"/>
    <n v="1"/>
    <n v="0.005"/>
    <n v="1"/>
    <n v="3.80115"/>
    <n v="3.80115"/>
    <m/>
  </r>
  <r>
    <s v="USDT $ "/>
    <x v="313"/>
    <s v="V121526324"/>
    <s v="INVERSIONES LORENA TERESA ARIAS"/>
    <s v="FCLIE/2026/01917"/>
    <d v="2026-06-15T00:00:00"/>
    <n v="239.77"/>
    <x v="0"/>
    <d v="2026-07-13T00:00:00"/>
    <d v="2026-06-15T00:00:00"/>
    <d v="2026-07-13T00:00:00"/>
    <s v="15"/>
    <s v="Credito"/>
    <n v="28"/>
    <n v="13"/>
    <n v="100"/>
    <n v="1"/>
    <n v="0"/>
    <n v="1"/>
    <n v="0.005"/>
    <n v="1"/>
    <n v="2.3977"/>
    <n v="1.19885"/>
    <m/>
  </r>
  <r>
    <s v="USDT $ "/>
    <x v="314"/>
    <s v="J506775000"/>
    <s v="EMPRENDIMIENTO LAURANAILETH NUÑEZ"/>
    <s v="FCLIE/2026/02453"/>
    <d v="2026-07-10T00:00:00"/>
    <n v="760.55"/>
    <x v="4"/>
    <d v="2026-07-13T00:00:00"/>
    <d v="2026-07-10T00:00:00"/>
    <d v="2026-07-13T00:00:00"/>
    <n v="0"/>
    <s v="Contado"/>
    <n v="3"/>
    <n v="3"/>
    <n v="100"/>
    <n v="0"/>
    <n v="0"/>
    <n v="1.25"/>
    <n v="0.005"/>
    <n v="1"/>
    <n v="9.506875"/>
    <n v="3.80275"/>
    <m/>
  </r>
  <r>
    <s v="USDT $ "/>
    <x v="314"/>
    <s v="J506775000"/>
    <s v="EMPRENDIMIENTO LAURANAILETH NUÑEZ"/>
    <s v="FCLIE/2026/02495"/>
    <d v="2026-07-13T00:00:00"/>
    <n v="113.2"/>
    <x v="4"/>
    <d v="2026-07-13T00:00:00"/>
    <d v="2026-07-13T00:00:00"/>
    <d v="2026-07-13T00:00:00"/>
    <n v="0"/>
    <s v="Contado"/>
    <n v="0"/>
    <n v="0"/>
    <n v="100"/>
    <n v="0"/>
    <n v="0"/>
    <n v="1.25"/>
    <n v="0.005"/>
    <n v="1"/>
    <n v="1.415"/>
    <n v="0.566"/>
    <m/>
  </r>
  <r>
    <s v="USDT $ "/>
    <x v="315"/>
    <s v="J296810508"/>
    <s v="GRUPO BLUETECH 1315, C.A"/>
    <s v="FCLIE/2026/02443"/>
    <d v="2026-07-09T00:00:00"/>
    <n v="761.25"/>
    <x v="5"/>
    <d v="2026-07-13T00:00:00"/>
    <d v="2026-07-09T00:00:00"/>
    <d v="2026-07-13T00:00:00"/>
    <s v="3"/>
    <s v="Credito"/>
    <n v="4"/>
    <n v="1"/>
    <n v="100"/>
    <n v="0"/>
    <n v="0"/>
    <n v="1.25"/>
    <n v="0.005"/>
    <n v="1"/>
    <n v="9.515625"/>
    <n v="3.80625"/>
    <m/>
  </r>
  <r>
    <s v="USDT $ "/>
    <x v="316"/>
    <s v="J296810508"/>
    <s v="GRUPO BLUETECH 1315, C.A"/>
    <s v="FCLIE/2026/02418"/>
    <d v="2026-07-09T00:00:00"/>
    <n v="17.7"/>
    <x v="5"/>
    <d v="2026-07-09T00:00:00"/>
    <d v="2026-07-09T00:00:00"/>
    <d v="2026-07-09T00:00:00"/>
    <s v="3"/>
    <s v="Credito"/>
    <n v="0"/>
    <n v="-3"/>
    <n v="100"/>
    <n v="0"/>
    <n v="0"/>
    <n v="1.25"/>
    <n v="0.005"/>
    <n v="1"/>
    <n v="0.22125"/>
    <n v="0.0885"/>
    <m/>
  </r>
  <r>
    <s v="USDT $ "/>
    <x v="317"/>
    <s v="J504073067"/>
    <s v="RECARGATE LAS AMERICAS C.A"/>
    <s v="FCLIE/2026/01556"/>
    <d v="2026-06-02T00:00:00"/>
    <n v="41.11"/>
    <x v="3"/>
    <d v="2026-07-13T00:00:00"/>
    <d v="2026-06-02T00:00:00"/>
    <d v="2026-07-13T00:00:00"/>
    <s v="21"/>
    <s v="Credito"/>
    <n v="41"/>
    <n v="20"/>
    <n v="50"/>
    <n v="1"/>
    <n v="0"/>
    <n v="1"/>
    <n v="0.005"/>
    <n v="0"/>
    <n v="0"/>
    <n v="0.20555"/>
    <m/>
  </r>
  <r>
    <s v="USDT $ "/>
    <x v="317"/>
    <s v="J504073067"/>
    <s v="RECARGATE LAS AMERICAS C.A"/>
    <s v="FCLIE/2026/01804"/>
    <d v="2026-06-10T00:00:00"/>
    <n v="865.85"/>
    <x v="3"/>
    <d v="2026-07-13T00:00:00"/>
    <d v="2026-06-10T00:00:00"/>
    <d v="2026-07-13T00:00:00"/>
    <s v="21"/>
    <s v="Credito"/>
    <n v="33"/>
    <n v="12"/>
    <n v="100"/>
    <n v="1"/>
    <n v="0"/>
    <n v="1"/>
    <n v="0.005"/>
    <n v="1"/>
    <n v="8.6585"/>
    <n v="4.32925"/>
    <m/>
  </r>
  <r>
    <s v="USDT $ "/>
    <x v="318"/>
    <s v="J506775000"/>
    <s v="EMPRENDIMIENTO LAURANAILETH NUÑEZ"/>
    <s v="FCLIE/2026/02495"/>
    <d v="2026-07-13T00:00:00"/>
    <n v="85"/>
    <x v="4"/>
    <d v="2026-07-13T00:00:00"/>
    <d v="2026-07-13T00:00:00"/>
    <d v="2026-07-13T00:00:00"/>
    <s v="7"/>
    <s v="Credito"/>
    <n v="0"/>
    <n v="-7"/>
    <n v="100"/>
    <n v="0"/>
    <n v="0"/>
    <n v="1.25"/>
    <n v="0.005"/>
    <n v="1"/>
    <n v="1.0625"/>
    <n v="0.425"/>
    <m/>
  </r>
  <r>
    <s v="USDT $ "/>
    <x v="319"/>
    <s v="J503643455"/>
    <s v="INVERSIONES JL &amp; M16, C.A."/>
    <s v="FCLIE/2026/02510"/>
    <d v="2026-07-13T00:00:00"/>
    <n v="754"/>
    <x v="1"/>
    <d v="2026-07-13T00:00:00"/>
    <d v="2026-07-13T00:00:00"/>
    <d v="2026-07-13T00:00:00"/>
    <n v="0"/>
    <s v="Contado"/>
    <n v="0"/>
    <n v="0"/>
    <n v="100"/>
    <n v="0"/>
    <n v="0"/>
    <n v="1"/>
    <n v="0.005"/>
    <n v="1"/>
    <n v="7.54"/>
    <n v="3.77"/>
    <m/>
  </r>
  <r>
    <s v="USDT $ "/>
    <x v="320"/>
    <s v="J315095076"/>
    <s v="PC MALL, C.A."/>
    <s v="FCLIE/2026/02072"/>
    <d v="2026-06-22T00:00:00"/>
    <n v="399"/>
    <x v="6"/>
    <d v="2026-07-13T00:00:00"/>
    <d v="2026-06-22T00:00:00"/>
    <d v="2026-07-13T00:00:00"/>
    <s v="7"/>
    <s v="Credito"/>
    <n v="21"/>
    <n v="14"/>
    <n v="100"/>
    <n v="1"/>
    <n v="0"/>
    <n v="1"/>
    <n v="0.005"/>
    <n v="1"/>
    <n v="3.99"/>
    <n v="1.995"/>
    <m/>
  </r>
  <r>
    <s v="USDT $ "/>
    <x v="321"/>
    <s v="J315095076"/>
    <s v="PC MALL, C.A."/>
    <s v="FCLIE/2026/02090"/>
    <d v="2026-06-22T00:00:00"/>
    <n v="1590.8"/>
    <x v="6"/>
    <d v="2026-07-02T00:00:00"/>
    <d v="2026-06-22T00:00:00"/>
    <d v="2026-07-02T00:00:00"/>
    <s v="7"/>
    <s v="Credito"/>
    <n v="10"/>
    <n v="3"/>
    <n v="100"/>
    <n v="1"/>
    <n v="0"/>
    <n v="1"/>
    <n v="0.005"/>
    <n v="1"/>
    <n v="15.908"/>
    <n v="7.954"/>
    <m/>
  </r>
  <r>
    <s v="USDT $ "/>
    <x v="322"/>
    <s v="V272422369"/>
    <s v="NOUEL INVERSIONES NN STORE BARINAS FP"/>
    <s v="FCLIE/2026/01482"/>
    <d v="2026-05-29T00:00:00"/>
    <n v="995"/>
    <x v="6"/>
    <d v="2026-07-13T00:00:00"/>
    <d v="2026-05-29T00:00:00"/>
    <d v="2026-07-13T00:00:00"/>
    <s v="15"/>
    <s v="Credito"/>
    <n v="45"/>
    <n v="30"/>
    <n v="50"/>
    <n v="2"/>
    <n v="0"/>
    <n v="1"/>
    <n v="0.005"/>
    <n v="1"/>
    <n v="4.975"/>
    <n v="4.975"/>
    <m/>
  </r>
  <r>
    <s v="USDT $ "/>
    <x v="322"/>
    <s v="V272422369"/>
    <s v="NOUEL INVERSIONES NN STORE BARINAS FP"/>
    <s v="FCLIE/2026/02524"/>
    <d v="2026-07-13T00:00:00"/>
    <n v="5"/>
    <x v="6"/>
    <d v="2026-07-13T00:00:00"/>
    <d v="2026-07-13T00:00:00"/>
    <d v="2026-07-13T00:00:00"/>
    <n v="30"/>
    <s v="Credito"/>
    <n v="0"/>
    <n v="-30"/>
    <n v="100"/>
    <n v="0"/>
    <n v="0"/>
    <n v="1"/>
    <n v="0.005"/>
    <n v="1"/>
    <n v="0.05"/>
    <n v="0.025"/>
    <m/>
  </r>
  <r>
    <s v="USDT $ "/>
    <x v="323"/>
    <s v="J505977393"/>
    <s v="EMPRENDIMIENTO JUAN GUERRA 14"/>
    <s v="FCLIE/2026/02523"/>
    <d v="2026-07-13T00:00:00"/>
    <n v="116"/>
    <x v="4"/>
    <d v="2026-07-13T00:00:00"/>
    <d v="2026-07-13T00:00:00"/>
    <d v="2026-07-13T00:00:00"/>
    <n v="30"/>
    <s v="Credito"/>
    <n v="0"/>
    <n v="-30"/>
    <n v="100"/>
    <n v="0"/>
    <n v="0"/>
    <n v="1.25"/>
    <n v="0.005"/>
    <n v="1"/>
    <n v="1.45"/>
    <n v="0.58"/>
    <m/>
  </r>
  <r>
    <s v="Caja Principal"/>
    <x v="122"/>
    <s v="J505977393"/>
    <s v="EMPRENDIMIENTO JUAN GUERRA 14"/>
    <s v="FCLIE/2026/02523"/>
    <d v="2026-07-13T00:00:00"/>
    <n v="4.75"/>
    <x v="4"/>
    <d v="2026-07-06T00:00:00"/>
    <d v="2026-07-13T00:00:00"/>
    <d v="2026-07-06T00:00:00"/>
    <n v="0"/>
    <s v="Contado"/>
    <n v="-7"/>
    <n v="-7"/>
    <n v="100"/>
    <n v="0"/>
    <n v="0"/>
    <n v="1.25"/>
    <n v="0.005"/>
    <n v="1"/>
    <n v="0.059375"/>
    <n v="0.02375"/>
    <m/>
  </r>
  <r>
    <s v="USDT $ "/>
    <x v="324"/>
    <s v="J505605739"/>
    <s v="ALGE SOLUTIONS 2024, C.A."/>
    <s v="FCLIE/2026/02515"/>
    <d v="2026-07-13T00:00:00"/>
    <n v="234.3"/>
    <x v="3"/>
    <d v="2026-07-13T00:00:00"/>
    <d v="2026-07-13T00:00:00"/>
    <d v="2026-07-13T00:00:00"/>
    <n v="0"/>
    <s v="Contado"/>
    <n v="0"/>
    <n v="0"/>
    <n v="100"/>
    <n v="0"/>
    <n v="0"/>
    <n v="1"/>
    <n v="0.005"/>
    <n v="1"/>
    <n v="2.343"/>
    <n v="1.1715"/>
    <m/>
  </r>
  <r>
    <s v="USDT $ "/>
    <x v="325"/>
    <s v="J506055856"/>
    <s v="MESRAM.2024, C.A."/>
    <s v="FCLIE/2026/02522"/>
    <d v="2026-07-13T00:00:00"/>
    <n v="87.5"/>
    <x v="3"/>
    <d v="2026-07-13T00:00:00"/>
    <d v="2026-07-13T00:00:00"/>
    <d v="2026-07-13T00:00:00"/>
    <n v="0"/>
    <s v="Contado"/>
    <n v="0"/>
    <n v="0"/>
    <n v="100"/>
    <n v="0"/>
    <n v="0"/>
    <n v="1"/>
    <n v="0.005"/>
    <n v="1"/>
    <n v="0.875"/>
    <n v="0.4375"/>
    <m/>
  </r>
  <r>
    <s v="USDT $ "/>
    <x v="326"/>
    <s v="J506775000"/>
    <s v="EMPRENDIMIENTO LAURANAILETH NUÑEZ"/>
    <s v="FCLIE/2026/02519"/>
    <d v="2026-07-13T00:00:00"/>
    <n v="52.3"/>
    <x v="4"/>
    <d v="2026-07-13T00:00:00"/>
    <d v="2026-07-13T00:00:00"/>
    <d v="2026-07-13T00:00:00"/>
    <s v="7"/>
    <s v="Credito"/>
    <n v="0"/>
    <n v="-7"/>
    <n v="100"/>
    <n v="0"/>
    <n v="0"/>
    <n v="1.25"/>
    <n v="0.005"/>
    <n v="1"/>
    <n v="0.65375"/>
    <n v="0.2615"/>
    <m/>
  </r>
  <r>
    <s v="USDT $ "/>
    <x v="327"/>
    <s v="J408388537"/>
    <s v="INVERSIONES LA GRAN FAMILIA 2016 C.A."/>
    <s v="FCLIE/2026/02531"/>
    <d v="2026-07-13T00:00:00"/>
    <n v="190"/>
    <x v="3"/>
    <d v="2026-07-13T00:00:00"/>
    <d v="2026-07-13T00:00:00"/>
    <d v="2026-07-13T00:00:00"/>
    <n v="0"/>
    <s v="Contado"/>
    <n v="0"/>
    <n v="0"/>
    <n v="100"/>
    <n v="0"/>
    <n v="0"/>
    <n v="1"/>
    <n v="0.005"/>
    <n v="1"/>
    <n v="1.9"/>
    <n v="0.95"/>
    <m/>
  </r>
  <r>
    <s v="USDT $ "/>
    <x v="328"/>
    <s v="J296537453"/>
    <s v="VN GROUP 3000, C.A."/>
    <s v="FCLIE/2026/01783"/>
    <d v="2026-06-10T00:00:00"/>
    <n v="233.23"/>
    <x v="2"/>
    <d v="2026-07-13T00:00:00"/>
    <d v="2026-06-10T00:00:00"/>
    <d v="2026-07-13T00:00:00"/>
    <s v="21"/>
    <s v="Credito"/>
    <n v="33"/>
    <n v="12"/>
    <n v="100"/>
    <n v="1"/>
    <n v="0"/>
    <n v="1.25"/>
    <n v="0.005"/>
    <n v="1"/>
    <n v="2.915375"/>
    <n v="1.16615"/>
    <m/>
  </r>
  <r>
    <s v="USDT $ "/>
    <x v="328"/>
    <s v="J296537453"/>
    <s v="VN GROUP 3000, C.A."/>
    <s v="FCLIE/2026/01828"/>
    <d v="2026-06-11T00:00:00"/>
    <n v="758.2"/>
    <x v="2"/>
    <d v="2026-07-13T00:00:00"/>
    <d v="2026-06-11T00:00:00"/>
    <d v="2026-07-13T00:00:00"/>
    <s v="21"/>
    <s v="Credito"/>
    <n v="32"/>
    <n v="11"/>
    <n v="100"/>
    <n v="1"/>
    <n v="0"/>
    <n v="1.25"/>
    <n v="0.005"/>
    <n v="1"/>
    <n v="9.4775"/>
    <n v="3.791"/>
    <m/>
  </r>
  <r>
    <s v="Caja Principal"/>
    <x v="329"/>
    <s v="J500449984"/>
    <s v="LAPTO.ANA,C.A"/>
    <s v="FCLIE/2026/02517"/>
    <d v="2026-07-13T00:00:00"/>
    <n v="296.49"/>
    <x v="1"/>
    <d v="2026-07-13T00:00:00"/>
    <d v="2026-07-13T00:00:00"/>
    <d v="2026-07-13T00:00:00"/>
    <n v="0"/>
    <s v="Contado"/>
    <n v="0"/>
    <n v="0"/>
    <n v="100"/>
    <n v="1"/>
    <n v="0"/>
    <n v="1"/>
    <n v="0.005"/>
    <n v="1"/>
    <n v="2.9649"/>
    <n v="1.48245"/>
    <m/>
  </r>
  <r>
    <s v="USDT $ "/>
    <x v="330"/>
    <s v="J501365822"/>
    <s v="MULTI PC VENEZUELA, C.A."/>
    <s v="FCLIE/2026/02162"/>
    <d v="2026-06-26T00:00:00"/>
    <n v="1941.2"/>
    <x v="4"/>
    <d v="2026-07-14T00:00:00"/>
    <d v="2026-06-26T00:00:00"/>
    <d v="2026-07-14T00:00:00"/>
    <s v="7"/>
    <s v="Credito"/>
    <n v="18"/>
    <n v="11"/>
    <n v="100"/>
    <n v="1"/>
    <n v="0"/>
    <n v="1.25"/>
    <n v="0.005"/>
    <n v="1"/>
    <n v="24.265"/>
    <n v="9.706"/>
    <m/>
  </r>
  <r>
    <s v="USDT $ "/>
    <x v="330"/>
    <s v="J501365822"/>
    <s v="MULTI PC VENEZUELA, C.A."/>
    <s v="FCLIE/2026/02175"/>
    <d v="2026-06-30T00:00:00"/>
    <n v="645.95"/>
    <x v="4"/>
    <d v="2026-07-14T00:00:00"/>
    <d v="2026-06-30T00:00:00"/>
    <d v="2026-07-14T00:00:00"/>
    <s v="7"/>
    <s v="Credito"/>
    <n v="14"/>
    <n v="7"/>
    <n v="100"/>
    <n v="1"/>
    <n v="0"/>
    <n v="1.25"/>
    <n v="0.005"/>
    <n v="1"/>
    <n v="8.074375"/>
    <n v="3.22975"/>
    <m/>
  </r>
  <r>
    <s v="USDT $ "/>
    <x v="330"/>
    <s v="J501365822"/>
    <s v="MULTI PC VENEZUELA, C.A."/>
    <s v="FCLIE/2026/02192"/>
    <d v="2026-06-30T00:00:00"/>
    <n v="252.4"/>
    <x v="4"/>
    <d v="2026-07-14T00:00:00"/>
    <d v="2026-06-30T00:00:00"/>
    <d v="2026-07-14T00:00:00"/>
    <s v="7"/>
    <s v="Credito"/>
    <n v="14"/>
    <n v="7"/>
    <n v="100"/>
    <n v="1"/>
    <n v="0"/>
    <n v="1.25"/>
    <n v="0.005"/>
    <n v="1"/>
    <n v="3.155"/>
    <n v="1.262"/>
    <m/>
  </r>
  <r>
    <s v="USDT $ "/>
    <x v="330"/>
    <s v="J501365822"/>
    <s v="MULTI PC VENEZUELA, C.A."/>
    <s v="FCLIE/2026/02210"/>
    <d v="2026-07-01T00:00:00"/>
    <n v="160.45"/>
    <x v="4"/>
    <d v="2026-07-14T00:00:00"/>
    <d v="2026-07-01T00:00:00"/>
    <d v="2026-07-14T00:00:00"/>
    <s v="7"/>
    <s v="Credito"/>
    <n v="13"/>
    <n v="6"/>
    <n v="100"/>
    <n v="0"/>
    <n v="0"/>
    <n v="1.25"/>
    <n v="0.005"/>
    <n v="1"/>
    <n v="2.005625"/>
    <n v="0.80225"/>
    <m/>
  </r>
  <r>
    <s v="USDT $ "/>
    <x v="331"/>
    <s v="J503445475"/>
    <s v="SOAL T COMPUTER, C.A."/>
    <s v="FCLIE/2026/00201"/>
    <d v="2026-03-31T00:00:00"/>
    <n v="2817"/>
    <x v="1"/>
    <d v="2026-07-14T00:00:00"/>
    <d v="2026-03-31T00:00:00"/>
    <d v="2026-07-14T00:00:00"/>
    <n v="21"/>
    <s v="Credito"/>
    <n v="105"/>
    <n v="84"/>
    <n v="0"/>
    <n v="0"/>
    <n v="0"/>
    <n v="1"/>
    <n v="0.005"/>
    <n v="0"/>
    <n v="0"/>
    <n v="14.085"/>
    <m/>
  </r>
  <r>
    <s v="USDT $ "/>
    <x v="332"/>
    <s v="J412126750"/>
    <s v="MULTISERVICIOS FEARAN, S.A"/>
    <s v="FCLIE/2026/02370"/>
    <d v="2026-07-07T00:00:00"/>
    <n v="214.2"/>
    <x v="1"/>
    <d v="2026-07-07T00:00:00"/>
    <d v="2026-07-07T00:00:00"/>
    <d v="2026-07-07T00:00:00"/>
    <n v="0"/>
    <s v="Contado"/>
    <n v="0"/>
    <n v="0"/>
    <n v="100"/>
    <n v="0"/>
    <n v="0"/>
    <n v="1"/>
    <n v="0.005"/>
    <n v="1"/>
    <n v="2.142"/>
    <n v="1.071"/>
    <m/>
  </r>
  <r>
    <s v="USDT $ "/>
    <x v="333"/>
    <s v="J412126750"/>
    <s v="MULTISERVICIOS FEARAN, S.A"/>
    <s v="FCLIE/2026/02503"/>
    <d v="2026-07-13T00:00:00"/>
    <n v="132"/>
    <x v="1"/>
    <d v="2026-07-14T00:00:00"/>
    <d v="2026-07-13T00:00:00"/>
    <d v="2026-07-14T00:00:00"/>
    <n v="0"/>
    <s v="Contado"/>
    <n v="1"/>
    <n v="1"/>
    <n v="100"/>
    <n v="0"/>
    <n v="0"/>
    <n v="1"/>
    <n v="0.005"/>
    <n v="1"/>
    <n v="1.32"/>
    <n v="0.66"/>
    <m/>
  </r>
  <r>
    <s v="USDT $ "/>
    <x v="334"/>
    <s v="J405775319"/>
    <s v="COMPUTER INK, CA"/>
    <s v="FCLIE/2026/02166"/>
    <d v="2026-06-29T00:00:00"/>
    <n v="761.97"/>
    <x v="1"/>
    <d v="2026-07-14T00:00:00"/>
    <d v="2026-06-29T00:00:00"/>
    <d v="2026-07-14T00:00:00"/>
    <s v="15"/>
    <s v="Credito"/>
    <n v="15"/>
    <n v="0"/>
    <n v="100"/>
    <n v="1"/>
    <n v="0"/>
    <n v="1"/>
    <n v="0.005"/>
    <n v="1"/>
    <n v="7.6197"/>
    <n v="3.80985"/>
    <m/>
  </r>
  <r>
    <s v="USDT $ "/>
    <x v="335"/>
    <s v="J503305576"/>
    <s v="SIGMA TIENDAS JC FP, C.A."/>
    <s v="FCLIE/2026/01862"/>
    <d v="2026-06-12T00:00:00"/>
    <n v="49.05"/>
    <x v="0"/>
    <d v="2026-07-14T00:00:00"/>
    <d v="2026-06-12T00:00:00"/>
    <d v="2026-07-14T00:00:00"/>
    <s v="15"/>
    <s v="Credito"/>
    <n v="32"/>
    <n v="17"/>
    <n v="50"/>
    <n v="1"/>
    <n v="0"/>
    <n v="1"/>
    <n v="0.005"/>
    <n v="1"/>
    <n v="0.24525"/>
    <n v="0.24525"/>
    <m/>
  </r>
  <r>
    <s v="Facturas de cliente"/>
    <x v="336"/>
    <s v="J501580146"/>
    <s v="OMNIA SUPPLIES C.A"/>
    <s v="FCLIE/2026/02153"/>
    <d v="2026-06-23T00:00:00"/>
    <n v="1404.5"/>
    <x v="0"/>
    <d v="2026-07-14T00:00:00"/>
    <d v="2026-06-23T00:00:00"/>
    <d v="2026-07-14T00:00:00"/>
    <n v="0"/>
    <s v="Contado"/>
    <n v="21"/>
    <n v="21"/>
    <n v="0"/>
    <n v="1"/>
    <n v="0"/>
    <n v="1"/>
    <n v="0.005"/>
    <n v="0"/>
    <n v="0"/>
    <n v="7.0225"/>
    <m/>
  </r>
  <r>
    <s v="Banesco BS. 3049"/>
    <x v="337"/>
    <s v="J412239961"/>
    <s v=" INVERSIONES VALCASAR 2010, C.A."/>
    <s v="FCLIE/2026/02086"/>
    <d v="2026-06-22T00:00:00"/>
    <n v="332.37"/>
    <x v="2"/>
    <d v="2026-07-14T00:00:00"/>
    <d v="2026-06-22T00:00:00"/>
    <d v="2026-07-14T00:00:00"/>
    <s v="30 Días"/>
    <s v="Credito"/>
    <n v="22"/>
    <e v="#VALUE!"/>
    <n v="0"/>
    <n v="1"/>
    <n v="0"/>
    <n v="1.25"/>
    <n v="0.005"/>
    <n v="1"/>
    <n v="0"/>
    <n v="1.66185"/>
    <m/>
  </r>
  <r>
    <s v="Banesco BS. 3049"/>
    <x v="337"/>
    <s v="J412239961"/>
    <s v=" INVERSIONES VALCASAR 2010, C.A."/>
    <s v="FCLIE/2026/02427"/>
    <d v="2026-07-09T00:00:00"/>
    <n v="6.63"/>
    <x v="2"/>
    <d v="2026-07-14T00:00:00"/>
    <d v="2026-07-09T00:00:00"/>
    <d v="2026-07-14T00:00:00"/>
    <s v="30 Días"/>
    <s v="Credito"/>
    <n v="5"/>
    <e v="#VALUE!"/>
    <n v="0"/>
    <n v="0"/>
    <n v="0"/>
    <n v="1.25"/>
    <n v="0.005"/>
    <n v="1"/>
    <n v="0"/>
    <n v="0.03315"/>
    <m/>
  </r>
  <r>
    <s v="USDT $ "/>
    <x v="338"/>
    <s v="J003384259"/>
    <s v="REPRESENTACIONES OPS, C.A"/>
    <s v="FCLIE/2026/02376"/>
    <d v="2026-07-08T00:00:00"/>
    <n v="523.35"/>
    <x v="0"/>
    <d v="2026-07-14T00:00:00"/>
    <d v="2026-07-08T00:00:00"/>
    <d v="2026-07-14T00:00:00"/>
    <s v="7"/>
    <s v="Credito"/>
    <n v="6"/>
    <n v="-1"/>
    <n v="100"/>
    <n v="0"/>
    <n v="0"/>
    <n v="1.25"/>
    <n v="0.005"/>
    <n v="1"/>
    <n v="6.541875"/>
    <n v="2.61675"/>
    <m/>
  </r>
  <r>
    <s v="USDT $ "/>
    <x v="339"/>
    <s v="J293897050"/>
    <s v="DCS POWER TECHNOLOGY C.A."/>
    <s v="FCLIE/2026/02542"/>
    <d v="2026-07-14T00:00:00"/>
    <n v="702.25"/>
    <x v="0"/>
    <d v="2026-07-14T00:00:00"/>
    <d v="2026-07-14T00:00:00"/>
    <d v="2026-07-14T00:00:00"/>
    <n v="0"/>
    <s v="Contado"/>
    <n v="0"/>
    <n v="0"/>
    <n v="100"/>
    <n v="0"/>
    <n v="0"/>
    <n v="1.25"/>
    <n v="0.005"/>
    <n v="1"/>
    <n v="8.778125"/>
    <n v="3.51125"/>
    <m/>
  </r>
  <r>
    <s v="USDT $ "/>
    <x v="340"/>
    <s v="J407268880"/>
    <s v="INVERSIONES PCELLJC.2015, C.A."/>
    <s v="FCLIE/2026/01964"/>
    <d v="2026-06-17T00:00:00"/>
    <n v="679"/>
    <x v="5"/>
    <d v="2026-07-14T00:00:00"/>
    <d v="2026-06-17T00:00:00"/>
    <d v="2026-07-14T00:00:00"/>
    <s v="30 Días"/>
    <s v="Credito"/>
    <n v="27"/>
    <e v="#VALUE!"/>
    <n v="0"/>
    <n v="1"/>
    <n v="0"/>
    <n v="1"/>
    <n v="0.005"/>
    <n v="1"/>
    <n v="0"/>
    <n v="3.395"/>
    <m/>
  </r>
  <r>
    <s v="USDT $ "/>
    <x v="340"/>
    <s v="J407268880"/>
    <s v="INVERSIONES PCELLJC.2015, C.A."/>
    <s v="FCLIE/2026/02060"/>
    <d v="2026-06-19T00:00:00"/>
    <n v="679"/>
    <x v="5"/>
    <d v="2026-07-14T00:00:00"/>
    <d v="2026-06-19T00:00:00"/>
    <d v="2026-07-14T00:00:00"/>
    <s v="30 Días"/>
    <s v="Credito"/>
    <n v="25"/>
    <e v="#VALUE!"/>
    <n v="0"/>
    <n v="1"/>
    <n v="0"/>
    <n v="1"/>
    <n v="0.005"/>
    <n v="1"/>
    <n v="0"/>
    <n v="3.395"/>
    <m/>
  </r>
  <r>
    <s v="USDT $ "/>
    <x v="340"/>
    <s v="J407268880"/>
    <s v="INVERSIONES PCELLJC.2015, C.A."/>
    <s v="FCLIE/2026/02159"/>
    <d v="2026-06-23T00:00:00"/>
    <n v="42"/>
    <x v="5"/>
    <d v="2026-07-14T00:00:00"/>
    <d v="2026-06-23T00:00:00"/>
    <d v="2026-07-14T00:00:00"/>
    <s v="30 Días"/>
    <s v="Credito"/>
    <n v="21"/>
    <e v="#VALUE!"/>
    <n v="0"/>
    <n v="1"/>
    <n v="0"/>
    <n v="1"/>
    <n v="0.005"/>
    <n v="1"/>
    <n v="0"/>
    <n v="0.21"/>
    <m/>
  </r>
  <r>
    <s v="USDT $ "/>
    <x v="341"/>
    <s v="J506775000"/>
    <s v="EMPRENDIMIENTO LAURANAILETH NUÑEZ"/>
    <s v="FCLIE/2026/02545"/>
    <d v="2026-07-14T00:00:00"/>
    <n v="611.6"/>
    <x v="4"/>
    <d v="2026-07-14T00:00:00"/>
    <d v="2026-07-14T00:00:00"/>
    <d v="2026-07-14T00:00:00"/>
    <s v="7"/>
    <s v="Credito"/>
    <n v="0"/>
    <n v="-7"/>
    <n v="100"/>
    <n v="0"/>
    <n v="0"/>
    <n v="1.25"/>
    <n v="0.005"/>
    <n v="1"/>
    <n v="7.645"/>
    <n v="3.058"/>
    <m/>
  </r>
  <r>
    <s v="USDT $ "/>
    <x v="342"/>
    <s v="J506775000"/>
    <s v="EMPRENDIMIENTO LAURANAILETH NUÑEZ"/>
    <s v="FCLIE/2026/02495"/>
    <d v="2026-07-13T00:00:00"/>
    <n v="300"/>
    <x v="4"/>
    <d v="2026-07-14T00:00:00"/>
    <d v="2026-07-13T00:00:00"/>
    <d v="2026-07-14T00:00:00"/>
    <n v="30"/>
    <s v="Credito"/>
    <n v="1"/>
    <n v="-29"/>
    <n v="100"/>
    <n v="1"/>
    <n v="0"/>
    <n v="1.25"/>
    <n v="0.005"/>
    <n v="1"/>
    <n v="3.75"/>
    <n v="1.5"/>
    <m/>
  </r>
  <r>
    <s v="USDT $ "/>
    <x v="343"/>
    <s v="J500200099"/>
    <s v="UBICUOS SISTEMAS, C.A."/>
    <s v="FCLIE/2026/02544"/>
    <d v="2026-07-14T00:00:00"/>
    <n v="87"/>
    <x v="3"/>
    <d v="2026-07-14T00:00:00"/>
    <d v="2026-07-14T00:00:00"/>
    <d v="2026-07-14T00:00:00"/>
    <n v="0"/>
    <s v="Contado"/>
    <n v="0"/>
    <n v="0"/>
    <n v="100"/>
    <n v="0"/>
    <n v="0"/>
    <n v="1"/>
    <n v="0.005"/>
    <n v="1"/>
    <n v="0.87"/>
    <n v="0.435"/>
    <m/>
  </r>
  <r>
    <s v="Banco del Caribe  BS"/>
    <x v="344"/>
    <s v="J410472839"/>
    <s v="MEGAPIXEL STORE, C.A. "/>
    <s v="FCLIE/2026/01872"/>
    <d v="2026-06-12T00:00:00"/>
    <n v="278"/>
    <x v="0"/>
    <d v="2026-07-14T00:00:00"/>
    <d v="2026-06-12T00:00:00"/>
    <d v="2026-07-14T00:00:00"/>
    <s v="7"/>
    <s v="Credito"/>
    <n v="32"/>
    <n v="25"/>
    <n v="50"/>
    <n v="1"/>
    <n v="0"/>
    <n v="1"/>
    <n v="0.005"/>
    <n v="1"/>
    <n v="1.39"/>
    <n v="1.39"/>
    <m/>
  </r>
  <r>
    <s v="Caja Principal"/>
    <x v="345"/>
    <s v="J411738867"/>
    <s v="GRUPO GLOBALTEC 2724, C.A."/>
    <s v="FCLIE/2026/02328"/>
    <d v="2026-07-06T00:00:00"/>
    <n v="57.8"/>
    <x v="5"/>
    <d v="2026-07-06T00:00:00"/>
    <d v="2026-07-06T00:00:00"/>
    <d v="2026-07-06T00:00:00"/>
    <n v="0"/>
    <s v="Contado"/>
    <n v="0"/>
    <n v="0"/>
    <n v="100"/>
    <n v="0"/>
    <n v="0"/>
    <n v="1.25"/>
    <n v="0.005"/>
    <n v="1"/>
    <n v="0.7225"/>
    <n v="0.289"/>
    <m/>
  </r>
  <r>
    <s v="Banco del Caribe  BS"/>
    <x v="346"/>
    <s v="J298895624"/>
    <s v="FULLMARK C.A"/>
    <s v="FCLIE/2026/01125"/>
    <d v="2026-05-15T00:00:00"/>
    <n v="1406.97"/>
    <x v="5"/>
    <d v="2026-07-14T00:00:00"/>
    <d v="2026-05-15T00:00:00"/>
    <d v="2026-07-14T00:00:00"/>
    <s v="21"/>
    <s v="Credito"/>
    <n v="60"/>
    <n v="39"/>
    <n v="30"/>
    <n v="2"/>
    <n v="0"/>
    <n v="0"/>
    <n v="0.005"/>
    <n v="1"/>
    <n v="0"/>
    <n v="7.03485"/>
    <m/>
  </r>
  <r>
    <s v="Banco del Caribe  BS"/>
    <x v="346"/>
    <s v="J298895624"/>
    <s v="FULLMARK C.A"/>
    <s v="FCLIE/2026/01339"/>
    <d v="2026-05-22T00:00:00"/>
    <n v="203.85"/>
    <x v="5"/>
    <d v="2026-07-14T00:00:00"/>
    <d v="2026-05-22T00:00:00"/>
    <d v="2026-07-14T00:00:00"/>
    <s v="21"/>
    <s v="Credito"/>
    <n v="53"/>
    <n v="32"/>
    <n v="30"/>
    <n v="2"/>
    <n v="0"/>
    <n v="0"/>
    <n v="0.005"/>
    <n v="1"/>
    <n v="0"/>
    <n v="1.01925"/>
    <m/>
  </r>
  <r>
    <s v="Banco del Caribe  BS"/>
    <x v="346"/>
    <s v="J298895624"/>
    <s v="FULLMARK C.A"/>
    <s v="FCLIE/2026/01340"/>
    <d v="2026-05-22T00:00:00"/>
    <n v="29.8"/>
    <x v="5"/>
    <d v="2026-07-14T00:00:00"/>
    <d v="2026-05-22T00:00:00"/>
    <d v="2026-07-14T00:00:00"/>
    <s v="21"/>
    <s v="Credito"/>
    <n v="53"/>
    <n v="32"/>
    <n v="30"/>
    <n v="2"/>
    <n v="0"/>
    <n v="0"/>
    <n v="0.005"/>
    <n v="1"/>
    <n v="0"/>
    <n v="0.149"/>
    <m/>
  </r>
  <r>
    <s v="Banco del Caribe  BS"/>
    <x v="347"/>
    <s v="J298895624"/>
    <s v="FULLMARK C.A"/>
    <s v="FCLIE/2026/01340"/>
    <d v="2026-05-22T00:00:00"/>
    <n v="350.88"/>
    <x v="5"/>
    <d v="2026-07-14T00:00:00"/>
    <d v="2026-05-22T00:00:00"/>
    <d v="2026-07-14T00:00:00"/>
    <s v="21"/>
    <s v="Credito"/>
    <n v="0"/>
    <n v="-21"/>
    <n v="100"/>
    <n v="2"/>
    <n v="0"/>
    <n v="0"/>
    <n v="0.005"/>
    <n v="1"/>
    <n v="0"/>
    <n v="1.7544"/>
    <m/>
  </r>
  <r>
    <s v="USDT $ "/>
    <x v="348"/>
    <s v="J404312480"/>
    <s v="STORE SYSTEM WR, C.A."/>
    <s v="FCLIE/2026/02551"/>
    <d v="2026-07-14T00:00:00"/>
    <n v="331"/>
    <x v="1"/>
    <d v="2026-07-14T00:00:00"/>
    <d v="2026-07-14T00:00:00"/>
    <d v="2026-07-14T00:00:00"/>
    <n v="0"/>
    <s v="Contado"/>
    <n v="0"/>
    <n v="0"/>
    <n v="100"/>
    <n v="0"/>
    <n v="0"/>
    <n v="1"/>
    <n v="0.005"/>
    <n v="1"/>
    <n v="3.31"/>
    <n v="1.655"/>
    <m/>
  </r>
  <r>
    <s v="USDT $ "/>
    <x v="349"/>
    <s v="J408347342"/>
    <s v="PATCH CELL, C.A"/>
    <s v="FCLIE/2026/02553"/>
    <d v="2026-07-14T00:00:00"/>
    <n v="206.5"/>
    <x v="1"/>
    <d v="2026-07-14T00:00:00"/>
    <d v="2026-07-14T00:00:00"/>
    <d v="2026-07-14T00:00:00"/>
    <n v="0"/>
    <s v="Contado"/>
    <n v="0"/>
    <n v="0"/>
    <n v="100"/>
    <n v="0"/>
    <n v="0"/>
    <n v="1"/>
    <n v="0.005"/>
    <n v="1"/>
    <n v="2.065"/>
    <n v="1.0325"/>
    <m/>
  </r>
  <r>
    <s v="USDT $ "/>
    <x v="350"/>
    <s v="J505605739"/>
    <s v="ALGE SOLUTIONS 2024, C.A."/>
    <s v="FCLIE/2026/02557"/>
    <d v="2026-07-14T00:00:00"/>
    <n v="420"/>
    <x v="3"/>
    <d v="2026-07-14T00:00:00"/>
    <d v="2026-07-14T00:00:00"/>
    <d v="2026-07-14T00:00:00"/>
    <n v="0"/>
    <s v="Contado"/>
    <n v="0"/>
    <n v="0"/>
    <n v="100"/>
    <n v="0"/>
    <n v="0"/>
    <n v="1"/>
    <n v="0.005"/>
    <n v="1"/>
    <n v="4.2"/>
    <n v="2.1"/>
    <m/>
  </r>
  <r>
    <s v="USDT $ "/>
    <x v="351"/>
    <s v="J306971203"/>
    <s v="XNET SISTEMAS, C.A."/>
    <s v="FCLIE/2026/02555"/>
    <d v="2026-07-14T00:00:00"/>
    <n v="645.95"/>
    <x v="4"/>
    <d v="2026-07-14T00:00:00"/>
    <d v="2026-07-14T00:00:00"/>
    <d v="2026-07-14T00:00:00"/>
    <n v="0"/>
    <s v="Contado"/>
    <n v="0"/>
    <n v="0"/>
    <n v="100"/>
    <n v="0"/>
    <n v="0"/>
    <n v="1.25"/>
    <n v="0.005"/>
    <n v="1"/>
    <n v="8.074375"/>
    <n v="3.22975"/>
    <m/>
  </r>
  <r>
    <s v="Caja Principal"/>
    <x v="352"/>
    <s v="J507010872"/>
    <s v="EMPRENDIMIENTO KIMBERLYN MENDEZ"/>
    <s v="FCLIE/2026/02556"/>
    <d v="2026-07-14T00:00:00"/>
    <n v="230"/>
    <x v="4"/>
    <d v="2026-07-14T00:00:00"/>
    <d v="2026-07-14T00:00:00"/>
    <d v="2026-07-14T00:00:00"/>
    <n v="0"/>
    <s v="Contado"/>
    <n v="0"/>
    <n v="0"/>
    <n v="100"/>
    <n v="0"/>
    <n v="0"/>
    <n v="1.25"/>
    <n v="0.005"/>
    <n v="1"/>
    <n v="2.875"/>
    <n v="1.15"/>
    <m/>
  </r>
  <r>
    <s v="Caja Principal"/>
    <x v="286"/>
    <s v="J507010872"/>
    <s v="EMPRENDIMIENTO KIMBERLYN MENDEZ"/>
    <s v="FCLIE/2026/02556"/>
    <d v="2026-07-14T00:00:00"/>
    <n v="2.95"/>
    <x v="4"/>
    <d v="2026-07-10T00:00:00"/>
    <d v="2026-07-14T00:00:00"/>
    <d v="2026-07-10T00:00:00"/>
    <n v="0"/>
    <s v="Contado"/>
    <n v="-4"/>
    <n v="-4"/>
    <n v="100"/>
    <n v="0"/>
    <n v="0"/>
    <n v="1.25"/>
    <n v="0.005"/>
    <n v="1"/>
    <n v="0.036875"/>
    <n v="0.01475"/>
    <m/>
  </r>
  <r>
    <s v="Banesco BS. 3049"/>
    <x v="353"/>
    <s v="J003068357"/>
    <s v="DISTRIBUIDOR INTEGRAL DE SOLUCIONES PARA OFICINAS DISOFI C. A."/>
    <s v="FCLIE/2026/02501"/>
    <d v="2026-07-13T00:00:00"/>
    <n v="182.6"/>
    <x v="4"/>
    <d v="2026-07-14T00:00:00"/>
    <d v="2026-07-13T00:00:00"/>
    <d v="2026-07-14T00:00:00"/>
    <s v="15"/>
    <s v="Credito"/>
    <n v="1"/>
    <n v="-14"/>
    <n v="100"/>
    <n v="0"/>
    <n v="0"/>
    <n v="1.25"/>
    <n v="0.005"/>
    <n v="1"/>
    <n v="2.2825"/>
    <n v="0.913"/>
    <m/>
  </r>
  <r>
    <s v="Banesco BS. 3049"/>
    <x v="354"/>
    <s v="J507115321"/>
    <s v="CONNECT CONSULTING, C.A."/>
    <s v="FCLIE/2026/02506"/>
    <d v="2026-07-13T00:00:00"/>
    <n v="1120.47"/>
    <x v="2"/>
    <d v="2026-07-13T00:00:00"/>
    <d v="2026-07-13T00:00:00"/>
    <d v="2026-07-13T00:00:00"/>
    <n v="0"/>
    <s v="Contado"/>
    <n v="0"/>
    <n v="0"/>
    <n v="100"/>
    <n v="0"/>
    <n v="0"/>
    <n v="1.25"/>
    <n v="0.005"/>
    <n v="1"/>
    <n v="14.005875"/>
    <n v="5.60235"/>
    <m/>
  </r>
  <r>
    <s v="Banesco Custodia $"/>
    <x v="355"/>
    <s v="J507115321"/>
    <s v="CONNECT CONSULTING, C.A."/>
    <s v="FCLIE/2026/02490"/>
    <d v="2026-07-10T00:00:00"/>
    <n v="1416.62"/>
    <x v="2"/>
    <d v="2026-07-10T00:00:00"/>
    <d v="2026-07-10T00:00:00"/>
    <d v="2026-07-10T00:00:00"/>
    <n v="0"/>
    <s v="Contado"/>
    <n v="0"/>
    <n v="0"/>
    <n v="100"/>
    <n v="0"/>
    <n v="0"/>
    <n v="1.25"/>
    <n v="0.005"/>
    <n v="1"/>
    <n v="17.70775"/>
    <n v="7.0831"/>
    <m/>
  </r>
  <r>
    <s v="Banco del Caribe  BS"/>
    <x v="356"/>
    <s v="J293619866"/>
    <s v="CIUDAD DIGITAL, C.A."/>
    <s v="FCLIE/2026/01868"/>
    <d v="2026-06-12T00:00:00"/>
    <n v="1107.14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13.83925"/>
    <n v="5.5357"/>
    <m/>
  </r>
  <r>
    <s v="Banco del Caribe  BS"/>
    <x v="357"/>
    <s v="J293619866"/>
    <s v="CIUDAD DIGITAL, C.A."/>
    <s v="FCLIE/2026/01868"/>
    <d v="2026-06-12T00:00:00"/>
    <n v="827.38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10.34225"/>
    <n v="4.1369"/>
    <m/>
  </r>
  <r>
    <s v="Banco del Caribe  BS"/>
    <x v="358"/>
    <s v="J293619866"/>
    <s v="CIUDAD DIGITAL, C.A."/>
    <s v="FCLIE/2026/01868"/>
    <d v="2026-06-12T00:00:00"/>
    <n v="1179.76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14.747"/>
    <n v="5.8988"/>
    <m/>
  </r>
  <r>
    <s v="Banco del Caribe  BS"/>
    <x v="359"/>
    <s v="J293619866"/>
    <s v="CIUDAD DIGITAL, C.A."/>
    <s v="FCLIE/2026/01868"/>
    <d v="2026-06-12T00:00:00"/>
    <n v="1184.52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14.8065"/>
    <n v="5.9226"/>
    <m/>
  </r>
  <r>
    <s v="Banco del Caribe  BS"/>
    <x v="360"/>
    <s v="J293619866"/>
    <s v="CIUDAD DIGITAL, C.A."/>
    <s v="FCLIE/2026/01868"/>
    <d v="2026-06-12T00:00:00"/>
    <n v="797.62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9.97025"/>
    <n v="3.9881"/>
    <m/>
  </r>
  <r>
    <s v="Banco del Caribe  BS"/>
    <x v="361"/>
    <s v="J293619866"/>
    <s v="CIUDAD DIGITAL, C.A."/>
    <s v="FCLIE/2026/01868"/>
    <d v="2026-06-12T00:00:00"/>
    <n v="1169.05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14.613125"/>
    <n v="5.84525"/>
    <m/>
  </r>
  <r>
    <s v="Banco del Caribe  BS"/>
    <x v="362"/>
    <s v="J293619866"/>
    <s v="CIUDAD DIGITAL, C.A."/>
    <s v="FCLIE/2026/01868"/>
    <d v="2026-06-12T00:00:00"/>
    <n v="304.17"/>
    <x v="2"/>
    <d v="2026-07-14T00:00:00"/>
    <d v="2026-06-12T00:00:00"/>
    <d v="2026-07-14T00:00:00"/>
    <s v="30"/>
    <s v="Credito"/>
    <n v="32"/>
    <n v="2"/>
    <n v="100"/>
    <n v="1"/>
    <n v="0"/>
    <n v="1.25"/>
    <n v="0.005"/>
    <n v="1"/>
    <n v="3.802125"/>
    <n v="1.52085"/>
    <m/>
  </r>
  <r>
    <s v="Banco del Caribe  BS"/>
    <x v="363"/>
    <s v="J293619866"/>
    <s v="CIUDAD DIGITAL, C.A."/>
    <s v="FCLIE/2026/01868"/>
    <d v="2026-06-12T00:00:00"/>
    <n v="1142.86"/>
    <x v="2"/>
    <d v="2026-07-14T00:00:00"/>
    <d v="2026-06-12T00:00:00"/>
    <d v="2026-07-14T00:00:00"/>
    <n v="30"/>
    <s v="Credito"/>
    <n v="32"/>
    <n v="2"/>
    <n v="100"/>
    <n v="1"/>
    <n v="0"/>
    <n v="1.25"/>
    <n v="0.005"/>
    <n v="1"/>
    <n v="14.28575"/>
    <n v="5.7143"/>
    <m/>
  </r>
  <r>
    <s v="Facturas de cliente"/>
    <x v="364"/>
    <s v="J410425849"/>
    <s v="SUMA SERVICIOS 17, C.A"/>
    <s v="FCLIE/2026/02317"/>
    <d v="2026-07-06T00:00:00"/>
    <n v="84"/>
    <x v="4"/>
    <d v="2026-07-14T00:00:00"/>
    <d v="2026-07-06T00:00:00"/>
    <d v="2026-07-14T00:00:00"/>
    <n v="0"/>
    <s v="Contado"/>
    <n v="8"/>
    <n v="8"/>
    <n v="0"/>
    <n v="0"/>
    <n v="0"/>
    <n v="1.25"/>
    <n v="0.005"/>
    <n v="0"/>
    <n v="0"/>
    <n v="0.42"/>
    <m/>
  </r>
  <r>
    <s v="Caja Principal"/>
    <x v="365"/>
    <s v="J406699128"/>
    <s v="DIGITAL BLESS, C.A."/>
    <s v="FCLIE/2026/02393"/>
    <d v="2026-07-08T00:00:00"/>
    <n v="37.5"/>
    <x v="3"/>
    <d v="2026-07-14T00:00:00"/>
    <d v="2026-07-08T00:00:00"/>
    <d v="2026-07-14T00:00:00"/>
    <s v="21"/>
    <s v="Credito"/>
    <n v="6"/>
    <n v="-15"/>
    <n v="100"/>
    <n v="0"/>
    <n v="0"/>
    <n v="1"/>
    <n v="0.005"/>
    <n v="1"/>
    <n v="0.375"/>
    <n v="0.1875"/>
    <m/>
  </r>
  <r>
    <s v="Caja Principal"/>
    <x v="365"/>
    <s v="J406699128"/>
    <s v="DIGITAL BLESS, C.A."/>
    <s v="FCLIE/2026/02426"/>
    <d v="2026-07-09T00:00:00"/>
    <n v="762.5"/>
    <x v="3"/>
    <d v="2026-07-14T00:00:00"/>
    <d v="2026-07-09T00:00:00"/>
    <d v="2026-07-14T00:00:00"/>
    <s v="21"/>
    <s v="Credito"/>
    <n v="5"/>
    <n v="-16"/>
    <n v="100"/>
    <n v="0"/>
    <n v="0"/>
    <n v="1"/>
    <n v="0.005"/>
    <n v="1"/>
    <n v="7.625"/>
    <n v="3.8125"/>
    <m/>
  </r>
  <r>
    <s v="Banco del Caribe  BS"/>
    <x v="366"/>
    <s v="J405189045"/>
    <s v="SOLUCIONES INTEGRALES TECNOLOGICAS SOLITECH, C.A"/>
    <s v="FCLIE/2026/02564"/>
    <d v="2026-07-14T00:00:00"/>
    <n v="18.75"/>
    <x v="3"/>
    <d v="2026-07-14T00:00:00"/>
    <d v="2026-07-14T00:00:00"/>
    <d v="2026-07-14T00:00:00"/>
    <n v="0"/>
    <s v="Contado"/>
    <n v="0"/>
    <n v="0"/>
    <n v="100"/>
    <n v="0"/>
    <n v="0"/>
    <n v="1"/>
    <n v="0.005"/>
    <n v="1"/>
    <n v="0.1875"/>
    <n v="0.09375"/>
    <m/>
  </r>
  <r>
    <s v="USDT $ "/>
    <x v="367"/>
    <s v="J502282203"/>
    <s v="NFT SHOP INC"/>
    <s v="FCLIE/2026/02563"/>
    <d v="2026-07-14T00:00:00"/>
    <n v="710.29"/>
    <x v="0"/>
    <d v="2026-07-14T00:00:00"/>
    <d v="2026-07-14T00:00:00"/>
    <d v="2026-07-14T00:00:00"/>
    <n v="0"/>
    <s v="Contado"/>
    <n v="0"/>
    <n v="0"/>
    <n v="100"/>
    <n v="0"/>
    <n v="0"/>
    <n v="1.25"/>
    <n v="0.005"/>
    <n v="1"/>
    <n v="8.878625"/>
    <n v="3.55145"/>
    <m/>
  </r>
  <r>
    <s v="Caja Principal"/>
    <x v="368"/>
    <s v="J507010872"/>
    <s v="EMPRENDIMIENTO KIMBERLYN MENDEZ"/>
    <s v="FCLIE/2026/02565"/>
    <d v="2026-07-14T00:00:00"/>
    <n v="50"/>
    <x v="4"/>
    <d v="2026-07-14T00:00:00"/>
    <d v="2026-07-14T00:00:00"/>
    <d v="2026-07-14T00:00:00"/>
    <n v="30"/>
    <s v="Credito"/>
    <n v="0"/>
    <n v="-30"/>
    <n v="100"/>
    <n v="0"/>
    <n v="0"/>
    <n v="1.25"/>
    <n v="0.005"/>
    <n v="1"/>
    <n v="0.625"/>
    <n v="0.25"/>
    <m/>
  </r>
  <r>
    <s v="USDT $ "/>
    <x v="369"/>
    <s v="J410965266"/>
    <s v="INVERSIONES ALDAYO C.A"/>
    <s v="FCLIE/2026/02282"/>
    <d v="2026-07-03T00:00:00"/>
    <n v="570"/>
    <x v="2"/>
    <d v="2026-07-14T00:00:00"/>
    <d v="2026-07-03T00:00:00"/>
    <d v="2026-07-14T00:00:00"/>
    <n v="30"/>
    <s v="Credito"/>
    <n v="11"/>
    <n v="-19"/>
    <n v="100"/>
    <n v="0"/>
    <n v="0"/>
    <n v="1.25"/>
    <n v="0.005"/>
    <n v="1"/>
    <n v="7.125"/>
    <n v="2.85"/>
    <m/>
  </r>
  <r>
    <s v="USDT $ "/>
    <x v="370"/>
    <s v="J405827076"/>
    <s v="SOLUCIONES COMPUT TONER 3000, C.A."/>
    <s v="FCLIE/2026/02558"/>
    <d v="2026-07-14T00:00:00"/>
    <n v="210"/>
    <x v="0"/>
    <d v="2026-07-14T00:00:00"/>
    <d v="2026-07-14T00:00:00"/>
    <d v="2026-07-14T00:00:00"/>
    <n v="30"/>
    <s v="Credito"/>
    <n v="0"/>
    <n v="-30"/>
    <n v="100"/>
    <n v="0"/>
    <n v="0"/>
    <n v="1.25"/>
    <n v="0.005"/>
    <n v="1"/>
    <n v="2.625"/>
    <n v="1.05"/>
    <m/>
  </r>
  <r>
    <s v="USDT $ "/>
    <x v="371"/>
    <s v="J314639935"/>
    <s v="VENESERVICIOS INTEGRALES J.U. C.A."/>
    <s v="FCLIE/2026/02488"/>
    <d v="2026-07-10T00:00:00"/>
    <n v="500"/>
    <x v="0"/>
    <d v="2026-07-14T00:00:00"/>
    <d v="2026-07-10T00:00:00"/>
    <d v="2026-07-14T00:00:00"/>
    <s v="7"/>
    <s v="Credito"/>
    <n v="4"/>
    <n v="-3"/>
    <n v="100"/>
    <n v="0"/>
    <n v="0"/>
    <n v="1.25"/>
    <n v="0.005"/>
    <n v="1"/>
    <n v="6.25"/>
    <n v="2.5"/>
    <m/>
  </r>
  <r>
    <s v="USDT $ "/>
    <x v="372"/>
    <s v="J506103656"/>
    <s v="TWENTY SEVEN TECH, C.A"/>
    <s v="FCLIE/2026/02561"/>
    <d v="2026-07-14T00:00:00"/>
    <n v="85.3"/>
    <x v="5"/>
    <d v="2026-07-14T00:00:00"/>
    <d v="2026-07-14T00:00:00"/>
    <d v="2026-07-14T00:00:00"/>
    <n v="0"/>
    <s v="Contado"/>
    <n v="0"/>
    <n v="0"/>
    <n v="100"/>
    <n v="0"/>
    <n v="0"/>
    <n v="1.25"/>
    <n v="0.005"/>
    <n v="1"/>
    <n v="1.06625"/>
    <n v="0.4265"/>
    <m/>
  </r>
  <r>
    <s v="USDT $ "/>
    <x v="373"/>
    <s v="J507010872"/>
    <s v="EMPRENDIMIENTO KIMBERLYN MENDEZ"/>
    <s v="FCLIE/2026/02505"/>
    <d v="2026-07-13T00:00:00"/>
    <n v="85"/>
    <x v="4"/>
    <d v="2026-07-14T00:00:00"/>
    <d v="2026-07-13T00:00:00"/>
    <d v="2026-07-14T00:00:00"/>
    <n v="0"/>
    <s v="Contado"/>
    <n v="1"/>
    <n v="1"/>
    <n v="100"/>
    <n v="0"/>
    <n v="0"/>
    <n v="1.25"/>
    <n v="0.005"/>
    <n v="1"/>
    <n v="1.0625"/>
    <n v="0.425"/>
    <m/>
  </r>
  <r>
    <s v="USDT $ "/>
    <x v="374"/>
    <s v="J500603800"/>
    <s v="GFIVETECH, C. A"/>
    <s v="FCLIE/2026/01484"/>
    <d v="2026-05-29T00:00:00"/>
    <n v="18650"/>
    <x v="3"/>
    <d v="2026-07-15T00:00:00"/>
    <d v="2026-05-29T00:00:00"/>
    <d v="2026-07-15T00:00:00"/>
    <s v="21"/>
    <s v="Credito"/>
    <n v="47"/>
    <n v="26"/>
    <n v="50"/>
    <n v="2"/>
    <n v="0"/>
    <n v="1"/>
    <n v="0.005"/>
    <n v="1"/>
    <n v="93.25"/>
    <n v="93.25"/>
    <m/>
  </r>
  <r>
    <s v="USDT $ "/>
    <x v="375"/>
    <s v="J410965266"/>
    <s v="INVERSIONES ALDAYO C.A"/>
    <s v="FCLIE/2026/02282"/>
    <d v="2026-07-03T00:00:00"/>
    <n v="1.17"/>
    <x v="2"/>
    <d v="2026-07-15T00:00:00"/>
    <d v="2026-07-03T00:00:00"/>
    <d v="2026-07-15T00:00:00"/>
    <n v="0"/>
    <s v="Contado"/>
    <n v="0"/>
    <n v="0"/>
    <n v="100"/>
    <n v="0"/>
    <n v="0"/>
    <n v="1.25"/>
    <n v="0.005"/>
    <n v="1"/>
    <n v="0.014625"/>
    <n v="0.00585"/>
    <m/>
  </r>
  <r>
    <s v="USDT $ "/>
    <x v="375"/>
    <s v="J410965266"/>
    <s v="INVERSIONES ALDAYO C.A"/>
    <s v="FCLIE/2026/02321"/>
    <d v="2026-07-06T00:00:00"/>
    <n v="298.83"/>
    <x v="2"/>
    <d v="2026-07-15T00:00:00"/>
    <d v="2026-07-06T00:00:00"/>
    <d v="2026-07-15T00:00:00"/>
    <s v="7"/>
    <s v="Credito"/>
    <n v="9"/>
    <n v="2"/>
    <n v="100"/>
    <n v="0"/>
    <n v="0"/>
    <n v="1.25"/>
    <n v="0.005"/>
    <n v="1"/>
    <n v="3.735375"/>
    <n v="1.49415"/>
    <m/>
  </r>
  <r>
    <s v="Caja Principal"/>
    <x v="376"/>
    <s v="J411279609"/>
    <s v="SISTEMAS RJD, C.A."/>
    <s v="FCLIE/2026/02129"/>
    <d v="2026-06-23T00:00:00"/>
    <n v="1873.94"/>
    <x v="2"/>
    <d v="2026-07-15T00:00:00"/>
    <d v="2026-06-23T00:00:00"/>
    <d v="2026-07-15T00:00:00"/>
    <s v="7"/>
    <s v="Credito"/>
    <n v="22"/>
    <n v="15"/>
    <n v="100"/>
    <n v="1"/>
    <n v="0"/>
    <n v="1.25"/>
    <n v="0.005"/>
    <n v="1"/>
    <n v="23.42425"/>
    <n v="9.3697"/>
    <m/>
  </r>
  <r>
    <s v="USDT $ "/>
    <x v="377"/>
    <s v="J411805890"/>
    <s v="GLOBAL COMPANY SYSTEM, C.A"/>
    <s v="FCLIE/2026/02569"/>
    <d v="2026-07-14T00:00:00"/>
    <n v="521.6"/>
    <x v="1"/>
    <d v="2026-07-15T00:00:00"/>
    <d v="2026-07-14T00:00:00"/>
    <d v="2026-07-15T00:00:00"/>
    <s v="3"/>
    <s v="Credito"/>
    <n v="1"/>
    <n v="-2"/>
    <n v="100"/>
    <n v="0"/>
    <n v="0"/>
    <n v="1"/>
    <n v="0.005"/>
    <n v="1"/>
    <n v="5.216"/>
    <n v="2.608"/>
    <m/>
  </r>
  <r>
    <s v="USDT $ "/>
    <x v="378"/>
    <s v="V262599236"/>
    <s v="CANOPUS SOLUCIONES TECNOLOGICAS DE ROBERT ALEXIS ZAMBRANO ROJAS"/>
    <s v="FCLIE/2026/02301"/>
    <d v="2026-07-03T00:00:00"/>
    <n v="170.45"/>
    <x v="6"/>
    <d v="2026-07-03T00:00:00"/>
    <d v="2026-07-03T00:00:00"/>
    <d v="2026-07-03T00:00:00"/>
    <n v="0"/>
    <s v="Contado"/>
    <n v="0"/>
    <n v="0"/>
    <n v="100"/>
    <n v="0"/>
    <n v="0"/>
    <n v="1"/>
    <n v="0.005"/>
    <n v="1"/>
    <n v="1.7045"/>
    <n v="0.85225"/>
    <m/>
  </r>
  <r>
    <s v="Banesco BS. 3049"/>
    <x v="379"/>
    <s v="J410425849"/>
    <s v="SUMA SERVICIOS 17, C.A"/>
    <s v="FCLIE/2026/02573"/>
    <d v="2026-07-15T00:00:00"/>
    <n v="100.4"/>
    <x v="4"/>
    <d v="2026-07-15T00:00:00"/>
    <d v="2026-07-15T00:00:00"/>
    <d v="2026-07-15T00:00:00"/>
    <n v="0"/>
    <s v="Contado"/>
    <n v="0"/>
    <n v="0"/>
    <n v="100"/>
    <n v="0"/>
    <n v="0"/>
    <n v="1.25"/>
    <n v="0.005"/>
    <n v="1"/>
    <n v="1.255"/>
    <n v="0.502"/>
    <m/>
  </r>
  <r>
    <s v="Caja Principal"/>
    <x v="380"/>
    <s v="J506775000"/>
    <s v="EMPRENDIMIENTO LAURANAILETH NUÑEZ"/>
    <s v="FCLIE/2026/02495"/>
    <d v="2026-07-13T00:00:00"/>
    <n v="220"/>
    <x v="4"/>
    <d v="2026-07-15T00:00:00"/>
    <d v="2026-07-13T00:00:00"/>
    <d v="2026-07-15T00:00:00"/>
    <s v="7"/>
    <s v="Credito"/>
    <n v="2"/>
    <n v="-5"/>
    <n v="100"/>
    <n v="0"/>
    <n v="0"/>
    <n v="1.25"/>
    <n v="0.005"/>
    <n v="1"/>
    <n v="2.75"/>
    <n v="1.1"/>
    <m/>
  </r>
  <r>
    <s v="REGIONSBANK"/>
    <x v="381"/>
    <s v="DISAVEN IMPORT, C.A"/>
    <s v="DISAVEN IMPORT, C.A"/>
    <s v="FCLIE/2026/02513"/>
    <d v="2026-07-13T00:00:00"/>
    <n v="1849.2"/>
    <x v="0"/>
    <d v="2026-07-01T00:00:00"/>
    <d v="2026-07-13T00:00:00"/>
    <d v="2026-07-01T00:00:00"/>
    <n v="30"/>
    <s v="Credito"/>
    <n v="-12"/>
    <n v="-42"/>
    <n v="100"/>
    <n v="0"/>
    <n v="0"/>
    <n v="1.25"/>
    <n v="0.005"/>
    <n v="1"/>
    <n v="23.115"/>
    <n v="9.246"/>
    <m/>
  </r>
  <r>
    <s v="REGIONSBANK"/>
    <x v="290"/>
    <s v="DISAVEN IMPORT, C.A"/>
    <s v="DISAVEN IMPORT, C.A"/>
    <s v="FCLIE/2026/02513"/>
    <d v="2026-07-13T00:00:00"/>
    <n v="40.8"/>
    <x v="0"/>
    <d v="2026-07-10T00:00:00"/>
    <d v="2026-07-13T00:00:00"/>
    <d v="2026-07-10T00:00:00"/>
    <n v="0"/>
    <s v="Contado"/>
    <n v="-3"/>
    <n v="-3"/>
    <n v="100"/>
    <n v="0"/>
    <n v="0"/>
    <n v="1.25"/>
    <n v="0.005"/>
    <n v="1"/>
    <n v="0.51"/>
    <n v="0.204"/>
    <m/>
  </r>
  <r>
    <s v="TRANSITORIA ZELLE"/>
    <x v="382"/>
    <s v="J501096910"/>
    <s v="COMPURAMPZO, C.A"/>
    <s v="FCLIE/2026/00196"/>
    <d v="2026-03-27T00:00:00"/>
    <n v="1057.4"/>
    <x v="5"/>
    <d v="2026-07-15T00:00:00"/>
    <d v="2026-03-27T00:00:00"/>
    <d v="2026-07-15T00:00:00"/>
    <s v="15"/>
    <s v="Credito"/>
    <n v="110"/>
    <n v="95"/>
    <n v="0"/>
    <n v="0"/>
    <n v="0"/>
    <n v="1.25"/>
    <n v="0.005"/>
    <n v="0"/>
    <n v="0"/>
    <n v="5.287"/>
    <m/>
  </r>
  <r>
    <s v="TRANSITORIA ZELLE"/>
    <x v="382"/>
    <s v="J501096910"/>
    <s v="COMPURAMPZO, C.A"/>
    <s v="FCLIE/2026/00198"/>
    <d v="2026-03-27T00:00:00"/>
    <n v="280.7"/>
    <x v="5"/>
    <d v="2026-07-15T00:00:00"/>
    <d v="2026-03-27T00:00:00"/>
    <d v="2026-07-15T00:00:00"/>
    <s v="15"/>
    <s v="Credito"/>
    <n v="110"/>
    <n v="95"/>
    <n v="0"/>
    <n v="0"/>
    <n v="0"/>
    <n v="1.25"/>
    <n v="0.005"/>
    <n v="0"/>
    <n v="0"/>
    <n v="1.4035"/>
    <m/>
  </r>
  <r>
    <s v="TRANSITORIA ZELLE"/>
    <x v="383"/>
    <s v="DISAVEN IMPORT, C.A"/>
    <s v="DISAVEN IMPORT, C.A"/>
    <s v="FCLIE/2026/00412"/>
    <d v="2026-04-14T00:00:00"/>
    <n v="2350"/>
    <x v="0"/>
    <d v="2026-07-15T00:00:00"/>
    <d v="2026-04-14T00:00:00"/>
    <d v="2026-07-15T00:00:00"/>
    <n v="30"/>
    <s v="Credito"/>
    <n v="92"/>
    <n v="62"/>
    <n v="0"/>
    <n v="0"/>
    <n v="0"/>
    <n v="1.25"/>
    <n v="0.005"/>
    <n v="0"/>
    <n v="0"/>
    <n v="11.75"/>
    <m/>
  </r>
  <r>
    <s v="USDT $ "/>
    <x v="384"/>
    <s v="J506775000"/>
    <s v="EMPRENDIMIENTO LAURANAILETH NUÑEZ"/>
    <s v="FCLIE/2026/02495"/>
    <d v="2026-07-13T00:00:00"/>
    <n v="118.5"/>
    <x v="4"/>
    <d v="2026-07-15T00:00:00"/>
    <d v="2026-07-13T00:00:00"/>
    <d v="2026-07-15T00:00:00"/>
    <s v="7"/>
    <s v="Credito"/>
    <n v="2"/>
    <n v="-5"/>
    <n v="100"/>
    <n v="0"/>
    <n v="0"/>
    <n v="1.25"/>
    <n v="0.005"/>
    <n v="1"/>
    <n v="1.48125"/>
    <n v="0.5925"/>
    <m/>
  </r>
  <r>
    <s v="USDT $ "/>
    <x v="385"/>
    <s v="J410484241"/>
    <s v="TECHNOLOGY STORE VZLA, C.A. (TECNOLOGY JONAH 2017)"/>
    <s v="FCLIE/2026/00101"/>
    <d v="2026-01-15T00:00:00"/>
    <n v="3000"/>
    <x v="0"/>
    <d v="2026-07-15T00:00:00"/>
    <d v="2026-01-15T00:00:00"/>
    <d v="2026-07-15T00:00:00"/>
    <n v="0"/>
    <s v="Contado"/>
    <n v="181"/>
    <n v="181"/>
    <n v="0"/>
    <n v="0"/>
    <n v="0"/>
    <n v="1.25"/>
    <n v="0.005"/>
    <n v="0"/>
    <n v="0"/>
    <n v="15"/>
    <m/>
  </r>
  <r>
    <s v="USDT $ "/>
    <x v="386"/>
    <s v="J315051435"/>
    <s v="KAMAL CYBER &amp; SERVICE, C.A"/>
    <s v="FCLIE/2026/01734"/>
    <d v="2026-06-08T00:00:00"/>
    <n v="1237.18"/>
    <x v="1"/>
    <d v="2026-07-15T00:00:00"/>
    <d v="2026-06-08T00:00:00"/>
    <d v="2026-07-15T00:00:00"/>
    <s v="15"/>
    <s v="Credito"/>
    <n v="37"/>
    <n v="22"/>
    <n v="50"/>
    <n v="1"/>
    <n v="0"/>
    <n v="1"/>
    <n v="0.005"/>
    <n v="1"/>
    <n v="6.1859"/>
    <n v="6.1859"/>
    <m/>
  </r>
  <r>
    <s v="USDT $ "/>
    <x v="387"/>
    <s v="J500782349"/>
    <s v="COMERCIALIZADORA ENCARGALO AQUI, C.A"/>
    <s v="FCLIE/2026/01577"/>
    <d v="2026-06-03T00:00:00"/>
    <n v="1500"/>
    <x v="1"/>
    <d v="2026-07-15T00:00:00"/>
    <d v="2026-06-03T00:00:00"/>
    <d v="2026-07-15T00:00:00"/>
    <s v="21"/>
    <s v="Credito"/>
    <n v="42"/>
    <n v="21"/>
    <n v="50"/>
    <n v="1"/>
    <n v="0"/>
    <n v="1"/>
    <n v="0.005"/>
    <n v="1"/>
    <n v="7.5"/>
    <n v="7.5"/>
    <m/>
  </r>
  <r>
    <s v="Banesco BS. 3049"/>
    <x v="388"/>
    <s v="J314330993"/>
    <s v="FENIX ADVERTISING C.A."/>
    <s v="FCLIE/2026/02525"/>
    <d v="2026-07-13T00:00:00"/>
    <n v="7598.86"/>
    <x v="0"/>
    <d v="2026-07-13T00:00:00"/>
    <d v="2026-07-13T00:00:00"/>
    <d v="2026-07-13T00:00:00"/>
    <n v="0"/>
    <s v="Contado"/>
    <n v="0"/>
    <n v="0"/>
    <n v="100"/>
    <n v="0"/>
    <n v="0"/>
    <n v="1.25"/>
    <n v="0.005"/>
    <n v="1"/>
    <n v="94.98575"/>
    <n v="37.9943"/>
    <m/>
  </r>
  <r>
    <s v="USDT $ "/>
    <x v="389"/>
    <s v="J500487720"/>
    <s v="MG TECHNOLOGY, C.A"/>
    <s v="FCLIE/2026/02578"/>
    <d v="2026-07-15T00:00:00"/>
    <n v="583.1"/>
    <x v="0"/>
    <d v="2026-07-15T00:00:00"/>
    <d v="2026-07-15T00:00:00"/>
    <d v="2026-07-15T00:00:00"/>
    <n v="30"/>
    <s v="Credito"/>
    <n v="0"/>
    <n v="-30"/>
    <n v="100"/>
    <n v="0"/>
    <n v="0"/>
    <n v="1.25"/>
    <n v="0.005"/>
    <n v="1"/>
    <n v="7.28875"/>
    <n v="2.9155"/>
    <m/>
  </r>
  <r>
    <s v="USDT $ "/>
    <x v="390"/>
    <s v="J406774774"/>
    <s v="COMPUPARTS DIGITAL 2015, C.A."/>
    <s v="FCLIE/2026/02577"/>
    <d v="2026-07-15T00:00:00"/>
    <n v="226.2"/>
    <x v="4"/>
    <d v="2026-07-15T00:00:00"/>
    <d v="2026-07-15T00:00:00"/>
    <d v="2026-07-15T00:00:00"/>
    <n v="30"/>
    <s v="Credito"/>
    <n v="0"/>
    <n v="-30"/>
    <n v="100"/>
    <n v="0"/>
    <n v="0"/>
    <n v="1.25"/>
    <n v="0.005"/>
    <n v="1"/>
    <n v="2.8275"/>
    <n v="1.131"/>
    <m/>
  </r>
  <r>
    <s v="Caja Principal"/>
    <x v="391"/>
    <s v="J406774774"/>
    <s v="COMPUPARTS DIGITAL 2015, C.A."/>
    <s v="FCLIE/2026/02577"/>
    <d v="2026-07-15T00:00:00"/>
    <n v="400"/>
    <x v="4"/>
    <d v="2026-07-15T00:00:00"/>
    <d v="2026-07-15T00:00:00"/>
    <d v="2026-07-15T00:00:00"/>
    <n v="30"/>
    <s v="Credito"/>
    <n v="0"/>
    <n v="-30"/>
    <n v="100"/>
    <n v="0"/>
    <n v="0"/>
    <n v="1.25"/>
    <n v="0.005"/>
    <n v="1"/>
    <n v="5"/>
    <n v="2"/>
    <m/>
  </r>
  <r>
    <s v="USDT $ "/>
    <x v="392"/>
    <s v="J501365822"/>
    <s v="MULTI PC VENEZUELA, C.A."/>
    <s v="FCLIE/2026/02210"/>
    <d v="2026-07-01T00:00:00"/>
    <n v="466.55"/>
    <x v="4"/>
    <d v="2026-07-15T00:00:00"/>
    <d v="2026-07-01T00:00:00"/>
    <d v="2026-07-15T00:00:00"/>
    <n v="0"/>
    <s v="Contado"/>
    <n v="14"/>
    <n v="14"/>
    <n v="0"/>
    <n v="0"/>
    <n v="0"/>
    <n v="1.25"/>
    <n v="0.005"/>
    <n v="0"/>
    <n v="0"/>
    <n v="2.33275"/>
    <m/>
  </r>
  <r>
    <s v="USDT $ "/>
    <x v="392"/>
    <s v="J501365822"/>
    <s v="MULTI PC VENEZUELA, C.A."/>
    <s v="FCLIE/2026/02281"/>
    <d v="2026-07-03T00:00:00"/>
    <n v="104.3"/>
    <x v="4"/>
    <d v="2026-07-15T00:00:00"/>
    <d v="2026-07-03T00:00:00"/>
    <d v="2026-07-15T00:00:00"/>
    <s v="7"/>
    <s v="Credito"/>
    <n v="12"/>
    <n v="5"/>
    <n v="100"/>
    <n v="0"/>
    <n v="0"/>
    <n v="1.25"/>
    <n v="0.005"/>
    <n v="1"/>
    <n v="1.30375"/>
    <n v="0.5215"/>
    <m/>
  </r>
  <r>
    <s v="USDT $ "/>
    <x v="392"/>
    <s v="J501365822"/>
    <s v="MULTI PC VENEZUELA, C.A."/>
    <s v="FCLIE/2026/02320"/>
    <d v="2026-07-06T00:00:00"/>
    <n v="85"/>
    <x v="4"/>
    <d v="2026-07-15T00:00:00"/>
    <d v="2026-07-06T00:00:00"/>
    <d v="2026-07-15T00:00:00"/>
    <s v="7"/>
    <s v="Credito"/>
    <n v="9"/>
    <n v="2"/>
    <n v="100"/>
    <n v="0"/>
    <n v="0"/>
    <n v="1.25"/>
    <n v="0.005"/>
    <n v="1"/>
    <n v="1.0625"/>
    <n v="0.425"/>
    <m/>
  </r>
  <r>
    <s v="USDT $ "/>
    <x v="393"/>
    <s v="J506775000"/>
    <s v="EMPRENDIMIENTO LAURANAILETH NUÑEZ"/>
    <s v="FCLIE/2026/02495"/>
    <d v="2026-07-13T00:00:00"/>
    <n v="124.4"/>
    <x v="4"/>
    <d v="2026-07-15T00:00:00"/>
    <d v="2026-07-13T00:00:00"/>
    <d v="2026-07-15T00:00:00"/>
    <s v="7"/>
    <s v="Credito"/>
    <n v="2"/>
    <n v="-5"/>
    <n v="100"/>
    <n v="0"/>
    <n v="0"/>
    <n v="1.25"/>
    <n v="0.005"/>
    <n v="1"/>
    <n v="1.555"/>
    <n v="0.622"/>
    <m/>
  </r>
  <r>
    <s v="USDT $ "/>
    <x v="394"/>
    <s v="J316045854"/>
    <s v="INVERSIONES JHAIMAR, C.A."/>
    <s v="FCLIE/2026/01858"/>
    <d v="2026-06-12T00:00:00"/>
    <n v="1337.25"/>
    <x v="6"/>
    <d v="2026-07-15T00:00:00"/>
    <d v="2026-06-12T00:00:00"/>
    <d v="2026-07-15T00:00:00"/>
    <s v="30"/>
    <s v="Credito"/>
    <n v="33"/>
    <n v="3"/>
    <n v="100"/>
    <n v="1"/>
    <n v="0"/>
    <n v="1"/>
    <n v="0.005"/>
    <n v="1"/>
    <n v="13.3725"/>
    <n v="6.68625"/>
    <m/>
  </r>
  <r>
    <s v="Caja Principal"/>
    <x v="395"/>
    <s v="J507010872"/>
    <s v="EMPRENDIMIENTO KIMBERLYN MENDEZ"/>
    <s v="FCLIE/2026/02581"/>
    <d v="2026-07-15T00:00:00"/>
    <n v="100"/>
    <x v="4"/>
    <d v="2026-07-15T00:00:00"/>
    <d v="2026-07-15T00:00:00"/>
    <d v="2026-07-15T00:00:00"/>
    <n v="0"/>
    <s v="Contado"/>
    <n v="0"/>
    <n v="0"/>
    <n v="100"/>
    <n v="0"/>
    <n v="0"/>
    <n v="1.25"/>
    <n v="0.005"/>
    <n v="1"/>
    <n v="1.25"/>
    <n v="0.5"/>
    <m/>
  </r>
  <r>
    <s v="Caja Principal"/>
    <x v="286"/>
    <s v="J507010872"/>
    <s v="EMPRENDIMIENTO KIMBERLYN MENDEZ"/>
    <s v="FCLIE/2026/02581"/>
    <d v="2026-07-15T00:00:00"/>
    <n v="1.05"/>
    <x v="4"/>
    <d v="2026-07-10T00:00:00"/>
    <d v="2026-07-15T00:00:00"/>
    <d v="2026-07-10T00:00:00"/>
    <n v="0"/>
    <s v="Contado"/>
    <n v="-5"/>
    <n v="-5"/>
    <n v="100"/>
    <n v="0"/>
    <n v="0"/>
    <n v="1.25"/>
    <n v="0.005"/>
    <n v="1"/>
    <n v="0.013125"/>
    <n v="0.00525"/>
    <m/>
  </r>
  <r>
    <s v="Caja Principal"/>
    <x v="214"/>
    <s v="J507010872"/>
    <s v="EMPRENDIMIENTO KIMBERLYN MENDEZ"/>
    <s v="FCLIE/2026/02581"/>
    <d v="2026-07-15T00:00:00"/>
    <n v="0.4"/>
    <x v="4"/>
    <d v="2026-07-09T00:00:00"/>
    <d v="2026-07-15T00:00:00"/>
    <d v="2026-07-09T00:00:00"/>
    <n v="0"/>
    <s v="Contado"/>
    <n v="-6"/>
    <n v="-6"/>
    <n v="100"/>
    <n v="0"/>
    <n v="0"/>
    <n v="1.25"/>
    <n v="0.005"/>
    <n v="1"/>
    <n v="0.005"/>
    <n v="0.002"/>
    <m/>
  </r>
  <r>
    <s v="Caja Principal"/>
    <x v="396"/>
    <s v="J507010872"/>
    <s v="EMPRENDIMIENTO KIMBERLYN MENDEZ"/>
    <s v="FCLIE/2026/02581"/>
    <d v="2026-07-15T00:00:00"/>
    <n v="5.55"/>
    <x v="4"/>
    <d v="2026-07-15T00:00:00"/>
    <d v="2026-07-15T00:00:00"/>
    <d v="2026-07-15T00:00:00"/>
    <n v="0"/>
    <s v="Contado"/>
    <n v="0"/>
    <n v="0"/>
    <n v="100"/>
    <n v="0"/>
    <n v="0"/>
    <n v="1.25"/>
    <n v="0.005"/>
    <n v="1"/>
    <n v="0.069375"/>
    <n v="0.02775"/>
    <m/>
  </r>
  <r>
    <s v="Caja Principal"/>
    <x v="396"/>
    <s v="J507010872"/>
    <s v="EMPRENDIMIENTO KIMBERLYN MENDEZ"/>
    <s v="FCLIE/2026/02582"/>
    <d v="2026-07-15T00:00:00"/>
    <n v="104.65"/>
    <x v="4"/>
    <d v="2026-07-15T00:00:00"/>
    <d v="2026-07-15T00:00:00"/>
    <d v="2026-07-15T00:00:00"/>
    <n v="0"/>
    <s v="Contado"/>
    <n v="0"/>
    <n v="0"/>
    <n v="100"/>
    <n v="0"/>
    <n v="0"/>
    <n v="1.25"/>
    <n v="0.005"/>
    <n v="1"/>
    <n v="1.308125"/>
    <n v="0.52325"/>
    <m/>
  </r>
  <r>
    <s v="Caja Principal"/>
    <x v="76"/>
    <s v="J294096549"/>
    <s v="VANGUARDIA Y TECNOLOGIA 3000"/>
    <s v="FCLIE/2026/02303"/>
    <d v="2026-07-06T00:00:00"/>
    <n v="3.41"/>
    <x v="5"/>
    <d v="2026-07-06T00:00:00"/>
    <d v="2026-07-06T00:00:00"/>
    <d v="2026-07-06T00:00:00"/>
    <s v="7"/>
    <s v="Credito"/>
    <n v="0"/>
    <n v="-7"/>
    <n v="100"/>
    <n v="0"/>
    <n v="0"/>
    <n v="1.25"/>
    <n v="0.005"/>
    <n v="1"/>
    <n v="0.042625"/>
    <n v="0.01705"/>
    <m/>
  </r>
  <r>
    <s v="Caja Principal"/>
    <x v="397"/>
    <s v="J294096549"/>
    <s v="VANGUARDIA Y TECNOLOGIA 3000"/>
    <s v="FCLIE/2026/02303"/>
    <d v="2026-07-06T00:00:00"/>
    <n v="510.59"/>
    <x v="5"/>
    <d v="2026-07-15T00:00:00"/>
    <d v="2026-07-06T00:00:00"/>
    <d v="2026-07-15T00:00:00"/>
    <s v="7"/>
    <s v="Credito"/>
    <n v="9"/>
    <n v="2"/>
    <n v="100"/>
    <n v="0"/>
    <n v="0"/>
    <n v="1.25"/>
    <n v="0.005"/>
    <n v="1"/>
    <n v="6.382375"/>
    <n v="2.55295"/>
    <m/>
  </r>
  <r>
    <s v="USDT $ "/>
    <x v="398"/>
    <s v="J505776827"/>
    <s v="ZONA BYTE.24, C. A."/>
    <s v="FCLIE/2026/02588"/>
    <d v="2026-07-15T00:00:00"/>
    <n v="166.85"/>
    <x v="0"/>
    <d v="2026-07-15T00:00:00"/>
    <d v="2026-07-15T00:00:00"/>
    <d v="2026-07-15T00:00:00"/>
    <n v="0"/>
    <s v="Contado"/>
    <n v="0"/>
    <n v="0"/>
    <n v="100"/>
    <n v="0"/>
    <n v="0"/>
    <n v="1.25"/>
    <n v="0.005"/>
    <n v="1"/>
    <n v="2.085625"/>
    <n v="0.83425"/>
    <m/>
  </r>
  <r>
    <s v="USDT $ "/>
    <x v="399"/>
    <s v="J505776827"/>
    <s v="ZONA BYTE.24, C. A."/>
    <s v="FCLIE/2026/02587"/>
    <d v="2026-07-15T00:00:00"/>
    <n v="62.25"/>
    <x v="0"/>
    <d v="2026-07-15T00:00:00"/>
    <d v="2026-07-15T00:00:00"/>
    <d v="2026-07-15T00:00:00"/>
    <n v="0"/>
    <s v="Contado"/>
    <n v="0"/>
    <n v="0"/>
    <n v="100"/>
    <n v="0"/>
    <n v="0"/>
    <n v="1.25"/>
    <n v="0.005"/>
    <n v="1"/>
    <n v="0.778125"/>
    <n v="0.31125"/>
    <m/>
  </r>
  <r>
    <s v="Caja Principal"/>
    <x v="400"/>
    <s v="J305940444"/>
    <s v="VIDEO TICKET, C.A."/>
    <s v="FCLIE/2026/02585"/>
    <d v="2026-07-15T00:00:00"/>
    <n v="71"/>
    <x v="3"/>
    <d v="2026-07-15T00:00:00"/>
    <d v="2026-07-15T00:00:00"/>
    <d v="2026-07-15T00:00:00"/>
    <n v="0"/>
    <s v="Contado"/>
    <n v="0"/>
    <n v="0"/>
    <n v="100"/>
    <n v="0"/>
    <n v="0"/>
    <n v="1"/>
    <n v="0.005"/>
    <n v="1"/>
    <n v="0.71"/>
    <n v="0.355"/>
    <m/>
  </r>
  <r>
    <s v="Facturas de cliente"/>
    <x v="401"/>
    <s v="J501365822"/>
    <s v="MULTI PC VENEZUELA, C.A."/>
    <s v="FCLIE/2026/02576"/>
    <d v="2026-07-15T00:00:00"/>
    <n v="3762"/>
    <x v="4"/>
    <d v="2026-07-15T00:00:00"/>
    <d v="2026-07-15T00:00:00"/>
    <d v="2026-07-15T00:00:00"/>
    <s v="7"/>
    <s v="Credito"/>
    <n v="0"/>
    <n v="-7"/>
    <n v="100"/>
    <n v="0"/>
    <n v="0"/>
    <n v="1.25"/>
    <n v="0.005"/>
    <n v="1"/>
    <n v="47.025"/>
    <n v="18.81"/>
    <m/>
  </r>
  <r>
    <s v="USDT $ "/>
    <x v="402"/>
    <s v="J412883879"/>
    <s v="INVERSIONES FUTSAL MARKET, C.A."/>
    <s v="FCLIE/2026/02349"/>
    <d v="2026-07-07T00:00:00"/>
    <n v="173.99"/>
    <x v="2"/>
    <d v="2026-07-07T00:00:00"/>
    <d v="2026-07-07T00:00:00"/>
    <d v="2026-07-07T00:00:00"/>
    <n v="0"/>
    <s v="Contado"/>
    <n v="0"/>
    <n v="0"/>
    <n v="100"/>
    <n v="0"/>
    <n v="0"/>
    <n v="1.25"/>
    <n v="0.005"/>
    <n v="1"/>
    <n v="2.174875"/>
    <n v="0.86995"/>
    <m/>
  </r>
  <r>
    <s v="REGIONSBANK"/>
    <x v="403"/>
    <s v="J504073067"/>
    <s v="RECARGATE LAS AMERICAS C.A"/>
    <s v="FCLIE/2026/01804"/>
    <d v="2026-06-10T00:00:00"/>
    <n v="2250"/>
    <x v="3"/>
    <d v="2026-07-15T00:00:00"/>
    <d v="2026-06-10T00:00:00"/>
    <d v="2026-07-15T00:00:00"/>
    <s v="21"/>
    <s v="Credito"/>
    <n v="35"/>
    <n v="14"/>
    <n v="100"/>
    <n v="1"/>
    <n v="0"/>
    <n v="1"/>
    <n v="0.005"/>
    <n v="1"/>
    <n v="22.5"/>
    <n v="11.25"/>
    <m/>
  </r>
  <r>
    <s v="Facturas de cliente"/>
    <x v="401"/>
    <s v="J501365822"/>
    <s v="MULTI PC VENEZUELA, C.A."/>
    <s v="FCLIE/2026/02374"/>
    <d v="2026-07-08T00:00:00"/>
    <n v="601.92"/>
    <x v="4"/>
    <d v="2026-07-15T00:00:00"/>
    <d v="2026-07-08T00:00:00"/>
    <d v="2026-07-15T00:00:00"/>
    <s v="7"/>
    <s v="Credito"/>
    <n v="7"/>
    <n v="0"/>
    <n v="100"/>
    <n v="0"/>
    <n v="0"/>
    <n v="1.25"/>
    <n v="0.005"/>
    <n v="1"/>
    <n v="7.524"/>
    <n v="3.0096"/>
    <m/>
  </r>
  <r>
    <s v="USDT $ "/>
    <x v="392"/>
    <s v="J501365822"/>
    <s v="MULTI PC VENEZUELA, C.A."/>
    <s v="FCLIE/2026/02374"/>
    <d v="2026-07-08T00:00:00"/>
    <n v="0.15"/>
    <x v="4"/>
    <d v="2026-07-15T00:00:00"/>
    <d v="2026-07-08T00:00:00"/>
    <d v="2026-07-15T00:00:00"/>
    <s v="7"/>
    <s v="Credito"/>
    <n v="7"/>
    <n v="0"/>
    <n v="100"/>
    <n v="0"/>
    <n v="0"/>
    <n v="1.25"/>
    <n v="0.005"/>
    <n v="1"/>
    <n v="0.001875"/>
    <n v="0.00075"/>
    <m/>
  </r>
  <r>
    <s v="USDT $ "/>
    <x v="404"/>
    <s v="J501365822"/>
    <s v="MULTI PC VENEZUELA, C.A."/>
    <s v="FCLIE/2026/02374"/>
    <d v="2026-07-08T00:00:00"/>
    <n v="24.93"/>
    <x v="4"/>
    <d v="2026-07-16T00:00:00"/>
    <d v="2026-07-08T00:00:00"/>
    <d v="2026-07-16T00:00:00"/>
    <s v="7"/>
    <s v="Credito"/>
    <n v="8"/>
    <n v="1"/>
    <n v="100"/>
    <n v="0"/>
    <n v="0"/>
    <n v="1.25"/>
    <n v="0.005"/>
    <n v="1"/>
    <n v="0.311625"/>
    <n v="0.12465"/>
    <m/>
  </r>
  <r>
    <s v="TRANSITORIA ZELLE"/>
    <x v="405"/>
    <s v="J500574665"/>
    <s v="TECNOLOGIA JASPE, C. A."/>
    <s v="FCLIE/2026/02064"/>
    <d v="2026-06-19T00:00:00"/>
    <n v="780"/>
    <x v="1"/>
    <d v="2026-07-16T00:00:00"/>
    <d v="2026-06-19T00:00:00"/>
    <d v="2026-07-16T00:00:00"/>
    <s v="15"/>
    <s v="Credito"/>
    <n v="27"/>
    <n v="12"/>
    <n v="100"/>
    <n v="1"/>
    <n v="0"/>
    <n v="1"/>
    <n v="0.005"/>
    <n v="1"/>
    <n v="7.8"/>
    <n v="3.9"/>
    <m/>
  </r>
  <r>
    <s v="USDT $ "/>
    <x v="406"/>
    <s v="J301883780"/>
    <s v="SERVIHECMIR, C.A."/>
    <s v="FCLIE/2026/01811"/>
    <d v="2026-06-10T00:00:00"/>
    <n v="11385"/>
    <x v="0"/>
    <d v="2026-07-16T00:00:00"/>
    <d v="2026-06-10T00:00:00"/>
    <d v="2026-07-16T00:00:00"/>
    <s v="15"/>
    <s v="Credito"/>
    <n v="36"/>
    <n v="21"/>
    <n v="50"/>
    <n v="1"/>
    <n v="0"/>
    <n v="1"/>
    <n v="0.005"/>
    <n v="1"/>
    <n v="56.925"/>
    <n v="56.925"/>
    <m/>
  </r>
  <r>
    <s v="USDT $ "/>
    <x v="407"/>
    <s v="J410965266"/>
    <s v="INVERSIONES ALDAYO C.A"/>
    <s v="FCLIE/2026/02321"/>
    <d v="2026-07-06T00:00:00"/>
    <n v="200"/>
    <x v="2"/>
    <d v="2026-07-16T00:00:00"/>
    <d v="2026-07-06T00:00:00"/>
    <d v="2026-07-16T00:00:00"/>
    <s v="7"/>
    <s v="Credito"/>
    <n v="10"/>
    <n v="3"/>
    <n v="100"/>
    <n v="0"/>
    <n v="0"/>
    <n v="1.25"/>
    <n v="0.005"/>
    <n v="1"/>
    <n v="2.5"/>
    <n v="1"/>
    <m/>
  </r>
  <r>
    <s v="USDT $ "/>
    <x v="408"/>
    <s v="J500574665"/>
    <s v="TECNOLOGIA JASPE, C. A."/>
    <s v="FCLIE/2026/02064"/>
    <d v="2026-06-19T00:00:00"/>
    <n v="880"/>
    <x v="1"/>
    <d v="2026-07-16T00:00:00"/>
    <d v="2026-06-19T00:00:00"/>
    <d v="2026-07-16T00:00:00"/>
    <s v="15"/>
    <s v="Credito"/>
    <n v="0"/>
    <n v="-15"/>
    <n v="100"/>
    <n v="1"/>
    <n v="0"/>
    <n v="1"/>
    <n v="0.005"/>
    <n v="1"/>
    <n v="8.8"/>
    <n v="4.4"/>
    <m/>
  </r>
  <r>
    <s v="USDT $ "/>
    <x v="408"/>
    <s v="J500574665"/>
    <s v="TECNOLOGIA JASPE, C. A."/>
    <s v="FCLIE/2026/02091"/>
    <d v="2026-06-22T00:00:00"/>
    <n v="481"/>
    <x v="1"/>
    <d v="2026-07-16T00:00:00"/>
    <d v="2026-06-22T00:00:00"/>
    <d v="2026-07-16T00:00:00"/>
    <s v="15"/>
    <s v="Credito"/>
    <n v="24"/>
    <n v="9"/>
    <n v="100"/>
    <n v="1"/>
    <n v="0"/>
    <n v="1"/>
    <n v="0.005"/>
    <n v="1"/>
    <n v="4.81"/>
    <n v="2.405"/>
    <m/>
  </r>
  <r>
    <s v="USDT $ "/>
    <x v="409"/>
    <s v="J504978680"/>
    <s v="CORPORACIÓN DIGIPRO, C.A"/>
    <s v="FCLIE/2026/01727"/>
    <d v="2026-06-08T00:00:00"/>
    <n v="4977.9"/>
    <x v="6"/>
    <d v="2026-07-16T00:00:00"/>
    <d v="2026-06-08T00:00:00"/>
    <d v="2026-07-16T00:00:00"/>
    <s v="30"/>
    <s v="Credito"/>
    <n v="38"/>
    <n v="8"/>
    <n v="100"/>
    <n v="1"/>
    <n v="0"/>
    <n v="1"/>
    <n v="0.005"/>
    <n v="1"/>
    <n v="49.779"/>
    <n v="24.8895"/>
    <m/>
  </r>
  <r>
    <s v="USDT $ "/>
    <x v="410"/>
    <s v="J296651566"/>
    <s v="ADVANTAGE TECHNOLOGY, C.A"/>
    <s v="FCLIE/2026/02618"/>
    <d v="2026-07-16T00:00:00"/>
    <n v="259"/>
    <x v="0"/>
    <d v="2026-07-16T00:00:00"/>
    <d v="2026-07-16T00:00:00"/>
    <d v="2026-07-16T00:00:00"/>
    <n v="0"/>
    <s v="Contado"/>
    <n v="0"/>
    <n v="0"/>
    <n v="100"/>
    <n v="0"/>
    <n v="0"/>
    <n v="1.25"/>
    <n v="0.005"/>
    <n v="1"/>
    <n v="3.2375"/>
    <n v="1.295"/>
    <m/>
  </r>
  <r>
    <s v="USDT $ "/>
    <x v="411"/>
    <s v="J507491390"/>
    <s v="INVERSIONES ALAGWANA TECHNOLOGY. C.A"/>
    <s v="FCLIE/2026/02611"/>
    <d v="2026-07-16T00:00:00"/>
    <n v="185"/>
    <x v="2"/>
    <d v="2026-07-16T00:00:00"/>
    <d v="2026-07-16T00:00:00"/>
    <d v="2026-07-16T00:00:00"/>
    <n v="0"/>
    <s v="Contado"/>
    <n v="0"/>
    <n v="0"/>
    <n v="100"/>
    <n v="0"/>
    <n v="0"/>
    <n v="1.25"/>
    <n v="0.005"/>
    <n v="1"/>
    <n v="2.3125"/>
    <n v="0.925"/>
    <m/>
  </r>
  <r>
    <s v="USDT $ "/>
    <x v="412"/>
    <s v="J506055856"/>
    <s v="MESRAM.2024, C.A."/>
    <s v="FCLIE/2026/02614"/>
    <d v="2026-07-16T00:00:00"/>
    <n v="42.5"/>
    <x v="3"/>
    <d v="2026-07-16T00:00:00"/>
    <d v="2026-07-16T00:00:00"/>
    <d v="2026-07-16T00:00:00"/>
    <n v="0"/>
    <s v="Contado"/>
    <n v="0"/>
    <n v="0"/>
    <n v="100"/>
    <n v="0"/>
    <n v="0"/>
    <n v="1"/>
    <n v="0.005"/>
    <n v="1"/>
    <n v="0.425"/>
    <n v="0.2125"/>
    <m/>
  </r>
  <r>
    <s v="USDT $ "/>
    <x v="413"/>
    <s v="J401062784"/>
    <s v="TECNOLOGIA SUARCOM, C.A."/>
    <s v="FCLIE/2026/02615"/>
    <d v="2026-07-16T00:00:00"/>
    <n v="123.4"/>
    <x v="4"/>
    <d v="2026-07-16T00:00:00"/>
    <d v="2026-07-16T00:00:00"/>
    <d v="2026-07-16T00:00:00"/>
    <n v="0"/>
    <s v="Contado"/>
    <n v="0"/>
    <n v="0"/>
    <n v="100"/>
    <n v="0"/>
    <n v="0"/>
    <n v="1.25"/>
    <n v="0.005"/>
    <n v="1"/>
    <n v="1.5425"/>
    <n v="0.617"/>
    <m/>
  </r>
  <r>
    <s v="REGIONSBANK"/>
    <x v="414"/>
    <s v="J501580383"/>
    <s v="STRIG TECHNOLOGY, C.A"/>
    <s v="FCLIE/2026/01880"/>
    <d v="2026-06-12T00:00:00"/>
    <n v="4999.7"/>
    <x v="1"/>
    <d v="2026-07-16T00:00:00"/>
    <d v="2026-06-12T00:00:00"/>
    <d v="2026-07-16T00:00:00"/>
    <s v="15"/>
    <s v="Credito"/>
    <n v="34"/>
    <n v="19"/>
    <n v="50"/>
    <n v="1"/>
    <n v="0"/>
    <n v="1"/>
    <n v="0.005"/>
    <n v="1"/>
    <n v="24.9985"/>
    <n v="24.9985"/>
    <m/>
  </r>
  <r>
    <s v="REGIONSBANK"/>
    <x v="152"/>
    <s v="J501580383"/>
    <s v="STRIG TECHNOLOGY, C.A"/>
    <s v="FCLIE/2026/02594"/>
    <d v="2026-07-15T00:00:00"/>
    <n v="561.51"/>
    <x v="1"/>
    <d v="2026-07-07T00:00:00"/>
    <d v="2026-07-15T00:00:00"/>
    <d v="2026-07-07T00:00:00"/>
    <n v="0"/>
    <s v="Contado"/>
    <n v="-8"/>
    <n v="-8"/>
    <n v="100"/>
    <n v="0"/>
    <n v="0"/>
    <n v="1"/>
    <n v="0.005"/>
    <n v="1"/>
    <n v="5.6151"/>
    <n v="2.80755"/>
    <m/>
  </r>
  <r>
    <s v="Caja Principal"/>
    <x v="415"/>
    <s v="J312089881"/>
    <s v="BRAINCORP TECNOLOGIA R INFORMATICA, S.A."/>
    <s v="FCLIE/2026/02620"/>
    <d v="2026-07-16T00:00:00"/>
    <n v="100"/>
    <x v="3"/>
    <d v="2026-07-16T00:00:00"/>
    <d v="2026-07-16T00:00:00"/>
    <d v="2026-07-16T00:00:00"/>
    <n v="0"/>
    <s v="Contado"/>
    <n v="0"/>
    <n v="0"/>
    <n v="100"/>
    <n v="0"/>
    <n v="0"/>
    <n v="1"/>
    <n v="0.005"/>
    <n v="1"/>
    <n v="1"/>
    <n v="0.5"/>
    <m/>
  </r>
  <r>
    <s v="USDT $ "/>
    <x v="416"/>
    <s v="J407268880"/>
    <s v="INVERSIONES PCELLJC.2015, C.A."/>
    <s v="FCLIE/2026/02159"/>
    <d v="2026-06-23T00:00:00"/>
    <n v="9708"/>
    <x v="5"/>
    <d v="2026-07-16T00:00:00"/>
    <d v="2026-06-23T00:00:00"/>
    <d v="2026-07-16T00:00:00"/>
    <n v="30"/>
    <s v="Credito"/>
    <n v="23"/>
    <n v="-7"/>
    <n v="100"/>
    <n v="1"/>
    <n v="0"/>
    <n v="1"/>
    <n v="0.005"/>
    <n v="1"/>
    <n v="97.08"/>
    <n v="48.54"/>
    <m/>
  </r>
  <r>
    <s v="USDT $ "/>
    <x v="416"/>
    <s v="J407268880"/>
    <s v="INVERSIONES PCELLJC.2015, C.A."/>
    <s v="FCLIE/2026/02386"/>
    <d v="2026-07-08T00:00:00"/>
    <n v="2"/>
    <x v="5"/>
    <d v="2026-07-16T00:00:00"/>
    <d v="2026-07-08T00:00:00"/>
    <d v="2026-07-16T00:00:00"/>
    <n v="30"/>
    <s v="Credito"/>
    <n v="8"/>
    <n v="0"/>
    <n v="100"/>
    <n v="1"/>
    <n v="0"/>
    <n v="1"/>
    <n v="0.005"/>
    <n v="1"/>
    <n v="0.02"/>
    <n v="0.01"/>
    <m/>
  </r>
  <r>
    <s v="USDT $ "/>
    <x v="417"/>
    <s v="J412883879"/>
    <s v="INVERSIONES FUTSAL MARKET, C.A."/>
    <s v="FCLIE/2026/02596"/>
    <d v="2026-07-16T00:00:00"/>
    <n v="1872"/>
    <x v="2"/>
    <d v="2026-07-15T00:00:00"/>
    <d v="2026-07-16T00:00:00"/>
    <d v="2026-07-15T00:00:00"/>
    <n v="0"/>
    <s v="Contado"/>
    <n v="-1"/>
    <n v="-1"/>
    <n v="100"/>
    <n v="0"/>
    <n v="0"/>
    <n v="1.25"/>
    <n v="0.005"/>
    <n v="1"/>
    <n v="23.4"/>
    <n v="9.36"/>
    <m/>
  </r>
  <r>
    <s v="USDT $ "/>
    <x v="418"/>
    <s v="J412883879"/>
    <s v="INVERSIONES FUTSAL MARKET, C.A."/>
    <s v="FCLIE/2026/02203"/>
    <d v="2026-06-30T00:00:00"/>
    <n v="29.3"/>
    <x v="2"/>
    <d v="2026-07-16T00:00:00"/>
    <d v="2026-06-30T00:00:00"/>
    <d v="2026-07-16T00:00:00"/>
    <n v="0"/>
    <s v="Contado"/>
    <n v="16"/>
    <n v="16"/>
    <n v="0"/>
    <n v="1"/>
    <n v="0"/>
    <n v="1.25"/>
    <n v="0.005"/>
    <n v="0"/>
    <n v="0"/>
    <n v="0.1465"/>
    <m/>
  </r>
  <r>
    <s v="USDT $ "/>
    <x v="419"/>
    <s v="J301123760"/>
    <s v="INDUSTRIAL PAPELERO I.P.A.C.A., C.A."/>
    <s v="FCLIE/2026/02622"/>
    <d v="2026-07-16T00:00:00"/>
    <n v="1440.45"/>
    <x v="0"/>
    <d v="2026-07-16T00:00:00"/>
    <d v="2026-07-16T00:00:00"/>
    <d v="2026-07-16T00:00:00"/>
    <n v="0"/>
    <s v="Contado"/>
    <n v="0"/>
    <n v="0"/>
    <n v="100"/>
    <n v="0"/>
    <n v="0"/>
    <n v="1.25"/>
    <n v="0.005"/>
    <n v="1"/>
    <n v="18.005625"/>
    <n v="7.20225"/>
    <m/>
  </r>
  <r>
    <s v="Banco del Caribe  BS"/>
    <x v="420"/>
    <s v="J506426331"/>
    <s v="DISTRIBUIDORA COMPU TONER 3000, C.A."/>
    <s v="FCLIE/2026/02156"/>
    <d v="2026-06-23T00:00:00"/>
    <n v="657.75"/>
    <x v="1"/>
    <d v="2026-07-16T00:00:00"/>
    <d v="2026-06-23T00:00:00"/>
    <d v="2026-07-16T00:00:00"/>
    <s v="15"/>
    <s v="Credito"/>
    <n v="23"/>
    <n v="8"/>
    <n v="100"/>
    <n v="1"/>
    <n v="0"/>
    <n v="1"/>
    <n v="0.005"/>
    <n v="1"/>
    <n v="6.5775"/>
    <n v="3.28875"/>
    <m/>
  </r>
  <r>
    <s v="USDT $ "/>
    <x v="328"/>
    <s v="J296537453"/>
    <s v="VN GROUP 3000, C.A."/>
    <s v="FCLIE/2026/01853"/>
    <d v="2026-06-12T00:00:00"/>
    <n v="1.77"/>
    <x v="2"/>
    <d v="2026-07-13T00:00:00"/>
    <d v="2026-06-12T00:00:00"/>
    <d v="2026-07-13T00:00:00"/>
    <s v="21"/>
    <s v="Credito"/>
    <n v="31"/>
    <n v="10"/>
    <n v="100"/>
    <n v="1"/>
    <n v="0"/>
    <n v="1.25"/>
    <n v="0.005"/>
    <n v="1"/>
    <n v="0.022125"/>
    <n v="0.00885"/>
    <m/>
  </r>
  <r>
    <s v="USDT $ "/>
    <x v="421"/>
    <s v="J296537453"/>
    <s v="VN GROUP 3000, C.A."/>
    <s v="FCLIE/2026/01853"/>
    <d v="2026-06-12T00:00:00"/>
    <n v="1104.43"/>
    <x v="2"/>
    <d v="2026-07-16T00:00:00"/>
    <d v="2026-06-12T00:00:00"/>
    <d v="2026-07-16T00:00:00"/>
    <s v="21"/>
    <s v="Credito"/>
    <n v="34"/>
    <n v="13"/>
    <n v="100"/>
    <n v="1"/>
    <n v="0"/>
    <n v="1.25"/>
    <n v="0.005"/>
    <n v="1"/>
    <n v="13.805375"/>
    <n v="5.52215"/>
    <m/>
  </r>
  <r>
    <s v="USDT $ "/>
    <x v="421"/>
    <s v="J296537453"/>
    <s v="VN GROUP 3000, C.A."/>
    <s v="FCLIE/2026/01958"/>
    <d v="2026-06-16T00:00:00"/>
    <n v="1176.5"/>
    <x v="2"/>
    <d v="2026-07-16T00:00:00"/>
    <d v="2026-06-16T00:00:00"/>
    <d v="2026-07-16T00:00:00"/>
    <s v="21"/>
    <s v="Credito"/>
    <n v="30"/>
    <n v="9"/>
    <n v="100"/>
    <n v="1"/>
    <n v="0"/>
    <n v="1.25"/>
    <n v="0.005"/>
    <n v="1"/>
    <n v="14.70625"/>
    <n v="5.8825"/>
    <m/>
  </r>
  <r>
    <s v="USDT $ "/>
    <x v="421"/>
    <s v="J296537453"/>
    <s v="VN GROUP 3000, C.A."/>
    <s v="FCLIE/2026/01967"/>
    <d v="2026-06-17T00:00:00"/>
    <n v="1.77"/>
    <x v="2"/>
    <d v="2026-07-16T00:00:00"/>
    <d v="2026-06-17T00:00:00"/>
    <d v="2026-07-16T00:00:00"/>
    <s v="21"/>
    <s v="Credito"/>
    <n v="29"/>
    <n v="8"/>
    <n v="100"/>
    <n v="1"/>
    <n v="0"/>
    <n v="1.25"/>
    <n v="0.005"/>
    <n v="1"/>
    <n v="0.022125"/>
    <n v="0.00885"/>
    <m/>
  </r>
  <r>
    <s v="Banco del Caribe  BS"/>
    <x v="422"/>
    <s v="J310394512"/>
    <s v="DATA COLOR 754, C.A."/>
    <s v="FCLIE/2026/02626"/>
    <d v="2026-07-16T00:00:00"/>
    <n v="175"/>
    <x v="0"/>
    <d v="2026-07-16T00:00:00"/>
    <d v="2026-07-16T00:00:00"/>
    <d v="2026-07-16T00:00:00"/>
    <n v="0"/>
    <s v="Contado"/>
    <n v="0"/>
    <n v="0"/>
    <n v="100"/>
    <n v="0"/>
    <n v="0"/>
    <n v="1.25"/>
    <n v="0.005"/>
    <n v="1"/>
    <n v="2.1875"/>
    <n v="0.875"/>
    <m/>
  </r>
  <r>
    <s v="Banco del Caribe  BS"/>
    <x v="423"/>
    <s v="J505605739"/>
    <s v="ALGE SOLUTIONS 2024, C.A."/>
    <s v="FCLIE/2026/02526"/>
    <d v="2026-07-13T00:00:00"/>
    <n v="107"/>
    <x v="3"/>
    <d v="2026-07-13T00:00:00"/>
    <d v="2026-07-13T00:00:00"/>
    <d v="2026-07-13T00:00:00"/>
    <n v="0"/>
    <s v="Contado"/>
    <n v="0"/>
    <n v="0"/>
    <n v="100"/>
    <n v="0"/>
    <n v="0"/>
    <n v="1"/>
    <n v="0.005"/>
    <n v="1"/>
    <n v="1.07"/>
    <n v="0.535"/>
    <m/>
  </r>
  <r>
    <s v="Banesco BS. 3049"/>
    <x v="424"/>
    <s v="J505605739"/>
    <s v="ALGE SOLUTIONS 2024, C.A."/>
    <s v="FCLIE/2026/02625"/>
    <d v="2026-07-16T00:00:00"/>
    <n v="409.65"/>
    <x v="3"/>
    <d v="2026-07-16T00:00:00"/>
    <d v="2026-07-16T00:00:00"/>
    <d v="2026-07-16T00:00:00"/>
    <n v="0"/>
    <s v="Contado"/>
    <n v="0"/>
    <n v="0"/>
    <n v="100"/>
    <n v="0"/>
    <n v="0"/>
    <n v="1"/>
    <n v="0.005"/>
    <n v="1"/>
    <n v="4.0965"/>
    <n v="2.04825"/>
    <m/>
  </r>
  <r>
    <s v="Banesco BS. 3049"/>
    <x v="425"/>
    <s v="J297583750"/>
    <s v="R&amp;G TECHNOLOGY GROUP, C.A"/>
    <s v="FCLIE/2026/02604"/>
    <d v="2026-07-16T00:00:00"/>
    <n v="450.33"/>
    <x v="2"/>
    <d v="2026-07-16T00:00:00"/>
    <d v="2026-07-16T00:00:00"/>
    <d v="2026-07-16T00:00:00"/>
    <n v="0"/>
    <s v="Contado"/>
    <n v="0"/>
    <n v="0"/>
    <n v="100"/>
    <n v="0"/>
    <n v="0"/>
    <n v="1.25"/>
    <n v="0.005"/>
    <n v="1"/>
    <n v="5.629125"/>
    <n v="2.25165"/>
    <m/>
  </r>
  <r>
    <s v="Banesco BS. 3049"/>
    <x v="426"/>
    <s v="J413030179"/>
    <s v="INVERSIONES LUVSEB8 C.A."/>
    <s v="FCLIE/2026/02600"/>
    <d v="2026-07-16T00:00:00"/>
    <n v="1420"/>
    <x v="2"/>
    <d v="2026-07-15T00:00:00"/>
    <d v="2026-07-16T00:00:00"/>
    <d v="2026-07-15T00:00:00"/>
    <n v="0"/>
    <s v="Contado"/>
    <n v="-1"/>
    <n v="-1"/>
    <n v="100"/>
    <n v="0"/>
    <n v="0"/>
    <n v="1.25"/>
    <n v="0.005"/>
    <n v="1"/>
    <n v="17.75"/>
    <n v="7.1"/>
    <m/>
  </r>
  <r>
    <s v="Banesco BS. 3049"/>
    <x v="427"/>
    <s v="J406901547"/>
    <s v="SOLUCIONES CONTREMARKET, C.A."/>
    <s v="FCLIE/2026/02598"/>
    <d v="2026-07-16T00:00:00"/>
    <n v="185.5"/>
    <x v="3"/>
    <d v="2026-07-16T00:00:00"/>
    <d v="2026-07-16T00:00:00"/>
    <d v="2026-07-16T00:00:00"/>
    <s v="7"/>
    <s v="Credito"/>
    <n v="0"/>
    <n v="-7"/>
    <n v="100"/>
    <n v="0"/>
    <n v="0"/>
    <n v="1"/>
    <n v="0.005"/>
    <n v="1"/>
    <n v="1.855"/>
    <n v="0.9275"/>
    <m/>
  </r>
  <r>
    <s v="Caja Principal"/>
    <x v="428"/>
    <s v="E819981917"/>
    <s v="ALONZO YOVANY SANCHEZ CHAPARRO "/>
    <s v="FCLIE/2026/02630"/>
    <d v="2026-07-16T00:00:00"/>
    <n v="901.25"/>
    <x v="1"/>
    <d v="2026-07-16T00:00:00"/>
    <d v="2026-07-16T00:00:00"/>
    <d v="2026-07-16T00:00:00"/>
    <n v="0"/>
    <s v="Contado"/>
    <n v="0"/>
    <n v="0"/>
    <n v="100"/>
    <n v="0"/>
    <n v="0"/>
    <n v="1"/>
    <n v="0.005"/>
    <n v="1"/>
    <n v="9.0125"/>
    <n v="4.50625"/>
    <m/>
  </r>
  <r>
    <s v="Caja Principal"/>
    <x v="429"/>
    <s v="J507010872"/>
    <s v="EMPRENDIMIENTO KIMBERLYN MENDEZ"/>
    <s v="FCLIE/2026/02634"/>
    <d v="2026-07-16T00:00:00"/>
    <n v="1254"/>
    <x v="4"/>
    <d v="2026-07-16T00:00:00"/>
    <d v="2026-07-16T00:00:00"/>
    <d v="2026-07-16T00:00:00"/>
    <n v="0"/>
    <s v="Contado"/>
    <n v="0"/>
    <n v="0"/>
    <n v="100"/>
    <n v="0"/>
    <n v="0"/>
    <n v="1.25"/>
    <n v="0.005"/>
    <n v="1"/>
    <n v="15.675"/>
    <n v="6.27"/>
    <m/>
  </r>
  <r>
    <s v="USDT $ "/>
    <x v="430"/>
    <s v="J408157373"/>
    <s v="SERVICIOS RESUCON, CA"/>
    <s v="FCLIE/2026/01344"/>
    <d v="2026-05-22T00:00:00"/>
    <n v="1400"/>
    <x v="1"/>
    <d v="2026-07-08T00:00:00"/>
    <d v="2026-05-22T00:00:00"/>
    <d v="2026-07-08T00:00:00"/>
    <s v="15"/>
    <s v="Credito"/>
    <n v="47"/>
    <n v="32"/>
    <n v="30"/>
    <n v="2"/>
    <n v="0"/>
    <n v="1"/>
    <n v="0.005"/>
    <n v="1"/>
    <n v="4.2"/>
    <n v="7"/>
    <m/>
  </r>
  <r>
    <s v="USDT $ "/>
    <x v="431"/>
    <s v="J506775000"/>
    <s v="EMPRENDIMIENTO LAURANAILETH NUÑEZ"/>
    <s v="FCLIE/2026/02495"/>
    <d v="2026-07-13T00:00:00"/>
    <n v="907.5"/>
    <x v="4"/>
    <d v="2026-07-17T00:00:00"/>
    <d v="2026-07-13T00:00:00"/>
    <d v="2026-07-17T00:00:00"/>
    <s v="7"/>
    <s v="Credito"/>
    <n v="4"/>
    <n v="-3"/>
    <n v="100"/>
    <n v="0"/>
    <n v="0"/>
    <n v="1.25"/>
    <n v="0.005"/>
    <n v="1"/>
    <n v="11.34375"/>
    <n v="4.5375"/>
    <m/>
  </r>
  <r>
    <s v="Banco del Caribe  BS"/>
    <x v="432"/>
    <s v="J408592312"/>
    <s v="DISTRIBUIDORA COMPU PAPEL 2016,C.A."/>
    <s v="FCLIE/2026/02637"/>
    <d v="2026-07-17T00:00:00"/>
    <n v="300"/>
    <x v="3"/>
    <d v="2026-07-17T00:00:00"/>
    <d v="2026-07-17T00:00:00"/>
    <d v="2026-07-17T00:00:00"/>
    <n v="0"/>
    <s v="Contado"/>
    <n v="0"/>
    <n v="0"/>
    <n v="100"/>
    <n v="0"/>
    <n v="0"/>
    <n v="1"/>
    <n v="0.005"/>
    <n v="1"/>
    <n v="3"/>
    <n v="1.5"/>
    <m/>
  </r>
  <r>
    <s v="Caja Principal"/>
    <x v="433"/>
    <s v="J404725903"/>
    <s v="TECNOLOGIA INTEGRAL DE RIESGO CR C.A"/>
    <s v="FCLIE/2026/02636"/>
    <d v="2026-07-17T00:00:00"/>
    <n v="259.65"/>
    <x v="5"/>
    <d v="2026-07-17T00:00:00"/>
    <d v="2026-07-17T00:00:00"/>
    <d v="2026-07-17T00:00:00"/>
    <n v="0"/>
    <s v="Contado"/>
    <n v="0"/>
    <n v="0"/>
    <n v="100"/>
    <n v="0"/>
    <n v="0"/>
    <n v="1.25"/>
    <n v="0.005"/>
    <n v="1"/>
    <n v="3.245625"/>
    <n v="1.29825"/>
    <m/>
  </r>
  <r>
    <s v="REGIONSBANK"/>
    <x v="245"/>
    <s v="J294530338"/>
    <s v="COMERCIALIZADORA DORALIAN C.A"/>
    <s v="FCLIE/2026/02179"/>
    <d v="2026-06-30T00:00:00"/>
    <n v="0.05"/>
    <x v="5"/>
    <d v="2026-07-10T00:00:00"/>
    <d v="2026-06-30T00:00:00"/>
    <d v="2026-07-10T00:00:00"/>
    <s v="15"/>
    <s v="Credito"/>
    <n v="10"/>
    <n v="-5"/>
    <n v="100"/>
    <n v="1"/>
    <n v="0"/>
    <n v="1"/>
    <n v="0.005"/>
    <n v="1"/>
    <n v="0.0005"/>
    <n v="0.00025"/>
    <m/>
  </r>
  <r>
    <s v="USDT $ "/>
    <x v="434"/>
    <s v="J405318759"/>
    <s v="INVERSIONES COMPUSTAR 3000, C.A"/>
    <s v="FCLIE/2026/02632"/>
    <d v="2026-07-16T00:00:00"/>
    <n v="550"/>
    <x v="5"/>
    <d v="2026-07-17T00:00:00"/>
    <d v="2026-07-16T00:00:00"/>
    <d v="2026-07-17T00:00:00"/>
    <n v="0"/>
    <s v="Contado"/>
    <n v="1"/>
    <n v="1"/>
    <n v="100"/>
    <n v="0"/>
    <n v="0"/>
    <n v="1.25"/>
    <n v="0.005"/>
    <n v="1"/>
    <n v="6.875"/>
    <n v="2.75"/>
    <m/>
  </r>
  <r>
    <s v="Caja Principal"/>
    <x v="435"/>
    <s v="J500132905"/>
    <s v="CORPORACION DIVERSA 2021 C.A"/>
    <s v="FCLIE/2026/02299"/>
    <d v="2026-07-03T00:00:00"/>
    <n v="68.3"/>
    <x v="3"/>
    <d v="2026-07-17T00:00:00"/>
    <d v="2026-07-03T00:00:00"/>
    <d v="2026-07-17T00:00:00"/>
    <s v="7"/>
    <s v="Credito"/>
    <n v="14"/>
    <n v="7"/>
    <n v="100"/>
    <n v="0"/>
    <n v="0"/>
    <n v="1"/>
    <n v="0.005"/>
    <n v="1"/>
    <n v="0.683"/>
    <n v="0.3415"/>
    <m/>
  </r>
  <r>
    <s v="Caja Principal"/>
    <x v="435"/>
    <s v="J500132905"/>
    <s v="CORPORACION DIVERSA 2021 C.A"/>
    <s v="FCLIE/2026/02298"/>
    <d v="2026-07-03T00:00:00"/>
    <n v="210"/>
    <x v="3"/>
    <d v="2026-07-17T00:00:00"/>
    <d v="2026-07-03T00:00:00"/>
    <d v="2026-07-17T00:00:00"/>
    <s v="7"/>
    <s v="Credito"/>
    <n v="14"/>
    <n v="7"/>
    <n v="100"/>
    <n v="0"/>
    <n v="0"/>
    <n v="1"/>
    <n v="0.005"/>
    <n v="1"/>
    <n v="2.1"/>
    <n v="1.05"/>
    <m/>
  </r>
  <r>
    <s v="USDT $ "/>
    <x v="404"/>
    <s v="J501365822"/>
    <s v="MULTI PC VENEZUELA, C.A."/>
    <s v="FCLIE/2026/02500"/>
    <d v="2026-07-13T00:00:00"/>
    <n v="585"/>
    <x v="4"/>
    <d v="2026-07-16T00:00:00"/>
    <d v="2026-07-13T00:00:00"/>
    <d v="2026-07-16T00:00:00"/>
    <s v="7"/>
    <s v="Credito"/>
    <n v="3"/>
    <n v="-4"/>
    <n v="100"/>
    <n v="0"/>
    <n v="0"/>
    <n v="1.25"/>
    <n v="0.005"/>
    <n v="1"/>
    <n v="7.3125"/>
    <n v="2.925"/>
    <m/>
  </r>
  <r>
    <s v="USDT $ "/>
    <x v="404"/>
    <s v="J501365822"/>
    <s v="MULTI PC VENEZUELA, C.A."/>
    <s v="FCLIE/2026/02502"/>
    <d v="2026-07-13T00:00:00"/>
    <n v="522.6"/>
    <x v="4"/>
    <d v="2026-07-16T00:00:00"/>
    <d v="2026-07-13T00:00:00"/>
    <d v="2026-07-16T00:00:00"/>
    <s v="7"/>
    <s v="Credito"/>
    <n v="3"/>
    <n v="-4"/>
    <n v="100"/>
    <n v="0"/>
    <n v="0"/>
    <n v="1.25"/>
    <n v="0.005"/>
    <n v="1"/>
    <n v="6.5325"/>
    <n v="2.613"/>
    <m/>
  </r>
  <r>
    <s v="USDT $ "/>
    <x v="404"/>
    <s v="J501365822"/>
    <s v="MULTI PC VENEZUELA, C.A."/>
    <s v="FCLIE/2026/02518"/>
    <d v="2026-07-13T00:00:00"/>
    <n v="107"/>
    <x v="4"/>
    <d v="2026-07-16T00:00:00"/>
    <d v="2026-07-13T00:00:00"/>
    <d v="2026-07-16T00:00:00"/>
    <s v="7"/>
    <s v="Credito"/>
    <n v="3"/>
    <n v="-4"/>
    <n v="100"/>
    <n v="0"/>
    <n v="0"/>
    <n v="1.25"/>
    <n v="0.005"/>
    <n v="1"/>
    <n v="1.3375"/>
    <n v="0.535"/>
    <m/>
  </r>
  <r>
    <s v="USDT $ "/>
    <x v="404"/>
    <s v="J501365822"/>
    <s v="MULTI PC VENEZUELA, C.A."/>
    <s v="FCLIE/2026/02538"/>
    <d v="2026-07-14T00:00:00"/>
    <n v="690.47"/>
    <x v="4"/>
    <d v="2026-07-16T00:00:00"/>
    <d v="2026-07-14T00:00:00"/>
    <d v="2026-07-16T00:00:00"/>
    <s v="7"/>
    <s v="Credito"/>
    <n v="2"/>
    <n v="-5"/>
    <n v="100"/>
    <n v="0"/>
    <n v="0"/>
    <n v="1.25"/>
    <n v="0.005"/>
    <n v="1"/>
    <n v="8.630875"/>
    <n v="3.45235"/>
    <m/>
  </r>
  <r>
    <s v="Banco del Caribe  BS"/>
    <x v="436"/>
    <s v="J294530338"/>
    <s v="COMERCIALIZADORA DORALIAN C.A"/>
    <s v="FCLIE/2026/02179"/>
    <d v="2026-06-30T00:00:00"/>
    <n v="546.55"/>
    <x v="5"/>
    <d v="2026-07-17T00:00:00"/>
    <d v="2026-06-30T00:00:00"/>
    <d v="2026-07-17T00:00:00"/>
    <n v="0"/>
    <s v="Contado"/>
    <n v="17"/>
    <n v="17"/>
    <n v="0"/>
    <n v="1"/>
    <n v="0"/>
    <n v="1"/>
    <n v="0.005"/>
    <n v="0"/>
    <n v="0"/>
    <n v="2.73275"/>
    <m/>
  </r>
  <r>
    <s v="Banco del Caribe  BS"/>
    <x v="436"/>
    <s v="J294530338"/>
    <s v="COMERCIALIZADORA DORALIAN C.A"/>
    <s v="FCLIE/2026/02395"/>
    <d v="2026-07-08T00:00:00"/>
    <n v="0.05"/>
    <x v="5"/>
    <d v="2026-07-17T00:00:00"/>
    <d v="2026-07-08T00:00:00"/>
    <d v="2026-07-17T00:00:00"/>
    <s v="15"/>
    <s v="Credito"/>
    <n v="9"/>
    <n v="-6"/>
    <n v="100"/>
    <n v="0"/>
    <n v="0"/>
    <n v="1.25"/>
    <n v="0.005"/>
    <n v="1"/>
    <n v="0.000625"/>
    <n v="0.00025"/>
    <m/>
  </r>
  <r>
    <s v="REGIONSBANK"/>
    <x v="437"/>
    <s v="J500242816"/>
    <s v=" SMART FIX 168, C.A"/>
    <s v="FCLIE/2026/01163"/>
    <d v="2026-05-15T00:00:00"/>
    <n v="73.02"/>
    <x v="6"/>
    <d v="2026-07-17T00:00:00"/>
    <d v="2026-05-15T00:00:00"/>
    <d v="2026-07-17T00:00:00"/>
    <n v="0"/>
    <s v="Contado"/>
    <n v="63"/>
    <n v="63"/>
    <n v="0"/>
    <n v="2"/>
    <n v="0"/>
    <n v="1"/>
    <n v="0.005"/>
    <n v="0"/>
    <n v="0"/>
    <n v="0.3651"/>
    <m/>
  </r>
  <r>
    <s v="REGIONSBANK"/>
    <x v="437"/>
    <s v="J500242816"/>
    <s v=" SMART FIX 168, C.A"/>
    <s v="FCLIE/2026/01667"/>
    <d v="2026-06-05T00:00:00"/>
    <n v="6439"/>
    <x v="6"/>
    <d v="2026-07-17T00:00:00"/>
    <d v="2026-06-05T00:00:00"/>
    <d v="2026-07-17T00:00:00"/>
    <n v="30"/>
    <s v="Credito"/>
    <n v="42"/>
    <n v="12"/>
    <n v="100"/>
    <n v="1"/>
    <n v="0"/>
    <n v="1"/>
    <n v="0.005"/>
    <n v="1"/>
    <n v="64.39"/>
    <n v="32.195"/>
    <m/>
  </r>
  <r>
    <s v="REGIONSBANK"/>
    <x v="437"/>
    <s v="J500242816"/>
    <s v=" SMART FIX 168, C.A"/>
    <s v="FCLIE/2026/01149"/>
    <d v="2026-05-15T00:00:00"/>
    <n v="1035.54"/>
    <x v="6"/>
    <d v="2026-07-17T00:00:00"/>
    <d v="2026-05-15T00:00:00"/>
    <d v="2026-07-17T00:00:00"/>
    <n v="30"/>
    <s v="Credito"/>
    <n v="63"/>
    <n v="33"/>
    <n v="30"/>
    <n v="2"/>
    <n v="0"/>
    <n v="1"/>
    <n v="0.005"/>
    <n v="0"/>
    <n v="0"/>
    <n v="5.1777"/>
    <m/>
  </r>
  <r>
    <s v="Caja Principal"/>
    <x v="438"/>
    <s v="J312567120"/>
    <s v="REPRESENTACIONES DASARA,C.A"/>
    <s v="FCLIE/2026/02644"/>
    <d v="2026-07-17T00:00:00"/>
    <n v="75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0.75"/>
    <n v="0.375"/>
    <m/>
  </r>
  <r>
    <s v="Caja Principal"/>
    <x v="439"/>
    <s v="J506775000"/>
    <s v="EMPRENDIMIENTO LAURANAILETH NUÑEZ"/>
    <s v="FCLIE/2026/02496"/>
    <d v="2026-07-13T00:00:00"/>
    <n v="69"/>
    <x v="4"/>
    <d v="2026-07-17T00:00:00"/>
    <d v="2026-07-13T00:00:00"/>
    <d v="2026-07-17T00:00:00"/>
    <s v="7"/>
    <s v="Credito"/>
    <n v="4"/>
    <n v="-3"/>
    <n v="100"/>
    <n v="0"/>
    <n v="0"/>
    <n v="1.25"/>
    <n v="0.005"/>
    <n v="1"/>
    <n v="0.8625"/>
    <n v="0.345"/>
    <m/>
  </r>
  <r>
    <s v="Caja Principal"/>
    <x v="439"/>
    <s v="J506775000"/>
    <s v="EMPRENDIMIENTO LAURANAILETH NUÑEZ"/>
    <s v="FCLIE/2026/02575"/>
    <d v="2026-07-15T00:00:00"/>
    <n v="138.5"/>
    <x v="4"/>
    <d v="2026-07-17T00:00:00"/>
    <d v="2026-07-15T00:00:00"/>
    <d v="2026-07-17T00:00:00"/>
    <n v="0"/>
    <s v="Contado"/>
    <n v="2"/>
    <n v="2"/>
    <n v="100"/>
    <n v="0"/>
    <n v="0"/>
    <n v="1.25"/>
    <n v="0.005"/>
    <n v="1"/>
    <n v="1.73125"/>
    <n v="0.6925"/>
    <m/>
  </r>
  <r>
    <s v="Caja Principal"/>
    <x v="439"/>
    <s v="J506775000"/>
    <s v="EMPRENDIMIENTO LAURANAILETH NUÑEZ"/>
    <s v="FCLIE/2026/02495"/>
    <d v="2026-07-13T00:00:00"/>
    <n v="92.5"/>
    <x v="4"/>
    <d v="2026-07-17T00:00:00"/>
    <d v="2026-07-13T00:00:00"/>
    <d v="2026-07-17T00:00:00"/>
    <s v="7"/>
    <s v="Credito"/>
    <n v="4"/>
    <n v="-3"/>
    <n v="100"/>
    <n v="0"/>
    <n v="0"/>
    <n v="1.25"/>
    <n v="0.005"/>
    <n v="1"/>
    <n v="1.15625"/>
    <n v="0.4625"/>
    <m/>
  </r>
  <r>
    <s v="USDT $ "/>
    <x v="440"/>
    <s v="J500962568"/>
    <s v="CORPORACION CATECHNOLOGY, C.A."/>
    <s v="FCLIE/2026/02130"/>
    <d v="2026-06-23T00:00:00"/>
    <n v="551.4"/>
    <x v="4"/>
    <d v="2026-07-17T00:00:00"/>
    <d v="2026-06-23T00:00:00"/>
    <d v="2026-07-17T00:00:00"/>
    <s v="21"/>
    <s v="Credito"/>
    <n v="24"/>
    <n v="3"/>
    <n v="100"/>
    <n v="1"/>
    <n v="0"/>
    <n v="1.25"/>
    <n v="0.005"/>
    <n v="1"/>
    <n v="6.8925"/>
    <n v="2.757"/>
    <m/>
  </r>
  <r>
    <s v="USDT $ "/>
    <x v="441"/>
    <s v="J30685384"/>
    <s v="MUJICAM`S SECURITY, C.A."/>
    <s v="FCLIE/2026/02646"/>
    <d v="2026-07-17T00:00:00"/>
    <n v="185.5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1.855"/>
    <n v="0.9275"/>
    <m/>
  </r>
  <r>
    <s v="USDT $ "/>
    <x v="442"/>
    <s v="J403885583"/>
    <s v="CORPORACION HARDCORE COMPUTER, C.A."/>
    <s v="FCLIE/2026/02655"/>
    <d v="2026-07-17T00:00:00"/>
    <n v="702.25"/>
    <x v="3"/>
    <d v="2026-07-17T00:00:00"/>
    <d v="2026-07-17T00:00:00"/>
    <d v="2026-07-17T00:00:00"/>
    <n v="0"/>
    <s v="Contado"/>
    <n v="0"/>
    <n v="0"/>
    <n v="100"/>
    <n v="0"/>
    <n v="0"/>
    <n v="1"/>
    <n v="0.005"/>
    <n v="1"/>
    <n v="7.0225"/>
    <n v="3.51125"/>
    <m/>
  </r>
  <r>
    <s v="USDT $ "/>
    <x v="443"/>
    <s v="J411846856"/>
    <s v="DISTRIBUIDORA HHAA, C.A."/>
    <s v="FCLIE/2026/02657"/>
    <d v="2026-07-17T00:00:00"/>
    <n v="42.2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0.422"/>
    <n v="0.211"/>
    <m/>
  </r>
  <r>
    <s v="USDT $ "/>
    <x v="444"/>
    <s v="J502538119"/>
    <s v="NEWJOC SYSTEM, C.A"/>
    <s v="FCLIE/2026/02641"/>
    <d v="2026-07-17T00:00:00"/>
    <n v="306.25"/>
    <x v="0"/>
    <d v="2026-07-17T00:00:00"/>
    <d v="2026-07-17T00:00:00"/>
    <d v="2026-07-17T00:00:00"/>
    <n v="0"/>
    <s v="Contado"/>
    <n v="0"/>
    <n v="0"/>
    <n v="100"/>
    <n v="0"/>
    <n v="0"/>
    <n v="1.25"/>
    <n v="0.005"/>
    <n v="1"/>
    <n v="3.828125"/>
    <n v="1.53125"/>
    <m/>
  </r>
  <r>
    <s v="USDT $ "/>
    <x v="445"/>
    <s v="J508511069"/>
    <s v="SERVICPRINTER, C. A."/>
    <s v="FCLIE/2026/02659"/>
    <d v="2026-07-17T00:00:00"/>
    <n v="29.5"/>
    <x v="4"/>
    <d v="2026-07-17T00:00:00"/>
    <d v="2026-07-17T00:00:00"/>
    <d v="2026-07-17T00:00:00"/>
    <n v="0"/>
    <s v="Contado"/>
    <n v="0"/>
    <n v="0"/>
    <n v="100"/>
    <n v="0"/>
    <n v="0"/>
    <n v="1.25"/>
    <n v="0.005"/>
    <n v="1"/>
    <n v="0.36875"/>
    <n v="0.1475"/>
    <m/>
  </r>
  <r>
    <s v="Banesco BS. 3049"/>
    <x v="446"/>
    <s v="J504476196"/>
    <s v="TECNOMALL SUMINISTROS, C.A."/>
    <s v="FCLIE/2026/02652"/>
    <d v="2026-07-17T00:00:00"/>
    <n v="172"/>
    <x v="4"/>
    <d v="2026-07-17T00:00:00"/>
    <d v="2026-07-17T00:00:00"/>
    <d v="2026-07-17T00:00:00"/>
    <n v="0"/>
    <s v="Contado"/>
    <n v="0"/>
    <n v="0"/>
    <n v="100"/>
    <n v="0"/>
    <n v="0"/>
    <n v="1.25"/>
    <n v="0.005"/>
    <n v="1"/>
    <n v="2.15"/>
    <n v="0.86"/>
    <m/>
  </r>
  <r>
    <s v="USDT $ "/>
    <x v="447"/>
    <s v="J404598243"/>
    <s v="LAPTOP EXPRESS, C.A"/>
    <s v="FCLIE/2026/02223"/>
    <d v="2026-07-02T00:00:00"/>
    <n v="217"/>
    <x v="2"/>
    <d v="2026-07-17T00:00:00"/>
    <d v="2026-07-02T00:00:00"/>
    <d v="2026-07-17T00:00:00"/>
    <n v="0"/>
    <s v="Contado"/>
    <n v="15"/>
    <n v="15"/>
    <n v="0"/>
    <n v="0"/>
    <n v="0"/>
    <n v="1.25"/>
    <n v="0.005"/>
    <n v="0"/>
    <n v="0"/>
    <n v="1.085"/>
    <m/>
  </r>
  <r>
    <s v="Caja Principal"/>
    <x v="448"/>
    <s v="J405424524"/>
    <s v="MULTISERVICIOS OIKODOME PC 2018, C.A."/>
    <s v="FCLIE/2026/02658"/>
    <d v="2026-07-17T00:00:00"/>
    <n v="140"/>
    <x v="1"/>
    <d v="2026-07-17T00:00:00"/>
    <d v="2026-07-17T00:00:00"/>
    <d v="2026-07-17T00:00:00"/>
    <s v="7"/>
    <s v="Credito"/>
    <n v="0"/>
    <n v="-7"/>
    <n v="100"/>
    <n v="0"/>
    <n v="0"/>
    <n v="1"/>
    <n v="0.005"/>
    <n v="1"/>
    <n v="1.4"/>
    <n v="0.7"/>
    <m/>
  </r>
  <r>
    <s v="Banco del Caribe  BS"/>
    <x v="449"/>
    <s v="J306918310"/>
    <s v="INVERSIONES E. Y. L. 312, C.A"/>
    <s v="FCLIE/2026/02660"/>
    <d v="2026-07-17T00:00:00"/>
    <n v="1247.85"/>
    <x v="0"/>
    <d v="2026-07-17T00:00:00"/>
    <d v="2026-07-17T00:00:00"/>
    <d v="2026-07-17T00:00:00"/>
    <n v="0"/>
    <s v="Contado"/>
    <n v="0"/>
    <n v="0"/>
    <n v="100"/>
    <n v="0"/>
    <n v="0"/>
    <n v="1.25"/>
    <n v="0.005"/>
    <n v="1"/>
    <n v="15.598125"/>
    <n v="6.23925"/>
    <m/>
  </r>
  <r>
    <s v="Banesco BS. 3049"/>
    <x v="450"/>
    <s v="J306489878"/>
    <s v="MUNDOFERTA, CA"/>
    <s v="FCLIE/2026/02661"/>
    <d v="2026-07-17T00:00:00"/>
    <n v="694.02"/>
    <x v="4"/>
    <d v="2026-07-17T00:00:00"/>
    <d v="2026-07-17T00:00:00"/>
    <d v="2026-07-17T00:00:00"/>
    <n v="0"/>
    <s v="Contado"/>
    <n v="0"/>
    <n v="0"/>
    <n v="100"/>
    <n v="0"/>
    <n v="0"/>
    <n v="1.25"/>
    <n v="0.005"/>
    <n v="1"/>
    <n v="8.67525"/>
    <n v="3.4701"/>
    <m/>
  </r>
  <r>
    <s v="Banesco BS. 3049"/>
    <x v="451"/>
    <s v="J307016493"/>
    <s v="PAPELERIA LA NUBE AZUL VALENCIA, C.A."/>
    <s v="FCLIE/2026/01793"/>
    <d v="2026-06-10T00:00:00"/>
    <n v="210.96"/>
    <x v="0"/>
    <d v="2026-07-17T00:00:00"/>
    <d v="2026-06-10T00:00:00"/>
    <d v="2026-07-17T00:00:00"/>
    <s v="7"/>
    <s v="Credito"/>
    <n v="37"/>
    <n v="30"/>
    <n v="50"/>
    <n v="1"/>
    <n v="0"/>
    <n v="1"/>
    <n v="0.005"/>
    <n v="1"/>
    <n v="1.0548"/>
    <n v="1.0548"/>
    <m/>
  </r>
  <r>
    <s v="Caja Principal"/>
    <x v="452"/>
    <s v="J305940444"/>
    <s v="VIDEO TICKET, C.A."/>
    <s v="FCLIE/2026/02585"/>
    <d v="2026-07-15T00:00:00"/>
    <n v="0.17"/>
    <x v="3"/>
    <d v="2026-07-17T00:00:00"/>
    <d v="2026-07-15T00:00:00"/>
    <d v="2026-07-17T00:00:00"/>
    <n v="0"/>
    <s v="Contado"/>
    <n v="2"/>
    <n v="2"/>
    <n v="100"/>
    <n v="0"/>
    <n v="0"/>
    <n v="1"/>
    <n v="0.005"/>
    <n v="1"/>
    <n v="0.0017"/>
    <n v="0.00085"/>
    <m/>
  </r>
  <r>
    <s v="Caja Principal"/>
    <x v="452"/>
    <s v="J305940444"/>
    <s v="VIDEO TICKET, C.A."/>
    <s v="FCLIE/2026/02653"/>
    <d v="2026-07-17T00:00:00"/>
    <n v="46.25"/>
    <x v="3"/>
    <d v="2026-07-17T00:00:00"/>
    <d v="2026-07-17T00:00:00"/>
    <d v="2026-07-17T00:00:00"/>
    <n v="0"/>
    <s v="Contado"/>
    <n v="0"/>
    <n v="0"/>
    <n v="100"/>
    <n v="0"/>
    <n v="0"/>
    <n v="1"/>
    <n v="0.005"/>
    <n v="1"/>
    <n v="0.4625"/>
    <n v="0.23125"/>
    <m/>
  </r>
  <r>
    <s v="Banesco BS. 3049"/>
    <x v="453"/>
    <s v="J307016493"/>
    <s v="PAPELERIA LA NUBE AZUL VALENCIA, C.A."/>
    <s v="FCLIE/2026/01446"/>
    <d v="2026-05-28T00:00:00"/>
    <n v="142.8"/>
    <x v="0"/>
    <d v="2026-07-17T00:00:00"/>
    <d v="2026-05-28T00:00:00"/>
    <d v="2026-07-17T00:00:00"/>
    <s v="7"/>
    <s v="Credito"/>
    <n v="50"/>
    <n v="43"/>
    <n v="30"/>
    <n v="2"/>
    <n v="0"/>
    <n v="1"/>
    <n v="0.005"/>
    <n v="1"/>
    <n v="0.4284"/>
    <n v="0.714"/>
    <m/>
  </r>
  <r>
    <s v="USDT $ "/>
    <x v="454"/>
    <s v="J503184515"/>
    <s v="ARYP TECNOPOLIS, C.A"/>
    <s v="FCLIE/2026/02454"/>
    <d v="2026-07-10T00:00:00"/>
    <n v="100"/>
    <x v="0"/>
    <d v="2026-07-17T00:00:00"/>
    <d v="2026-07-10T00:00:00"/>
    <d v="2026-07-17T00:00:00"/>
    <s v="15"/>
    <s v="Credito"/>
    <n v="7"/>
    <n v="-8"/>
    <n v="100"/>
    <n v="0"/>
    <n v="0"/>
    <n v="1.25"/>
    <n v="0.005"/>
    <n v="1"/>
    <n v="1.25"/>
    <n v="0.5"/>
    <m/>
  </r>
  <r>
    <s v="USDT $ "/>
    <x v="455"/>
    <s v="V27748606"/>
    <s v="SANTIAGO CHAMBUCO"/>
    <s v="FCLIE/2026/02674"/>
    <d v="2026-07-17T00:00:00"/>
    <n v="60"/>
    <x v="5"/>
    <d v="2026-07-17T00:00:00"/>
    <d v="2026-07-17T00:00:00"/>
    <d v="2026-07-17T00:00:00"/>
    <n v="0"/>
    <s v="Contado"/>
    <n v="0"/>
    <n v="0"/>
    <n v="100"/>
    <n v="0"/>
    <n v="0"/>
    <n v="1.25"/>
    <n v="0.005"/>
    <n v="1"/>
    <n v="0.75"/>
    <n v="0.3"/>
    <m/>
  </r>
  <r>
    <s v="TRANSITORIA ZELLE"/>
    <x v="456"/>
    <s v="J297079025"/>
    <s v="CENTRO DE COMUNICACIONES D.J.D., CA"/>
    <s v="FCLIE/2026/02627"/>
    <d v="2026-07-16T00:00:00"/>
    <n v="620.55"/>
    <x v="1"/>
    <d v="2026-07-17T00:00:00"/>
    <d v="2026-07-16T00:00:00"/>
    <d v="2026-07-17T00:00:00"/>
    <n v="0"/>
    <s v="Contado"/>
    <n v="0"/>
    <n v="0"/>
    <n v="100"/>
    <n v="0"/>
    <n v="0"/>
    <n v="1"/>
    <n v="0.005"/>
    <n v="1"/>
    <n v="6.2055"/>
    <n v="3.10275"/>
    <m/>
  </r>
  <r>
    <s v="USDT $ "/>
    <x v="457"/>
    <s v="J501365822"/>
    <s v="MULTI PC VENEZUELA, C.A."/>
    <s v="FCLIE/2026/02538"/>
    <d v="2026-07-14T00:00:00"/>
    <n v="41.53"/>
    <x v="4"/>
    <d v="2026-07-17T00:00:00"/>
    <d v="2026-07-14T00:00:00"/>
    <d v="2026-07-17T00:00:00"/>
    <s v="7"/>
    <s v="Credito"/>
    <n v="3"/>
    <n v="-4"/>
    <n v="100"/>
    <n v="0"/>
    <n v="0"/>
    <n v="1.25"/>
    <n v="0.005"/>
    <n v="1"/>
    <n v="0.519125"/>
    <n v="0.20765"/>
    <m/>
  </r>
  <r>
    <s v="USDT $ "/>
    <x v="457"/>
    <s v="J501365822"/>
    <s v="MULTI PC VENEZUELA, C.A."/>
    <s v="FCLIE/2026/02562"/>
    <d v="2026-07-14T00:00:00"/>
    <n v="522.6"/>
    <x v="4"/>
    <d v="2026-07-17T00:00:00"/>
    <d v="2026-07-14T00:00:00"/>
    <d v="2026-07-17T00:00:00"/>
    <s v="7"/>
    <s v="Credito"/>
    <n v="3"/>
    <n v="-4"/>
    <n v="100"/>
    <n v="0"/>
    <n v="0"/>
    <n v="1.25"/>
    <n v="0.005"/>
    <n v="1"/>
    <n v="6.5325"/>
    <n v="2.613"/>
    <m/>
  </r>
  <r>
    <s v="USDT $ "/>
    <x v="457"/>
    <s v="J501365822"/>
    <s v="MULTI PC VENEZUELA, C.A."/>
    <s v="FCLIE/2026/02589"/>
    <d v="2026-07-15T00:00:00"/>
    <n v="273.87"/>
    <x v="4"/>
    <d v="2026-07-17T00:00:00"/>
    <d v="2026-07-15T00:00:00"/>
    <d v="2026-07-17T00:00:00"/>
    <s v="7"/>
    <s v="Credito"/>
    <n v="2"/>
    <n v="-5"/>
    <n v="100"/>
    <n v="0"/>
    <n v="0"/>
    <n v="1.25"/>
    <n v="0.005"/>
    <n v="1"/>
    <n v="3.423375"/>
    <n v="1.36935"/>
    <m/>
  </r>
  <r>
    <s v="TRANSITORIA ZELLE"/>
    <x v="458"/>
    <s v="J307484900"/>
    <s v="INVERSIONES PASEO ELECTRONICA, C.A."/>
    <s v="FCLIE/2026/02675"/>
    <d v="2026-07-17T00:00:00"/>
    <n v="129.5"/>
    <x v="3"/>
    <d v="2026-07-17T00:00:00"/>
    <d v="2026-07-17T00:00:00"/>
    <d v="2026-07-17T00:00:00"/>
    <s v="7"/>
    <s v="Credito"/>
    <n v="0"/>
    <n v="-7"/>
    <n v="100"/>
    <n v="0"/>
    <n v="0"/>
    <n v="1"/>
    <n v="0.005"/>
    <n v="1"/>
    <n v="1.295"/>
    <n v="0.6475"/>
    <m/>
  </r>
  <r>
    <s v="Banco del Caribe  BS"/>
    <x v="459"/>
    <s v="J506426331"/>
    <s v="DISTRIBUIDORA COMPU TONER 3000, C.A."/>
    <s v="FCLIE/2026/02224"/>
    <d v="2026-07-02T00:00:00"/>
    <n v="85.95"/>
    <x v="1"/>
    <d v="2026-07-17T00:00:00"/>
    <d v="2026-07-02T00:00:00"/>
    <d v="2026-07-17T00:00:00"/>
    <s v="15"/>
    <s v="Credito"/>
    <n v="15"/>
    <n v="0"/>
    <n v="100"/>
    <n v="0"/>
    <n v="0"/>
    <n v="1"/>
    <n v="0.005"/>
    <n v="1"/>
    <n v="0.8595"/>
    <n v="0.42975"/>
    <m/>
  </r>
  <r>
    <s v="Banco del Caribe  BS"/>
    <x v="459"/>
    <s v="J506426331"/>
    <s v="DISTRIBUIDORA COMPU TONER 3000, C.A."/>
    <s v="FCLIE/2026/02287"/>
    <d v="2026-07-03T00:00:00"/>
    <n v="3.1"/>
    <x v="1"/>
    <d v="2026-07-17T00:00:00"/>
    <d v="2026-07-03T00:00:00"/>
    <d v="2026-07-17T00:00:00"/>
    <s v="15"/>
    <s v="Credito"/>
    <n v="14"/>
    <n v="-1"/>
    <n v="100"/>
    <n v="0"/>
    <n v="0"/>
    <n v="1"/>
    <n v="0.005"/>
    <n v="1"/>
    <n v="0.031"/>
    <n v="0.0155"/>
    <m/>
  </r>
  <r>
    <s v="Banco del Caribe  BS"/>
    <x v="460"/>
    <s v="J506426331"/>
    <s v="DISTRIBUIDORA COMPU TONER 3000, C.A."/>
    <s v="FCLIE/2026/02287"/>
    <d v="2026-07-03T00:00:00"/>
    <n v="0.9"/>
    <x v="1"/>
    <d v="2026-07-17T00:00:00"/>
    <d v="2026-07-03T00:00:00"/>
    <d v="2026-07-17T00:00:00"/>
    <s v="15"/>
    <s v="Credito"/>
    <n v="14"/>
    <n v="-1"/>
    <n v="100"/>
    <n v="0"/>
    <n v="0"/>
    <n v="1"/>
    <n v="0.005"/>
    <n v="1"/>
    <n v="0.009"/>
    <n v="0.0045"/>
    <m/>
  </r>
  <r>
    <s v="Banesco BS. 3049"/>
    <x v="461"/>
    <s v="J406011690"/>
    <s v="REPRESENTACIONES RAGAZZI 5000, C.A."/>
    <s v="FCLIE/2026/02677"/>
    <d v="2026-07-17T00:00:00"/>
    <n v="44.9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0.449"/>
    <n v="0.2245"/>
    <m/>
  </r>
  <r>
    <s v="Caja Principal"/>
    <x v="462"/>
    <s v="J406011690"/>
    <s v="REPRESENTACIONES RAGAZZI 5000, C.A."/>
    <s v="FCLIE/2026/02676"/>
    <d v="2026-07-17T00:00:00"/>
    <n v="230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2.3"/>
    <n v="1.15"/>
    <m/>
  </r>
  <r>
    <s v="USDT $ "/>
    <x v="463"/>
    <s v="J500689292"/>
    <s v="DISTRIBUIDORA ARCHER 20, C.A."/>
    <s v="FCLIE/2026/02663"/>
    <d v="2026-07-17T00:00:00"/>
    <n v="140"/>
    <x v="1"/>
    <d v="2026-07-17T00:00:00"/>
    <d v="2026-07-17T00:00:00"/>
    <d v="2026-07-17T00:00:00"/>
    <s v="15"/>
    <s v="Credito"/>
    <n v="0"/>
    <n v="-15"/>
    <n v="100"/>
    <n v="0"/>
    <n v="0"/>
    <n v="1"/>
    <n v="0.005"/>
    <n v="1"/>
    <n v="1.4"/>
    <n v="0.7"/>
    <m/>
  </r>
  <r>
    <s v="USDT $ "/>
    <x v="464"/>
    <s v="J500487720"/>
    <s v="MG TECHNOLOGY, C.A"/>
    <s v="FCLIE/2026/02680"/>
    <d v="2026-07-17T00:00:00"/>
    <n v="69"/>
    <x v="0"/>
    <d v="2026-07-17T00:00:00"/>
    <d v="2026-07-17T00:00:00"/>
    <d v="2026-07-17T00:00:00"/>
    <n v="0"/>
    <s v="Contado"/>
    <n v="0"/>
    <n v="0"/>
    <n v="100"/>
    <n v="0"/>
    <n v="0"/>
    <n v="1.25"/>
    <n v="0.005"/>
    <n v="1"/>
    <n v="0.8625"/>
    <n v="0.345"/>
    <m/>
  </r>
  <r>
    <s v="USDT $ "/>
    <x v="465"/>
    <s v="J503643455"/>
    <s v="INVERSIONES JL &amp; M16, C.A."/>
    <s v="FCLIE/2026/02687"/>
    <d v="2026-07-17T00:00:00"/>
    <n v="754"/>
    <x v="1"/>
    <d v="2026-07-17T00:00:00"/>
    <d v="2026-07-17T00:00:00"/>
    <d v="2026-07-17T00:00:00"/>
    <n v="0"/>
    <s v="Contado"/>
    <n v="0"/>
    <n v="0"/>
    <n v="100"/>
    <n v="0"/>
    <n v="0"/>
    <n v="1"/>
    <n v="0.005"/>
    <n v="1"/>
    <n v="7.54"/>
    <n v="3.77"/>
    <m/>
  </r>
  <r>
    <s v="USDT $ "/>
    <x v="466"/>
    <s v="J502114483"/>
    <s v="MULTIMEDIA GAMING, C.A."/>
    <s v="FCLIE/2026/02099"/>
    <d v="2026-06-22T00:00:00"/>
    <n v="1317"/>
    <x v="5"/>
    <d v="2026-07-17T00:00:00"/>
    <d v="2026-06-22T00:00:00"/>
    <d v="2026-07-17T00:00:00"/>
    <s v="7"/>
    <s v="Credito"/>
    <n v="25"/>
    <n v="18"/>
    <n v="50"/>
    <n v="1"/>
    <n v="0"/>
    <n v="1"/>
    <n v="0.005"/>
    <n v="1"/>
    <n v="6.585"/>
    <n v="6.585"/>
    <m/>
  </r>
  <r>
    <s v="USDT $ "/>
    <x v="466"/>
    <s v="J502114483"/>
    <s v="MULTIMEDIA GAMING, C.A."/>
    <s v="FCLIE/2026/02662"/>
    <d v="2026-07-17T00:00:00"/>
    <n v="501.75"/>
    <x v="5"/>
    <d v="2026-07-17T00:00:00"/>
    <d v="2026-07-17T00:00:00"/>
    <d v="2026-07-17T00:00:00"/>
    <s v="7"/>
    <s v="Credito"/>
    <n v="0"/>
    <n v="-7"/>
    <n v="100"/>
    <n v="0"/>
    <n v="0"/>
    <n v="1.25"/>
    <n v="0.005"/>
    <n v="1"/>
    <n v="6.271875"/>
    <n v="2.50875"/>
    <m/>
  </r>
  <r>
    <s v="Banco del Caribe  BS"/>
    <x v="467"/>
    <s v="J405124890"/>
    <s v="ASG-Z SECURITY LANTECH, C.A"/>
    <s v="FCLIE/2026/02694"/>
    <d v="2026-07-17T00:00:00"/>
    <n v="70.2"/>
    <x v="4"/>
    <d v="2026-07-17T00:00:00"/>
    <d v="2026-07-17T00:00:00"/>
    <d v="2026-07-17T00:00:00"/>
    <n v="0"/>
    <s v="Contado"/>
    <n v="0"/>
    <n v="0"/>
    <n v="100"/>
    <n v="0"/>
    <n v="0"/>
    <n v="1.25"/>
    <n v="0.005"/>
    <n v="1"/>
    <n v="0.8775"/>
    <n v="0.351"/>
    <m/>
  </r>
  <r>
    <s v="USDT $ "/>
    <x v="468"/>
    <s v="J408660180"/>
    <s v="ZONA TECH, C.A"/>
    <s v="FCLIE/2026/01445"/>
    <d v="2026-05-28T00:00:00"/>
    <n v="10000"/>
    <x v="0"/>
    <d v="2026-07-17T00:00:00"/>
    <d v="2026-05-28T00:00:00"/>
    <d v="2026-07-17T00:00:00"/>
    <s v="30"/>
    <s v="Credito"/>
    <n v="50"/>
    <n v="20"/>
    <n v="50"/>
    <n v="2"/>
    <n v="0"/>
    <n v="1"/>
    <n v="0.005"/>
    <n v="1"/>
    <n v="50"/>
    <n v="50"/>
    <m/>
  </r>
  <r>
    <s v="Caja Principal"/>
    <x v="469"/>
    <s v="J507010872"/>
    <s v="EMPRENDIMIENTO KIMBERLYN MENDEZ"/>
    <s v="FCLIE/2026/02673"/>
    <d v="2026-07-17T00:00:00"/>
    <n v="572"/>
    <x v="4"/>
    <d v="2026-07-17T00:00:00"/>
    <d v="2026-07-17T00:00:00"/>
    <d v="2026-07-17T00:00:00"/>
    <n v="0"/>
    <s v="Contado"/>
    <n v="0"/>
    <n v="0"/>
    <n v="100"/>
    <n v="0"/>
    <n v="0"/>
    <n v="1.25"/>
    <n v="0.005"/>
    <n v="1"/>
    <n v="7.15"/>
    <n v="2.86"/>
    <m/>
  </r>
  <r>
    <s v="USDT $ "/>
    <x v="470"/>
    <s v="J506775000"/>
    <s v="EMPRENDIMIENTO LAURANAILETH NUÑEZ"/>
    <s v="FCLIE/2026/02656"/>
    <d v="2026-07-17T00:00:00"/>
    <n v="500"/>
    <x v="4"/>
    <d v="2026-07-20T00:00:00"/>
    <d v="2026-07-17T00:00:00"/>
    <d v="2026-07-20T00:00:00"/>
    <s v="7"/>
    <s v="Credito"/>
    <n v="3"/>
    <n v="-4"/>
    <n v="100"/>
    <n v="0"/>
    <n v="0"/>
    <n v="1.25"/>
    <n v="0.005"/>
    <n v="1"/>
    <n v="6.25"/>
    <n v="2.5"/>
    <m/>
  </r>
  <r>
    <s v="USDT $ "/>
    <x v="471"/>
    <s v="J506775000"/>
    <s v="EMPRENDIMIENTO LAURANAILETH NUÑEZ"/>
    <s v="FCLIE/2026/02656"/>
    <d v="2026-07-17T00:00:00"/>
    <n v="1499.1"/>
    <x v="4"/>
    <d v="2026-07-20T00:00:00"/>
    <d v="2026-07-17T00:00:00"/>
    <d v="2026-07-20T00:00:00"/>
    <s v="7"/>
    <s v="Credito"/>
    <n v="3"/>
    <n v="-4"/>
    <n v="100"/>
    <n v="0"/>
    <n v="0"/>
    <n v="1.25"/>
    <n v="0.005"/>
    <n v="1"/>
    <n v="18.73875"/>
    <n v="7.4955"/>
    <m/>
  </r>
  <r>
    <s v="Banco del Caribe  BS"/>
    <x v="472"/>
    <s v="J503862262"/>
    <s v="VAFER INNOVACIONES, C.A."/>
    <s v="FCLIE/2026/02696"/>
    <d v="2026-07-20T00:00:00"/>
    <n v="6.4"/>
    <x v="0"/>
    <d v="2026-07-20T00:00:00"/>
    <d v="2026-07-20T00:00:00"/>
    <d v="2026-07-20T00:00:00"/>
    <n v="0"/>
    <s v="Contado"/>
    <n v="0"/>
    <n v="0"/>
    <n v="100"/>
    <n v="0"/>
    <n v="0"/>
    <n v="1.25"/>
    <n v="0.005"/>
    <n v="1"/>
    <n v="0.08"/>
    <n v="0.032"/>
    <m/>
  </r>
  <r>
    <s v="TRANSITORIA ZELLE"/>
    <x v="473"/>
    <s v="J500962568"/>
    <s v="CORPORACION CATECHNOLOGY, C.A."/>
    <s v="FCLIE/2026/02262"/>
    <d v="2026-07-03T00:00:00"/>
    <n v="1304"/>
    <x v="4"/>
    <d v="2026-07-20T00:00:00"/>
    <d v="2026-07-03T00:00:00"/>
    <d v="2026-07-20T00:00:00"/>
    <s v="21"/>
    <s v="Credito"/>
    <n v="17"/>
    <n v="-4"/>
    <n v="100"/>
    <n v="0"/>
    <n v="0"/>
    <n v="1.25"/>
    <n v="0.005"/>
    <n v="1"/>
    <n v="16.3"/>
    <n v="6.52"/>
    <m/>
  </r>
  <r>
    <s v="TRANSITORIA ZELLE"/>
    <x v="473"/>
    <s v="J500962568"/>
    <s v="CORPORACION CATECHNOLOGY, C.A."/>
    <s v="FCLIE/2026/02263"/>
    <d v="2026-07-03T00:00:00"/>
    <n v="414.5"/>
    <x v="4"/>
    <d v="2026-07-20T00:00:00"/>
    <d v="2026-07-03T00:00:00"/>
    <d v="2026-07-20T00:00:00"/>
    <s v="21"/>
    <s v="Credito"/>
    <n v="17"/>
    <n v="-4"/>
    <n v="100"/>
    <n v="0"/>
    <n v="0"/>
    <n v="1.25"/>
    <n v="0.005"/>
    <n v="1"/>
    <n v="5.18125"/>
    <n v="2.0725"/>
    <m/>
  </r>
  <r>
    <s v="Banesco BS. 3049"/>
    <x v="474"/>
    <s v="V262599236"/>
    <s v="CANOPUS SOLUCIONES TECNOLOGICAS DE ROBERT ALEXIS ZAMBRANO ROJAS"/>
    <s v="FCLIE/2026/02690"/>
    <d v="2026-07-17T00:00:00"/>
    <n v="170.97"/>
    <x v="6"/>
    <d v="2026-07-15T00:00:00"/>
    <d v="2026-07-17T00:00:00"/>
    <d v="2026-07-15T00:00:00"/>
    <n v="0"/>
    <s v="Contado"/>
    <n v="-2"/>
    <n v="-2"/>
    <n v="100"/>
    <n v="0"/>
    <n v="0"/>
    <n v="1"/>
    <n v="0.005"/>
    <n v="1"/>
    <n v="1.7097"/>
    <n v="0.85485"/>
    <m/>
  </r>
  <r>
    <s v="Banesco BS. 3049"/>
    <x v="475"/>
    <s v="V262599236"/>
    <s v="CANOPUS SOLUCIONES TECNOLOGICAS DE ROBERT ALEXIS ZAMBRANO ROJAS"/>
    <s v="FCLIE/2026/02691"/>
    <d v="2026-07-17T00:00:00"/>
    <n v="347.41"/>
    <x v="6"/>
    <d v="2026-07-15T00:00:00"/>
    <d v="2026-07-17T00:00:00"/>
    <d v="2026-07-15T00:00:00"/>
    <n v="0"/>
    <s v="Contado"/>
    <n v="-2"/>
    <n v="-2"/>
    <n v="100"/>
    <n v="0"/>
    <n v="0"/>
    <n v="1"/>
    <n v="0.005"/>
    <n v="1"/>
    <n v="3.4741"/>
    <n v="1.73705"/>
    <m/>
  </r>
  <r>
    <s v="USDT $ "/>
    <x v="476"/>
    <s v="V262599236"/>
    <s v="CANOPUS SOLUCIONES TECNOLOGICAS DE ROBERT ALEXIS ZAMBRANO ROJAS"/>
    <s v="FCLIE/2026/02686"/>
    <d v="2026-07-17T00:00:00"/>
    <n v="1238"/>
    <x v="6"/>
    <d v="2026-07-15T00:00:00"/>
    <d v="2026-07-17T00:00:00"/>
    <d v="2026-07-15T00:00:00"/>
    <n v="0"/>
    <s v="Contado"/>
    <n v="-2"/>
    <n v="-2"/>
    <n v="100"/>
    <n v="0"/>
    <n v="0"/>
    <n v="1"/>
    <n v="0.005"/>
    <n v="1"/>
    <n v="12.38"/>
    <n v="6.19"/>
    <m/>
  </r>
  <r>
    <s v="Banesco BS. 3049"/>
    <x v="477"/>
    <s v="J507080595"/>
    <s v="DIGITAL PRINT V&amp;P, C.A"/>
    <s v="FCLIE/2026/02532"/>
    <d v="2026-07-13T00:00:00"/>
    <n v="1063.17"/>
    <x v="4"/>
    <d v="2026-07-13T00:00:00"/>
    <d v="2026-07-13T00:00:00"/>
    <d v="2026-07-13T00:00:00"/>
    <n v="0"/>
    <s v="Contado"/>
    <n v="0"/>
    <n v="0"/>
    <n v="100"/>
    <n v="0"/>
    <n v="0"/>
    <n v="1.25"/>
    <n v="0.005"/>
    <n v="1"/>
    <n v="13.289625"/>
    <n v="5.31585"/>
    <m/>
  </r>
  <r>
    <s v="REGIONSBANK"/>
    <x v="478"/>
    <s v="J501580383"/>
    <s v="STRIG TECHNOLOGY, C.A"/>
    <s v="FCLIE/2026/02594"/>
    <d v="2026-07-15T00:00:00"/>
    <n v="3000"/>
    <x v="1"/>
    <d v="2026-07-20T00:00:00"/>
    <d v="2026-07-15T00:00:00"/>
    <d v="2026-07-20T00:00:00"/>
    <s v="15"/>
    <s v="Credito"/>
    <n v="5"/>
    <n v="-10"/>
    <n v="100"/>
    <n v="0"/>
    <n v="0"/>
    <n v="1"/>
    <n v="0.005"/>
    <n v="1"/>
    <n v="30"/>
    <n v="15"/>
    <m/>
  </r>
  <r>
    <s v="USDT $ "/>
    <x v="479"/>
    <s v="J296810508"/>
    <s v="GRUPO BLUETECH 1315, C.A"/>
    <s v="FCLIE/2026/02665"/>
    <d v="2026-07-17T00:00:00"/>
    <n v="232.95"/>
    <x v="5"/>
    <d v="2026-07-17T00:00:00"/>
    <d v="2026-07-17T00:00:00"/>
    <d v="2026-07-17T00:00:00"/>
    <s v="3"/>
    <s v="Credito"/>
    <n v="0"/>
    <n v="-3"/>
    <n v="100"/>
    <n v="0"/>
    <n v="0"/>
    <n v="1.25"/>
    <n v="0.005"/>
    <n v="1"/>
    <n v="2.911875"/>
    <n v="1.16475"/>
    <m/>
  </r>
  <r>
    <s v="USDT $ "/>
    <x v="480"/>
    <s v="J408157373"/>
    <s v="SERVICIOS RESUCON, CA"/>
    <s v="FCLIE/2026/01344"/>
    <d v="2026-05-22T00:00:00"/>
    <n v="550"/>
    <x v="1"/>
    <d v="2026-07-20T00:00:00"/>
    <d v="2026-05-22T00:00:00"/>
    <d v="2026-07-20T00:00:00"/>
    <s v="15"/>
    <s v="Credito"/>
    <n v="59"/>
    <n v="44"/>
    <n v="30"/>
    <n v="2"/>
    <n v="0"/>
    <n v="1"/>
    <n v="0.005"/>
    <n v="1"/>
    <n v="1.65"/>
    <n v="2.75"/>
    <m/>
  </r>
  <r>
    <s v="USDT $ "/>
    <x v="481"/>
    <s v="J402290179"/>
    <s v="SERVITEC R &amp; M, C.A."/>
    <s v="FCLIE/2026/02702"/>
    <d v="2026-07-20T00:00:00"/>
    <n v="180.65"/>
    <x v="1"/>
    <d v="2026-07-20T00:00:00"/>
    <d v="2026-07-20T00:00:00"/>
    <d v="2026-07-20T00:00:00"/>
    <n v="0"/>
    <s v="Contado"/>
    <n v="0"/>
    <n v="0"/>
    <n v="100"/>
    <n v="0"/>
    <n v="0"/>
    <n v="1"/>
    <n v="0.005"/>
    <n v="1"/>
    <n v="1.8065"/>
    <n v="0.90325"/>
    <m/>
  </r>
  <r>
    <s v="USDT $ "/>
    <x v="482"/>
    <s v="J503184515"/>
    <s v="ARYP TECNOPOLIS, C.A"/>
    <s v="FCLIE/2026/02454"/>
    <d v="2026-07-10T00:00:00"/>
    <n v="100"/>
    <x v="0"/>
    <d v="2026-07-20T00:00:00"/>
    <d v="2026-07-10T00:00:00"/>
    <d v="2026-07-20T00:00:00"/>
    <s v="15"/>
    <s v="Credito"/>
    <n v="10"/>
    <n v="-5"/>
    <n v="100"/>
    <n v="0"/>
    <n v="0"/>
    <n v="1.25"/>
    <n v="0.005"/>
    <n v="1"/>
    <n v="1.25"/>
    <n v="0.5"/>
    <m/>
  </r>
  <r>
    <s v="USDT $ "/>
    <x v="483"/>
    <s v="J312601060"/>
    <s v="LDC COMPUTER C.A"/>
    <s v="FCLIE/2026/02283"/>
    <d v="2026-07-03T00:00:00"/>
    <n v="264"/>
    <x v="2"/>
    <d v="2026-07-20T00:00:00"/>
    <d v="2026-07-03T00:00:00"/>
    <d v="2026-07-20T00:00:00"/>
    <s v="15"/>
    <s v="Credito"/>
    <n v="17"/>
    <n v="2"/>
    <n v="100"/>
    <n v="0"/>
    <n v="0"/>
    <n v="1.25"/>
    <n v="0.005"/>
    <n v="1"/>
    <n v="3.3"/>
    <n v="1.32"/>
    <m/>
  </r>
  <r>
    <s v="TRANSITORIA ZELLE"/>
    <x v="484"/>
    <s v="J311589520"/>
    <s v="PLUS ELECTRONICS, C.A"/>
    <s v="FCLIE/2026/01879"/>
    <d v="2026-06-12T00:00:00"/>
    <n v="5985"/>
    <x v="3"/>
    <d v="2026-07-20T00:00:00"/>
    <d v="2026-06-12T00:00:00"/>
    <d v="2026-07-20T00:00:00"/>
    <s v="30"/>
    <s v="Credito"/>
    <n v="38"/>
    <n v="8"/>
    <n v="100"/>
    <n v="1"/>
    <n v="0"/>
    <n v="1"/>
    <n v="0.005"/>
    <n v="1"/>
    <n v="59.85"/>
    <n v="29.925"/>
    <m/>
  </r>
  <r>
    <s v="USDT $ "/>
    <x v="485"/>
    <s v="J312601060"/>
    <s v="LDC COMPUTER C.A"/>
    <s v="FCLIE/2026/02145"/>
    <d v="2026-06-23T00:00:00"/>
    <n v="403.95"/>
    <x v="2"/>
    <d v="2026-07-20T00:00:00"/>
    <d v="2026-06-23T00:00:00"/>
    <d v="2026-07-20T00:00:00"/>
    <s v="15"/>
    <s v="Credito"/>
    <n v="27"/>
    <n v="12"/>
    <n v="100"/>
    <n v="1"/>
    <n v="0"/>
    <n v="1.25"/>
    <n v="0.005"/>
    <n v="1"/>
    <n v="5.049375"/>
    <n v="2.01975"/>
    <m/>
  </r>
  <r>
    <s v="Banco del Caribe  BS"/>
    <x v="486"/>
    <s v="J299543110"/>
    <s v="MUNDO DE IMPRESIONES 2010 CA"/>
    <s v="FCLIE/2026/02705"/>
    <d v="2026-07-20T00:00:00"/>
    <n v="266"/>
    <x v="3"/>
    <d v="2026-07-20T00:00:00"/>
    <d v="2026-07-20T00:00:00"/>
    <d v="2026-07-20T00:00:00"/>
    <n v="0"/>
    <s v="Contado"/>
    <n v="0"/>
    <n v="0"/>
    <n v="100"/>
    <n v="0"/>
    <n v="0"/>
    <n v="1"/>
    <n v="0.005"/>
    <n v="1"/>
    <n v="2.66"/>
    <n v="1.33"/>
    <m/>
  </r>
  <r>
    <s v="Caja Principal"/>
    <x v="487"/>
    <s v="J503862262"/>
    <s v="VAFER INNOVACIONES, C.A."/>
    <s v="FCLIE/2026/02696"/>
    <d v="2026-07-20T00:00:00"/>
    <n v="660"/>
    <x v="0"/>
    <d v="2026-07-20T00:00:00"/>
    <d v="2026-07-20T00:00:00"/>
    <d v="2026-07-20T00:00:00"/>
    <n v="0"/>
    <s v="Contado"/>
    <n v="0"/>
    <n v="0"/>
    <n v="100"/>
    <n v="0"/>
    <n v="0"/>
    <n v="1.25"/>
    <n v="0.005"/>
    <n v="1"/>
    <n v="8.25"/>
    <n v="3.3"/>
    <m/>
  </r>
  <r>
    <s v="Banco del Caribe  BS"/>
    <x v="488"/>
    <s v="J293619866"/>
    <s v="CIUDAD DIGITAL, C.A."/>
    <s v="FCLIE/2026/01868"/>
    <d v="2026-06-12T00:00:00"/>
    <n v="736.14"/>
    <x v="2"/>
    <d v="2026-07-20T00:00:00"/>
    <d v="2026-06-12T00:00:00"/>
    <d v="2026-07-20T00:00:00"/>
    <s v="30"/>
    <s v="Credito"/>
    <n v="38"/>
    <n v="8"/>
    <n v="100"/>
    <n v="1"/>
    <n v="0"/>
    <n v="1.25"/>
    <n v="0.005"/>
    <n v="1"/>
    <n v="9.20175"/>
    <n v="3.6807"/>
    <m/>
  </r>
  <r>
    <s v="Banco del Caribe  BS"/>
    <x v="489"/>
    <s v="J293619866"/>
    <s v="CIUDAD DIGITAL, C.A."/>
    <s v="FCLIE/2026/01868"/>
    <d v="2026-06-12T00:00:00"/>
    <n v="738.64"/>
    <x v="2"/>
    <d v="2026-07-20T00:00:00"/>
    <d v="2026-06-12T00:00:00"/>
    <d v="2026-07-20T00:00:00"/>
    <s v="30"/>
    <s v="Credito"/>
    <n v="38"/>
    <n v="8"/>
    <n v="100"/>
    <n v="1"/>
    <n v="0"/>
    <n v="1.25"/>
    <n v="0.005"/>
    <n v="1"/>
    <n v="9.233"/>
    <n v="3.6932"/>
    <m/>
  </r>
  <r>
    <s v="Banco del Caribe  BS"/>
    <x v="490"/>
    <s v="J293619866"/>
    <s v="CIUDAD DIGITAL, C.A."/>
    <s v="FCLIE/2026/01868"/>
    <d v="2026-06-12T00:00:00"/>
    <n v="876.42"/>
    <x v="2"/>
    <d v="2026-07-20T00:00:00"/>
    <d v="2026-06-12T00:00:00"/>
    <d v="2026-07-20T00:00:00"/>
    <s v="30"/>
    <s v="Credito"/>
    <n v="38"/>
    <n v="8"/>
    <n v="100"/>
    <n v="1"/>
    <n v="0"/>
    <n v="1.25"/>
    <n v="0.005"/>
    <n v="1"/>
    <n v="10.95525"/>
    <n v="4.3821"/>
    <m/>
  </r>
  <r>
    <s v="Banco del Caribe  BS"/>
    <x v="490"/>
    <s v="J293619866"/>
    <s v="CIUDAD DIGITAL, C.A."/>
    <s v="FCLIE/2026/02026"/>
    <d v="2026-06-18T00:00:00"/>
    <n v="245.17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3.064625"/>
    <n v="1.22585"/>
    <m/>
  </r>
  <r>
    <s v="Banco del Caribe  BS"/>
    <x v="491"/>
    <s v="J293619866"/>
    <s v="CIUDAD DIGITAL, C.A."/>
    <s v="FCLIE/2026/02026"/>
    <d v="2026-06-18T00:00:00"/>
    <n v="1134.09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14.176125"/>
    <n v="5.67045"/>
    <m/>
  </r>
  <r>
    <s v="Banco del Caribe  BS"/>
    <x v="492"/>
    <s v="J293619866"/>
    <s v="CIUDAD DIGITAL, C.A."/>
    <s v="FCLIE/2026/02026"/>
    <d v="2026-06-18T00:00:00"/>
    <n v="1126.14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14.07675"/>
    <n v="5.6307"/>
    <m/>
  </r>
  <r>
    <s v="Banco del Caribe  BS"/>
    <x v="493"/>
    <s v="J293619866"/>
    <s v="CIUDAD DIGITAL, C.A."/>
    <s v="FCLIE/2026/02026"/>
    <d v="2026-06-18T00:00:00"/>
    <n v="714.6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8.9325"/>
    <n v="3.573"/>
    <m/>
  </r>
  <r>
    <s v="Banco del Caribe  BS"/>
    <x v="493"/>
    <s v="J293619866"/>
    <s v="CIUDAD DIGITAL, C.A."/>
    <s v="FCLIE/2026/02030"/>
    <d v="2026-06-18T00:00:00"/>
    <n v="412.67"/>
    <x v="2"/>
    <d v="2026-07-20T00:00:00"/>
    <d v="2026-06-18T00:00:00"/>
    <d v="2026-07-20T00:00:00"/>
    <n v="0"/>
    <s v="Contado"/>
    <n v="32"/>
    <n v="32"/>
    <n v="0"/>
    <n v="1"/>
    <n v="0"/>
    <n v="1.25"/>
    <n v="0.005"/>
    <n v="0"/>
    <n v="0"/>
    <n v="2.06335"/>
    <m/>
  </r>
  <r>
    <s v="Banco del Caribe  BS"/>
    <x v="494"/>
    <s v="J293619866"/>
    <s v="CIUDAD DIGITAL, C.A."/>
    <s v="FCLIE/2026/02030"/>
    <d v="2026-06-18T00:00:00"/>
    <n v="715.91"/>
    <x v="2"/>
    <d v="2026-07-20T00:00:00"/>
    <d v="2026-06-18T00:00:00"/>
    <d v="2026-07-20T00:00:00"/>
    <n v="0"/>
    <s v="Contado"/>
    <n v="32"/>
    <n v="32"/>
    <n v="0"/>
    <n v="1"/>
    <n v="0"/>
    <n v="1.25"/>
    <n v="0.005"/>
    <n v="0"/>
    <n v="0"/>
    <n v="3.57955"/>
    <m/>
  </r>
  <r>
    <s v="Banco del Caribe  BS"/>
    <x v="495"/>
    <s v="J293619866"/>
    <s v="CIUDAD DIGITAL, C.A."/>
    <s v="FCLIE/2026/02030"/>
    <d v="2026-06-18T00:00:00"/>
    <n v="1130.68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14.1335"/>
    <n v="5.6534"/>
    <m/>
  </r>
  <r>
    <s v="Banco del Caribe  BS"/>
    <x v="496"/>
    <s v="J293619866"/>
    <s v="CIUDAD DIGITAL, C.A."/>
    <s v="FCLIE/2026/02030"/>
    <d v="2026-06-18T00:00:00"/>
    <n v="1129.55"/>
    <x v="2"/>
    <d v="2026-07-20T00:00:00"/>
    <d v="2026-06-18T00:00:00"/>
    <d v="2026-07-20T00:00:00"/>
    <s v="30"/>
    <s v="Credito"/>
    <n v="32"/>
    <n v="2"/>
    <n v="100"/>
    <n v="1"/>
    <n v="0"/>
    <n v="1.25"/>
    <n v="0.005"/>
    <n v="1"/>
    <n v="14.119375"/>
    <n v="5.64775"/>
    <m/>
  </r>
  <r>
    <s v="Caja Principal"/>
    <x v="497"/>
    <s v="J406699128"/>
    <s v="DIGITAL BLESS, C.A."/>
    <s v="FCLIE/2026/02426"/>
    <d v="2026-07-09T00:00:00"/>
    <n v="495.4"/>
    <x v="3"/>
    <d v="2026-07-20T00:00:00"/>
    <d v="2026-07-09T00:00:00"/>
    <d v="2026-07-20T00:00:00"/>
    <s v="21"/>
    <s v="Credito"/>
    <n v="11"/>
    <n v="-10"/>
    <n v="100"/>
    <n v="0"/>
    <n v="0"/>
    <n v="1"/>
    <n v="0.005"/>
    <n v="1"/>
    <n v="4.954"/>
    <n v="2.477"/>
    <m/>
  </r>
  <r>
    <s v="Caja Principal"/>
    <x v="497"/>
    <s v="J406699128"/>
    <s v="DIGITAL BLESS, C.A."/>
    <s v="FCLIE/2026/02467"/>
    <d v="2026-07-10T00:00:00"/>
    <n v="150"/>
    <x v="3"/>
    <d v="2026-07-20T00:00:00"/>
    <d v="2026-07-10T00:00:00"/>
    <d v="2026-07-20T00:00:00"/>
    <s v="21"/>
    <s v="Credito"/>
    <n v="10"/>
    <n v="-11"/>
    <n v="100"/>
    <n v="0"/>
    <n v="0"/>
    <n v="1"/>
    <n v="0.005"/>
    <n v="1"/>
    <n v="1.5"/>
    <n v="0.75"/>
    <m/>
  </r>
  <r>
    <s v="Caja Principal"/>
    <x v="497"/>
    <s v="J406699128"/>
    <s v="DIGITAL BLESS, C.A."/>
    <s v="FCLIE/2026/02468"/>
    <d v="2026-07-10T00:00:00"/>
    <n v="645.9"/>
    <x v="3"/>
    <d v="2026-07-20T00:00:00"/>
    <d v="2026-07-10T00:00:00"/>
    <d v="2026-07-20T00:00:00"/>
    <s v="21"/>
    <s v="Credito"/>
    <n v="10"/>
    <n v="-11"/>
    <n v="100"/>
    <n v="0"/>
    <n v="0"/>
    <n v="1"/>
    <n v="0.005"/>
    <n v="1"/>
    <n v="6.459"/>
    <n v="3.2295"/>
    <m/>
  </r>
  <r>
    <s v="Caja Principal"/>
    <x v="497"/>
    <s v="J406699128"/>
    <s v="DIGITAL BLESS, C.A."/>
    <s v="FCLIE/2026/02509"/>
    <d v="2026-07-13T00:00:00"/>
    <n v="189"/>
    <x v="3"/>
    <d v="2026-07-20T00:00:00"/>
    <d v="2026-07-13T00:00:00"/>
    <d v="2026-07-20T00:00:00"/>
    <s v="21"/>
    <s v="Credito"/>
    <n v="7"/>
    <n v="-14"/>
    <n v="100"/>
    <n v="0"/>
    <n v="0"/>
    <n v="1"/>
    <n v="0.005"/>
    <n v="1"/>
    <n v="1.89"/>
    <n v="0.945"/>
    <m/>
  </r>
  <r>
    <s v="Caja Principal"/>
    <x v="497"/>
    <s v="J406699128"/>
    <s v="DIGITAL BLESS, C.A."/>
    <s v="FCLIE/2026/02546"/>
    <d v="2026-07-14T00:00:00"/>
    <n v="19.7"/>
    <x v="3"/>
    <d v="2026-07-20T00:00:00"/>
    <d v="2026-07-14T00:00:00"/>
    <d v="2026-07-20T00:00:00"/>
    <s v="21"/>
    <s v="Credito"/>
    <n v="6"/>
    <n v="-15"/>
    <n v="100"/>
    <n v="0"/>
    <n v="0"/>
    <n v="1"/>
    <n v="0.005"/>
    <n v="1"/>
    <n v="0.197"/>
    <n v="0.0985"/>
    <m/>
  </r>
  <r>
    <s v="Caja Principal"/>
    <x v="498"/>
    <s v="J406699128"/>
    <s v="DIGITAL BLESS, C.A."/>
    <s v="FCLIE/2026/02546"/>
    <d v="2026-07-14T00:00:00"/>
    <n v="130.3"/>
    <x v="3"/>
    <d v="2026-07-20T00:00:00"/>
    <d v="2026-07-14T00:00:00"/>
    <d v="2026-07-20T00:00:00"/>
    <s v="21"/>
    <s v="Credito"/>
    <n v="6"/>
    <n v="-15"/>
    <n v="100"/>
    <n v="0"/>
    <n v="0"/>
    <n v="1"/>
    <n v="0.005"/>
    <n v="1"/>
    <n v="1.303"/>
    <n v="0.6515"/>
    <m/>
  </r>
  <r>
    <s v="Caja Principal"/>
    <x v="498"/>
    <s v="J406699128"/>
    <s v="DIGITAL BLESS, C.A."/>
    <s v="FCLIE/2026/02566"/>
    <d v="2026-07-14T00:00:00"/>
    <n v="132"/>
    <x v="3"/>
    <d v="2026-07-20T00:00:00"/>
    <d v="2026-07-14T00:00:00"/>
    <d v="2026-07-20T00:00:00"/>
    <s v="21"/>
    <s v="Credito"/>
    <n v="6"/>
    <n v="-15"/>
    <n v="100"/>
    <n v="0"/>
    <n v="0"/>
    <n v="1"/>
    <n v="0.005"/>
    <n v="1"/>
    <n v="1.32"/>
    <n v="0.66"/>
    <m/>
  </r>
  <r>
    <s v="Caja Principal"/>
    <x v="498"/>
    <s v="J406699128"/>
    <s v="DIGITAL BLESS, C.A."/>
    <s v="FCLIE/2026/02608"/>
    <d v="2026-07-16T00:00:00"/>
    <n v="2.7"/>
    <x v="3"/>
    <d v="2026-07-20T00:00:00"/>
    <d v="2026-07-16T00:00:00"/>
    <d v="2026-07-20T00:00:00"/>
    <s v="21"/>
    <s v="Credito"/>
    <n v="4"/>
    <n v="-17"/>
    <n v="100"/>
    <n v="0"/>
    <n v="0"/>
    <n v="1"/>
    <n v="0.005"/>
    <n v="1"/>
    <n v="0.027"/>
    <n v="0.0135"/>
    <m/>
  </r>
  <r>
    <s v="USDT $ "/>
    <x v="499"/>
    <s v="J503702494"/>
    <s v="MULTIPC CORP, C.A"/>
    <s v="FCLIE/2026/02704"/>
    <d v="2026-07-20T00:00:00"/>
    <n v="522"/>
    <x v="3"/>
    <d v="2026-07-20T00:00:00"/>
    <d v="2026-07-20T00:00:00"/>
    <d v="2026-07-20T00:00:00"/>
    <n v="0"/>
    <s v="Contado"/>
    <n v="0"/>
    <n v="0"/>
    <n v="100"/>
    <n v="0"/>
    <n v="0"/>
    <n v="1"/>
    <n v="0.005"/>
    <n v="1"/>
    <n v="5.22"/>
    <n v="2.61"/>
    <m/>
  </r>
  <r>
    <s v="USDT $ "/>
    <x v="500"/>
    <s v="J503702494"/>
    <s v="MULTIPC CORP, C.A"/>
    <s v="FCLIE/2026/02704"/>
    <d v="2026-07-20T00:00:00"/>
    <n v="105"/>
    <x v="3"/>
    <d v="2026-07-20T00:00:00"/>
    <d v="2026-07-20T00:00:00"/>
    <d v="2026-07-20T00:00:00"/>
    <n v="0"/>
    <s v="Contado"/>
    <n v="0"/>
    <n v="0"/>
    <n v="100"/>
    <n v="0"/>
    <n v="0"/>
    <n v="1"/>
    <n v="0.005"/>
    <n v="1"/>
    <n v="1.05"/>
    <n v="0.525"/>
    <m/>
  </r>
  <r>
    <s v="USDT $ "/>
    <x v="501"/>
    <s v="J504013390"/>
    <s v="GLOBAL PRINT 1994, C.A."/>
    <s v="FCLIE/2026/02326"/>
    <d v="2026-07-06T00:00:00"/>
    <n v="2613"/>
    <x v="0"/>
    <d v="2026-07-20T00:00:00"/>
    <d v="2026-07-06T00:00:00"/>
    <d v="2026-07-20T00:00:00"/>
    <s v="10"/>
    <s v="Credito"/>
    <n v="14"/>
    <n v="4"/>
    <n v="100"/>
    <n v="0"/>
    <n v="0"/>
    <n v="1.25"/>
    <n v="0.005"/>
    <n v="1"/>
    <n v="32.6625"/>
    <n v="13.065"/>
    <m/>
  </r>
  <r>
    <s v="USDT $ "/>
    <x v="502"/>
    <s v="J504013390"/>
    <s v="GLOBAL PRINT 1994, C.A."/>
    <s v="FCLIE/2026/02329"/>
    <d v="2026-07-06T00:00:00"/>
    <n v="129.5"/>
    <x v="0"/>
    <d v="2026-07-20T00:00:00"/>
    <d v="2026-07-06T00:00:00"/>
    <d v="2026-07-20T00:00:00"/>
    <s v="10"/>
    <s v="Credito"/>
    <n v="14"/>
    <n v="4"/>
    <n v="100"/>
    <n v="0"/>
    <n v="0"/>
    <n v="1.25"/>
    <n v="0.005"/>
    <n v="1"/>
    <n v="1.61875"/>
    <n v="0.6475"/>
    <m/>
  </r>
  <r>
    <s v="USDT $ "/>
    <x v="503"/>
    <s v="J501096910"/>
    <s v="COMPURAMPZO, C.A"/>
    <s v="FCLIE/2026/01584"/>
    <d v="2026-06-03T00:00:00"/>
    <n v="2000"/>
    <x v="5"/>
    <d v="2026-07-20T00:00:00"/>
    <d v="2026-06-03T00:00:00"/>
    <d v="2026-07-20T00:00:00"/>
    <s v="15"/>
    <s v="Credito"/>
    <n v="47"/>
    <n v="32"/>
    <n v="30"/>
    <n v="1"/>
    <n v="0"/>
    <n v="1"/>
    <n v="0.005"/>
    <n v="1"/>
    <n v="6"/>
    <n v="10"/>
    <m/>
  </r>
  <r>
    <s v="USDT $ "/>
    <x v="504"/>
    <s v="J410965266"/>
    <s v="INVERSIONES ALDAYO C.A"/>
    <s v="FCLIE/2026/02321"/>
    <d v="2026-07-06T00:00:00"/>
    <n v="200"/>
    <x v="2"/>
    <d v="2026-07-20T00:00:00"/>
    <d v="2026-07-06T00:00:00"/>
    <d v="2026-07-20T00:00:00"/>
    <s v="7"/>
    <s v="Credito"/>
    <n v="14"/>
    <n v="7"/>
    <n v="100"/>
    <n v="0"/>
    <n v="0"/>
    <n v="1.25"/>
    <n v="0.005"/>
    <n v="1"/>
    <n v="2.5"/>
    <n v="1"/>
    <m/>
  </r>
  <r>
    <s v="USDT $ "/>
    <x v="505"/>
    <s v="V180453594"/>
    <s v="INVERSIONES SUMINISTROS MONSALVES PC"/>
    <s v="FCLIE/2026/02094"/>
    <d v="2026-06-22T00:00:00"/>
    <n v="999.35"/>
    <x v="6"/>
    <d v="2026-07-20T00:00:00"/>
    <d v="2026-06-22T00:00:00"/>
    <d v="2026-07-20T00:00:00"/>
    <s v="21"/>
    <s v="Credito"/>
    <n v="28"/>
    <n v="7"/>
    <n v="100"/>
    <n v="1"/>
    <n v="0"/>
    <n v="1"/>
    <n v="0.005"/>
    <n v="1"/>
    <n v="9.9935"/>
    <n v="4.99675"/>
    <m/>
  </r>
  <r>
    <s v="USDT $ "/>
    <x v="506"/>
    <s v="J296651566"/>
    <s v="ADVANTAGE TECHNOLOGY, C.A"/>
    <s v="FCLIE/2026/02709"/>
    <d v="2026-07-20T00:00:00"/>
    <n v="259"/>
    <x v="0"/>
    <d v="2026-07-20T00:00:00"/>
    <d v="2026-07-20T00:00:00"/>
    <d v="2026-07-20T00:00:00"/>
    <n v="0"/>
    <s v="Contado"/>
    <n v="0"/>
    <n v="0"/>
    <n v="100"/>
    <n v="0"/>
    <n v="0"/>
    <n v="1.25"/>
    <n v="0.005"/>
    <n v="1"/>
    <n v="3.2375"/>
    <n v="1.295"/>
    <m/>
  </r>
  <r>
    <s v="USDT $ "/>
    <x v="507"/>
    <s v="V27748606"/>
    <s v="SANTIAGO CHAMBUCO"/>
    <s v="FCLIE/2026/02708"/>
    <d v="2026-07-20T00:00:00"/>
    <n v="2.5"/>
    <x v="5"/>
    <d v="2026-07-20T00:00:00"/>
    <d v="2026-07-20T00:00:00"/>
    <d v="2026-07-20T00:00:00"/>
    <n v="0"/>
    <s v="Contado"/>
    <n v="0"/>
    <n v="0"/>
    <n v="100"/>
    <n v="0"/>
    <n v="0"/>
    <n v="1.25"/>
    <n v="0.005"/>
    <n v="1"/>
    <n v="0.03125"/>
    <n v="0.0125"/>
    <m/>
  </r>
  <r>
    <s v="USDT $ "/>
    <x v="508"/>
    <s v="J401000061"/>
    <s v="IMPREPAL SOLUTIONS, C.A."/>
    <s v="FCLIE/2026/01784"/>
    <d v="2026-06-10T00:00:00"/>
    <n v="234.23"/>
    <x v="0"/>
    <d v="2026-07-20T00:00:00"/>
    <d v="2026-06-10T00:00:00"/>
    <d v="2026-07-20T00:00:00"/>
    <s v="15"/>
    <s v="Credito"/>
    <n v="40"/>
    <n v="25"/>
    <n v="50"/>
    <n v="1"/>
    <n v="0"/>
    <n v="1"/>
    <n v="0.005"/>
    <n v="1"/>
    <n v="1.17115"/>
    <n v="1.17115"/>
    <m/>
  </r>
  <r>
    <s v="USDT $ "/>
    <x v="508"/>
    <s v="J401000061"/>
    <s v="IMPREPAL SOLUTIONS, C.A."/>
    <s v="FCLIE/2026/01800"/>
    <d v="2026-06-10T00:00:00"/>
    <n v="70.04"/>
    <x v="0"/>
    <d v="2026-07-20T00:00:00"/>
    <d v="2026-06-10T00:00:00"/>
    <d v="2026-07-20T00:00:00"/>
    <s v="15"/>
    <s v="Credito"/>
    <n v="40"/>
    <n v="25"/>
    <n v="50"/>
    <n v="1"/>
    <n v="0"/>
    <n v="1"/>
    <n v="0.005"/>
    <n v="1"/>
    <n v="0.3502"/>
    <n v="0.3502"/>
    <m/>
  </r>
  <r>
    <s v="Caja Principal"/>
    <x v="509"/>
    <s v="J401000061"/>
    <s v="IMPREPAL SOLUTIONS, C.A."/>
    <s v="FCLIE/2026/01800"/>
    <d v="2026-06-10T00:00:00"/>
    <n v="164.96"/>
    <x v="0"/>
    <d v="2026-07-20T00:00:00"/>
    <d v="2026-06-10T00:00:00"/>
    <d v="2026-07-20T00:00:00"/>
    <s v="15"/>
    <s v="Credito"/>
    <n v="40"/>
    <n v="25"/>
    <n v="50"/>
    <n v="1"/>
    <n v="0"/>
    <n v="1"/>
    <n v="0.005"/>
    <n v="1"/>
    <n v="0.8248"/>
    <n v="0.8248"/>
    <m/>
  </r>
  <r>
    <s v="Caja Principal"/>
    <x v="509"/>
    <s v="J401000061"/>
    <s v="IMPREPAL SOLUTIONS, C.A."/>
    <s v="FCLIE/2026/02013"/>
    <d v="2026-06-18T00:00:00"/>
    <n v="235"/>
    <x v="0"/>
    <d v="2026-07-20T00:00:00"/>
    <d v="2026-06-18T00:00:00"/>
    <d v="2026-07-20T00:00:00"/>
    <s v="15"/>
    <s v="Credito"/>
    <n v="32"/>
    <n v="17"/>
    <n v="50"/>
    <n v="1"/>
    <n v="0"/>
    <n v="1"/>
    <n v="0.005"/>
    <n v="1"/>
    <n v="1.175"/>
    <n v="1.175"/>
    <m/>
  </r>
  <r>
    <s v="USDT $ "/>
    <x v="510"/>
    <s v="J505218034"/>
    <s v="CANELON ARANZAZU I, C.A"/>
    <s v="FCLIE/2026/02570"/>
    <d v="2026-07-14T00:00:00"/>
    <n v="627"/>
    <x v="4"/>
    <d v="2026-07-15T00:00:00"/>
    <d v="2026-07-14T00:00:00"/>
    <d v="2026-07-15T00:00:00"/>
    <n v="0"/>
    <s v="Contado"/>
    <n v="1"/>
    <n v="1"/>
    <n v="100"/>
    <n v="0"/>
    <n v="0"/>
    <n v="1.25"/>
    <n v="0.005"/>
    <n v="1"/>
    <n v="7.8375"/>
    <n v="3.135"/>
    <m/>
  </r>
  <r>
    <s v="USDT $ "/>
    <x v="510"/>
    <s v="J505218034"/>
    <s v="CANELON ARANZAZU I, C.A"/>
    <s v="FCLIE/2026/02571"/>
    <d v="2026-07-14T00:00:00"/>
    <n v="16.5"/>
    <x v="4"/>
    <d v="2026-07-15T00:00:00"/>
    <d v="2026-07-14T00:00:00"/>
    <d v="2026-07-15T00:00:00"/>
    <n v="0"/>
    <s v="Contado"/>
    <n v="1"/>
    <n v="1"/>
    <n v="100"/>
    <n v="0"/>
    <n v="0"/>
    <n v="1.25"/>
    <n v="0.005"/>
    <n v="1"/>
    <n v="0.20625"/>
    <n v="0.0825"/>
    <m/>
  </r>
  <r>
    <s v="USDT $ "/>
    <x v="511"/>
    <s v="J408396734"/>
    <s v="U CORPORATION C.A."/>
    <s v="FCLIE/2026/02712"/>
    <d v="2026-07-20T00:00:00"/>
    <n v="210"/>
    <x v="3"/>
    <d v="2026-07-20T00:00:00"/>
    <d v="2026-07-20T00:00:00"/>
    <d v="2026-07-20T00:00:00"/>
    <n v="0"/>
    <s v="Contado"/>
    <n v="0"/>
    <n v="0"/>
    <n v="100"/>
    <n v="0"/>
    <n v="0"/>
    <n v="1"/>
    <n v="0.005"/>
    <n v="1"/>
    <n v="2.1"/>
    <n v="1.05"/>
    <m/>
  </r>
  <r>
    <s v="USDT $ "/>
    <x v="512"/>
    <s v="V094813766"/>
    <s v="PIETRO CHIOMMINO PC NETWORK CONSULTING"/>
    <s v="FCLIE/2026/02715"/>
    <d v="2026-07-20T00:00:00"/>
    <n v="156"/>
    <x v="4"/>
    <d v="2026-07-20T00:00:00"/>
    <d v="2026-07-20T00:00:00"/>
    <d v="2026-07-20T00:00:00"/>
    <n v="0"/>
    <s v="Contado"/>
    <n v="0"/>
    <n v="0"/>
    <n v="100"/>
    <n v="0"/>
    <n v="0"/>
    <n v="1.25"/>
    <n v="0.005"/>
    <n v="1"/>
    <n v="1.95"/>
    <n v="0.78"/>
    <m/>
  </r>
  <r>
    <s v="USDT $ "/>
    <x v="513"/>
    <s v="J506103656"/>
    <s v="TWENTY SEVEN TECH, C.A"/>
    <s v="FCLIE/2026/02714"/>
    <d v="2026-07-20T00:00:00"/>
    <n v="156"/>
    <x v="5"/>
    <d v="2026-07-20T00:00:00"/>
    <d v="2026-07-20T00:00:00"/>
    <d v="2026-07-20T00:00:00"/>
    <n v="0"/>
    <s v="Contado"/>
    <n v="0"/>
    <n v="0"/>
    <n v="100"/>
    <n v="0"/>
    <n v="0"/>
    <n v="1.25"/>
    <n v="0.005"/>
    <n v="1"/>
    <n v="1.95"/>
    <n v="0.78"/>
    <m/>
  </r>
  <r>
    <s v="Caja Principal"/>
    <x v="514"/>
    <s v="J409140628"/>
    <s v="DISTRIBUIDORA TODO COMPATIBLE.COM C.A."/>
    <s v="FCLIE/2026/02567"/>
    <d v="2026-07-14T00:00:00"/>
    <n v="52.4"/>
    <x v="4"/>
    <d v="2026-07-14T00:00:00"/>
    <d v="2026-07-14T00:00:00"/>
    <d v="2026-07-14T00:00:00"/>
    <n v="0"/>
    <s v="Contado"/>
    <n v="0"/>
    <n v="0"/>
    <n v="100"/>
    <n v="0"/>
    <n v="0"/>
    <n v="1.25"/>
    <n v="0.005"/>
    <n v="1"/>
    <n v="0.655"/>
    <n v="0.262"/>
    <m/>
  </r>
  <r>
    <s v="Caja Principal"/>
    <x v="514"/>
    <s v="J409140628"/>
    <s v="DISTRIBUIDORA TODO COMPATIBLE.COM C.A."/>
    <s v="FCLIE/2026/02718"/>
    <d v="2026-07-20T00:00:00"/>
    <n v="2.6"/>
    <x v="4"/>
    <d v="2026-07-14T00:00:00"/>
    <d v="2026-07-20T00:00:00"/>
    <d v="2026-07-14T00:00:00"/>
    <n v="0"/>
    <s v="Contado"/>
    <n v="-6"/>
    <n v="-6"/>
    <n v="100"/>
    <n v="0"/>
    <n v="0"/>
    <n v="1.25"/>
    <n v="0.005"/>
    <n v="1"/>
    <n v="0.0325"/>
    <n v="0.013"/>
    <m/>
  </r>
  <r>
    <s v="Caja Principal"/>
    <x v="515"/>
    <s v="J409140628"/>
    <s v="DISTRIBUIDORA TODO COMPATIBLE.COM C.A."/>
    <s v="FCLIE/2026/02718"/>
    <d v="2026-07-20T00:00:00"/>
    <n v="600"/>
    <x v="4"/>
    <d v="2026-07-20T00:00:00"/>
    <d v="2026-07-20T00:00:00"/>
    <d v="2026-07-20T00:00:00"/>
    <n v="0"/>
    <s v="Contado"/>
    <n v="0"/>
    <n v="0"/>
    <n v="100"/>
    <n v="0"/>
    <n v="0"/>
    <n v="1.25"/>
    <n v="0.005"/>
    <n v="1"/>
    <n v="7.5"/>
    <n v="3"/>
    <m/>
  </r>
  <r>
    <s v="Banco del Caribe  BS"/>
    <x v="516"/>
    <s v="J317376994"/>
    <s v="INVERSIONES EVS TECH, C.A "/>
    <s v="FCLIE/2026/02719"/>
    <d v="2026-07-20T00:00:00"/>
    <n v="75"/>
    <x v="4"/>
    <d v="2026-07-20T00:00:00"/>
    <d v="2026-07-20T00:00:00"/>
    <d v="2026-07-20T00:00:00"/>
    <n v="0"/>
    <s v="Contado"/>
    <n v="0"/>
    <n v="0"/>
    <n v="100"/>
    <n v="0"/>
    <n v="0"/>
    <n v="1.25"/>
    <n v="0.005"/>
    <n v="1"/>
    <n v="0.9375"/>
    <n v="0.375"/>
    <m/>
  </r>
  <r>
    <s v="Caja Principal"/>
    <x v="517"/>
    <s v="J507010872"/>
    <s v="EMPRENDIMIENTO KIMBERLYN MENDEZ"/>
    <s v="FCLIE/2026/02706"/>
    <d v="2026-07-20T00:00:00"/>
    <n v="627"/>
    <x v="4"/>
    <d v="2026-07-21T00:00:00"/>
    <d v="2026-07-20T00:00:00"/>
    <d v="2026-07-21T00:00:00"/>
    <n v="0"/>
    <s v="Contado"/>
    <n v="1"/>
    <n v="1"/>
    <n v="100"/>
    <n v="0"/>
    <n v="0"/>
    <n v="1.25"/>
    <n v="0.005"/>
    <n v="1"/>
    <n v="7.8375"/>
    <n v="3.135"/>
    <m/>
  </r>
  <r>
    <s v="Caja Principal"/>
    <x v="518"/>
    <s v="V131588689"/>
    <s v="EMILIO JOSE GONZALEZ MENDOZA"/>
    <s v="FCLIE/2026/02723"/>
    <d v="2026-07-21T00:00:00"/>
    <n v="100"/>
    <x v="5"/>
    <d v="2026-07-21T00:00:00"/>
    <d v="2026-07-21T00:00:00"/>
    <d v="2026-07-21T00:00:00"/>
    <n v="0"/>
    <s v="Contado"/>
    <n v="0"/>
    <n v="0"/>
    <n v="100"/>
    <n v="0"/>
    <n v="0"/>
    <n v="1.25"/>
    <n v="0.005"/>
    <n v="1"/>
    <n v="1.25"/>
    <n v="0.5"/>
    <m/>
  </r>
  <r>
    <s v="Caja Principal"/>
    <x v="519"/>
    <s v="V094813766"/>
    <s v="PIETRO CHIOMMINO PC NETWORK CONSULTING"/>
    <s v="FCLIE/2026/02727"/>
    <d v="2026-07-21T00:00:00"/>
    <n v="285"/>
    <x v="4"/>
    <d v="2026-07-21T00:00:00"/>
    <d v="2026-07-21T00:00:00"/>
    <d v="2026-07-21T00:00:00"/>
    <n v="0"/>
    <s v="Contado"/>
    <n v="0"/>
    <n v="0"/>
    <n v="100"/>
    <n v="0"/>
    <n v="0"/>
    <n v="1.25"/>
    <n v="0.005"/>
    <n v="1"/>
    <n v="3.5625"/>
    <n v="1.425"/>
    <m/>
  </r>
  <r>
    <s v="Banesco BS. 3049"/>
    <x v="520"/>
    <s v="J316469956"/>
    <s v="SOLUCIONES ADMINISTRATIVAS COBREMEX, C.A"/>
    <s v="FCLIE/2026/02725"/>
    <d v="2026-07-21T00:00:00"/>
    <n v="439"/>
    <x v="3"/>
    <d v="2026-07-21T00:00:00"/>
    <d v="2026-07-21T00:00:00"/>
    <d v="2026-07-21T00:00:00"/>
    <n v="0"/>
    <s v="Contado"/>
    <n v="0"/>
    <n v="0"/>
    <n v="100"/>
    <n v="0"/>
    <n v="0"/>
    <n v="1"/>
    <n v="0.005"/>
    <n v="1"/>
    <n v="4.39"/>
    <n v="2.195"/>
    <m/>
  </r>
  <r>
    <s v="REGIONSBANK"/>
    <x v="521"/>
    <s v="J302120900"/>
    <s v="COPIATODO C A"/>
    <s v="FCLIE/2026/01394"/>
    <d v="2026-05-26T00:00:00"/>
    <n v="872.4"/>
    <x v="0"/>
    <d v="2026-07-03T00:00:00"/>
    <d v="2026-05-26T00:00:00"/>
    <d v="2026-07-03T00:00:00"/>
    <s v="30"/>
    <s v="Credito"/>
    <n v="38"/>
    <n v="8"/>
    <n v="100"/>
    <n v="2"/>
    <n v="0"/>
    <n v="1"/>
    <n v="0.005"/>
    <n v="1"/>
    <n v="8.724"/>
    <n v="4.362"/>
    <m/>
  </r>
  <r>
    <s v="REGIONSBANK"/>
    <x v="521"/>
    <s v="J302120900"/>
    <s v="COPIATODO C A"/>
    <s v="FCLIE/2026/01210"/>
    <d v="2026-05-19T00:00:00"/>
    <n v="3796.52"/>
    <x v="0"/>
    <d v="2026-07-03T00:00:00"/>
    <d v="2026-05-19T00:00:00"/>
    <d v="2026-07-03T00:00:00"/>
    <s v="30"/>
    <s v="Credito"/>
    <n v="45"/>
    <n v="15"/>
    <n v="100"/>
    <n v="2"/>
    <n v="0"/>
    <n v="1"/>
    <n v="0.005"/>
    <n v="1"/>
    <n v="37.9652"/>
    <n v="18.9826"/>
    <m/>
  </r>
  <r>
    <s v="USDT $ "/>
    <x v="522"/>
    <s v="J304709927"/>
    <s v="GALLERY COMPUTER, C.A"/>
    <s v="FCLIE/2026/01894"/>
    <d v="2026-06-12T00:00:00"/>
    <n v="2405"/>
    <x v="3"/>
    <d v="2026-07-21T00:00:00"/>
    <d v="2026-06-12T00:00:00"/>
    <d v="2026-07-21T00:00:00"/>
    <s v="21"/>
    <s v="Credito"/>
    <n v="39"/>
    <n v="18"/>
    <n v="50"/>
    <n v="1"/>
    <n v="0"/>
    <n v="1"/>
    <n v="0.005"/>
    <n v="1"/>
    <n v="12.025"/>
    <n v="12.025"/>
    <m/>
  </r>
  <r>
    <s v="USDT $ "/>
    <x v="522"/>
    <s v="J304709927"/>
    <s v="GALLERY COMPUTER, C.A"/>
    <s v="FCLIE/2026/01896"/>
    <d v="2026-06-12T00:00:00"/>
    <n v="2712.85"/>
    <x v="3"/>
    <d v="2026-07-21T00:00:00"/>
    <d v="2026-06-12T00:00:00"/>
    <d v="2026-07-21T00:00:00"/>
    <s v="21"/>
    <s v="Credito"/>
    <n v="39"/>
    <n v="18"/>
    <n v="50"/>
    <n v="1"/>
    <n v="0"/>
    <n v="1"/>
    <n v="0.005"/>
    <n v="1"/>
    <n v="13.56425"/>
    <n v="13.56425"/>
    <m/>
  </r>
  <r>
    <s v="TRANSITORIA ZELLE"/>
    <x v="523"/>
    <s v="J410815957"/>
    <s v="BUFALO NETWORK, C.A"/>
    <s v="FCLIE/2026/02729"/>
    <d v="2026-07-21T00:00:00"/>
    <n v="447"/>
    <x v="3"/>
    <d v="2026-07-21T00:00:00"/>
    <d v="2026-07-21T00:00:00"/>
    <d v="2026-07-21T00:00:00"/>
    <n v="0"/>
    <s v="Contado"/>
    <n v="0"/>
    <n v="0"/>
    <n v="100"/>
    <n v="0"/>
    <n v="0"/>
    <n v="1"/>
    <n v="0.005"/>
    <n v="1"/>
    <n v="4.47"/>
    <n v="2.235"/>
    <m/>
  </r>
  <r>
    <s v="TRANSITORIA ZELLE"/>
    <x v="524"/>
    <s v="J315714566"/>
    <s v="AL GIORNO CYBER CAFE, C.A"/>
    <s v="FCLIE/2026/01722"/>
    <d v="2026-06-08T00:00:00"/>
    <n v="44508.6"/>
    <x v="5"/>
    <d v="2026-07-21T00:00:00"/>
    <d v="2026-06-08T00:00:00"/>
    <d v="2026-07-21T00:00:00"/>
    <s v="45"/>
    <s v="Credito"/>
    <n v="43"/>
    <n v="-2"/>
    <n v="100"/>
    <n v="1"/>
    <n v="0"/>
    <n v="1"/>
    <n v="0.005"/>
    <n v="1"/>
    <n v="445.086"/>
    <n v="222.543"/>
    <m/>
  </r>
  <r>
    <s v="TRANSITORIA ZELLE"/>
    <x v="524"/>
    <s v="J315714566"/>
    <s v="AL GIORNO CYBER CAFE, C.A"/>
    <s v="FCLIE/2026/01789"/>
    <d v="2026-06-10T00:00:00"/>
    <n v="3180.8"/>
    <x v="5"/>
    <d v="2026-07-21T00:00:00"/>
    <d v="2026-06-10T00:00:00"/>
    <d v="2026-07-21T00:00:00"/>
    <s v="45"/>
    <s v="Credito"/>
    <n v="41"/>
    <n v="-4"/>
    <n v="100"/>
    <n v="1"/>
    <n v="0"/>
    <n v="1"/>
    <n v="0.005"/>
    <n v="1"/>
    <n v="31.808"/>
    <n v="15.904"/>
    <m/>
  </r>
  <r>
    <s v="TRANSITORIA ZELLE"/>
    <x v="524"/>
    <s v="J315714566"/>
    <s v="AL GIORNO CYBER CAFE, C.A"/>
    <s v="FCLIE/2026/02511"/>
    <d v="2026-07-13T00:00:00"/>
    <n v="41.4"/>
    <x v="5"/>
    <d v="2026-07-21T00:00:00"/>
    <d v="2026-07-13T00:00:00"/>
    <d v="2026-07-21T00:00:00"/>
    <s v="45"/>
    <s v="Credito"/>
    <n v="8"/>
    <n v="-37"/>
    <n v="100"/>
    <n v="0"/>
    <n v="0"/>
    <n v="1.25"/>
    <n v="0.005"/>
    <n v="1"/>
    <n v="0.5175"/>
    <n v="0.207"/>
    <m/>
  </r>
  <r>
    <s v="USDT $ "/>
    <x v="471"/>
    <s v="J506775000"/>
    <s v="EMPRENDIMIENTO LAURANAILETH NUÑEZ"/>
    <s v="FCLIE/2026/02697"/>
    <d v="2026-07-20T00:00:00"/>
    <n v="0.9"/>
    <x v="4"/>
    <d v="2026-07-20T00:00:00"/>
    <d v="2026-07-20T00:00:00"/>
    <d v="2026-07-20T00:00:00"/>
    <s v="7"/>
    <s v="Credito"/>
    <n v="0"/>
    <n v="-7"/>
    <n v="100"/>
    <n v="0"/>
    <n v="0"/>
    <n v="1.25"/>
    <n v="0.005"/>
    <n v="1"/>
    <n v="0.01125"/>
    <n v="0.0045"/>
    <m/>
  </r>
  <r>
    <s v="USDT $ "/>
    <x v="525"/>
    <s v="J506775000"/>
    <s v="EMPRENDIMIENTO LAURANAILETH NUÑEZ"/>
    <s v="FCLIE/2026/02697"/>
    <d v="2026-07-20T00:00:00"/>
    <n v="350"/>
    <x v="4"/>
    <d v="2026-07-21T00:00:00"/>
    <d v="2026-07-20T00:00:00"/>
    <d v="2026-07-21T00:00:00"/>
    <s v="7"/>
    <s v="Credito"/>
    <n v="1"/>
    <n v="-6"/>
    <n v="100"/>
    <n v="0"/>
    <n v="0"/>
    <n v="1.25"/>
    <n v="0.005"/>
    <n v="1"/>
    <n v="4.375"/>
    <n v="1.75"/>
    <m/>
  </r>
  <r>
    <s v="USDT $ "/>
    <x v="526"/>
    <s v="J307291184"/>
    <s v="GALLERY COMPUTER, EL TIGRE, C.A"/>
    <s v="FCLIE/2026/01893"/>
    <d v="2026-06-12T00:00:00"/>
    <n v="2405"/>
    <x v="3"/>
    <d v="2026-07-21T00:00:00"/>
    <d v="2026-06-12T00:00:00"/>
    <d v="2026-07-21T00:00:00"/>
    <s v="21"/>
    <s v="Credito"/>
    <n v="39"/>
    <n v="18"/>
    <n v="50"/>
    <n v="1"/>
    <n v="0"/>
    <n v="1"/>
    <n v="0.005"/>
    <n v="1"/>
    <n v="12.025"/>
    <n v="12.025"/>
    <m/>
  </r>
  <r>
    <s v="USDT $ "/>
    <x v="527"/>
    <s v="J295163436"/>
    <s v="SUMINISTROS BASE20, C.A."/>
    <s v="FCLIE/2026/02724"/>
    <d v="2026-07-21T00:00:00"/>
    <n v="130"/>
    <x v="1"/>
    <d v="2026-07-21T00:00:00"/>
    <d v="2026-07-21T00:00:00"/>
    <d v="2026-07-21T00:00:00"/>
    <n v="0"/>
    <s v="Contado"/>
    <n v="0"/>
    <n v="0"/>
    <n v="100"/>
    <n v="0"/>
    <n v="0"/>
    <n v="1"/>
    <n v="0.005"/>
    <n v="1"/>
    <n v="1.3"/>
    <n v="0.65"/>
    <m/>
  </r>
  <r>
    <s v="Banesco BS. 3049"/>
    <x v="528"/>
    <s v="J413030179"/>
    <s v="INVERSIONES LUVSEB8 C.A."/>
    <s v="FCLIE/2026/02731"/>
    <d v="2026-07-21T00:00:00"/>
    <n v="5117.3"/>
    <x v="2"/>
    <d v="2026-07-21T00:00:00"/>
    <d v="2026-07-21T00:00:00"/>
    <d v="2026-07-21T00:00:00"/>
    <n v="0"/>
    <s v="Contado"/>
    <n v="0"/>
    <n v="0"/>
    <n v="100"/>
    <n v="0"/>
    <n v="0"/>
    <n v="1.25"/>
    <n v="0.005"/>
    <n v="1"/>
    <n v="63.96625"/>
    <n v="25.5865"/>
    <m/>
  </r>
  <r>
    <s v="Banco del Caribe  BS"/>
    <x v="529"/>
    <s v="J505119036"/>
    <s v="AVANCOPY CORPORACION, C.A"/>
    <s v="FCLIE/2026/01696"/>
    <d v="2026-06-08T00:00:00"/>
    <n v="6340.68"/>
    <x v="5"/>
    <d v="2026-07-21T00:00:00"/>
    <d v="2026-06-08T00:00:00"/>
    <d v="2026-07-21T00:00:00"/>
    <s v="7"/>
    <s v="Credito"/>
    <n v="43"/>
    <n v="36"/>
    <n v="30"/>
    <n v="1"/>
    <n v="0"/>
    <n v="1"/>
    <n v="0.005"/>
    <n v="1"/>
    <n v="19.02204"/>
    <n v="31.7034"/>
    <m/>
  </r>
  <r>
    <s v="Caja Principal"/>
    <x v="530"/>
    <s v="J408142490"/>
    <s v="SEINTEC, C.A."/>
    <s v="FCLIE/2026/02733"/>
    <d v="2026-07-21T00:00:00"/>
    <n v="187"/>
    <x v="0"/>
    <d v="2026-07-21T00:00:00"/>
    <d v="2026-07-21T00:00:00"/>
    <d v="2026-07-21T00:00:00"/>
    <n v="0"/>
    <s v="Contado"/>
    <n v="0"/>
    <n v="0"/>
    <n v="100"/>
    <n v="0"/>
    <n v="0"/>
    <n v="1.25"/>
    <n v="0.005"/>
    <n v="1"/>
    <n v="2.3375"/>
    <n v="0.935"/>
    <m/>
  </r>
  <r>
    <s v="USDT $ "/>
    <x v="531"/>
    <s v="J313304565"/>
    <s v="INVERSIONES HELP COMPUTER, C. A."/>
    <s v="FCLIE/2026/02151"/>
    <d v="2026-06-23T00:00:00"/>
    <n v="1800"/>
    <x v="1"/>
    <d v="2026-07-21T00:00:00"/>
    <d v="2026-06-23T00:00:00"/>
    <d v="2026-07-21T00:00:00"/>
    <s v="21"/>
    <s v="Credito"/>
    <n v="28"/>
    <n v="7"/>
    <n v="100"/>
    <n v="1"/>
    <n v="0"/>
    <n v="1"/>
    <n v="0.005"/>
    <n v="1"/>
    <n v="18"/>
    <n v="9"/>
    <m/>
  </r>
  <r>
    <s v="Facturas de cliente"/>
    <x v="532"/>
    <s v="J501211450"/>
    <s v="COMPU GAMER, C.A."/>
    <s v="FCLIE/2026/02462"/>
    <d v="2026-07-10T00:00:00"/>
    <n v="805"/>
    <x v="2"/>
    <d v="2026-07-14T00:00:00"/>
    <d v="2026-07-10T00:00:00"/>
    <d v="2026-07-14T00:00:00"/>
    <s v="30"/>
    <s v="Credito"/>
    <n v="4"/>
    <n v="-26"/>
    <n v="100"/>
    <n v="0"/>
    <n v="0"/>
    <n v="1.25"/>
    <n v="0.005"/>
    <n v="1"/>
    <n v="10.0625"/>
    <n v="4.025"/>
    <m/>
  </r>
  <r>
    <s v="USDT $ "/>
    <x v="533"/>
    <s v="J314639935"/>
    <s v="VENESERVICIOS INTEGRALES J.U. C.A."/>
    <s v="FCLIE/2026/02488"/>
    <d v="2026-07-10T00:00:00"/>
    <n v="658.35"/>
    <x v="0"/>
    <d v="2026-07-21T00:00:00"/>
    <d v="2026-07-10T00:00:00"/>
    <d v="2026-07-21T00:00:00"/>
    <s v="7"/>
    <s v="Credito"/>
    <n v="11"/>
    <n v="4"/>
    <n v="100"/>
    <n v="0"/>
    <n v="0"/>
    <n v="1.25"/>
    <n v="0.005"/>
    <n v="1"/>
    <n v="8.229375"/>
    <n v="3.29175"/>
    <m/>
  </r>
  <r>
    <s v="Caja Principal"/>
    <x v="534"/>
    <s v="J413030179"/>
    <s v="INVERSIONES LUVSEB8 C.A."/>
    <s v="FCLIE/2026/02734"/>
    <d v="2026-07-21T00:00:00"/>
    <n v="18000"/>
    <x v="2"/>
    <d v="2026-07-21T00:00:00"/>
    <d v="2026-07-21T00:00:00"/>
    <d v="2026-07-21T00:00:00"/>
    <n v="0"/>
    <s v="Contado"/>
    <n v="0"/>
    <n v="0"/>
    <n v="100"/>
    <n v="0"/>
    <n v="0"/>
    <n v="1.25"/>
    <n v="0.005"/>
    <n v="1"/>
    <n v="225"/>
    <n v="90"/>
    <m/>
  </r>
  <r>
    <s v="USDT $ "/>
    <x v="535"/>
    <s v="J503184515"/>
    <s v="ARYP TECNOPOLIS, C.A"/>
    <s v="FCLIE/2026/02454"/>
    <d v="2026-07-10T00:00:00"/>
    <n v="75.25"/>
    <x v="0"/>
    <d v="2026-07-21T00:00:00"/>
    <d v="2026-07-10T00:00:00"/>
    <d v="2026-07-21T00:00:00"/>
    <s v="15"/>
    <s v="Credito"/>
    <n v="11"/>
    <n v="-4"/>
    <n v="100"/>
    <n v="0"/>
    <n v="0"/>
    <n v="1.25"/>
    <n v="0.005"/>
    <n v="1"/>
    <n v="0.940625"/>
    <n v="0.37625"/>
    <m/>
  </r>
  <r>
    <s v="USDT $ "/>
    <x v="535"/>
    <s v="J503184515"/>
    <s v="ARYP TECNOPOLIS, C.A"/>
    <s v="FCLIE/2026/02579"/>
    <d v="2026-07-15T00:00:00"/>
    <n v="24.75"/>
    <x v="0"/>
    <d v="2026-07-21T00:00:00"/>
    <d v="2026-07-15T00:00:00"/>
    <d v="2026-07-21T00:00:00"/>
    <s v="15"/>
    <s v="Credito"/>
    <n v="6"/>
    <n v="-9"/>
    <n v="100"/>
    <n v="0"/>
    <n v="0"/>
    <n v="1.25"/>
    <n v="0.005"/>
    <n v="1"/>
    <n v="0.309375"/>
    <n v="0.12375"/>
    <m/>
  </r>
  <r>
    <s v="USDT $ "/>
    <x v="536"/>
    <s v="J504140406"/>
    <s v="GRUPO PAPEL D&amp;J,C.A"/>
    <s v="FCLIE/2026/02737"/>
    <d v="2026-07-21T00:00:00"/>
    <n v="210"/>
    <x v="5"/>
    <d v="2026-07-21T00:00:00"/>
    <d v="2026-07-21T00:00:00"/>
    <d v="2026-07-21T00:00:00"/>
    <n v="0"/>
    <s v="Contado"/>
    <n v="0"/>
    <n v="0"/>
    <n v="100"/>
    <n v="0"/>
    <n v="0"/>
    <n v="1.25"/>
    <n v="0.005"/>
    <n v="1"/>
    <n v="2.625"/>
    <n v="1.05"/>
    <m/>
  </r>
  <r>
    <s v="USDT $ "/>
    <x v="537"/>
    <s v="J409807428"/>
    <s v="COMERCIALIZADORA J&amp;M 2016, C.A."/>
    <s v="FCLIE/2026/02647"/>
    <d v="2026-07-17T00:00:00"/>
    <n v="660.25"/>
    <x v="0"/>
    <d v="2026-07-21T00:00:00"/>
    <d v="2026-07-17T00:00:00"/>
    <d v="2026-07-21T00:00:00"/>
    <n v="0"/>
    <s v="Contado"/>
    <n v="4"/>
    <n v="4"/>
    <n v="0"/>
    <n v="0"/>
    <n v="0"/>
    <n v="1.25"/>
    <n v="0.005"/>
    <n v="0"/>
    <n v="0"/>
    <n v="3.30125"/>
    <m/>
  </r>
  <r>
    <s v="Banco del Caribe  BS"/>
    <x v="538"/>
    <s v="J293619866"/>
    <s v="CIUDAD DIGITAL, C.A."/>
    <s v="FCLIE/2026/02030"/>
    <d v="2026-06-18T00:00:00"/>
    <n v="1176.19"/>
    <x v="2"/>
    <d v="2026-07-13T00:00:00"/>
    <d v="2026-06-18T00:00:00"/>
    <d v="2026-07-13T00:00:00"/>
    <s v="30"/>
    <s v="Credito"/>
    <n v="25"/>
    <n v="-5"/>
    <n v="100"/>
    <n v="1"/>
    <n v="0"/>
    <n v="1.25"/>
    <n v="0.005"/>
    <n v="1"/>
    <n v="14.702375"/>
    <n v="5.88095"/>
    <m/>
  </r>
  <r>
    <s v="Banco del Caribe  BS"/>
    <x v="539"/>
    <s v="J293619866"/>
    <s v="CIUDAD DIGITAL, C.A."/>
    <s v="FCLIE/2026/02030"/>
    <d v="2026-06-18T00:00:00"/>
    <n v="1175"/>
    <x v="2"/>
    <d v="2026-07-13T00:00:00"/>
    <d v="2026-06-18T00:00:00"/>
    <d v="2026-07-13T00:00:00"/>
    <s v="30"/>
    <s v="Credito"/>
    <n v="25"/>
    <n v="-5"/>
    <n v="100"/>
    <n v="1"/>
    <n v="0"/>
    <n v="1.25"/>
    <n v="0.005"/>
    <n v="1"/>
    <n v="14.6875"/>
    <n v="5.875"/>
    <m/>
  </r>
  <r>
    <s v="Facturas de cliente"/>
    <x v="540"/>
    <s v="J503643455"/>
    <s v="INVERSIONES JL &amp; M16, C.A."/>
    <s v="FCLIE/2026/02739"/>
    <d v="2026-07-21T00:00:00"/>
    <n v="754"/>
    <x v="1"/>
    <d v="2026-07-21T00:00:00"/>
    <d v="2026-07-21T00:00:00"/>
    <d v="2026-07-21T00:00:00"/>
    <n v="0"/>
    <s v="Contado"/>
    <n v="0"/>
    <n v="0"/>
    <n v="100"/>
    <n v="0"/>
    <n v="0"/>
    <n v="1"/>
    <n v="0.005"/>
    <n v="1"/>
    <n v="7.54"/>
    <n v="3.77"/>
    <m/>
  </r>
  <r>
    <s v="USDT $ "/>
    <x v="541"/>
    <s v="J503643455"/>
    <s v="INVERSIONES JL &amp; M16, C.A."/>
    <s v="FCLIE/2026/02739"/>
    <d v="2026-07-21T00:00:00"/>
    <n v="245.95"/>
    <x v="1"/>
    <d v="2026-07-21T00:00:00"/>
    <d v="2026-07-21T00:00:00"/>
    <d v="2026-07-21T00:00:00"/>
    <n v="0"/>
    <s v="Contado"/>
    <n v="0"/>
    <n v="0"/>
    <n v="100"/>
    <n v="0"/>
    <n v="0"/>
    <n v="1"/>
    <n v="0.005"/>
    <n v="1"/>
    <n v="2.4595"/>
    <n v="1.22975"/>
    <m/>
  </r>
  <r>
    <s v="USDT $ "/>
    <x v="542"/>
    <s v="J308452025"/>
    <s v="OFFICOMP C.A."/>
    <s v="FCLIE/2026/02745"/>
    <d v="2026-07-21T00:00:00"/>
    <n v="110"/>
    <x v="0"/>
    <d v="2026-07-21T00:00:00"/>
    <d v="2026-07-21T00:00:00"/>
    <d v="2026-07-21T00:00:00"/>
    <n v="0"/>
    <s v="Contado"/>
    <n v="0"/>
    <n v="0"/>
    <n v="100"/>
    <n v="0"/>
    <n v="0"/>
    <n v="1.25"/>
    <n v="0.005"/>
    <n v="1"/>
    <n v="1.375"/>
    <n v="0.55"/>
    <m/>
  </r>
  <r>
    <s v="USDT $ "/>
    <x v="543"/>
    <s v="J412312731"/>
    <s v="BEYOND CONTACT CENTER, C.A."/>
    <s v="FCLIE/2026/02747"/>
    <d v="2026-07-21T00:00:00"/>
    <n v="2295.25"/>
    <x v="4"/>
    <d v="2026-07-21T00:00:00"/>
    <d v="2026-07-21T00:00:00"/>
    <d v="2026-07-21T00:00:00"/>
    <n v="0"/>
    <s v="Contado"/>
    <n v="0"/>
    <n v="0"/>
    <n v="100"/>
    <n v="0"/>
    <n v="0"/>
    <n v="1.25"/>
    <n v="0.005"/>
    <n v="1"/>
    <n v="28.690625"/>
    <n v="11.47625"/>
    <m/>
  </r>
  <r>
    <s v="USDT $ "/>
    <x v="544"/>
    <s v="J506775000"/>
    <s v="EMPRENDIMIENTO LAURANAILETH NUÑEZ"/>
    <s v="FCLIE/2026/02697"/>
    <d v="2026-07-20T00:00:00"/>
    <n v="250"/>
    <x v="4"/>
    <d v="2026-07-21T00:00:00"/>
    <d v="2026-07-20T00:00:00"/>
    <d v="2026-07-21T00:00:00"/>
    <s v="7"/>
    <s v="Credito"/>
    <n v="1"/>
    <n v="-6"/>
    <n v="100"/>
    <n v="0"/>
    <n v="0"/>
    <n v="1.25"/>
    <n v="0.005"/>
    <n v="1"/>
    <n v="3.125"/>
    <n v="1.25"/>
    <m/>
  </r>
  <r>
    <s v="USDT $ "/>
    <x v="545"/>
    <s v="J306148973"/>
    <s v="EQUIP OFFICE COMPUTERS, C.A."/>
    <s v="FCLIE/2026/02520"/>
    <d v="2026-07-13T00:00:00"/>
    <n v="1580"/>
    <x v="1"/>
    <d v="2026-07-21T00:00:00"/>
    <d v="2026-07-13T00:00:00"/>
    <d v="2026-07-21T00:00:00"/>
    <s v="21"/>
    <s v="Credito"/>
    <n v="8"/>
    <n v="-13"/>
    <n v="100"/>
    <n v="0"/>
    <n v="0"/>
    <n v="1"/>
    <n v="0.005"/>
    <n v="1"/>
    <n v="15.8"/>
    <n v="7.9"/>
    <m/>
  </r>
  <r>
    <s v="USDT $ "/>
    <x v="546"/>
    <s v="J314683969"/>
    <s v="REPRESENTACIONES PC-SHOP, C.A."/>
    <s v="FCLIE/2026/02744"/>
    <d v="2026-07-21T00:00:00"/>
    <n v="6.6"/>
    <x v="4"/>
    <d v="2026-07-21T00:00:00"/>
    <d v="2026-07-21T00:00:00"/>
    <d v="2026-07-21T00:00:00"/>
    <n v="0"/>
    <s v="Contado"/>
    <n v="0"/>
    <n v="0"/>
    <n v="100"/>
    <n v="0"/>
    <n v="0"/>
    <n v="1.25"/>
    <n v="0.005"/>
    <n v="1"/>
    <n v="0.0825"/>
    <n v="0.033"/>
    <m/>
  </r>
  <r>
    <s v="USDT $ "/>
    <x v="547"/>
    <s v="V27748606"/>
    <s v="SANTIAGO CHAMBUCO"/>
    <s v="FCLIE/2026/02752"/>
    <d v="2026-07-21T00:00:00"/>
    <n v="158"/>
    <x v="5"/>
    <d v="2026-07-21T00:00:00"/>
    <d v="2026-07-21T00:00:00"/>
    <d v="2026-07-21T00:00:00"/>
    <n v="0"/>
    <s v="Contado"/>
    <n v="0"/>
    <n v="0"/>
    <n v="100"/>
    <n v="0"/>
    <n v="0"/>
    <n v="1.25"/>
    <n v="0.005"/>
    <n v="1"/>
    <n v="1.975"/>
    <n v="0.79"/>
    <m/>
  </r>
  <r>
    <s v="Caja Principal"/>
    <x v="548"/>
    <s v="V27748606"/>
    <s v="SANTIAGO CHAMBUCO"/>
    <s v="FCLIE/2026/02752"/>
    <d v="2026-07-21T00:00:00"/>
    <n v="300"/>
    <x v="5"/>
    <d v="2026-07-21T00:00:00"/>
    <d v="2026-07-21T00:00:00"/>
    <d v="2026-07-21T00:00:00"/>
    <n v="0"/>
    <s v="Contado"/>
    <n v="0"/>
    <n v="0"/>
    <n v="100"/>
    <n v="0"/>
    <n v="0"/>
    <n v="1.25"/>
    <n v="0.005"/>
    <n v="1"/>
    <n v="3.75"/>
    <n v="1.5"/>
    <m/>
  </r>
  <r>
    <s v="Banco del Caribe  BS"/>
    <x v="549"/>
    <s v="J298675640"/>
    <s v="COMPUBLIK, C.A."/>
    <s v="FCLIE/2026/02753"/>
    <d v="2026-07-21T00:00:00"/>
    <n v="420"/>
    <x v="1"/>
    <d v="2026-07-21T00:00:00"/>
    <d v="2026-07-21T00:00:00"/>
    <d v="2026-07-21T00:00:00"/>
    <n v="0"/>
    <s v="Contado"/>
    <n v="0"/>
    <n v="0"/>
    <n v="100"/>
    <n v="0"/>
    <n v="0"/>
    <n v="1"/>
    <n v="0.005"/>
    <n v="1"/>
    <n v="4.2"/>
    <n v="2.1"/>
    <m/>
  </r>
  <r>
    <s v="USDT $ "/>
    <x v="550"/>
    <s v="J409975177"/>
    <s v="THE NUMBER ONE MATURIN, C.A."/>
    <s v="FCLIE/2026/02105"/>
    <d v="2026-06-22T00:00:00"/>
    <n v="14497.5"/>
    <x v="0"/>
    <d v="2026-07-21T00:00:00"/>
    <d v="2026-06-22T00:00:00"/>
    <d v="2026-07-21T00:00:00"/>
    <s v="21"/>
    <s v="Credito"/>
    <n v="29"/>
    <n v="8"/>
    <n v="100"/>
    <n v="1"/>
    <n v="0"/>
    <n v="1"/>
    <n v="0.005"/>
    <n v="1"/>
    <n v="144.975"/>
    <n v="72.4875"/>
    <m/>
  </r>
  <r>
    <s v="Banco del Caribe  BS"/>
    <x v="551"/>
    <s v="J505119036"/>
    <s v="AVANCOPY CORPORACION, C.A"/>
    <s v="FCLIE/2026/01696"/>
    <d v="2026-06-08T00:00:00"/>
    <n v="109.32"/>
    <x v="5"/>
    <d v="2026-07-22T00:00:00"/>
    <d v="2026-06-08T00:00:00"/>
    <d v="2026-07-22T00:00:00"/>
    <s v="7"/>
    <s v="Credito"/>
    <n v="44"/>
    <n v="37"/>
    <n v="30"/>
    <n v="1"/>
    <n v="0"/>
    <n v="1"/>
    <n v="0.005"/>
    <n v="1"/>
    <n v="0.32796"/>
    <n v="0.5466"/>
    <m/>
  </r>
  <r>
    <s v="Banco del Caribe  BS"/>
    <x v="552"/>
    <s v="V124354591"/>
    <s v="MEDIOMUNDO COMERCIALIZADORA 2014"/>
    <s v="FCLIE/2026/02763"/>
    <d v="2026-07-22T00:00:00"/>
    <n v="210"/>
    <x v="3"/>
    <d v="2026-07-22T00:00:00"/>
    <d v="2026-07-22T00:00:00"/>
    <d v="2026-07-22T00:00:00"/>
    <n v="0"/>
    <s v="Contado"/>
    <n v="0"/>
    <n v="0"/>
    <n v="100"/>
    <n v="0"/>
    <n v="0"/>
    <n v="1"/>
    <n v="0.005"/>
    <n v="1"/>
    <n v="2.1"/>
    <n v="1.05"/>
    <m/>
  </r>
  <r>
    <s v="USDT $ "/>
    <x v="553"/>
    <s v="J500356196"/>
    <s v="TECHNOSHOP, C.A."/>
    <s v="FCLIE/2026/02270"/>
    <d v="2026-07-03T00:00:00"/>
    <n v="800.1"/>
    <x v="6"/>
    <d v="2026-07-01T00:00:00"/>
    <d v="2026-07-03T00:00:00"/>
    <d v="2026-07-01T00:00:00"/>
    <n v="0"/>
    <s v="Contado"/>
    <n v="-2"/>
    <n v="-2"/>
    <n v="100"/>
    <n v="0"/>
    <n v="0"/>
    <n v="1"/>
    <n v="0.005"/>
    <n v="1"/>
    <n v="8.001"/>
    <n v="4.0005"/>
    <m/>
  </r>
  <r>
    <s v="USDT $ "/>
    <x v="554"/>
    <s v="J500356196"/>
    <s v="TECHNOSHOP, C.A."/>
    <s v="FCLIE/2026/02764"/>
    <d v="2026-07-22T00:00:00"/>
    <n v="630"/>
    <x v="6"/>
    <d v="2026-07-22T00:00:00"/>
    <d v="2026-07-22T00:00:00"/>
    <d v="2026-07-22T00:00:00"/>
    <n v="0"/>
    <s v="Contado"/>
    <n v="0"/>
    <n v="0"/>
    <n v="100"/>
    <n v="0"/>
    <n v="0"/>
    <n v="1"/>
    <n v="0.005"/>
    <n v="1"/>
    <n v="6.3"/>
    <n v="3.15"/>
    <m/>
  </r>
  <r>
    <s v="USDT $ "/>
    <x v="555"/>
    <s v="J405444274"/>
    <s v="MICROBYTE TECHNOLOGY, C.A."/>
    <s v="FCLIE/2026/02759"/>
    <d v="2026-07-22T00:00:00"/>
    <n v="281.25"/>
    <x v="4"/>
    <d v="2026-07-22T00:00:00"/>
    <d v="2026-07-22T00:00:00"/>
    <d v="2026-07-22T00:00:00"/>
    <n v="0"/>
    <s v="Contado"/>
    <n v="0"/>
    <n v="0"/>
    <n v="100"/>
    <n v="0"/>
    <n v="0"/>
    <n v="1.25"/>
    <n v="0.005"/>
    <n v="1"/>
    <n v="3.515625"/>
    <n v="1.40625"/>
    <m/>
  </r>
  <r>
    <s v="USDT $ "/>
    <x v="556"/>
    <s v="J294530338"/>
    <s v="COMERCIALIZADORA DORALIAN C.A"/>
    <s v="FCLIE/2026/02395"/>
    <d v="2026-07-08T00:00:00"/>
    <n v="260"/>
    <x v="5"/>
    <d v="2026-07-22T00:00:00"/>
    <d v="2026-07-08T00:00:00"/>
    <d v="2026-07-22T00:00:00"/>
    <s v="15"/>
    <s v="Credito"/>
    <n v="14"/>
    <n v="-1"/>
    <n v="100"/>
    <n v="0"/>
    <n v="0"/>
    <n v="1.25"/>
    <n v="0.005"/>
    <n v="1"/>
    <n v="3.25"/>
    <n v="1.3"/>
    <m/>
  </r>
  <r>
    <s v="USDT $ "/>
    <x v="557"/>
    <s v="J317298004"/>
    <s v="GALLERY COMPUTER, PZO, C.A"/>
    <s v="FCLIE/2026/01895"/>
    <d v="2026-06-12T00:00:00"/>
    <n v="2405"/>
    <x v="3"/>
    <d v="2026-07-22T00:00:00"/>
    <d v="2026-06-12T00:00:00"/>
    <d v="2026-07-22T00:00:00"/>
    <s v="21"/>
    <s v="Credito"/>
    <n v="40"/>
    <n v="19"/>
    <n v="50"/>
    <n v="1"/>
    <n v="0"/>
    <n v="1"/>
    <n v="0.005"/>
    <n v="1"/>
    <n v="12.025"/>
    <n v="12.025"/>
    <m/>
  </r>
  <r>
    <s v="TRANSITORIA ZELLE"/>
    <x v="558"/>
    <s v="J500962568"/>
    <s v="CORPORACION CATECHNOLOGY, C.A."/>
    <s v="FCLIE/2026/02347"/>
    <d v="2026-07-07T00:00:00"/>
    <n v="947.2"/>
    <x v="4"/>
    <d v="2026-07-22T00:00:00"/>
    <d v="2026-07-07T00:00:00"/>
    <d v="2026-07-22T00:00:00"/>
    <s v="21"/>
    <s v="Credito"/>
    <n v="15"/>
    <n v="-6"/>
    <n v="100"/>
    <n v="0"/>
    <n v="0"/>
    <n v="1.25"/>
    <n v="0.005"/>
    <n v="1"/>
    <n v="11.84"/>
    <n v="4.736"/>
    <m/>
  </r>
  <r>
    <s v="USDT $ "/>
    <x v="559"/>
    <s v="J501211450"/>
    <s v="COMPU GAMER, C.A."/>
    <s v="FCLIE/2026/01668"/>
    <d v="2026-06-05T00:00:00"/>
    <n v="719"/>
    <x v="2"/>
    <d v="2026-07-22T00:00:00"/>
    <d v="2026-06-05T00:00:00"/>
    <d v="2026-07-22T00:00:00"/>
    <s v="30"/>
    <s v="Credito"/>
    <n v="47"/>
    <n v="17"/>
    <n v="50"/>
    <n v="1"/>
    <n v="0"/>
    <n v="1.25"/>
    <n v="0.005"/>
    <n v="1"/>
    <n v="4.49375"/>
    <n v="3.595"/>
    <m/>
  </r>
  <r>
    <s v="USDT $ "/>
    <x v="559"/>
    <s v="J501211450"/>
    <s v="COMPU GAMER, C.A."/>
    <s v="FCLIE/2026/01821"/>
    <d v="2026-06-11T00:00:00"/>
    <n v="1660"/>
    <x v="2"/>
    <d v="2026-07-22T00:00:00"/>
    <d v="2026-06-11T00:00:00"/>
    <d v="2026-07-22T00:00:00"/>
    <s v="30"/>
    <s v="Credito"/>
    <n v="41"/>
    <n v="11"/>
    <n v="100"/>
    <n v="1"/>
    <n v="0"/>
    <n v="1.25"/>
    <n v="0.005"/>
    <n v="1"/>
    <n v="20.75"/>
    <n v="8.3"/>
    <m/>
  </r>
  <r>
    <s v="USDT $ "/>
    <x v="559"/>
    <s v="J501211450"/>
    <s v="COMPU GAMER, C.A."/>
    <s v="FCLIE/2026/01829"/>
    <d v="2026-06-11T00:00:00"/>
    <n v="325.15"/>
    <x v="2"/>
    <d v="2026-07-22T00:00:00"/>
    <d v="2026-06-11T00:00:00"/>
    <d v="2026-07-22T00:00:00"/>
    <s v="30"/>
    <s v="Credito"/>
    <n v="41"/>
    <n v="11"/>
    <n v="100"/>
    <n v="1"/>
    <n v="0"/>
    <n v="1.25"/>
    <n v="0.005"/>
    <n v="1"/>
    <n v="4.064375"/>
    <n v="1.62575"/>
    <m/>
  </r>
  <r>
    <s v="USDT $ "/>
    <x v="559"/>
    <s v="J501211450"/>
    <s v="COMPU GAMER, C.A."/>
    <s v="FCLIE/2026/01839"/>
    <d v="2026-06-11T00:00:00"/>
    <n v="1256.5"/>
    <x v="2"/>
    <d v="2026-07-22T00:00:00"/>
    <d v="2026-06-11T00:00:00"/>
    <d v="2026-07-22T00:00:00"/>
    <s v="30"/>
    <s v="Credito"/>
    <n v="41"/>
    <n v="11"/>
    <n v="100"/>
    <n v="1"/>
    <n v="0"/>
    <n v="1.25"/>
    <n v="0.005"/>
    <n v="1"/>
    <n v="15.70625"/>
    <n v="6.2825"/>
    <m/>
  </r>
  <r>
    <s v="USDT $ "/>
    <x v="559"/>
    <s v="J501211450"/>
    <s v="COMPU GAMER, C.A."/>
    <s v="FCLIE/2026/01491"/>
    <d v="2026-05-29T00:00:00"/>
    <n v="2386.8"/>
    <x v="2"/>
    <d v="2026-07-22T00:00:00"/>
    <d v="2026-05-29T00:00:00"/>
    <d v="2026-07-22T00:00:00"/>
    <s v="30"/>
    <s v="Credito"/>
    <n v="54"/>
    <n v="24"/>
    <n v="50"/>
    <n v="2"/>
    <n v="0"/>
    <n v="1"/>
    <n v="0.005"/>
    <n v="1"/>
    <n v="11.934"/>
    <n v="11.934"/>
    <m/>
  </r>
  <r>
    <s v="USDT $ "/>
    <x v="560"/>
    <s v="J400066360"/>
    <s v="PUBLI EVENTOS FLASH, C.A"/>
    <s v="FCLIE/2026/02770"/>
    <d v="2026-07-22T00:00:00"/>
    <n v="1195.78"/>
    <x v="0"/>
    <d v="2026-07-22T00:00:00"/>
    <d v="2026-07-22T00:00:00"/>
    <d v="2026-07-22T00:00:00"/>
    <n v="0"/>
    <s v="Contado"/>
    <n v="0"/>
    <n v="0"/>
    <n v="100"/>
    <n v="0"/>
    <n v="0"/>
    <n v="1.25"/>
    <n v="0.005"/>
    <n v="1"/>
    <n v="14.94725"/>
    <n v="5.9789"/>
    <m/>
  </r>
  <r>
    <s v="USDT $ "/>
    <x v="561"/>
    <s v="J506775000"/>
    <s v="EMPRENDIMIENTO LAURANAILETH NUÑEZ"/>
    <s v="FCLIE/2026/02697"/>
    <d v="2026-07-20T00:00:00"/>
    <n v="53"/>
    <x v="4"/>
    <d v="2026-07-22T00:00:00"/>
    <d v="2026-07-20T00:00:00"/>
    <d v="2026-07-22T00:00:00"/>
    <s v="7"/>
    <s v="Credito"/>
    <n v="2"/>
    <n v="-5"/>
    <n v="100"/>
    <n v="0"/>
    <n v="0"/>
    <n v="1.25"/>
    <n v="0.005"/>
    <n v="1"/>
    <n v="0.6625"/>
    <n v="0.265"/>
    <m/>
  </r>
  <r>
    <s v="USDT $ "/>
    <x v="562"/>
    <s v="J406984957"/>
    <s v="INDUSTRIAS JAI, C.A."/>
    <s v="FCLIE/2026/02774"/>
    <d v="2026-07-22T00:00:00"/>
    <n v="266"/>
    <x v="3"/>
    <d v="2026-07-22T00:00:00"/>
    <d v="2026-07-22T00:00:00"/>
    <d v="2026-07-22T00:00:00"/>
    <n v="0"/>
    <s v="Contado"/>
    <n v="0"/>
    <n v="0"/>
    <n v="100"/>
    <n v="0"/>
    <n v="0"/>
    <n v="1"/>
    <n v="0.005"/>
    <n v="1"/>
    <n v="2.66"/>
    <n v="1.33"/>
    <m/>
  </r>
  <r>
    <s v="USDT $ "/>
    <x v="563"/>
    <s v="J405318759"/>
    <s v="INVERSIONES COMPUSTAR 3000, C.A"/>
    <s v="FCLIE/2026/02773"/>
    <d v="2026-07-22T00:00:00"/>
    <n v="630"/>
    <x v="5"/>
    <d v="2026-07-22T00:00:00"/>
    <d v="2026-07-22T00:00:00"/>
    <d v="2026-07-22T00:00:00"/>
    <n v="0"/>
    <s v="Contado"/>
    <n v="0"/>
    <n v="0"/>
    <n v="100"/>
    <n v="0"/>
    <n v="0"/>
    <n v="1.25"/>
    <n v="0.005"/>
    <n v="1"/>
    <n v="7.875"/>
    <n v="3.15"/>
    <m/>
  </r>
  <r>
    <s v="USDT $ "/>
    <x v="564"/>
    <s v="J502597220"/>
    <s v="MEGA CENTER TECNOLOGIA E INNOVACION C.A. (MEGA CENTER TECNOLOGIA E INNOVACION C.A.)"/>
    <s v="FCLIE/2026/02083"/>
    <d v="2026-06-22T00:00:00"/>
    <n v="3838.35"/>
    <x v="6"/>
    <d v="2026-07-22T00:00:00"/>
    <d v="2026-06-22T00:00:00"/>
    <d v="2026-07-22T00:00:00"/>
    <s v="15"/>
    <s v="Credito"/>
    <n v="30"/>
    <n v="15"/>
    <n v="100"/>
    <n v="1"/>
    <n v="0"/>
    <n v="1"/>
    <n v="0.005"/>
    <n v="1"/>
    <n v="38.3835"/>
    <n v="19.19175"/>
    <m/>
  </r>
  <r>
    <s v="Caja Principal"/>
    <x v="565"/>
    <s v="J314683969"/>
    <s v="REPRESENTACIONES PC-SHOP, C.A."/>
    <s v="FCLIE/2026/02744"/>
    <d v="2026-07-21T00:00:00"/>
    <n v="100"/>
    <x v="4"/>
    <d v="2026-07-22T00:00:00"/>
    <d v="2026-07-21T00:00:00"/>
    <d v="2026-07-22T00:00:00"/>
    <n v="0"/>
    <s v="Contado"/>
    <n v="1"/>
    <n v="1"/>
    <n v="100"/>
    <n v="0"/>
    <n v="0"/>
    <n v="1.25"/>
    <n v="0.005"/>
    <n v="1"/>
    <n v="1.25"/>
    <n v="0.5"/>
    <m/>
  </r>
  <r>
    <s v="Caja Principal"/>
    <x v="566"/>
    <s v="J312271698"/>
    <s v="GRUPO CORE ITECH 2023 C.A."/>
    <s v="FCLIE/2026/01080"/>
    <d v="2026-05-13T00:00:00"/>
    <n v="4.82"/>
    <x v="1"/>
    <d v="2026-07-22T00:00:00"/>
    <d v="2026-05-13T00:00:00"/>
    <d v="2026-07-22T00:00:00"/>
    <s v="30"/>
    <s v="Credito"/>
    <n v="70"/>
    <n v="40"/>
    <n v="30"/>
    <n v="2"/>
    <n v="0"/>
    <n v="1"/>
    <n v="0.005"/>
    <n v="0"/>
    <n v="0"/>
    <n v="0.0241"/>
    <m/>
  </r>
  <r>
    <s v="Caja Principal"/>
    <x v="567"/>
    <s v="J501018740"/>
    <s v="INFRASOFT TECNOLOGIAS, C.A."/>
    <s v="FCLIE/2026/02757"/>
    <d v="2026-07-22T00:00:00"/>
    <n v="930"/>
    <x v="4"/>
    <d v="2026-07-22T00:00:00"/>
    <d v="2026-07-22T00:00:00"/>
    <d v="2026-07-22T00:00:00"/>
    <n v="0"/>
    <s v="Contado"/>
    <n v="0"/>
    <n v="0"/>
    <n v="100"/>
    <n v="0"/>
    <n v="0"/>
    <n v="1.25"/>
    <n v="0.005"/>
    <n v="1"/>
    <n v="11.625"/>
    <n v="4.65"/>
    <m/>
  </r>
  <r>
    <s v="USDT $ "/>
    <x v="568"/>
    <s v="J505714490"/>
    <s v="COMERCIALIZADORA TS MOVIL 2024, C.A"/>
    <s v="FCLIE/2026/02742"/>
    <d v="2026-07-21T00:00:00"/>
    <n v="1217.58"/>
    <x v="1"/>
    <d v="2026-07-22T00:00:00"/>
    <d v="2026-07-21T00:00:00"/>
    <d v="2026-07-22T00:00:00"/>
    <n v="0"/>
    <s v="Contado"/>
    <n v="1"/>
    <n v="1"/>
    <n v="100"/>
    <n v="0"/>
    <n v="0"/>
    <n v="1"/>
    <n v="0.005"/>
    <n v="1"/>
    <n v="12.1758"/>
    <n v="6.0879"/>
    <m/>
  </r>
  <r>
    <s v="USDT $ "/>
    <x v="569"/>
    <s v="J505714490"/>
    <s v="COMERCIALIZADORA TS MOVIL 2024, C.A"/>
    <s v="FCLIE/2026/02742"/>
    <d v="2026-07-21T00:00:00"/>
    <n v="100"/>
    <x v="1"/>
    <d v="2026-07-22T00:00:00"/>
    <d v="2026-07-21T00:00:00"/>
    <d v="2026-07-22T00:00:00"/>
    <n v="0"/>
    <s v="Contado"/>
    <n v="1"/>
    <n v="1"/>
    <n v="100"/>
    <n v="0"/>
    <n v="0"/>
    <n v="1"/>
    <n v="0.005"/>
    <n v="1"/>
    <n v="1"/>
    <n v="0.5"/>
    <m/>
  </r>
  <r>
    <s v="Banco del Caribe  BS"/>
    <x v="570"/>
    <s v="J405807598"/>
    <s v="SIGMATECH GROUP, C.A."/>
    <s v="FCLIE/2026/02777"/>
    <d v="2026-07-22T00:00:00"/>
    <n v="210"/>
    <x v="5"/>
    <d v="2026-07-22T00:00:00"/>
    <d v="2026-07-22T00:00:00"/>
    <d v="2026-07-22T00:00:00"/>
    <n v="0"/>
    <s v="Contado"/>
    <n v="0"/>
    <n v="0"/>
    <n v="100"/>
    <n v="0"/>
    <n v="0"/>
    <n v="1.25"/>
    <n v="0.005"/>
    <n v="1"/>
    <n v="2.625"/>
    <n v="1.05"/>
    <m/>
  </r>
  <r>
    <s v="USDT $ "/>
    <x v="571"/>
    <s v="J507602621"/>
    <s v="THE FACTORY TECH, C.A"/>
    <s v="FCLIE/2026/01542"/>
    <d v="2026-06-02T00:00:00"/>
    <n v="430"/>
    <x v="0"/>
    <d v="2026-07-22T00:00:00"/>
    <d v="2026-06-02T00:00:00"/>
    <d v="2026-07-22T00:00:00"/>
    <s v="15"/>
    <s v="Credito"/>
    <n v="50"/>
    <n v="35"/>
    <n v="30"/>
    <n v="1"/>
    <n v="0"/>
    <n v="1"/>
    <n v="0.005"/>
    <n v="1"/>
    <n v="1.29"/>
    <n v="2.15"/>
    <m/>
  </r>
  <r>
    <s v="USDT $ "/>
    <x v="571"/>
    <s v="J507602621"/>
    <s v="THE FACTORY TECH, C.A"/>
    <s v="FCLIE/2026/01632"/>
    <d v="2026-06-04T00:00:00"/>
    <n v="481"/>
    <x v="0"/>
    <d v="2026-07-22T00:00:00"/>
    <d v="2026-06-04T00:00:00"/>
    <d v="2026-07-22T00:00:00"/>
    <s v="15"/>
    <s v="Credito"/>
    <n v="48"/>
    <n v="33"/>
    <n v="30"/>
    <n v="1"/>
    <n v="0"/>
    <n v="1"/>
    <n v="0.005"/>
    <n v="1"/>
    <n v="1.443"/>
    <n v="2.405"/>
    <m/>
  </r>
  <r>
    <s v="Caja Principal"/>
    <x v="572"/>
    <s v="J406699128"/>
    <s v="DIGITAL BLESS, C.A."/>
    <s v="FCLIE/2026/02608"/>
    <d v="2026-07-16T00:00:00"/>
    <n v="700"/>
    <x v="3"/>
    <d v="2026-07-22T00:00:00"/>
    <d v="2026-07-16T00:00:00"/>
    <d v="2026-07-22T00:00:00"/>
    <s v="21"/>
    <s v="Credito"/>
    <n v="6"/>
    <n v="-15"/>
    <n v="100"/>
    <n v="0"/>
    <n v="0"/>
    <n v="1"/>
    <n v="0.005"/>
    <n v="1"/>
    <n v="7"/>
    <n v="3.5"/>
    <m/>
  </r>
  <r>
    <s v="REGIONSBANK"/>
    <x v="573"/>
    <s v="J301675002"/>
    <s v="CENCOMUN VIDEO C A"/>
    <s v="FCLIE/2026/02084"/>
    <d v="2026-06-22T00:00:00"/>
    <n v="275.7"/>
    <x v="6"/>
    <d v="2026-07-22T00:00:00"/>
    <d v="2026-06-22T00:00:00"/>
    <d v="2026-07-22T00:00:00"/>
    <s v="15"/>
    <s v="Credito"/>
    <n v="30"/>
    <n v="15"/>
    <n v="100"/>
    <n v="1"/>
    <n v="0"/>
    <n v="1"/>
    <n v="0.005"/>
    <n v="1"/>
    <n v="2.757"/>
    <n v="1.3785"/>
    <m/>
  </r>
  <r>
    <s v="REGIONSBANK"/>
    <x v="573"/>
    <s v="J301675002"/>
    <s v="CENCOMUN VIDEO C A"/>
    <s v="FCLIE/2026/02102"/>
    <d v="2026-06-22T00:00:00"/>
    <n v="1224.3"/>
    <x v="6"/>
    <d v="2026-07-22T00:00:00"/>
    <d v="2026-06-22T00:00:00"/>
    <d v="2026-07-22T00:00:00"/>
    <s v="15"/>
    <s v="Credito"/>
    <n v="30"/>
    <n v="15"/>
    <n v="100"/>
    <n v="1"/>
    <n v="0"/>
    <n v="1"/>
    <n v="0.005"/>
    <n v="1"/>
    <n v="12.243"/>
    <n v="6.1215"/>
    <m/>
  </r>
  <r>
    <s v="REGIONSBANK"/>
    <x v="574"/>
    <s v="J315733170"/>
    <s v="INVERSIONES AVEL DRIVE,C.A."/>
    <s v="FCLIE/2026/02327"/>
    <d v="2026-07-06T00:00:00"/>
    <n v="294"/>
    <x v="3"/>
    <d v="2026-07-22T00:00:00"/>
    <d v="2026-07-06T00:00:00"/>
    <d v="2026-07-22T00:00:00"/>
    <n v="0"/>
    <s v="Contado"/>
    <n v="16"/>
    <n v="16"/>
    <n v="0"/>
    <n v="0"/>
    <n v="0"/>
    <n v="1"/>
    <n v="0.005"/>
    <n v="0"/>
    <n v="0"/>
    <n v="1.47"/>
    <m/>
  </r>
  <r>
    <s v="REGIONSBANK"/>
    <x v="575"/>
    <s v="J299174564"/>
    <s v="JANSCAR SUPPLY, C. A."/>
    <s v="FCLIE/2026/02221"/>
    <d v="2026-07-01T00:00:00"/>
    <n v="5663"/>
    <x v="1"/>
    <d v="2026-07-22T00:00:00"/>
    <d v="2026-07-01T00:00:00"/>
    <d v="2026-07-22T00:00:00"/>
    <n v="0"/>
    <s v="Contado"/>
    <n v="21"/>
    <n v="21"/>
    <n v="0"/>
    <n v="0"/>
    <n v="0"/>
    <n v="1"/>
    <n v="0.005"/>
    <n v="0"/>
    <n v="0"/>
    <n v="28.315"/>
    <m/>
  </r>
  <r>
    <s v="REGIONSBANK"/>
    <x v="575"/>
    <s v="J299174564"/>
    <s v="JANSCAR SUPPLY, C. A."/>
    <s v="FCLIE/2026/02227"/>
    <d v="2026-07-02T00:00:00"/>
    <n v="480"/>
    <x v="1"/>
    <d v="2026-07-22T00:00:00"/>
    <d v="2026-07-02T00:00:00"/>
    <d v="2026-07-22T00:00:00"/>
    <s v="15"/>
    <s v="Credito"/>
    <n v="20"/>
    <n v="5"/>
    <n v="100"/>
    <n v="0"/>
    <n v="0"/>
    <n v="1"/>
    <n v="0.005"/>
    <n v="1"/>
    <n v="4.8"/>
    <n v="2.4"/>
    <m/>
  </r>
  <r>
    <s v="REGIONSBANK"/>
    <x v="575"/>
    <s v="J299174564"/>
    <s v="JANSCAR SUPPLY, C. A."/>
    <s v="FCLIE/2026/02229"/>
    <d v="2026-07-02T00:00:00"/>
    <n v="568"/>
    <x v="1"/>
    <d v="2026-07-22T00:00:00"/>
    <d v="2026-07-02T00:00:00"/>
    <d v="2026-07-22T00:00:00"/>
    <s v="15"/>
    <s v="Credito"/>
    <n v="20"/>
    <n v="5"/>
    <n v="100"/>
    <n v="0"/>
    <n v="0"/>
    <n v="1"/>
    <n v="0.005"/>
    <n v="1"/>
    <n v="5.68"/>
    <n v="2.84"/>
    <m/>
  </r>
  <r>
    <s v="Banco del Caribe  BS"/>
    <x v="576"/>
    <s v="J298173254"/>
    <s v="INVERSIONES COMPUMAR 2030 C.A."/>
    <s v="FCLIE/2026/02778"/>
    <d v="2026-07-22T00:00:00"/>
    <n v="107"/>
    <x v="3"/>
    <d v="2026-07-22T00:00:00"/>
    <d v="2026-07-22T00:00:00"/>
    <d v="2026-07-22T00:00:00"/>
    <n v="0"/>
    <s v="Contado"/>
    <n v="0"/>
    <n v="0"/>
    <n v="100"/>
    <n v="0"/>
    <n v="0"/>
    <n v="1"/>
    <n v="0.005"/>
    <n v="1"/>
    <n v="1.07"/>
    <n v="0.535"/>
    <m/>
  </r>
  <r>
    <s v="Facturas de cliente"/>
    <x v="577"/>
    <s v="J294315356"/>
    <s v="CORPORACION ROCIEL CA"/>
    <s v="FCLIE/2026/02756"/>
    <d v="2026-07-21T00:00:00"/>
    <n v="295.8"/>
    <x v="0"/>
    <d v="2026-07-22T00:00:00"/>
    <d v="2026-07-21T00:00:00"/>
    <d v="2026-07-22T00:00:00"/>
    <s v="45"/>
    <s v="Credito"/>
    <n v="1"/>
    <n v="-44"/>
    <n v="100"/>
    <n v="0"/>
    <n v="0"/>
    <n v="1.25"/>
    <n v="0.005"/>
    <n v="1"/>
    <n v="3.6975"/>
    <n v="1.479"/>
    <m/>
  </r>
  <r>
    <s v="Banco del Caribe  BS"/>
    <x v="578"/>
    <s v="J293619866"/>
    <s v="CIUDAD DIGITAL, C.A."/>
    <s v="FCLIE/2026/02031"/>
    <d v="2026-06-18T00:00:00"/>
    <n v="480"/>
    <x v="2"/>
    <d v="2026-07-22T00:00:00"/>
    <d v="2026-06-18T00:00:00"/>
    <d v="2026-07-22T00:00:00"/>
    <s v="30"/>
    <s v="Credito"/>
    <n v="34"/>
    <n v="4"/>
    <n v="100"/>
    <n v="1"/>
    <n v="0"/>
    <n v="1.25"/>
    <n v="0.005"/>
    <n v="1"/>
    <n v="6"/>
    <n v="2.4"/>
    <m/>
  </r>
  <r>
    <s v="Banco del Caribe  BS"/>
    <x v="578"/>
    <s v="J293619866"/>
    <s v="CIUDAD DIGITAL, C.A."/>
    <s v="FCLIE/2026/02113"/>
    <d v="2026-06-22T00:00:00"/>
    <n v="642.47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8.030875"/>
    <n v="3.21235"/>
    <m/>
  </r>
  <r>
    <s v="Banco del Caribe  BS"/>
    <x v="579"/>
    <s v="J293619866"/>
    <s v="CIUDAD DIGITAL, C.A."/>
    <s v="FCLIE/2026/02113"/>
    <d v="2026-06-22T00:00:00"/>
    <n v="1121.35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4.016875"/>
    <n v="5.60675"/>
    <m/>
  </r>
  <r>
    <s v="Banco del Caribe  BS"/>
    <x v="580"/>
    <s v="J293619866"/>
    <s v="CIUDAD DIGITAL, C.A."/>
    <s v="FCLIE/2026/02113"/>
    <d v="2026-06-22T00:00:00"/>
    <n v="1120.22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4.00275"/>
    <n v="5.6011"/>
    <m/>
  </r>
  <r>
    <s v="Banco del Caribe  BS"/>
    <x v="581"/>
    <s v="J293619866"/>
    <s v="CIUDAD DIGITAL, C.A."/>
    <s v="FCLIE/2026/02113"/>
    <d v="2026-06-22T00:00:00"/>
    <n v="1119.1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3.98875"/>
    <n v="5.5955"/>
    <m/>
  </r>
  <r>
    <s v="Banco del Caribe  BS"/>
    <x v="582"/>
    <s v="J293619866"/>
    <s v="CIUDAD DIGITAL, C.A."/>
    <s v="FCLIE/2026/02113"/>
    <d v="2026-06-22T00:00:00"/>
    <n v="1117.98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3.97475"/>
    <n v="5.5899"/>
    <m/>
  </r>
  <r>
    <s v="Banco del Caribe  BS"/>
    <x v="583"/>
    <s v="J293619866"/>
    <s v="CIUDAD DIGITAL, C.A."/>
    <s v="FCLIE/2026/02113"/>
    <d v="2026-06-22T00:00:00"/>
    <n v="1116.85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3.960625"/>
    <n v="5.58425"/>
    <m/>
  </r>
  <r>
    <s v="Banco del Caribe  BS"/>
    <x v="584"/>
    <s v="J293619866"/>
    <s v="CIUDAD DIGITAL, C.A."/>
    <s v="FCLIE/2026/02113"/>
    <d v="2026-06-22T00:00:00"/>
    <n v="898.88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1.236"/>
    <n v="4.4944"/>
    <m/>
  </r>
  <r>
    <s v="Banco del Caribe  BS"/>
    <x v="585"/>
    <s v="J293619866"/>
    <s v="CIUDAD DIGITAL, C.A."/>
    <s v="FCLIE/2026/02113"/>
    <d v="2026-06-22T00:00:00"/>
    <n v="853.93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0.674125"/>
    <n v="4.26965"/>
    <m/>
  </r>
  <r>
    <s v="Banco del Caribe  BS"/>
    <x v="586"/>
    <s v="J293619866"/>
    <s v="CIUDAD DIGITAL, C.A."/>
    <s v="FCLIE/2026/02113"/>
    <d v="2026-06-22T00:00:00"/>
    <n v="1084.27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13.553375"/>
    <n v="5.42135"/>
    <m/>
  </r>
  <r>
    <s v="Banco del Caribe  BS"/>
    <x v="587"/>
    <s v="J293619866"/>
    <s v="CIUDAD DIGITAL, C.A."/>
    <s v="FCLIE/2026/02113"/>
    <d v="2026-06-22T00:00:00"/>
    <n v="44.94"/>
    <x v="2"/>
    <d v="2026-07-22T00:00:00"/>
    <d v="2026-06-22T00:00:00"/>
    <d v="2026-07-22T00:00:00"/>
    <s v="30"/>
    <s v="Credito"/>
    <n v="30"/>
    <n v="0"/>
    <n v="100"/>
    <n v="1"/>
    <n v="0"/>
    <n v="1.25"/>
    <n v="0.005"/>
    <n v="1"/>
    <n v="0.56175"/>
    <n v="0.2247"/>
    <m/>
  </r>
  <r>
    <s v="Banco del Caribe  BS"/>
    <x v="588"/>
    <s v="J405260300"/>
    <s v="GRUPO ECO PAPELERO MJ, C.A"/>
    <s v="FCLIE/2026/02790"/>
    <d v="2026-07-22T00:00:00"/>
    <n v="75"/>
    <x v="0"/>
    <d v="2026-07-22T00:00:00"/>
    <d v="2026-07-22T00:00:00"/>
    <d v="2026-07-22T00:00:00"/>
    <n v="0"/>
    <s v="Contado"/>
    <n v="0"/>
    <n v="0"/>
    <n v="100"/>
    <n v="0"/>
    <n v="0"/>
    <n v="1.25"/>
    <n v="0.005"/>
    <n v="1"/>
    <n v="0.9375"/>
    <n v="0.375"/>
    <m/>
  </r>
  <r>
    <s v="USDT $ "/>
    <x v="589"/>
    <s v="J506775000"/>
    <s v="EMPRENDIMIENTO LAURANAILETH NUÑEZ"/>
    <s v="FCLIE/2026/02697"/>
    <d v="2026-07-20T00:00:00"/>
    <n v="832.45"/>
    <x v="4"/>
    <d v="2026-07-23T00:00:00"/>
    <d v="2026-07-20T00:00:00"/>
    <d v="2026-07-23T00:00:00"/>
    <s v="7"/>
    <s v="Credito"/>
    <n v="3"/>
    <n v="-4"/>
    <n v="100"/>
    <n v="0"/>
    <n v="0"/>
    <n v="1.25"/>
    <n v="0.005"/>
    <n v="1"/>
    <n v="10.405625"/>
    <n v="4.16225"/>
    <m/>
  </r>
  <r>
    <s v="USDT $ "/>
    <x v="589"/>
    <s v="J506775000"/>
    <s v="EMPRENDIMIENTO LAURANAILETH NUÑEZ"/>
    <s v="FCLIE/2026/02743"/>
    <d v="2026-07-21T00:00:00"/>
    <n v="267.55"/>
    <x v="4"/>
    <d v="2026-07-23T00:00:00"/>
    <d v="2026-07-21T00:00:00"/>
    <d v="2026-07-23T00:00:00"/>
    <s v="7"/>
    <s v="Credito"/>
    <n v="2"/>
    <n v="-5"/>
    <n v="100"/>
    <n v="0"/>
    <n v="0"/>
    <n v="1.25"/>
    <n v="0.005"/>
    <n v="1"/>
    <n v="3.344375"/>
    <n v="1.33775"/>
    <m/>
  </r>
  <r>
    <s v="USDT $ "/>
    <x v="590"/>
    <s v="J500574665"/>
    <s v="TECNOLOGIA JASPE, C. A."/>
    <s v="FCLIE/2026/02235"/>
    <d v="2026-07-02T00:00:00"/>
    <n v="235"/>
    <x v="1"/>
    <d v="2026-07-23T00:00:00"/>
    <d v="2026-07-02T00:00:00"/>
    <d v="2026-07-23T00:00:00"/>
    <s v="15"/>
    <s v="Credito"/>
    <n v="21"/>
    <n v="6"/>
    <n v="100"/>
    <n v="0"/>
    <n v="0"/>
    <n v="1"/>
    <n v="0.005"/>
    <n v="1"/>
    <n v="2.35"/>
    <n v="1.175"/>
    <m/>
  </r>
  <r>
    <s v="Banco del Caribe  BS"/>
    <x v="591"/>
    <s v="J405044535"/>
    <s v="CONSUMIBLES 0326, C.A."/>
    <s v="FCLIE/2026/02796"/>
    <d v="2026-07-23T00:00:00"/>
    <n v="510"/>
    <x v="3"/>
    <d v="2026-07-23T00:00:00"/>
    <d v="2026-07-23T00:00:00"/>
    <d v="2026-07-23T00:00:00"/>
    <n v="0"/>
    <s v="Contado"/>
    <n v="0"/>
    <n v="0"/>
    <n v="100"/>
    <n v="0"/>
    <n v="0"/>
    <n v="1"/>
    <n v="0.005"/>
    <n v="1"/>
    <n v="5.1"/>
    <n v="2.55"/>
    <m/>
  </r>
  <r>
    <s v="USDT $ "/>
    <x v="592"/>
    <s v="V250773192"/>
    <s v="CARLOS MARIO PARRA SUAREZ"/>
    <s v="FCLIE/2026/02783"/>
    <d v="2026-07-22T00:00:00"/>
    <n v="176.1"/>
    <x v="6"/>
    <d v="2026-07-22T00:00:00"/>
    <d v="2026-07-22T00:00:00"/>
    <d v="2026-07-22T00:00:00"/>
    <n v="0"/>
    <s v="Contado"/>
    <n v="0"/>
    <n v="0"/>
    <n v="100"/>
    <n v="0"/>
    <n v="0"/>
    <n v="1"/>
    <n v="0.005"/>
    <n v="1"/>
    <n v="1.761"/>
    <n v="0.8805"/>
    <m/>
  </r>
  <r>
    <s v="USDT $ "/>
    <x v="593"/>
    <s v="J503702494"/>
    <s v="MULTIPC CORP, C.A"/>
    <s v="FCLIE/2026/02787"/>
    <d v="2026-07-22T00:00:00"/>
    <n v="45.2"/>
    <x v="4"/>
    <d v="2026-07-23T00:00:00"/>
    <d v="2026-07-22T00:00:00"/>
    <d v="2026-07-23T00:00:00"/>
    <n v="0"/>
    <s v="Contado"/>
    <n v="1"/>
    <n v="1"/>
    <n v="100"/>
    <n v="0"/>
    <n v="0"/>
    <n v="1.25"/>
    <n v="0.005"/>
    <n v="1"/>
    <n v="0.565"/>
    <n v="0.226"/>
    <m/>
  </r>
  <r>
    <s v="USDT $ "/>
    <x v="594"/>
    <s v="V135011548"/>
    <s v="JOSE GREGORIO HIDALGO SALAS"/>
    <s v="FCLIE/2026/02791"/>
    <d v="2026-07-22T00:00:00"/>
    <n v="568"/>
    <x v="6"/>
    <d v="2026-07-23T00:00:00"/>
    <d v="2026-07-22T00:00:00"/>
    <d v="2026-07-23T00:00:00"/>
    <n v="0"/>
    <s v="Contado"/>
    <n v="1"/>
    <n v="1"/>
    <n v="100"/>
    <n v="0"/>
    <n v="0"/>
    <n v="1"/>
    <n v="0.005"/>
    <n v="1"/>
    <n v="5.68"/>
    <n v="2.84"/>
    <m/>
  </r>
  <r>
    <s v="Banco del Caribe  BS"/>
    <x v="595"/>
    <s v="J506426331"/>
    <s v="DISTRIBUIDORA COMPU TONER 3000, C.A."/>
    <s v="FCLIE/2026/02287"/>
    <d v="2026-07-03T00:00:00"/>
    <n v="194"/>
    <x v="1"/>
    <d v="2026-07-23T00:00:00"/>
    <d v="2026-07-03T00:00:00"/>
    <d v="2026-07-23T00:00:00"/>
    <s v="15"/>
    <s v="Credito"/>
    <n v="20"/>
    <n v="5"/>
    <n v="100"/>
    <n v="0"/>
    <n v="0"/>
    <n v="1"/>
    <n v="0.005"/>
    <n v="1"/>
    <n v="1.94"/>
    <n v="0.97"/>
    <m/>
  </r>
  <r>
    <s v="Banesco BS. 3049"/>
    <x v="596"/>
    <s v="J401000061"/>
    <s v="IMPREPAL SOLUTIONS, C.A."/>
    <s v="FCLIE/2026/02728"/>
    <d v="2026-07-21T00:00:00"/>
    <n v="225"/>
    <x v="0"/>
    <d v="2026-07-20T00:00:00"/>
    <d v="2026-07-21T00:00:00"/>
    <d v="2026-07-20T00:00:00"/>
    <s v="15"/>
    <s v="Credito"/>
    <n v="-1"/>
    <n v="-16"/>
    <n v="100"/>
    <n v="0"/>
    <n v="0"/>
    <n v="1.25"/>
    <n v="0.005"/>
    <n v="1"/>
    <n v="2.8125"/>
    <n v="1.125"/>
    <m/>
  </r>
  <r>
    <s v="Caja Principal"/>
    <x v="429"/>
    <s v="J507010872"/>
    <s v="EMPRENDIMIENTO KIMBERLYN MENDEZ"/>
    <s v="FCLIE/2026/02673"/>
    <d v="2026-07-17T00:00:00"/>
    <n v="0.95"/>
    <x v="4"/>
    <d v="2026-07-16T00:00:00"/>
    <d v="2026-07-17T00:00:00"/>
    <d v="2026-07-16T00:00:00"/>
    <n v="0"/>
    <s v="Contado"/>
    <n v="-1"/>
    <n v="-1"/>
    <n v="100"/>
    <n v="0"/>
    <n v="0"/>
    <n v="1.25"/>
    <n v="0.005"/>
    <n v="1"/>
    <n v="0.011875"/>
    <n v="0.00475"/>
    <m/>
  </r>
  <r>
    <s v="USDT $ "/>
    <x v="597"/>
    <s v="J297455540"/>
    <s v="MEGABYTES STORE, C. A"/>
    <s v="FCLIE/2026/02461"/>
    <d v="2026-07-10T00:00:00"/>
    <n v="1165.5"/>
    <x v="0"/>
    <d v="2026-07-23T00:00:00"/>
    <d v="2026-07-10T00:00:00"/>
    <d v="2026-07-23T00:00:00"/>
    <n v="30"/>
    <s v="Credito"/>
    <n v="13"/>
    <n v="-17"/>
    <n v="100"/>
    <n v="0"/>
    <n v="0"/>
    <n v="1.25"/>
    <n v="0.005"/>
    <n v="1"/>
    <n v="14.56875"/>
    <n v="5.8275"/>
    <m/>
  </r>
  <r>
    <s v="Banco del Caribe  BS"/>
    <x v="598"/>
    <s v="J298895624"/>
    <s v="FULLMARK C.A"/>
    <s v="FCLIE/2026/01340"/>
    <d v="2026-05-22T00:00:00"/>
    <n v="0.97"/>
    <x v="5"/>
    <d v="2026-07-23T00:00:00"/>
    <d v="2026-05-22T00:00:00"/>
    <d v="2026-07-23T00:00:00"/>
    <n v="30"/>
    <s v="Credito"/>
    <n v="62"/>
    <n v="32"/>
    <n v="30"/>
    <n v="2"/>
    <n v="0"/>
    <n v="0"/>
    <n v="0.005"/>
    <n v="0"/>
    <n v="0"/>
    <n v="0.00485"/>
    <m/>
  </r>
  <r>
    <s v="Caja Principal"/>
    <x v="599"/>
    <s v="J507010872"/>
    <s v="EMPRENDIMIENTO KIMBERLYN MENDEZ"/>
    <s v="FCLIE/2026/02801"/>
    <d v="2026-07-23T00:00:00"/>
    <n v="100"/>
    <x v="4"/>
    <d v="2026-07-23T00:00:00"/>
    <d v="2026-07-23T00:00:00"/>
    <d v="2026-07-23T00:00:00"/>
    <n v="0"/>
    <s v="Contado"/>
    <n v="0"/>
    <n v="0"/>
    <n v="100"/>
    <n v="0"/>
    <n v="0"/>
    <n v="1.25"/>
    <n v="0.005"/>
    <n v="1"/>
    <n v="1.25"/>
    <n v="0.5"/>
    <m/>
  </r>
  <r>
    <s v="Caja Principal"/>
    <x v="429"/>
    <s v="J507010872"/>
    <s v="EMPRENDIMIENTO KIMBERLYN MENDEZ"/>
    <s v="FCLIE/2026/02801"/>
    <d v="2026-07-23T00:00:00"/>
    <n v="0.05"/>
    <x v="4"/>
    <d v="2026-07-16T00:00:00"/>
    <d v="2026-07-23T00:00:00"/>
    <d v="2026-07-16T00:00:00"/>
    <n v="0"/>
    <s v="Contado"/>
    <n v="-7"/>
    <n v="-7"/>
    <n v="100"/>
    <n v="0"/>
    <n v="0"/>
    <n v="1.25"/>
    <n v="0.005"/>
    <n v="1"/>
    <n v="0.000625"/>
    <n v="0.00025"/>
    <m/>
  </r>
  <r>
    <s v="Caja Principal"/>
    <x v="396"/>
    <s v="J507010872"/>
    <s v="EMPRENDIMIENTO KIMBERLYN MENDEZ"/>
    <s v="FCLIE/2026/02801"/>
    <d v="2026-07-23T00:00:00"/>
    <n v="6.95"/>
    <x v="4"/>
    <d v="2026-07-15T00:00:00"/>
    <d v="2026-07-23T00:00:00"/>
    <d v="2026-07-15T00:00:00"/>
    <n v="0"/>
    <s v="Contado"/>
    <n v="-8"/>
    <n v="-8"/>
    <n v="100"/>
    <n v="0"/>
    <n v="0"/>
    <n v="1.25"/>
    <n v="0.005"/>
    <n v="1"/>
    <n v="0.086875"/>
    <n v="0.03475"/>
    <m/>
  </r>
  <r>
    <s v="Banco del Caribe  BS"/>
    <x v="600"/>
    <s v="J506775000"/>
    <s v="EMPRENDIMIENTO LAURANAILETH NUÑEZ"/>
    <s v="FCLIE/2026/02743"/>
    <d v="2026-07-21T00:00:00"/>
    <n v="7.71"/>
    <x v="4"/>
    <d v="2026-07-23T00:00:00"/>
    <d v="2026-07-21T00:00:00"/>
    <d v="2026-07-23T00:00:00"/>
    <n v="30"/>
    <s v="Credito"/>
    <n v="2"/>
    <n v="-28"/>
    <n v="100"/>
    <n v="0"/>
    <n v="0"/>
    <n v="1.25"/>
    <n v="0.005"/>
    <n v="1"/>
    <n v="0.096375"/>
    <n v="0.03855"/>
    <m/>
  </r>
  <r>
    <s v="USDT $ "/>
    <x v="601"/>
    <s v="J409807428"/>
    <s v="COMERCIALIZADORA J&amp;M 2016, C.A."/>
    <s v="FCLIE/2026/02792"/>
    <d v="2026-07-23T00:00:00"/>
    <n v="17929.25"/>
    <x v="0"/>
    <d v="2026-07-23T00:00:00"/>
    <d v="2026-07-23T00:00:00"/>
    <d v="2026-07-23T00:00:00"/>
    <n v="0"/>
    <s v="Contado"/>
    <n v="0"/>
    <n v="0"/>
    <n v="100"/>
    <n v="0"/>
    <n v="0"/>
    <n v="1.25"/>
    <n v="0.005"/>
    <n v="1"/>
    <n v="224.115625"/>
    <n v="89.64625"/>
    <m/>
  </r>
  <r>
    <s v="REGIONSBANK"/>
    <x v="602"/>
    <s v="J297076794"/>
    <s v="GRUPO NOXIS, C.A."/>
    <s v="FCLIE/2026/02772"/>
    <d v="2026-07-22T00:00:00"/>
    <n v="625"/>
    <x v="3"/>
    <d v="2026-07-23T00:00:00"/>
    <d v="2026-07-22T00:00:00"/>
    <d v="2026-07-23T00:00:00"/>
    <s v="3"/>
    <s v="Credito"/>
    <n v="1"/>
    <n v="-2"/>
    <n v="100"/>
    <n v="0"/>
    <n v="0"/>
    <n v="1"/>
    <n v="0.005"/>
    <n v="1"/>
    <n v="6.25"/>
    <n v="3.125"/>
    <m/>
  </r>
  <r>
    <s v="USDT $ "/>
    <x v="603"/>
    <s v="J313304565"/>
    <s v="INVERSIONES HELP COMPUTER, C. A."/>
    <s v="FCLIE/2026/02151"/>
    <d v="2026-06-23T00:00:00"/>
    <n v="22.49"/>
    <x v="1"/>
    <d v="2026-07-23T00:00:00"/>
    <d v="2026-06-23T00:00:00"/>
    <d v="2026-07-23T00:00:00"/>
    <s v="21"/>
    <s v="Credito"/>
    <n v="30"/>
    <n v="9"/>
    <n v="100"/>
    <n v="1"/>
    <n v="0"/>
    <n v="1"/>
    <n v="0.005"/>
    <n v="1"/>
    <n v="0.2249"/>
    <n v="0.11245"/>
    <m/>
  </r>
  <r>
    <s v="USDT $ "/>
    <x v="603"/>
    <s v="J313304565"/>
    <s v="INVERSIONES HELP COMPUTER, C. A."/>
    <s v="FCLIE/2026/02406"/>
    <d v="2026-07-08T00:00:00"/>
    <n v="64.8"/>
    <x v="1"/>
    <d v="2026-07-23T00:00:00"/>
    <d v="2026-07-08T00:00:00"/>
    <d v="2026-07-23T00:00:00"/>
    <s v="21"/>
    <s v="Credito"/>
    <n v="15"/>
    <n v="-6"/>
    <n v="100"/>
    <n v="0"/>
    <n v="0"/>
    <n v="1"/>
    <n v="0.005"/>
    <n v="1"/>
    <n v="0.648"/>
    <n v="0.324"/>
    <m/>
  </r>
  <r>
    <s v="USDT $ "/>
    <x v="603"/>
    <s v="J313304565"/>
    <s v="INVERSIONES HELP COMPUTER, C. A."/>
    <s v="FCLIE/2026/02411"/>
    <d v="2026-07-09T00:00:00"/>
    <n v="77.71"/>
    <x v="1"/>
    <d v="2026-07-23T00:00:00"/>
    <d v="2026-07-09T00:00:00"/>
    <d v="2026-07-23T00:00:00"/>
    <s v="21"/>
    <s v="Credito"/>
    <n v="14"/>
    <n v="-7"/>
    <n v="100"/>
    <n v="0"/>
    <n v="0"/>
    <n v="1"/>
    <n v="0.005"/>
    <n v="1"/>
    <n v="0.7771"/>
    <n v="0.38855"/>
    <m/>
  </r>
  <r>
    <s v="REGIONSBANK"/>
    <x v="604"/>
    <s v="J505077880"/>
    <s v="INVER 22-22, C.A"/>
    <s v="FCLIE/2026/01487"/>
    <d v="2026-05-29T00:00:00"/>
    <n v="495.32"/>
    <x v="3"/>
    <d v="2026-07-23T00:00:00"/>
    <d v="2026-05-29T00:00:00"/>
    <d v="2026-07-23T00:00:00"/>
    <s v="30"/>
    <s v="Credito"/>
    <n v="55"/>
    <n v="25"/>
    <n v="50"/>
    <n v="2"/>
    <n v="0"/>
    <n v="1"/>
    <n v="0.005"/>
    <n v="1"/>
    <n v="2.4766"/>
    <n v="2.4766"/>
    <m/>
  </r>
  <r>
    <s v="REGIONSBANK"/>
    <x v="604"/>
    <s v="J505077880"/>
    <s v="INVER 22-22, C.A"/>
    <s v="FCLIE/2026/01656"/>
    <d v="2026-06-05T00:00:00"/>
    <n v="7770"/>
    <x v="3"/>
    <d v="2026-07-23T00:00:00"/>
    <d v="2026-06-05T00:00:00"/>
    <d v="2026-07-23T00:00:00"/>
    <s v="30"/>
    <s v="Credito"/>
    <n v="48"/>
    <n v="18"/>
    <n v="50"/>
    <n v="1"/>
    <n v="0"/>
    <n v="1"/>
    <n v="0.005"/>
    <n v="1"/>
    <n v="38.85"/>
    <n v="38.85"/>
    <m/>
  </r>
  <r>
    <s v="Caja Principal"/>
    <x v="605"/>
    <s v="J507222047"/>
    <s v="GROUP TEC 2224,C.A. PYME"/>
    <s v="FCLIE/2026/02749"/>
    <d v="2026-07-21T00:00:00"/>
    <n v="640"/>
    <x v="4"/>
    <d v="2026-07-23T00:00:00"/>
    <d v="2026-07-21T00:00:00"/>
    <d v="2026-07-23T00:00:00"/>
    <n v="0"/>
    <s v="Contado"/>
    <n v="2"/>
    <n v="2"/>
    <n v="100"/>
    <n v="0"/>
    <n v="0"/>
    <n v="1.25"/>
    <n v="0.005"/>
    <n v="1"/>
    <n v="8"/>
    <n v="3.2"/>
    <m/>
  </r>
  <r>
    <s v="Caja Principal"/>
    <x v="606"/>
    <s v="J305379556"/>
    <s v="TECNI-CIENCIA LIBROS 7 C.A"/>
    <s v="FCLIE/2026/02793"/>
    <d v="2026-07-23T00:00:00"/>
    <n v="2100"/>
    <x v="2"/>
    <d v="2026-07-23T00:00:00"/>
    <d v="2026-07-23T00:00:00"/>
    <d v="2026-07-23T00:00:00"/>
    <n v="0"/>
    <s v="Contado"/>
    <n v="0"/>
    <n v="0"/>
    <n v="100"/>
    <n v="0"/>
    <n v="0"/>
    <n v="1.25"/>
    <n v="0.005"/>
    <n v="1"/>
    <n v="26.25"/>
    <n v="10.5"/>
    <m/>
  </r>
  <r>
    <s v="Caja Principal"/>
    <x v="607"/>
    <s v="J505977393"/>
    <s v="EMPRENDIMIENTO JUAN GUERRA 14"/>
    <s v="FCLIE/2026/02804"/>
    <d v="2026-07-23T00:00:00"/>
    <n v="117"/>
    <x v="4"/>
    <d v="2026-07-23T00:00:00"/>
    <d v="2026-07-23T00:00:00"/>
    <d v="2026-07-23T00:00:00"/>
    <n v="0"/>
    <s v="Contado"/>
    <n v="0"/>
    <n v="0"/>
    <n v="100"/>
    <n v="0"/>
    <n v="0"/>
    <n v="1.25"/>
    <n v="0.005"/>
    <n v="1"/>
    <n v="1.4625"/>
    <n v="0.585"/>
    <m/>
  </r>
  <r>
    <s v="Caja Principal"/>
    <x v="608"/>
    <s v="J501820813"/>
    <s v="A&amp;J INVERSIONES, C.A"/>
    <s v="FCLIE/2026/01486"/>
    <d v="2026-05-29T00:00:00"/>
    <n v="0.63"/>
    <x v="3"/>
    <d v="2026-07-20T00:00:00"/>
    <d v="2026-05-29T00:00:00"/>
    <d v="2026-07-20T00:00:00"/>
    <s v="15"/>
    <s v="Credito"/>
    <n v="52"/>
    <n v="37"/>
    <n v="30"/>
    <n v="2"/>
    <n v="0"/>
    <n v="1"/>
    <n v="0.005"/>
    <n v="1"/>
    <n v="0.00189"/>
    <n v="0.00315"/>
    <m/>
  </r>
  <r>
    <s v="Caja Principal"/>
    <x v="608"/>
    <s v="J501820813"/>
    <s v="A&amp;J INVERSIONES, C.A"/>
    <s v="FCLIE/2026/02493"/>
    <d v="2026-07-10T00:00:00"/>
    <n v="0.37"/>
    <x v="3"/>
    <d v="2026-07-20T00:00:00"/>
    <d v="2026-07-10T00:00:00"/>
    <d v="2026-07-20T00:00:00"/>
    <s v="15"/>
    <s v="Credito"/>
    <n v="10"/>
    <n v="-5"/>
    <n v="100"/>
    <n v="0"/>
    <n v="0"/>
    <n v="1"/>
    <n v="0.005"/>
    <n v="1"/>
    <n v="0.0037"/>
    <n v="0.00185"/>
    <m/>
  </r>
  <r>
    <s v="USDT $ "/>
    <x v="609"/>
    <s v="J296215901"/>
    <s v="COMPU CENTER, C.A."/>
    <s v="FCLIE/2026/02816"/>
    <d v="2026-07-23T00:00:00"/>
    <n v="721.5"/>
    <x v="6"/>
    <d v="2026-07-23T00:00:00"/>
    <d v="2026-07-23T00:00:00"/>
    <d v="2026-07-23T00:00:00"/>
    <n v="0"/>
    <s v="Contado"/>
    <n v="0"/>
    <n v="0"/>
    <n v="100"/>
    <n v="0"/>
    <n v="0"/>
    <n v="1"/>
    <n v="0.005"/>
    <n v="1"/>
    <n v="7.215"/>
    <n v="3.6075"/>
    <m/>
  </r>
  <r>
    <s v="Banesco BS. 3049"/>
    <x v="610"/>
    <s v="J307872012"/>
    <s v="MUNDO PAPEL 2001 C. A."/>
    <s v="FCLIE/2026/02809"/>
    <d v="2026-07-23T00:00:00"/>
    <n v="1026"/>
    <x v="0"/>
    <d v="2026-07-23T00:00:00"/>
    <d v="2026-07-23T00:00:00"/>
    <d v="2026-07-23T00:00:00"/>
    <n v="0"/>
    <s v="Contado"/>
    <n v="0"/>
    <n v="0"/>
    <n v="100"/>
    <n v="0"/>
    <n v="0"/>
    <n v="1.25"/>
    <n v="0.005"/>
    <n v="1"/>
    <n v="12.825"/>
    <n v="5.13"/>
    <m/>
  </r>
  <r>
    <s v="Caja Principal"/>
    <x v="611"/>
    <s v="J295163436"/>
    <s v="SUMINISTROS BASE20, C.A."/>
    <s v="FCLIE/2026/02812"/>
    <d v="2026-07-23T00:00:00"/>
    <n v="411"/>
    <x v="1"/>
    <d v="2026-07-23T00:00:00"/>
    <d v="2026-07-23T00:00:00"/>
    <d v="2026-07-23T00:00:00"/>
    <n v="0"/>
    <s v="Contado"/>
    <n v="0"/>
    <n v="0"/>
    <n v="100"/>
    <n v="0"/>
    <n v="0"/>
    <n v="1"/>
    <n v="0.005"/>
    <n v="1"/>
    <n v="4.11"/>
    <n v="2.055"/>
    <m/>
  </r>
  <r>
    <s v="USDT $ "/>
    <x v="479"/>
    <s v="J296810508"/>
    <s v="GRUPO BLUETECH 1315, C.A"/>
    <s v="FCLIE/2026/02667"/>
    <d v="2026-07-17T00:00:00"/>
    <n v="0.05"/>
    <x v="5"/>
    <d v="2026-07-17T00:00:00"/>
    <d v="2026-07-17T00:00:00"/>
    <d v="2026-07-17T00:00:00"/>
    <s v="3"/>
    <s v="Credito"/>
    <n v="0"/>
    <n v="-3"/>
    <n v="100"/>
    <n v="0"/>
    <n v="0"/>
    <n v="1.25"/>
    <n v="0.005"/>
    <n v="1"/>
    <n v="0.000625"/>
    <n v="0.00025"/>
    <m/>
  </r>
  <r>
    <s v="Caja Principal"/>
    <x v="612"/>
    <s v="J305646864"/>
    <s v="PC MANIA C.A."/>
    <s v="FCLIE/2026/02559"/>
    <d v="2026-07-14T00:00:00"/>
    <n v="486.87"/>
    <x v="1"/>
    <d v="2026-07-23T00:00:00"/>
    <d v="2026-07-14T00:00:00"/>
    <d v="2026-07-23T00:00:00"/>
    <s v="10"/>
    <s v="Credito"/>
    <n v="9"/>
    <n v="-1"/>
    <n v="100"/>
    <n v="0"/>
    <n v="0"/>
    <n v="1"/>
    <n v="0.005"/>
    <n v="1"/>
    <n v="4.8687"/>
    <n v="2.43435"/>
    <m/>
  </r>
  <r>
    <s v="Banco del Caribe  BS"/>
    <x v="613"/>
    <s v="V124354591"/>
    <s v="MEDIOMUNDO COMERCIALIZADORA 2014"/>
    <s v="FCLIE/2026/02814"/>
    <d v="2026-07-23T00:00:00"/>
    <n v="69.2"/>
    <x v="3"/>
    <d v="2026-07-23T00:00:00"/>
    <d v="2026-07-23T00:00:00"/>
    <d v="2026-07-23T00:00:00"/>
    <n v="0"/>
    <s v="Contado"/>
    <n v="0"/>
    <n v="0"/>
    <n v="100"/>
    <n v="0"/>
    <n v="0"/>
    <n v="1"/>
    <n v="0.005"/>
    <n v="1"/>
    <n v="0.692"/>
    <n v="0.346"/>
    <m/>
  </r>
  <r>
    <s v="USDT $ "/>
    <x v="614"/>
    <s v="J507010872"/>
    <s v="EMPRENDIMIENTO KIMBERLYN MENDEZ"/>
    <s v="FCLIE/2026/02807"/>
    <d v="2026-07-23T00:00:00"/>
    <n v="50.6"/>
    <x v="4"/>
    <d v="2026-07-23T00:00:00"/>
    <d v="2026-07-23T00:00:00"/>
    <d v="2026-07-23T00:00:00"/>
    <n v="0"/>
    <s v="Contado"/>
    <n v="0"/>
    <n v="0"/>
    <n v="100"/>
    <n v="0"/>
    <n v="0"/>
    <n v="1.25"/>
    <n v="0.005"/>
    <n v="1"/>
    <n v="0.6325"/>
    <n v="0.253"/>
    <m/>
  </r>
  <r>
    <s v="Caja Principal"/>
    <x v="615"/>
    <s v="J504014613"/>
    <s v="COMPU GAMER VZLA, C.A."/>
    <s v="FCLIE/2026/01450"/>
    <d v="2026-05-28T00:00:00"/>
    <n v="1105"/>
    <x v="2"/>
    <d v="2026-07-23T00:00:00"/>
    <d v="2026-05-28T00:00:00"/>
    <d v="2026-07-23T00:00:00"/>
    <s v="21"/>
    <s v="Credito"/>
    <n v="56"/>
    <n v="35"/>
    <n v="30"/>
    <n v="2"/>
    <n v="0"/>
    <n v="1"/>
    <n v="0.005"/>
    <n v="1"/>
    <n v="3.315"/>
    <n v="5.525"/>
    <m/>
  </r>
  <r>
    <s v="USDT $ "/>
    <x v="616"/>
    <s v="J507010872"/>
    <s v="EMPRENDIMIENTO KIMBERLYN MENDEZ"/>
    <s v="FCLIE/2026/02826"/>
    <d v="2026-07-23T00:00:00"/>
    <n v="72.8"/>
    <x v="4"/>
    <d v="2026-07-23T00:00:00"/>
    <d v="2026-07-23T00:00:00"/>
    <d v="2026-07-23T00:00:00"/>
    <n v="0"/>
    <s v="Contado"/>
    <n v="0"/>
    <n v="0"/>
    <n v="100"/>
    <n v="0"/>
    <n v="0"/>
    <n v="1.25"/>
    <n v="0.005"/>
    <n v="1"/>
    <n v="0.91"/>
    <n v="0.364"/>
    <m/>
  </r>
  <r>
    <s v="Facturas de cliente"/>
    <x v="617"/>
    <s v="V27748606"/>
    <s v="SANTIAGO CHAMBUCO"/>
    <s v="FCLIE/2026/01785"/>
    <d v="2026-06-10T00:00:00"/>
    <n v="230"/>
    <x v="5"/>
    <d v="2026-07-23T00:00:00"/>
    <d v="2026-06-10T00:00:00"/>
    <d v="2026-07-23T00:00:00"/>
    <n v="0"/>
    <s v="Contado"/>
    <n v="43"/>
    <n v="43"/>
    <n v="0"/>
    <n v="1"/>
    <n v="0"/>
    <n v="1"/>
    <n v="0.005"/>
    <n v="0"/>
    <n v="0"/>
    <n v="1.15"/>
    <m/>
  </r>
  <r>
    <s v="Facturas de cliente"/>
    <x v="618"/>
    <s v="J500200099"/>
    <s v="UBICUOS SISTEMAS, C.A."/>
    <s v="FCLIE/2026/01951"/>
    <d v="2026-06-16T00:00:00"/>
    <n v="514.76"/>
    <x v="3"/>
    <d v="2026-07-23T00:00:00"/>
    <d v="2026-06-16T00:00:00"/>
    <d v="2026-07-23T00:00:00"/>
    <n v="0"/>
    <s v="Contado"/>
    <n v="37"/>
    <n v="37"/>
    <n v="0"/>
    <n v="1"/>
    <n v="0"/>
    <n v="1"/>
    <n v="0.005"/>
    <n v="0"/>
    <n v="0"/>
    <n v="2.5738"/>
    <m/>
  </r>
  <r>
    <s v="Facturas de cliente"/>
    <x v="618"/>
    <s v="J500200099"/>
    <s v="UBICUOS SISTEMAS, C.A."/>
    <s v="FCLIE/2026/02560"/>
    <d v="2026-07-14T00:00:00"/>
    <n v="0.24"/>
    <x v="3"/>
    <d v="2026-07-23T00:00:00"/>
    <d v="2026-07-14T00:00:00"/>
    <d v="2026-07-23T00:00:00"/>
    <n v="0"/>
    <s v="Contado"/>
    <n v="9"/>
    <n v="9"/>
    <n v="0"/>
    <n v="0"/>
    <n v="0"/>
    <n v="1"/>
    <n v="0.005"/>
    <n v="0"/>
    <n v="0"/>
    <n v="0.0012"/>
    <m/>
  </r>
  <r>
    <s v="Facturas de cliente"/>
    <x v="619"/>
    <s v="J500200099"/>
    <s v="UBICUOS SISTEMAS, C.A."/>
    <s v="FCLIE/2026/02560"/>
    <d v="2026-07-14T00:00:00"/>
    <n v="131.76"/>
    <x v="3"/>
    <d v="2026-07-14T00:00:00"/>
    <d v="2026-07-14T00:00:00"/>
    <d v="2026-07-14T00:00:00"/>
    <n v="0"/>
    <s v="Contado"/>
    <n v="0"/>
    <n v="0"/>
    <n v="100"/>
    <n v="0"/>
    <n v="0"/>
    <n v="1"/>
    <n v="0.005"/>
    <n v="1"/>
    <n v="1.3176"/>
    <n v="0.6588"/>
    <m/>
  </r>
  <r>
    <s v="USDT $ "/>
    <x v="620"/>
    <s v="J405444274"/>
    <s v="MICROBYTE TECHNOLOGY, C.A."/>
    <s v="FCLIE/2026/02829"/>
    <d v="2026-07-23T00:00:00"/>
    <n v="603.4"/>
    <x v="4"/>
    <d v="2026-07-23T00:00:00"/>
    <d v="2026-07-23T00:00:00"/>
    <d v="2026-07-23T00:00:00"/>
    <n v="0"/>
    <s v="Contado"/>
    <n v="0"/>
    <n v="0"/>
    <n v="100"/>
    <n v="0"/>
    <n v="0"/>
    <n v="1.25"/>
    <n v="0.005"/>
    <n v="1"/>
    <n v="7.5425"/>
    <n v="3.017"/>
    <m/>
  </r>
  <r>
    <s v="USDT $ "/>
    <x v="621"/>
    <s v="V094813766"/>
    <s v="PIETRO CHIOMMINO PC NETWORK CONSULTING"/>
    <s v="FCLIE/2026/02830"/>
    <d v="2026-07-23T00:00:00"/>
    <n v="2750"/>
    <x v="4"/>
    <d v="2026-07-23T00:00:00"/>
    <d v="2026-07-23T00:00:00"/>
    <d v="2026-07-23T00:00:00"/>
    <n v="7"/>
    <s v="Credito"/>
    <n v="0"/>
    <n v="-7"/>
    <n v="100"/>
    <n v="0"/>
    <n v="0"/>
    <n v="1.25"/>
    <n v="0.005"/>
    <n v="1"/>
    <n v="34.375"/>
    <n v="13.75"/>
    <m/>
  </r>
  <r>
    <s v="USDT $ "/>
    <x v="622"/>
    <s v="J296810508"/>
    <s v="GRUPO BLUETECH 1315, C.A"/>
    <s v="FCLIE/2026/01992"/>
    <d v="2026-06-17T00:00:00"/>
    <n v="18.35"/>
    <x v="5"/>
    <d v="2026-07-23T00:00:00"/>
    <d v="2026-06-17T00:00:00"/>
    <d v="2026-07-23T00:00:00"/>
    <s v="3"/>
    <s v="Credito"/>
    <n v="36"/>
    <n v="33"/>
    <n v="30"/>
    <n v="1"/>
    <n v="0"/>
    <n v="1"/>
    <n v="0.005"/>
    <n v="1"/>
    <n v="0.05505"/>
    <n v="0.09175"/>
    <m/>
  </r>
  <r>
    <s v="USDT $ "/>
    <x v="623"/>
    <s v="J315449099"/>
    <s v="DISVEPRO C.A."/>
    <s v="FCLIE/2026/02831"/>
    <d v="2026-07-23T00:00:00"/>
    <n v="732.6"/>
    <x v="1"/>
    <d v="2026-07-23T00:00:00"/>
    <d v="2026-07-23T00:00:00"/>
    <d v="2026-07-23T00:00:00"/>
    <n v="0"/>
    <s v="Contado"/>
    <n v="0"/>
    <n v="0"/>
    <n v="100"/>
    <n v="0"/>
    <n v="0"/>
    <n v="1"/>
    <n v="0.005"/>
    <n v="1"/>
    <n v="7.326"/>
    <n v="3.663"/>
    <m/>
  </r>
  <r>
    <s v="Caja Principal"/>
    <x v="624"/>
    <s v="J412126750"/>
    <s v="MULTISERVICIOS FEARAN, S.A"/>
    <s v="FCLIE/2026/02813"/>
    <d v="2026-07-23T00:00:00"/>
    <n v="1368"/>
    <x v="0"/>
    <d v="2026-07-23T00:00:00"/>
    <d v="2026-07-23T00:00:00"/>
    <d v="2026-07-23T00:00:00"/>
    <n v="0"/>
    <s v="Contado"/>
    <n v="0"/>
    <n v="0"/>
    <n v="100"/>
    <n v="0"/>
    <n v="0"/>
    <n v="1.25"/>
    <n v="0.005"/>
    <n v="1"/>
    <n v="17.1"/>
    <n v="6.84"/>
    <m/>
  </r>
  <r>
    <s v="REGIONSBANK"/>
    <x v="625"/>
    <s v="J295182520"/>
    <s v="HIGH TECH SYSTEMS, C.A"/>
    <s v="FCLIE/2026/02319"/>
    <d v="2026-07-06T00:00:00"/>
    <n v="252.08"/>
    <x v="5"/>
    <d v="2026-07-27T00:00:00"/>
    <d v="2026-07-06T00:00:00"/>
    <d v="2026-07-27T00:00:00"/>
    <s v="7"/>
    <s v="Credito"/>
    <n v="21"/>
    <n v="14"/>
    <n v="100"/>
    <n v="0"/>
    <n v="0"/>
    <n v="1.25"/>
    <n v="0.005"/>
    <n v="1"/>
    <n v="3.151"/>
    <n v="1.2604"/>
    <m/>
  </r>
  <r>
    <s v="REGIONSBANK"/>
    <x v="625"/>
    <s v="J295182520"/>
    <s v="HIGH TECH SYSTEMS, C.A"/>
    <s v="FCLIE/2026/02366"/>
    <d v="2026-07-07T00:00:00"/>
    <n v="1016.5"/>
    <x v="5"/>
    <d v="2026-07-27T00:00:00"/>
    <d v="2026-07-07T00:00:00"/>
    <d v="2026-07-27T00:00:00"/>
    <s v="7"/>
    <s v="Credito"/>
    <n v="20"/>
    <n v="13"/>
    <n v="100"/>
    <n v="0"/>
    <n v="0"/>
    <n v="1.25"/>
    <n v="0.005"/>
    <n v="1"/>
    <n v="12.70625"/>
    <n v="5.0825"/>
    <m/>
  </r>
  <r>
    <s v="REGIONSBANK"/>
    <x v="625"/>
    <s v="J295182520"/>
    <s v="HIGH TECH SYSTEMS, C.A"/>
    <s v="FCLIE/2026/02480"/>
    <d v="2026-07-10T00:00:00"/>
    <n v="420"/>
    <x v="5"/>
    <d v="2026-07-27T00:00:00"/>
    <d v="2026-07-10T00:00:00"/>
    <d v="2026-07-27T00:00:00"/>
    <s v="7"/>
    <s v="Credito"/>
    <n v="17"/>
    <n v="10"/>
    <n v="100"/>
    <n v="0"/>
    <n v="0"/>
    <n v="1.25"/>
    <n v="0.005"/>
    <n v="1"/>
    <n v="5.25"/>
    <n v="2.1"/>
    <m/>
  </r>
  <r>
    <s v="REGIONSBANK"/>
    <x v="626"/>
    <s v="J298860510"/>
    <s v="LASER PRINT SOLUCIONES,C.A."/>
    <s v="FCLIE/2026/02475"/>
    <d v="2026-07-10T00:00:00"/>
    <n v="168.23"/>
    <x v="0"/>
    <d v="2026-07-27T00:00:00"/>
    <d v="2026-07-10T00:00:00"/>
    <d v="2026-07-27T00:00:00"/>
    <s v="10"/>
    <s v="Credito"/>
    <n v="17"/>
    <n v="7"/>
    <n v="100"/>
    <n v="0"/>
    <n v="0"/>
    <n v="1.25"/>
    <n v="0.005"/>
    <n v="1"/>
    <n v="2.102875"/>
    <n v="0.84115"/>
    <m/>
  </r>
  <r>
    <s v="REGIONSBANK"/>
    <x v="627"/>
    <s v="J294530338"/>
    <s v="COMERCIALIZADORA DORALIAN C.A"/>
    <s v="FCLIE/2026/02395"/>
    <d v="2026-07-08T00:00:00"/>
    <n v="892.35"/>
    <x v="5"/>
    <d v="2026-07-27T00:00:00"/>
    <d v="2026-07-08T00:00:00"/>
    <d v="2026-07-27T00:00:00"/>
    <s v="15"/>
    <s v="Credito"/>
    <n v="19"/>
    <n v="4"/>
    <n v="100"/>
    <n v="0"/>
    <n v="0"/>
    <n v="1.25"/>
    <n v="0.005"/>
    <n v="1"/>
    <n v="11.154375"/>
    <n v="4.46175"/>
    <m/>
  </r>
  <r>
    <s v="REGIONSBANK"/>
    <x v="627"/>
    <s v="J294530338"/>
    <s v="COMERCIALIZADORA DORALIAN C.A"/>
    <s v="FCLIE/2026/02417"/>
    <d v="2026-07-09T00:00:00"/>
    <n v="312.6"/>
    <x v="5"/>
    <d v="2026-07-27T00:00:00"/>
    <d v="2026-07-09T00:00:00"/>
    <d v="2026-07-27T00:00:00"/>
    <s v="15"/>
    <s v="Credito"/>
    <n v="18"/>
    <n v="3"/>
    <n v="100"/>
    <n v="0"/>
    <n v="0"/>
    <n v="1.25"/>
    <n v="0.005"/>
    <n v="1"/>
    <n v="3.9075"/>
    <n v="1.563"/>
    <m/>
  </r>
  <r>
    <s v="REGIONSBANK"/>
    <x v="627"/>
    <s v="J294530338"/>
    <s v="COMERCIALIZADORA DORALIAN C.A"/>
    <s v="FCLIE/2026/02642"/>
    <d v="2026-07-17T00:00:00"/>
    <n v="0.05"/>
    <x v="5"/>
    <d v="2026-07-27T00:00:00"/>
    <d v="2026-07-17T00:00:00"/>
    <d v="2026-07-27T00:00:00"/>
    <s v="15"/>
    <s v="Credito"/>
    <n v="10"/>
    <n v="-5"/>
    <n v="100"/>
    <n v="0"/>
    <n v="0"/>
    <n v="1.25"/>
    <n v="0.005"/>
    <n v="1"/>
    <n v="0.000625"/>
    <n v="0.00025"/>
    <m/>
  </r>
  <r>
    <s v="USDT $ "/>
    <x v="628"/>
    <s v="J504296481"/>
    <s v="ZONA PRINTER, C.A"/>
    <s v="FCLIE/2026/02820"/>
    <d v="2026-07-23T00:00:00"/>
    <n v="102.5"/>
    <x v="0"/>
    <d v="2026-07-27T00:00:00"/>
    <d v="2026-07-23T00:00:00"/>
    <d v="2026-07-27T00:00:00"/>
    <s v="7"/>
    <s v="Credito"/>
    <n v="4"/>
    <n v="-3"/>
    <n v="100"/>
    <n v="0"/>
    <n v="0"/>
    <n v="1.25"/>
    <n v="0.005"/>
    <n v="1"/>
    <n v="1.28125"/>
    <n v="0.5125"/>
    <m/>
  </r>
  <r>
    <s v="USDT $ "/>
    <x v="629"/>
    <s v="J504978680"/>
    <s v="CORPORACIÓN DIGIPRO, C.A"/>
    <s v="FCLIE/2026/01885"/>
    <d v="2026-06-12T00:00:00"/>
    <n v="3917.1"/>
    <x v="6"/>
    <d v="2026-07-27T00:00:00"/>
    <d v="2026-06-12T00:00:00"/>
    <d v="2026-07-27T00:00:00"/>
    <s v="30"/>
    <s v="Credito"/>
    <n v="45"/>
    <n v="15"/>
    <n v="100"/>
    <n v="1"/>
    <n v="0"/>
    <n v="1"/>
    <n v="0.005"/>
    <n v="1"/>
    <n v="39.171"/>
    <n v="19.5855"/>
    <m/>
  </r>
  <r>
    <s v="USDT $ "/>
    <x v="630"/>
    <s v="J301883780"/>
    <s v="SERVIHECMIR, C.A."/>
    <s v="FCLIE/2026/01811"/>
    <d v="2026-06-10T00:00:00"/>
    <n v="0.18"/>
    <x v="0"/>
    <d v="2026-07-27T00:00:00"/>
    <d v="2026-06-10T00:00:00"/>
    <d v="2026-07-27T00:00:00"/>
    <s v="15"/>
    <s v="Credito"/>
    <n v="47"/>
    <n v="32"/>
    <n v="30"/>
    <n v="1"/>
    <n v="0"/>
    <n v="1"/>
    <n v="0.005"/>
    <n v="1"/>
    <n v="0.00054"/>
    <n v="0.0009"/>
    <m/>
  </r>
  <r>
    <s v="USDT $ "/>
    <x v="630"/>
    <s v="J301883780"/>
    <s v="SERVIHECMIR, C.A."/>
    <s v="FCLIE/2026/01960"/>
    <d v="2026-06-16T00:00:00"/>
    <n v="7020"/>
    <x v="0"/>
    <d v="2026-07-27T00:00:00"/>
    <d v="2026-06-16T00:00:00"/>
    <d v="2026-07-27T00:00:00"/>
    <s v="15"/>
    <s v="Credito"/>
    <n v="41"/>
    <n v="26"/>
    <n v="50"/>
    <n v="1"/>
    <n v="0"/>
    <n v="1"/>
    <n v="0.005"/>
    <n v="1"/>
    <n v="35.1"/>
    <n v="35.1"/>
    <m/>
  </r>
  <r>
    <s v="USDT $ "/>
    <x v="630"/>
    <s v="J301883780"/>
    <s v="SERVIHECMIR, C.A."/>
    <s v="FCLIE/2026/02110"/>
    <d v="2026-06-22T00:00:00"/>
    <n v="3082"/>
    <x v="0"/>
    <d v="2026-07-27T00:00:00"/>
    <d v="2026-06-22T00:00:00"/>
    <d v="2026-07-27T00:00:00"/>
    <s v="15"/>
    <s v="Credito"/>
    <n v="35"/>
    <n v="20"/>
    <n v="50"/>
    <n v="1"/>
    <n v="0"/>
    <n v="1"/>
    <n v="0.005"/>
    <n v="1"/>
    <n v="15.41"/>
    <n v="15.41"/>
    <m/>
  </r>
  <r>
    <s v="USDT $ "/>
    <x v="630"/>
    <s v="J301883780"/>
    <s v="SERVIHECMIR, C.A."/>
    <s v="FCLIE/2026/02112"/>
    <d v="2026-06-22T00:00:00"/>
    <n v="11789"/>
    <x v="0"/>
    <d v="2026-07-27T00:00:00"/>
    <d v="2026-06-22T00:00:00"/>
    <d v="2026-07-27T00:00:00"/>
    <s v="15"/>
    <s v="Credito"/>
    <n v="35"/>
    <n v="20"/>
    <n v="50"/>
    <n v="1"/>
    <n v="0"/>
    <n v="1"/>
    <n v="0.005"/>
    <n v="1"/>
    <n v="58.945"/>
    <n v="58.945"/>
    <m/>
  </r>
  <r>
    <s v="USDT $ "/>
    <x v="631"/>
    <s v="J506775000"/>
    <s v="EMPRENDIMIENTO LAURANAILETH NUÑEZ"/>
    <s v="FCLIE/2026/02743"/>
    <d v="2026-07-21T00:00:00"/>
    <n v="318.94"/>
    <x v="4"/>
    <d v="2026-07-27T00:00:00"/>
    <d v="2026-07-21T00:00:00"/>
    <d v="2026-07-27T00:00:00"/>
    <n v="0"/>
    <s v="Contado"/>
    <n v="6"/>
    <n v="6"/>
    <n v="0"/>
    <n v="0"/>
    <n v="0"/>
    <n v="1.25"/>
    <n v="0.005"/>
    <n v="0"/>
    <n v="0"/>
    <n v="1.5947"/>
    <m/>
  </r>
  <r>
    <s v="USDT $ "/>
    <x v="631"/>
    <s v="J506775000"/>
    <s v="EMPRENDIMIENTO LAURANAILETH NUÑEZ"/>
    <s v="FCLIE/2026/02771"/>
    <d v="2026-07-22T00:00:00"/>
    <n v="60.65"/>
    <x v="4"/>
    <d v="2026-07-27T00:00:00"/>
    <d v="2026-07-22T00:00:00"/>
    <d v="2026-07-27T00:00:00"/>
    <s v="7"/>
    <s v="Credito"/>
    <n v="5"/>
    <n v="-2"/>
    <n v="100"/>
    <n v="0"/>
    <n v="0"/>
    <n v="1.25"/>
    <n v="0.005"/>
    <n v="1"/>
    <n v="0.758125"/>
    <n v="0.30325"/>
    <m/>
  </r>
  <r>
    <s v="USDT $ "/>
    <x v="631"/>
    <s v="J506775000"/>
    <s v="EMPRENDIMIENTO LAURANAILETH NUÑEZ"/>
    <s v="FCLIE/2026/02794"/>
    <d v="2026-07-23T00:00:00"/>
    <n v="1120.41"/>
    <x v="4"/>
    <d v="2026-07-27T00:00:00"/>
    <d v="2026-07-23T00:00:00"/>
    <d v="2026-07-27T00:00:00"/>
    <s v="7"/>
    <s v="Credito"/>
    <n v="4"/>
    <n v="-3"/>
    <n v="100"/>
    <n v="0"/>
    <n v="0"/>
    <n v="1.25"/>
    <n v="0.005"/>
    <n v="1"/>
    <n v="14.005125"/>
    <n v="5.60205"/>
    <m/>
  </r>
  <r>
    <s v="USDT $ "/>
    <x v="632"/>
    <s v="J315051435"/>
    <s v="KAMAL CYBER &amp; SERVICE, C.A"/>
    <s v="FCLIE/2026/02592"/>
    <d v="2026-07-15T00:00:00"/>
    <n v="2549.45"/>
    <x v="1"/>
    <d v="2026-07-27T00:00:00"/>
    <d v="2026-07-15T00:00:00"/>
    <d v="2026-07-27T00:00:00"/>
    <s v="15"/>
    <s v="Credito"/>
    <n v="12"/>
    <n v="-3"/>
    <n v="100"/>
    <n v="0"/>
    <n v="0"/>
    <n v="1"/>
    <n v="0.005"/>
    <n v="1"/>
    <n v="25.4945"/>
    <n v="12.74725"/>
    <m/>
  </r>
  <r>
    <s v="USDT $ "/>
    <x v="632"/>
    <s v="J315051435"/>
    <s v="KAMAL CYBER &amp; SERVICE, C.A"/>
    <s v="FCLIE/2026/02590"/>
    <d v="2026-07-15T00:00:00"/>
    <n v="7450.55"/>
    <x v="1"/>
    <d v="2026-07-27T00:00:00"/>
    <d v="2026-07-15T00:00:00"/>
    <d v="2026-07-27T00:00:00"/>
    <s v="15"/>
    <s v="Credito"/>
    <n v="12"/>
    <n v="-3"/>
    <n v="100"/>
    <n v="0"/>
    <n v="0"/>
    <n v="1"/>
    <n v="0.005"/>
    <n v="1"/>
    <n v="74.5055"/>
    <n v="37.25275"/>
    <m/>
  </r>
  <r>
    <s v="Banesco BS. 3049"/>
    <x v="633"/>
    <s v="V262599236"/>
    <s v="CANOPUS SOLUCIONES TECNOLOGICAS DE ROBERT ALEXIS ZAMBRANO ROJAS"/>
    <s v="FCLIE/2026/02786"/>
    <d v="2026-07-22T00:00:00"/>
    <n v="332.21"/>
    <x v="6"/>
    <d v="2026-07-22T00:00:00"/>
    <d v="2026-07-22T00:00:00"/>
    <d v="2026-07-22T00:00:00"/>
    <n v="0"/>
    <s v="Contado"/>
    <n v="0"/>
    <n v="0"/>
    <n v="100"/>
    <n v="0"/>
    <n v="0"/>
    <n v="1"/>
    <n v="0.005"/>
    <n v="1"/>
    <n v="3.3221"/>
    <n v="1.66105"/>
    <m/>
  </r>
  <r>
    <s v="Banesco BS. 3049"/>
    <x v="634"/>
    <s v="V262599236"/>
    <s v="CANOPUS SOLUCIONES TECNOLOGICAS DE ROBERT ALEXIS ZAMBRANO ROJAS"/>
    <s v="FCLIE/2026/02785"/>
    <d v="2026-07-22T00:00:00"/>
    <n v="150.9"/>
    <x v="6"/>
    <d v="2026-07-22T00:00:00"/>
    <d v="2026-07-22T00:00:00"/>
    <d v="2026-07-22T00:00:00"/>
    <n v="0"/>
    <s v="Contado"/>
    <n v="0"/>
    <n v="0"/>
    <n v="100"/>
    <n v="0"/>
    <n v="0"/>
    <n v="1"/>
    <n v="0.005"/>
    <n v="1"/>
    <n v="1.509"/>
    <n v="0.7545"/>
    <m/>
  </r>
  <r>
    <s v="Banesco BS. 3049"/>
    <x v="635"/>
    <s v="V262599236"/>
    <s v="CANOPUS SOLUCIONES TECNOLOGICAS DE ROBERT ALEXIS ZAMBRANO ROJAS"/>
    <s v="FCLIE/2026/02788"/>
    <d v="2026-07-22T00:00:00"/>
    <n v="316.64"/>
    <x v="6"/>
    <d v="2026-07-22T00:00:00"/>
    <d v="2026-07-22T00:00:00"/>
    <d v="2026-07-22T00:00:00"/>
    <n v="0"/>
    <s v="Contado"/>
    <n v="0"/>
    <n v="0"/>
    <n v="100"/>
    <n v="0"/>
    <n v="0"/>
    <n v="1"/>
    <n v="0.005"/>
    <n v="1"/>
    <n v="3.1664"/>
    <n v="1.5832"/>
    <m/>
  </r>
  <r>
    <s v="USDT $ "/>
    <x v="636"/>
    <s v="J408660180"/>
    <s v="ZONA TECH, C.A"/>
    <s v="FCLIE/2026/01445"/>
    <d v="2026-05-28T00:00:00"/>
    <n v="13220"/>
    <x v="0"/>
    <d v="2026-07-27T00:00:00"/>
    <d v="2026-05-28T00:00:00"/>
    <d v="2026-07-27T00:00:00"/>
    <s v="30"/>
    <s v="Credito"/>
    <n v="60"/>
    <n v="30"/>
    <n v="50"/>
    <n v="2"/>
    <n v="0"/>
    <n v="1"/>
    <n v="0.005"/>
    <n v="1"/>
    <n v="66.1"/>
    <n v="66.1"/>
    <m/>
  </r>
  <r>
    <s v="USDT $ "/>
    <x v="637"/>
    <s v="J410815957"/>
    <s v="BUFALO NETWORK, C.A"/>
    <s v="FCLIE/2026/02833"/>
    <d v="2026-07-27T00:00:00"/>
    <n v="1287.65"/>
    <x v="3"/>
    <d v="2026-07-27T00:00:00"/>
    <d v="2026-07-27T00:00:00"/>
    <d v="2026-07-27T00:00:00"/>
    <n v="0"/>
    <s v="Contado"/>
    <n v="0"/>
    <n v="0"/>
    <n v="100"/>
    <n v="0"/>
    <n v="0"/>
    <n v="1"/>
    <n v="0.005"/>
    <n v="1"/>
    <n v="12.8765"/>
    <n v="6.43825"/>
    <m/>
  </r>
  <r>
    <s v="USDT $ "/>
    <x v="638"/>
    <s v="J410815957"/>
    <s v="BUFALO NETWORK, C.A"/>
    <s v="FCLIE/2026/02833"/>
    <d v="2026-07-27T00:00:00"/>
    <n v="22.35"/>
    <x v="3"/>
    <d v="2026-07-27T00:00:00"/>
    <d v="2026-07-27T00:00:00"/>
    <d v="2026-07-27T00:00:00"/>
    <n v="0"/>
    <s v="Contado"/>
    <n v="0"/>
    <n v="0"/>
    <n v="100"/>
    <n v="0"/>
    <n v="0"/>
    <n v="1"/>
    <n v="0.005"/>
    <n v="1"/>
    <n v="0.2235"/>
    <n v="0.11175"/>
    <m/>
  </r>
  <r>
    <s v="TRANSITORIA ZELLE"/>
    <x v="639"/>
    <s v="J501328102"/>
    <s v="CORPORACION SOYTECHNO OUTLET, C.A."/>
    <s v="FCLIE/2026/01307"/>
    <d v="2026-05-22T00:00:00"/>
    <n v="54853.4"/>
    <x v="0"/>
    <d v="2026-07-27T00:00:00"/>
    <d v="2026-05-22T00:00:00"/>
    <d v="2026-07-27T00:00:00"/>
    <s v="60"/>
    <s v="Credito"/>
    <n v="66"/>
    <n v="6"/>
    <n v="100"/>
    <n v="2"/>
    <n v="0"/>
    <n v="1"/>
    <n v="0.005"/>
    <n v="1"/>
    <n v="548.534"/>
    <n v="274.267"/>
    <m/>
  </r>
  <r>
    <s v="TRANSITORIA ZELLE"/>
    <x v="639"/>
    <s v="J501328102"/>
    <s v="CORPORACION SOYTECHNO OUTLET, C.A."/>
    <s v="FCLIE/2026/01570"/>
    <d v="2026-06-03T00:00:00"/>
    <n v="8868.3"/>
    <x v="0"/>
    <d v="2026-07-27T00:00:00"/>
    <d v="2026-06-03T00:00:00"/>
    <d v="2026-07-27T00:00:00"/>
    <s v="60"/>
    <s v="Credito"/>
    <n v="54"/>
    <n v="-6"/>
    <n v="100"/>
    <n v="1"/>
    <n v="0"/>
    <n v="1"/>
    <n v="0.005"/>
    <n v="1"/>
    <n v="88.683"/>
    <n v="44.3415"/>
    <m/>
  </r>
  <r>
    <s v="TRANSITORIA ZELLE"/>
    <x v="640"/>
    <s v="J296651566"/>
    <s v="ADVANTAGE TECHNOLOGY, C.A"/>
    <s v="FCLIE/2026/02838"/>
    <d v="2026-07-27T00:00:00"/>
    <n v="615"/>
    <x v="0"/>
    <d v="2026-07-27T00:00:00"/>
    <d v="2026-07-27T00:00:00"/>
    <d v="2026-07-27T00:00:00"/>
    <n v="0"/>
    <s v="Contado"/>
    <n v="0"/>
    <n v="0"/>
    <n v="100"/>
    <n v="0"/>
    <n v="0"/>
    <n v="1.25"/>
    <n v="0.005"/>
    <n v="1"/>
    <n v="7.6875"/>
    <n v="3.075"/>
    <m/>
  </r>
  <r>
    <s v="USDT $ "/>
    <x v="641"/>
    <s v="J296651566"/>
    <s v="ADVANTAGE TECHNOLOGY, C.A"/>
    <s v="FCLIE/2026/02838"/>
    <d v="2026-07-27T00:00:00"/>
    <n v="15"/>
    <x v="0"/>
    <d v="2026-07-27T00:00:00"/>
    <d v="2026-07-27T00:00:00"/>
    <d v="2026-07-27T00:00:00"/>
    <n v="0"/>
    <s v="Contado"/>
    <n v="0"/>
    <n v="0"/>
    <n v="100"/>
    <n v="0"/>
    <n v="0"/>
    <n v="1.25"/>
    <n v="0.005"/>
    <n v="1"/>
    <n v="0.1875"/>
    <n v="0.075"/>
    <m/>
  </r>
  <r>
    <s v="USDT $ "/>
    <x v="642"/>
    <s v="J405775319"/>
    <s v="COMPUTER INK, CA"/>
    <s v="FCLIE/2026/02541"/>
    <d v="2026-07-14T00:00:00"/>
    <n v="329"/>
    <x v="1"/>
    <d v="2026-07-14T00:00:00"/>
    <d v="2026-07-14T00:00:00"/>
    <d v="2026-07-14T00:00:00"/>
    <s v="15"/>
    <s v="Credito"/>
    <n v="0"/>
    <n v="-15"/>
    <n v="100"/>
    <n v="0"/>
    <n v="0"/>
    <n v="1"/>
    <n v="0.005"/>
    <n v="1"/>
    <n v="3.29"/>
    <n v="1.645"/>
    <m/>
  </r>
  <r>
    <s v="REGIONSBANK"/>
    <x v="574"/>
    <s v="J315733170"/>
    <s v="INVERSIONES AVEL DRIVE,C.A."/>
    <s v="FCLIE/2026/02440"/>
    <d v="2026-07-09T00:00:00"/>
    <n v="5"/>
    <x v="3"/>
    <d v="2026-07-22T00:00:00"/>
    <d v="2026-07-09T00:00:00"/>
    <d v="2026-07-22T00:00:00"/>
    <s v="15"/>
    <s v="Credito"/>
    <n v="13"/>
    <n v="-2"/>
    <n v="100"/>
    <n v="0"/>
    <n v="0"/>
    <n v="1"/>
    <n v="0.005"/>
    <n v="1"/>
    <n v="0.05"/>
    <n v="0.025"/>
    <m/>
  </r>
  <r>
    <s v="USDT $ "/>
    <x v="643"/>
    <s v="J405775319"/>
    <s v="COMPUTER INK, CA"/>
    <s v="FCLIE/2026/02693"/>
    <d v="2026-07-17T00:00:00"/>
    <n v="500"/>
    <x v="1"/>
    <d v="2026-07-27T00:00:00"/>
    <d v="2026-07-17T00:00:00"/>
    <d v="2026-07-27T00:00:00"/>
    <s v="15"/>
    <s v="Credito"/>
    <n v="10"/>
    <n v="-5"/>
    <n v="100"/>
    <n v="0"/>
    <n v="0"/>
    <n v="1"/>
    <n v="0.005"/>
    <n v="1"/>
    <n v="5"/>
    <n v="2.5"/>
    <m/>
  </r>
  <r>
    <s v="Caja Principal"/>
    <x v="644"/>
    <s v="J304247605"/>
    <s v="DISTRIBUIDORA SEGURA"/>
    <s v="FCLIE/2026/02840"/>
    <d v="2026-07-27T00:00:00"/>
    <n v="50"/>
    <x v="0"/>
    <d v="2026-07-27T00:00:00"/>
    <d v="2026-07-27T00:00:00"/>
    <d v="2026-07-27T00:00:00"/>
    <n v="0"/>
    <s v="Contado"/>
    <n v="0"/>
    <n v="0"/>
    <n v="100"/>
    <n v="0"/>
    <n v="0"/>
    <n v="1.25"/>
    <n v="0.005"/>
    <n v="1"/>
    <n v="0.625"/>
    <n v="0.25"/>
    <m/>
  </r>
  <r>
    <s v="USDT $ "/>
    <x v="645"/>
    <s v="J506100258"/>
    <s v="EMPRENDIMIENTO DANIEL LOPEZ 15"/>
    <s v="FCLIE/2026/02841"/>
    <d v="2026-07-27T00:00:00"/>
    <n v="493.55"/>
    <x v="0"/>
    <d v="2026-07-23T00:00:00"/>
    <d v="2026-07-27T00:00:00"/>
    <d v="2026-07-23T00:00:00"/>
    <n v="0"/>
    <s v="Contado"/>
    <n v="-4"/>
    <n v="-4"/>
    <n v="100"/>
    <n v="0"/>
    <n v="0"/>
    <n v="1.25"/>
    <n v="0.005"/>
    <n v="1"/>
    <n v="6.169375"/>
    <n v="2.46775"/>
    <m/>
  </r>
  <r>
    <s v="USDT $ "/>
    <x v="646"/>
    <s v="J506100258"/>
    <s v="EMPRENDIMIENTO DANIEL LOPEZ 15"/>
    <s v="FCLIE/2026/02837"/>
    <d v="2026-07-27T00:00:00"/>
    <n v="311.15"/>
    <x v="0"/>
    <d v="2026-07-27T00:00:00"/>
    <d v="2026-07-27T00:00:00"/>
    <d v="2026-07-27T00:00:00"/>
    <n v="0"/>
    <s v="Contado"/>
    <n v="0"/>
    <n v="0"/>
    <n v="100"/>
    <n v="0"/>
    <n v="0"/>
    <n v="1.25"/>
    <n v="1.005"/>
    <n v="1"/>
    <n v="3.889375"/>
    <n v="1.55575"/>
    <m/>
  </r>
  <r>
    <s v="Caja Principal"/>
    <x v="647"/>
    <s v="J406059846"/>
    <s v="LOGISTICA Y SUMINISTRO LOYSUM C.A."/>
    <s v="FCLIE/2026/02853"/>
    <d v="2026-07-27T00:00:00"/>
    <n v="109.15"/>
    <x v="0"/>
    <d v="2026-07-27T00:00:00"/>
    <d v="2026-07-27T00:00:00"/>
    <d v="2026-07-27T00:00:00"/>
    <n v="0"/>
    <s v="Contado"/>
    <n v="0"/>
    <n v="0"/>
    <n v="100"/>
    <n v="0"/>
    <n v="0"/>
    <n v="1.25"/>
    <n v="2.005"/>
    <n v="1"/>
    <n v="1.364375"/>
    <n v="0.54575"/>
    <m/>
  </r>
  <r>
    <s v="USDT $ "/>
    <x v="648"/>
    <s v="J296651566"/>
    <s v="ADVANTAGE TECHNOLOGY, C.A"/>
    <s v="FCLIE/2026/02849"/>
    <d v="2026-07-27T00:00:00"/>
    <n v="230"/>
    <x v="0"/>
    <d v="2026-07-27T00:00:00"/>
    <d v="2026-07-27T00:00:00"/>
    <d v="2026-07-27T00:00:00"/>
    <n v="0"/>
    <s v="Contado"/>
    <n v="0"/>
    <n v="0"/>
    <n v="100"/>
    <n v="0"/>
    <n v="0"/>
    <n v="1.25"/>
    <n v="3.005"/>
    <n v="1"/>
    <n v="2.875"/>
    <n v="1.15"/>
    <m/>
  </r>
  <r>
    <s v="USDT $ "/>
    <x v="649"/>
    <s v="J296651566"/>
    <s v="ADVANTAGE TECHNOLOGY, C.A"/>
    <s v="FCLIE/2026/02851"/>
    <d v="2026-07-27T00:00:00"/>
    <n v="210"/>
    <x v="0"/>
    <d v="2026-07-27T00:00:00"/>
    <d v="2026-07-27T00:00:00"/>
    <d v="2026-07-27T00:00:00"/>
    <n v="0"/>
    <s v="Contado"/>
    <n v="0"/>
    <n v="0"/>
    <n v="100"/>
    <n v="0"/>
    <n v="0"/>
    <n v="1.25"/>
    <n v="4.005"/>
    <n v="1"/>
    <n v="2.625"/>
    <n v="1.05"/>
    <m/>
  </r>
  <r>
    <s v="USDT $ "/>
    <x v="650"/>
    <s v="J406699128"/>
    <s v="DIGITAL BLESS, C.A."/>
    <s v="FCLIE/2026/02608"/>
    <d v="2026-07-16T00:00:00"/>
    <n v="829.3"/>
    <x v="3"/>
    <d v="2026-07-27T00:00:00"/>
    <d v="2026-07-16T00:00:00"/>
    <d v="2026-07-27T00:00:00"/>
    <s v="21"/>
    <s v="Credito"/>
    <n v="11"/>
    <n v="-10"/>
    <n v="100"/>
    <n v="0"/>
    <n v="0"/>
    <n v="1"/>
    <n v="5.005"/>
    <n v="1"/>
    <n v="8.293"/>
    <n v="4.1465"/>
    <m/>
  </r>
  <r>
    <s v="USDT $ "/>
    <x v="650"/>
    <s v="J406699128"/>
    <s v="DIGITAL BLESS, C.A."/>
    <s v="FCLIE/2026/02643"/>
    <d v="2026-07-17T00:00:00"/>
    <n v="156.3"/>
    <x v="3"/>
    <d v="2026-07-27T00:00:00"/>
    <d v="2026-07-17T00:00:00"/>
    <d v="2026-07-27T00:00:00"/>
    <s v="21"/>
    <s v="Credito"/>
    <n v="10"/>
    <n v="-11"/>
    <n v="100"/>
    <n v="0"/>
    <n v="0"/>
    <n v="1"/>
    <n v="6.005"/>
    <n v="1"/>
    <n v="1.563"/>
    <n v="0.7815"/>
    <m/>
  </r>
  <r>
    <s v="USDT $ "/>
    <x v="650"/>
    <s v="J406699128"/>
    <s v="DIGITAL BLESS, C.A."/>
    <s v="FCLIE/2026/02648"/>
    <d v="2026-07-17T00:00:00"/>
    <n v="1014.4"/>
    <x v="3"/>
    <d v="2026-07-27T00:00:00"/>
    <d v="2026-07-17T00:00:00"/>
    <d v="2026-07-27T00:00:00"/>
    <s v="21"/>
    <s v="Credito"/>
    <n v="10"/>
    <n v="-11"/>
    <n v="100"/>
    <n v="0"/>
    <n v="0"/>
    <n v="1"/>
    <n v="7.005"/>
    <n v="1"/>
    <n v="10.144"/>
    <n v="5.072"/>
    <m/>
  </r>
  <r>
    <s v="USDT $ "/>
    <x v="651"/>
    <s v="J501638799"/>
    <s v="INVERSIONES ARTHA TECHNOLOGY, C.A"/>
    <s v="FCLIE/2026/02204"/>
    <d v="2026-07-01T00:00:00"/>
    <n v="1750"/>
    <x v="0"/>
    <d v="2026-07-27T00:00:00"/>
    <d v="2026-07-01T00:00:00"/>
    <d v="2026-07-27T00:00:00"/>
    <s v="15"/>
    <s v="Credito"/>
    <n v="26"/>
    <n v="11"/>
    <n v="100"/>
    <n v="0"/>
    <n v="0"/>
    <n v="1.25"/>
    <n v="8.005"/>
    <n v="1"/>
    <n v="21.875"/>
    <n v="8.75"/>
    <m/>
  </r>
  <r>
    <s v="Banco del Caribe  BS"/>
    <x v="652"/>
    <s v="J505605739"/>
    <s v="ALGE SOLUTIONS 2024, C.A."/>
    <s v="FCLIE/2026/02855"/>
    <d v="2026-07-27T00:00:00"/>
    <n v="218.4"/>
    <x v="3"/>
    <d v="2026-07-27T00:00:00"/>
    <d v="2026-07-27T00:00:00"/>
    <d v="2026-07-27T00:00:00"/>
    <n v="0"/>
    <s v="Contado"/>
    <n v="0"/>
    <n v="0"/>
    <n v="100"/>
    <n v="0"/>
    <n v="0"/>
    <n v="1"/>
    <n v="9.005"/>
    <n v="1"/>
    <n v="2.184"/>
    <n v="1.092"/>
    <m/>
  </r>
  <r>
    <s v="Banesco BS. 3049"/>
    <x v="653"/>
    <s v="J307472596"/>
    <s v="AMPLEXCORP C.A"/>
    <s v="FCLIE/2026/02842"/>
    <d v="2026-07-27T00:00:00"/>
    <n v="105"/>
    <x v="0"/>
    <d v="2026-07-27T00:00:00"/>
    <d v="2026-07-27T00:00:00"/>
    <d v="2026-07-27T00:00:00"/>
    <n v="0"/>
    <s v="Contado"/>
    <n v="0"/>
    <n v="0"/>
    <n v="100"/>
    <n v="0"/>
    <n v="0"/>
    <n v="1.25"/>
    <n v="10.005"/>
    <n v="1"/>
    <n v="1.3125"/>
    <n v="0.525"/>
    <m/>
  </r>
  <r>
    <s v="USDT $ "/>
    <x v="654"/>
    <s v="J307838140"/>
    <s v="REGALO MANIA, C.A."/>
    <s v="FCLIE/2026/02856"/>
    <d v="2026-07-27T00:00:00"/>
    <n v="455.25"/>
    <x v="0"/>
    <d v="2026-07-27T00:00:00"/>
    <d v="2026-07-27T00:00:00"/>
    <d v="2026-07-27T00:00:00"/>
    <n v="0"/>
    <s v="Contado"/>
    <n v="0"/>
    <n v="0"/>
    <n v="100"/>
    <n v="0"/>
    <n v="0"/>
    <n v="1.25"/>
    <n v="11.005"/>
    <n v="1"/>
    <n v="5.690625"/>
    <n v="2.27625"/>
    <m/>
  </r>
  <r>
    <s v="Banesco Custodia $"/>
    <x v="655"/>
    <s v="J501820813"/>
    <s v="A&amp;J INVERSIONES, C.A"/>
    <s v="FCLIE/2026/02493"/>
    <d v="2026-07-10T00:00:00"/>
    <n v="2000"/>
    <x v="3"/>
    <d v="2026-07-27T00:00:00"/>
    <d v="2026-07-10T00:00:00"/>
    <d v="2026-07-27T00:00:00"/>
    <s v="15"/>
    <s v="Credito"/>
    <n v="17"/>
    <n v="2"/>
    <n v="100"/>
    <n v="0"/>
    <n v="0"/>
    <n v="1"/>
    <n v="12.005"/>
    <n v="1"/>
    <n v="20"/>
    <n v="10"/>
    <m/>
  </r>
  <r>
    <s v="Caja Principal"/>
    <x v="656"/>
    <s v="J407552007"/>
    <s v="DON BOSCO FULL PRINT Y ALGO MAS, C.A"/>
    <s v="FCLIE/2026/02861"/>
    <d v="2026-07-27T00:00:00"/>
    <n v="700"/>
    <x v="1"/>
    <d v="2026-07-27T00:00:00"/>
    <d v="2026-07-27T00:00:00"/>
    <d v="2026-07-27T00:00:00"/>
    <n v="0"/>
    <s v="Contado"/>
    <n v="0"/>
    <n v="0"/>
    <n v="100"/>
    <n v="0"/>
    <n v="0"/>
    <n v="1"/>
    <n v="13.005"/>
    <n v="1"/>
    <n v="7"/>
    <n v="3.5"/>
    <m/>
  </r>
  <r>
    <s v="Caja Principal"/>
    <x v="657"/>
    <s v="J501580146"/>
    <s v="OMNIA SUPPLIES C.A"/>
    <s v="FCLIE/2026/02844"/>
    <d v="2026-07-27T00:00:00"/>
    <n v="519.47"/>
    <x v="0"/>
    <d v="2026-07-27T00:00:00"/>
    <d v="2026-07-27T00:00:00"/>
    <d v="2026-07-27T00:00:00"/>
    <n v="0"/>
    <s v="Contado"/>
    <n v="0"/>
    <n v="0"/>
    <n v="100"/>
    <n v="0"/>
    <n v="0"/>
    <n v="1.25"/>
    <n v="14.005"/>
    <n v="1"/>
    <n v="6.493375"/>
    <n v="2.59735"/>
    <m/>
  </r>
  <r>
    <s v="Caja Principal"/>
    <x v="657"/>
    <s v="J501580146"/>
    <s v="OMNIA SUPPLIES C.A"/>
    <s v="FCLIE/2026/02860"/>
    <d v="2026-07-27T00:00:00"/>
    <n v="6.65"/>
    <x v="0"/>
    <d v="2026-07-27T00:00:00"/>
    <d v="2026-07-27T00:00:00"/>
    <d v="2026-07-27T00:00:00"/>
    <n v="0"/>
    <s v="Contado"/>
    <n v="0"/>
    <n v="0"/>
    <n v="100"/>
    <n v="0"/>
    <n v="0"/>
    <n v="1.25"/>
    <n v="15.005"/>
    <n v="1"/>
    <n v="0.083125"/>
    <n v="0.03325"/>
    <m/>
  </r>
  <r>
    <s v="USDT $ "/>
    <x v="658"/>
    <s v="J307291184"/>
    <s v="GALLERY COMPUTER, EL TIGRE, C.A"/>
    <s v="FCLIE/2026/02141"/>
    <d v="2026-06-23T00:00:00"/>
    <n v="2394"/>
    <x v="3"/>
    <d v="2026-07-27T00:00:00"/>
    <d v="2026-06-23T00:00:00"/>
    <d v="2026-07-27T00:00:00"/>
    <s v="21"/>
    <s v="Credito"/>
    <n v="34"/>
    <n v="13"/>
    <n v="100"/>
    <n v="1"/>
    <n v="0"/>
    <n v="1"/>
    <n v="16.005"/>
    <n v="1"/>
    <n v="23.94"/>
    <n v="11.97"/>
    <m/>
  </r>
  <r>
    <s v="USDT $ "/>
    <x v="659"/>
    <s v="J317298004"/>
    <s v="GALLERY COMPUTER, PZO, C.A"/>
    <s v="FCLIE/2026/02139"/>
    <d v="2026-06-23T00:00:00"/>
    <n v="3412.5"/>
    <x v="3"/>
    <d v="2026-07-27T00:00:00"/>
    <d v="2026-06-23T00:00:00"/>
    <d v="2026-07-27T00:00:00"/>
    <s v="21"/>
    <s v="Credito"/>
    <n v="34"/>
    <n v="13"/>
    <n v="100"/>
    <n v="1"/>
    <n v="0"/>
    <n v="1"/>
    <n v="17.005"/>
    <n v="1"/>
    <n v="34.125"/>
    <n v="17.0625"/>
    <m/>
  </r>
  <r>
    <s v="USDT $ "/>
    <x v="660"/>
    <s v="J304709927"/>
    <s v="GALLERY COMPUTER, C.A"/>
    <s v="FCLIE/2026/02140"/>
    <d v="2026-06-23T00:00:00"/>
    <n v="3412.5"/>
    <x v="3"/>
    <d v="2026-07-27T00:00:00"/>
    <d v="2026-06-23T00:00:00"/>
    <d v="2026-07-27T00:00:00"/>
    <s v="21"/>
    <s v="Credito"/>
    <n v="34"/>
    <n v="13"/>
    <n v="100"/>
    <n v="1"/>
    <n v="0"/>
    <n v="1"/>
    <n v="18.005"/>
    <n v="1"/>
    <n v="34.125"/>
    <n v="17.0625"/>
    <m/>
  </r>
  <r>
    <s v="TRANSITORIA ZELLE"/>
    <x v="661"/>
    <s v="J297079025"/>
    <s v="CENTRO DE COMUNICACIONES D.J.D., CA"/>
    <s v="FCLIE/2026/02858"/>
    <d v="2026-07-27T00:00:00"/>
    <n v="49.95"/>
    <x v="1"/>
    <d v="2026-07-27T00:00:00"/>
    <d v="2026-07-27T00:00:00"/>
    <d v="2026-07-27T00:00:00"/>
    <n v="0"/>
    <s v="Contado"/>
    <n v="0"/>
    <n v="0"/>
    <n v="100"/>
    <n v="0"/>
    <n v="0"/>
    <n v="1"/>
    <n v="19.005"/>
    <n v="1"/>
    <n v="0.4995"/>
    <n v="0.24975"/>
    <m/>
  </r>
  <r>
    <s v="USDT $ "/>
    <x v="662"/>
    <s v="J506775000"/>
    <s v="EMPRENDIMIENTO LAURANAILETH NUÑEZ"/>
    <s v="FCLIE/2026/02794"/>
    <d v="2026-07-23T00:00:00"/>
    <n v="689.19"/>
    <x v="4"/>
    <d v="2026-07-27T00:00:00"/>
    <d v="2026-07-23T00:00:00"/>
    <d v="2026-07-27T00:00:00"/>
    <s v="7"/>
    <s v="Credito"/>
    <n v="4"/>
    <n v="-3"/>
    <n v="100"/>
    <n v="0"/>
    <n v="0"/>
    <n v="1.25"/>
    <n v="20.005"/>
    <n v="1"/>
    <n v="8.614875"/>
    <n v="3.44595"/>
    <m/>
  </r>
  <r>
    <s v="REGIONSBANK"/>
    <x v="663"/>
    <s v="J508004841"/>
    <s v="GRUPO NOVA 2025, C.A"/>
    <s v="FCLIE/2026/02405"/>
    <d v="2026-07-08T00:00:00"/>
    <n v="4801.45"/>
    <x v="2"/>
    <d v="2026-07-22T00:00:00"/>
    <d v="2026-07-08T00:00:00"/>
    <d v="2026-07-22T00:00:00"/>
    <s v="7"/>
    <s v="Credito"/>
    <n v="14"/>
    <n v="7"/>
    <n v="100"/>
    <n v="0"/>
    <n v="0"/>
    <n v="1.25"/>
    <n v="21.005"/>
    <n v="1"/>
    <n v="60.018125"/>
    <n v="24.00725"/>
    <m/>
  </r>
  <r>
    <s v="USDT $ "/>
    <x v="664"/>
    <s v="J404486810"/>
    <s v="ELECTRONICA DATACOM, C.A."/>
    <s v="FCLIE/2026/02854"/>
    <d v="2026-07-27T00:00:00"/>
    <n v="2100"/>
    <x v="1"/>
    <d v="2026-07-28T00:00:00"/>
    <d v="2026-07-27T00:00:00"/>
    <d v="2026-07-28T00:00:00"/>
    <n v="0"/>
    <s v="Contado"/>
    <n v="1"/>
    <n v="1"/>
    <n v="100"/>
    <n v="0"/>
    <n v="0"/>
    <n v="1"/>
    <n v="22.005"/>
    <n v="1"/>
    <n v="21"/>
    <n v="10.5"/>
    <m/>
  </r>
  <r>
    <s v="USDT $ "/>
    <x v="665"/>
    <s v="J407552007"/>
    <s v="DON BOSCO FULL PRINT Y ALGO MAS, C.A"/>
    <s v="FCLIE/2026/02861"/>
    <d v="2026-07-27T00:00:00"/>
    <n v="2.25"/>
    <x v="1"/>
    <d v="2026-07-28T00:00:00"/>
    <d v="2026-07-27T00:00:00"/>
    <d v="2026-07-28T00:00:00"/>
    <n v="0"/>
    <s v="Contado"/>
    <n v="1"/>
    <n v="1"/>
    <n v="100"/>
    <n v="0"/>
    <n v="0"/>
    <n v="1"/>
    <n v="23.005"/>
    <n v="1"/>
    <n v="0.0225"/>
    <n v="0.01125"/>
    <m/>
  </r>
  <r>
    <s v="USDT $ "/>
    <x v="666"/>
    <s v="J500782349"/>
    <s v="COMERCIALIZADORA ENCARGALO AQUI, C.A"/>
    <s v="FCLIE/2026/01577"/>
    <d v="2026-06-03T00:00:00"/>
    <n v="113.87"/>
    <x v="1"/>
    <d v="2026-07-28T00:00:00"/>
    <d v="2026-06-03T00:00:00"/>
    <d v="2026-07-28T00:00:00"/>
    <s v="21"/>
    <s v="Credito"/>
    <n v="55"/>
    <n v="34"/>
    <n v="30"/>
    <n v="1"/>
    <n v="0"/>
    <n v="1"/>
    <n v="24.005"/>
    <n v="1"/>
    <n v="0.34161"/>
    <n v="0.56935"/>
    <m/>
  </r>
  <r>
    <s v="USDT $ "/>
    <x v="666"/>
    <s v="J500782349"/>
    <s v="COMERCIALIZADORA ENCARGALO AQUI, C.A"/>
    <s v="FCLIE/2026/01695"/>
    <d v="2026-06-08T00:00:00"/>
    <n v="886.13"/>
    <x v="1"/>
    <d v="2026-07-28T00:00:00"/>
    <d v="2026-06-08T00:00:00"/>
    <d v="2026-07-28T00:00:00"/>
    <s v="21"/>
    <s v="Credito"/>
    <n v="50"/>
    <n v="29"/>
    <n v="50"/>
    <n v="1"/>
    <n v="0"/>
    <n v="1"/>
    <n v="25.005"/>
    <n v="1"/>
    <n v="4.43065"/>
    <n v="4.43065"/>
    <m/>
  </r>
  <r>
    <s v="USDT $ "/>
    <x v="667"/>
    <s v="J505218034"/>
    <s v="CANELON ARANZAZU I, C.A"/>
    <s v="FCLIE/2026/02755"/>
    <d v="2026-07-21T00:00:00"/>
    <n v="1103.35"/>
    <x v="4"/>
    <d v="2026-07-20T00:00:00"/>
    <d v="2026-07-21T00:00:00"/>
    <d v="2026-07-20T00:00:00"/>
    <n v="0"/>
    <s v="Contado"/>
    <n v="-1"/>
    <n v="-1"/>
    <n v="100"/>
    <n v="0"/>
    <n v="0"/>
    <n v="1.25"/>
    <n v="26.005"/>
    <n v="1"/>
    <n v="13.791875"/>
    <n v="5.51675"/>
    <m/>
  </r>
  <r>
    <s v="USDT $ "/>
    <x v="667"/>
    <s v="J505218034"/>
    <s v="CANELON ARANZAZU I, C.A"/>
    <s v="FCLIE/2026/02864"/>
    <d v="2026-07-27T00:00:00"/>
    <n v="426"/>
    <x v="4"/>
    <d v="2026-07-20T00:00:00"/>
    <d v="2026-07-27T00:00:00"/>
    <d v="2026-07-20T00:00:00"/>
    <n v="0"/>
    <s v="Contado"/>
    <n v="-7"/>
    <n v="-7"/>
    <n v="100"/>
    <n v="0"/>
    <n v="0"/>
    <n v="1.25"/>
    <n v="27.005"/>
    <n v="1"/>
    <n v="5.325"/>
    <n v="2.13"/>
    <m/>
  </r>
  <r>
    <s v="USDT $ "/>
    <x v="667"/>
    <s v="J505218034"/>
    <s v="CANELON ARANZAZU I, C.A"/>
    <s v="FCLIE/2026/02866"/>
    <d v="2026-07-27T00:00:00"/>
    <n v="54"/>
    <x v="4"/>
    <d v="2026-07-20T00:00:00"/>
    <d v="2026-07-27T00:00:00"/>
    <d v="2026-07-20T00:00:00"/>
    <n v="0"/>
    <s v="Contado"/>
    <n v="-7"/>
    <n v="-7"/>
    <n v="100"/>
    <n v="0"/>
    <n v="0"/>
    <n v="1.25"/>
    <n v="28.005"/>
    <n v="1"/>
    <n v="0.675"/>
    <n v="0.27"/>
    <m/>
  </r>
  <r>
    <s v="USDT $ "/>
    <x v="668"/>
    <s v="J505218034"/>
    <s v="CANELON ARANZAZU I, C.A"/>
    <s v="FCLIE/2026/02866"/>
    <d v="2026-07-27T00:00:00"/>
    <n v="2502.3"/>
    <x v="4"/>
    <d v="2026-07-28T00:00:00"/>
    <d v="2026-07-27T00:00:00"/>
    <d v="2026-07-28T00:00:00"/>
    <n v="0"/>
    <s v="Contado"/>
    <n v="1"/>
    <n v="1"/>
    <n v="100"/>
    <n v="0"/>
    <n v="0"/>
    <n v="1.25"/>
    <n v="29.005"/>
    <n v="1"/>
    <n v="31.27875"/>
    <n v="12.5115"/>
    <m/>
  </r>
  <r>
    <s v="Banesco BS. 3049"/>
    <x v="669"/>
    <s v="J310178909"/>
    <s v="JARL CONSULTORES &amp; ASOCIADOS, C. A."/>
    <s v="FCLIE/2026/02310"/>
    <d v="2026-07-06T00:00:00"/>
    <n v="4.36"/>
    <x v="0"/>
    <d v="2026-07-06T00:00:00"/>
    <d v="2026-07-06T00:00:00"/>
    <d v="2026-07-06T00:00:00"/>
    <n v="0"/>
    <s v="Contado"/>
    <n v="0"/>
    <n v="0"/>
    <n v="100"/>
    <n v="0"/>
    <n v="0"/>
    <n v="1.25"/>
    <n v="30.005"/>
    <n v="1"/>
    <n v="0.0545"/>
    <n v="0.0218"/>
    <m/>
  </r>
  <r>
    <s v="Caja Principal"/>
    <x v="670"/>
    <s v="J310178909"/>
    <s v="JARL CONSULTORES &amp; ASOCIADOS, C. A."/>
    <s v="FCLIE/2026/02876"/>
    <d v="2026-07-28T00:00:00"/>
    <n v="859.5"/>
    <x v="0"/>
    <d v="2026-07-28T00:00:00"/>
    <d v="2026-07-28T00:00:00"/>
    <d v="2026-07-28T00:00:00"/>
    <n v="0"/>
    <s v="Contado"/>
    <n v="0"/>
    <n v="0"/>
    <n v="100"/>
    <n v="0"/>
    <n v="0"/>
    <n v="1.25"/>
    <n v="31.005"/>
    <n v="1"/>
    <n v="10.74375"/>
    <n v="4.2975"/>
    <m/>
  </r>
  <r>
    <s v="Banco del Caribe  BS"/>
    <x v="671"/>
    <s v="J412401777"/>
    <s v="INVERSIONES FRANCIS. FULL COLOR 2019, C.A"/>
    <s v="FCLIE/2026/02751"/>
    <d v="2026-07-21T00:00:00"/>
    <n v="14.75"/>
    <x v="3"/>
    <d v="2026-07-21T00:00:00"/>
    <d v="2026-07-21T00:00:00"/>
    <d v="2026-07-21T00:00:00"/>
    <n v="0"/>
    <s v="Contado"/>
    <n v="0"/>
    <n v="0"/>
    <n v="100"/>
    <n v="0"/>
    <n v="0"/>
    <n v="1"/>
    <n v="32.005"/>
    <n v="1"/>
    <n v="0.1475"/>
    <n v="0.07375"/>
    <m/>
  </r>
  <r>
    <s v="USDT $ "/>
    <x v="672"/>
    <s v="J296651566"/>
    <s v="ADVANTAGE TECHNOLOGY, C.A"/>
    <s v="FCLIE/2026/02874"/>
    <d v="2026-07-28T00:00:00"/>
    <n v="630"/>
    <x v="0"/>
    <d v="2026-07-28T00:00:00"/>
    <d v="2026-07-28T00:00:00"/>
    <d v="2026-07-28T00:00:00"/>
    <n v="0"/>
    <s v="Contado"/>
    <n v="0"/>
    <n v="0"/>
    <n v="100"/>
    <n v="0"/>
    <n v="0"/>
    <n v="1.25"/>
    <n v="33.005"/>
    <n v="1"/>
    <n v="7.875"/>
    <n v="3.15"/>
    <m/>
  </r>
  <r>
    <s v="USDT $ "/>
    <x v="673"/>
    <s v="J410686219"/>
    <s v="INVERSIONES PULSAR ALIANZA, C.A"/>
    <s v="FCLIE/2026/01686"/>
    <d v="2026-06-08T00:00:00"/>
    <n v="0.76"/>
    <x v="5"/>
    <d v="2026-07-28T00:00:00"/>
    <d v="2026-06-08T00:00:00"/>
    <d v="2026-07-28T00:00:00"/>
    <s v="15"/>
    <s v="Credito"/>
    <n v="50"/>
    <n v="35"/>
    <n v="30"/>
    <n v="1"/>
    <n v="0"/>
    <n v="1"/>
    <n v="34.005"/>
    <n v="1"/>
    <n v="0.00228"/>
    <n v="0.0038"/>
    <m/>
  </r>
  <r>
    <s v="USDT $ "/>
    <x v="673"/>
    <s v="J410686219"/>
    <s v="INVERSIONES PULSAR ALIANZA, C.A"/>
    <s v="FCLIE/2026/02239"/>
    <d v="2026-07-02T00:00:00"/>
    <n v="1799.24"/>
    <x v="5"/>
    <d v="2026-07-28T00:00:00"/>
    <d v="2026-07-02T00:00:00"/>
    <d v="2026-07-28T00:00:00"/>
    <s v="15"/>
    <s v="Credito"/>
    <n v="26"/>
    <n v="11"/>
    <n v="100"/>
    <n v="0"/>
    <n v="0"/>
    <n v="1.25"/>
    <n v="35.005"/>
    <n v="1"/>
    <n v="22.4905"/>
    <n v="8.9962"/>
    <m/>
  </r>
  <r>
    <s v="USDT $ "/>
    <x v="674"/>
    <s v="J507222047"/>
    <s v="GROUP TEC 2224,C.A. PYME"/>
    <s v="FCLIE/2026/02862"/>
    <d v="2026-07-27T00:00:00"/>
    <n v="184.35"/>
    <x v="4"/>
    <d v="2026-07-28T00:00:00"/>
    <d v="2026-07-27T00:00:00"/>
    <d v="2026-07-28T00:00:00"/>
    <n v="0"/>
    <s v="Contado"/>
    <n v="1"/>
    <n v="1"/>
    <n v="100"/>
    <n v="0"/>
    <n v="0"/>
    <n v="1.25"/>
    <n v="36.005"/>
    <n v="1"/>
    <n v="2.304375"/>
    <n v="0.92175"/>
    <m/>
  </r>
  <r>
    <s v="USDT $ "/>
    <x v="675"/>
    <s v="J501365822"/>
    <s v="MULTI PC VENEZUELA, C.A."/>
    <s v="FCLIE/2026/02589"/>
    <d v="2026-07-15T00:00:00"/>
    <n v="4000"/>
    <x v="4"/>
    <d v="2026-07-28T00:00:00"/>
    <d v="2026-07-15T00:00:00"/>
    <d v="2026-07-28T00:00:00"/>
    <s v="7"/>
    <s v="Credito"/>
    <n v="13"/>
    <n v="6"/>
    <n v="100"/>
    <n v="0"/>
    <n v="0"/>
    <n v="1.25"/>
    <n v="37.005"/>
    <n v="1"/>
    <n v="50"/>
    <n v="20"/>
    <m/>
  </r>
  <r>
    <s v="Caja Principal"/>
    <x v="676"/>
    <s v="J404365524"/>
    <s v="INVERSIONES JUDOR 2013 C.A."/>
    <s v="FCLIE/2026/02877"/>
    <d v="2026-07-28T00:00:00"/>
    <n v="159"/>
    <x v="4"/>
    <d v="2026-07-28T00:00:00"/>
    <d v="2026-07-28T00:00:00"/>
    <d v="2026-07-28T00:00:00"/>
    <n v="0"/>
    <s v="Contado"/>
    <n v="0"/>
    <n v="0"/>
    <n v="100"/>
    <n v="0"/>
    <n v="0"/>
    <n v="1.25"/>
    <n v="38.005"/>
    <n v="1"/>
    <n v="1.9875"/>
    <n v="0.795"/>
    <m/>
  </r>
  <r>
    <s v="USDT $ "/>
    <x v="630"/>
    <s v="J301883780"/>
    <s v="SERVIHECMIR, C.A."/>
    <s v="FCLIE/2026/02875"/>
    <d v="2026-07-28T00:00:00"/>
    <n v="0.02"/>
    <x v="0"/>
    <d v="2026-07-27T00:00:00"/>
    <d v="2026-07-28T00:00:00"/>
    <d v="2026-07-27T00:00:00"/>
    <s v="15"/>
    <s v="Credito"/>
    <n v="-1"/>
    <n v="-16"/>
    <n v="100"/>
    <n v="0"/>
    <n v="0"/>
    <n v="1.25"/>
    <n v="39.005"/>
    <n v="1"/>
    <n v="0.00025"/>
    <n v="0.0001"/>
    <m/>
  </r>
  <r>
    <s v="USDT $ "/>
    <x v="677"/>
    <s v="J309337319"/>
    <s v="INVERSIONES RUIZ PAREDES C.A"/>
    <s v="FCLIE/2026/02711"/>
    <d v="2026-07-20T00:00:00"/>
    <n v="630"/>
    <x v="6"/>
    <d v="2026-07-20T00:00:00"/>
    <d v="2026-07-20T00:00:00"/>
    <d v="2026-07-20T00:00:00"/>
    <n v="0"/>
    <s v="Contado"/>
    <n v="0"/>
    <n v="0"/>
    <n v="100"/>
    <n v="0"/>
    <n v="0"/>
    <n v="1"/>
    <n v="40.005"/>
    <n v="1"/>
    <n v="6.3"/>
    <n v="3.15"/>
    <m/>
  </r>
  <r>
    <s v="REGIONSBANK"/>
    <x v="678"/>
    <s v="J505077880"/>
    <s v="INVER 22-22, C.A"/>
    <s v="FCLIE/2026/01886"/>
    <d v="2026-06-12T00:00:00"/>
    <n v="11062.5"/>
    <x v="3"/>
    <d v="2026-07-28T00:00:00"/>
    <d v="2026-06-12T00:00:00"/>
    <d v="2026-07-28T00:00:00"/>
    <s v="30"/>
    <s v="Credito"/>
    <n v="46"/>
    <n v="16"/>
    <n v="50"/>
    <n v="1"/>
    <n v="0"/>
    <n v="1"/>
    <n v="41.005"/>
    <n v="1"/>
    <n v="55.3125"/>
    <n v="55.3125"/>
    <m/>
  </r>
  <r>
    <s v="REGIONSBANK"/>
    <x v="679"/>
    <s v="J315733170"/>
    <s v="INVERSIONES AVEL DRIVE,C.A."/>
    <s v="FCLIE/2026/02440"/>
    <d v="2026-07-09T00:00:00"/>
    <n v="153.5"/>
    <x v="3"/>
    <d v="2026-07-28T00:00:00"/>
    <d v="2026-07-09T00:00:00"/>
    <d v="2026-07-28T00:00:00"/>
    <s v="15"/>
    <s v="Credito"/>
    <n v="19"/>
    <n v="4"/>
    <n v="100"/>
    <n v="0"/>
    <n v="0"/>
    <n v="1"/>
    <n v="42.005"/>
    <n v="1"/>
    <n v="1.535"/>
    <n v="0.7675"/>
    <m/>
  </r>
  <r>
    <s v="REGIONSBANK"/>
    <x v="680"/>
    <s v="J501297711"/>
    <s v="DISTRIBUIDORA PARTNER ONE, C.A"/>
    <s v="FCLIE/2026/02845"/>
    <d v="2026-07-27T00:00:00"/>
    <n v="63.3"/>
    <x v="4"/>
    <d v="2026-07-28T00:00:00"/>
    <d v="2026-07-27T00:00:00"/>
    <d v="2026-07-28T00:00:00"/>
    <s v="3"/>
    <s v="Credito"/>
    <n v="1"/>
    <n v="-2"/>
    <n v="100"/>
    <n v="0"/>
    <n v="0"/>
    <n v="1.25"/>
    <n v="43.005"/>
    <n v="1"/>
    <n v="0.79125"/>
    <n v="0.3165"/>
    <m/>
  </r>
  <r>
    <s v="REGIONSBANK"/>
    <x v="681"/>
    <s v="J301675002"/>
    <s v="CENCOMUN VIDEO C A"/>
    <s v="FCLIE/2026/02102"/>
    <d v="2026-06-22T00:00:00"/>
    <n v="1000"/>
    <x v="6"/>
    <d v="2026-07-28T00:00:00"/>
    <d v="2026-06-22T00:00:00"/>
    <d v="2026-07-28T00:00:00"/>
    <s v="15"/>
    <s v="Credito"/>
    <n v="36"/>
    <n v="21"/>
    <n v="50"/>
    <n v="1"/>
    <n v="0"/>
    <n v="1"/>
    <n v="44.005"/>
    <n v="1"/>
    <n v="5"/>
    <n v="5"/>
    <m/>
  </r>
  <r>
    <s v="REGIONSBANK"/>
    <x v="682"/>
    <s v="J504073067"/>
    <s v="RECARGATE LAS AMERICAS C.A"/>
    <s v="FCLIE/2026/02109"/>
    <d v="2026-06-22T00:00:00"/>
    <n v="5547.6"/>
    <x v="3"/>
    <d v="2026-07-28T00:00:00"/>
    <d v="2026-06-22T00:00:00"/>
    <d v="2026-07-28T00:00:00"/>
    <s v="21"/>
    <s v="Credito"/>
    <n v="36"/>
    <n v="15"/>
    <n v="100"/>
    <n v="1"/>
    <n v="0"/>
    <n v="1"/>
    <n v="45.005"/>
    <n v="1"/>
    <n v="55.476"/>
    <n v="27.738"/>
    <m/>
  </r>
  <r>
    <s v="REGIONSBANK"/>
    <x v="682"/>
    <s v="J504073067"/>
    <s v="RECARGATE LAS AMERICAS C.A"/>
    <s v="FCLIE/2026/02111"/>
    <d v="2026-06-22T00:00:00"/>
    <n v="411.29"/>
    <x v="3"/>
    <d v="2026-07-28T00:00:00"/>
    <d v="2026-06-22T00:00:00"/>
    <d v="2026-07-28T00:00:00"/>
    <s v="21"/>
    <s v="Credito"/>
    <n v="36"/>
    <n v="15"/>
    <n v="100"/>
    <n v="1"/>
    <n v="0"/>
    <n v="1"/>
    <n v="46.005"/>
    <n v="1"/>
    <n v="4.1129"/>
    <n v="2.05645"/>
    <m/>
  </r>
  <r>
    <s v="Caja Principal"/>
    <x v="566"/>
    <s v="J312271698"/>
    <s v="GRUPO CORE ITECH 2023 C.A."/>
    <s v="FCLIE/2026/02150"/>
    <d v="2026-06-23T00:00:00"/>
    <n v="0.18"/>
    <x v="1"/>
    <d v="2026-07-22T00:00:00"/>
    <d v="2026-06-23T00:00:00"/>
    <d v="2026-07-22T00:00:00"/>
    <s v="30"/>
    <s v="Credito"/>
    <n v="29"/>
    <n v="-1"/>
    <n v="100"/>
    <n v="1"/>
    <n v="0"/>
    <n v="1"/>
    <n v="47.005"/>
    <n v="1"/>
    <n v="0.0018"/>
    <n v="0.0009"/>
    <m/>
  </r>
  <r>
    <s v="Banco del Caribe  BS"/>
    <x v="683"/>
    <s v="J408592312"/>
    <s v="DISTRIBUIDORA COMPU PAPEL 2016,C.A."/>
    <s v="FCLIE/2026/02883"/>
    <d v="2026-07-28T00:00:00"/>
    <n v="37.5"/>
    <x v="3"/>
    <d v="2026-07-28T00:00:00"/>
    <d v="2026-07-28T00:00:00"/>
    <d v="2026-07-28T00:00:00"/>
    <n v="0"/>
    <s v="Contado"/>
    <n v="0"/>
    <n v="0"/>
    <n v="100"/>
    <n v="0"/>
    <n v="0"/>
    <n v="1"/>
    <n v="48.005"/>
    <n v="1"/>
    <n v="0.375"/>
    <n v="0.1875"/>
    <m/>
  </r>
  <r>
    <s v="Caja Principal"/>
    <x v="684"/>
    <s v="J311740589"/>
    <s v="SYSTEMGRASS C.A"/>
    <s v="FCLIE/2026/02885"/>
    <d v="2026-07-28T00:00:00"/>
    <n v="129.6"/>
    <x v="3"/>
    <d v="2026-07-28T00:00:00"/>
    <d v="2026-07-28T00:00:00"/>
    <d v="2026-07-28T00:00:00"/>
    <n v="0"/>
    <s v="Contado"/>
    <n v="0"/>
    <n v="0"/>
    <n v="100"/>
    <n v="0"/>
    <n v="0"/>
    <n v="1"/>
    <n v="49.005"/>
    <n v="1"/>
    <n v="1.296"/>
    <n v="0.648"/>
    <m/>
  </r>
  <r>
    <s v="USDT $ "/>
    <x v="685"/>
    <s v="J407552007"/>
    <s v="DON BOSCO FULL PRINT Y ALGO MAS, C.A"/>
    <s v="FCLIE/2026/02886"/>
    <d v="2026-07-28T00:00:00"/>
    <n v="210"/>
    <x v="1"/>
    <d v="2026-07-28T00:00:00"/>
    <d v="2026-07-28T00:00:00"/>
    <d v="2026-07-28T00:00:00"/>
    <n v="0"/>
    <s v="Contado"/>
    <n v="0"/>
    <n v="0"/>
    <n v="100"/>
    <n v="0"/>
    <n v="0"/>
    <n v="1"/>
    <n v="50.005"/>
    <n v="1"/>
    <n v="2.1"/>
    <n v="1.05"/>
    <m/>
  </r>
  <r>
    <s v="USDT $ "/>
    <x v="686"/>
    <s v="J294315356"/>
    <s v="CORPORACION ROCIEL CA"/>
    <s v="FCLIE/2026/01836"/>
    <d v="2026-06-11T00:00:00"/>
    <n v="2338"/>
    <x v="0"/>
    <d v="2026-07-28T00:00:00"/>
    <d v="2026-06-11T00:00:00"/>
    <d v="2026-07-28T00:00:00"/>
    <s v="45"/>
    <s v="Credito"/>
    <n v="47"/>
    <n v="2"/>
    <n v="100"/>
    <n v="1"/>
    <n v="0"/>
    <n v="1"/>
    <n v="51.005"/>
    <n v="1"/>
    <n v="23.38"/>
    <n v="11.69"/>
    <m/>
  </r>
  <r>
    <s v="USDT $ "/>
    <x v="687"/>
    <s v="J506775000"/>
    <s v="EMPRENDIMIENTO LAURANAILETH NUÑEZ"/>
    <s v="FCLIE/2026/02834"/>
    <d v="2026-07-27T00:00:00"/>
    <n v="1000"/>
    <x v="4"/>
    <d v="2026-07-28T00:00:00"/>
    <d v="2026-07-27T00:00:00"/>
    <d v="2026-07-28T00:00:00"/>
    <s v="7"/>
    <s v="Credito"/>
    <n v="1"/>
    <n v="-6"/>
    <n v="100"/>
    <n v="0"/>
    <n v="0"/>
    <n v="1.25"/>
    <n v="52.005"/>
    <n v="1"/>
    <n v="12.5"/>
    <n v="5"/>
    <m/>
  </r>
  <r>
    <s v="USDT $ "/>
    <x v="688"/>
    <s v="J500782349"/>
    <s v="COMERCIALIZADORA ENCARGALO AQUI, C.A"/>
    <s v="FCLIE/2026/01695"/>
    <d v="2026-06-08T00:00:00"/>
    <n v="1063.87"/>
    <x v="1"/>
    <d v="2026-07-28T00:00:00"/>
    <d v="2026-06-08T00:00:00"/>
    <d v="2026-07-28T00:00:00"/>
    <s v="21"/>
    <s v="Credito"/>
    <n v="50"/>
    <n v="29"/>
    <n v="50"/>
    <n v="1"/>
    <n v="0"/>
    <n v="1"/>
    <n v="53.005"/>
    <n v="1"/>
    <n v="5.31935"/>
    <n v="5.31935"/>
    <m/>
  </r>
  <r>
    <s v="USDT $ "/>
    <x v="688"/>
    <s v="J500782349"/>
    <s v="COMERCIALIZADORA ENCARGALO AQUI, C.A"/>
    <s v="FCLIE/2026/01915"/>
    <d v="2026-06-15T00:00:00"/>
    <n v="936.13"/>
    <x v="1"/>
    <d v="2026-07-28T00:00:00"/>
    <d v="2026-06-15T00:00:00"/>
    <d v="2026-07-28T00:00:00"/>
    <s v="21"/>
    <s v="Credito"/>
    <n v="43"/>
    <n v="22"/>
    <n v="50"/>
    <n v="1"/>
    <n v="0"/>
    <n v="1"/>
    <n v="54.005"/>
    <n v="1"/>
    <n v="4.68065"/>
    <n v="4.68065"/>
    <m/>
  </r>
  <r>
    <s v="Banesco BS. 3049"/>
    <x v="689"/>
    <s v="J408592312"/>
    <s v="DISTRIBUIDORA COMPU PAPEL 2016,C.A."/>
    <s v="FCLIE/2026/02881"/>
    <d v="2026-07-28T00:00:00"/>
    <n v="450"/>
    <x v="3"/>
    <d v="2026-07-28T00:00:00"/>
    <d v="2026-07-28T00:00:00"/>
    <d v="2026-07-28T00:00:00"/>
    <n v="0"/>
    <s v="Contado"/>
    <n v="0"/>
    <n v="0"/>
    <n v="100"/>
    <n v="0"/>
    <n v="0"/>
    <n v="1"/>
    <n v="55.005"/>
    <n v="1"/>
    <n v="4.5"/>
    <n v="2.25"/>
    <m/>
  </r>
  <r>
    <s v="Facturas de cliente"/>
    <x v="690"/>
    <s v="J312271698"/>
    <s v="GRUPO CORE ITECH 2023 C.A."/>
    <s v="FCLIE/2026/02150"/>
    <d v="2026-06-23T00:00:00"/>
    <n v="379.57"/>
    <x v="1"/>
    <d v="2026-07-28T00:00:00"/>
    <d v="2026-06-23T00:00:00"/>
    <d v="2026-07-28T00:00:00"/>
    <s v="30"/>
    <s v="Credito"/>
    <n v="35"/>
    <n v="5"/>
    <n v="100"/>
    <n v="1"/>
    <n v="0"/>
    <n v="1"/>
    <n v="56.005"/>
    <n v="1"/>
    <n v="3.7957"/>
    <n v="1.89785"/>
    <m/>
  </r>
  <r>
    <s v="USDT $ "/>
    <x v="691"/>
    <s v="J506055856"/>
    <s v="MESRAM.2024, C.A."/>
    <s v="FCLIE/2026/02892"/>
    <d v="2026-07-28T00:00:00"/>
    <n v="140"/>
    <x v="3"/>
    <d v="2026-07-28T00:00:00"/>
    <d v="2026-07-28T00:00:00"/>
    <d v="2026-07-28T00:00:00"/>
    <n v="0"/>
    <s v="Contado"/>
    <n v="0"/>
    <n v="0"/>
    <n v="100"/>
    <n v="0"/>
    <n v="0"/>
    <n v="1"/>
    <n v="57.005"/>
    <n v="1"/>
    <n v="1.4"/>
    <n v="0.7"/>
    <m/>
  </r>
  <r>
    <s v="Banco del Caribe  BS"/>
    <x v="692"/>
    <s v="J500887922"/>
    <s v="VIOGP, C.A."/>
    <s v="FCLIE/2026/02887"/>
    <d v="2026-07-28T00:00:00"/>
    <n v="175.8"/>
    <x v="1"/>
    <d v="2026-07-28T00:00:00"/>
    <d v="2026-07-28T00:00:00"/>
    <d v="2026-07-28T00:00:00"/>
    <n v="0"/>
    <s v="Contado"/>
    <n v="0"/>
    <n v="0"/>
    <n v="100"/>
    <n v="0"/>
    <n v="0"/>
    <n v="1"/>
    <n v="58.005"/>
    <n v="1"/>
    <n v="1.758"/>
    <n v="0.879"/>
    <m/>
  </r>
  <r>
    <s v="USDT $ "/>
    <x v="693"/>
    <s v="J505218034"/>
    <s v="CANELON ARANZAZU I, C.A"/>
    <s v="FCLIE/2026/02893"/>
    <d v="2026-07-28T00:00:00"/>
    <n v="994"/>
    <x v="4"/>
    <d v="2026-07-28T00:00:00"/>
    <d v="2026-07-28T00:00:00"/>
    <d v="2026-07-28T00:00:00"/>
    <n v="0"/>
    <s v="Contado"/>
    <n v="0"/>
    <n v="0"/>
    <n v="100"/>
    <n v="0"/>
    <n v="0"/>
    <n v="1.25"/>
    <n v="59.005"/>
    <n v="1"/>
    <n v="12.425"/>
    <n v="4.97"/>
    <m/>
  </r>
  <r>
    <s v="Caja Principal"/>
    <x v="694"/>
    <s v="J500751990"/>
    <s v="INVERSIONES RGB 2020, C.A."/>
    <s v="FCLIE/2026/02346"/>
    <d v="2026-07-07T00:00:00"/>
    <n v="2000"/>
    <x v="1"/>
    <d v="2026-07-28T00:00:00"/>
    <d v="2026-07-07T00:00:00"/>
    <d v="2026-07-28T00:00:00"/>
    <s v="15"/>
    <s v="Credito"/>
    <n v="21"/>
    <n v="6"/>
    <n v="100"/>
    <n v="0"/>
    <n v="0"/>
    <n v="1"/>
    <n v="60.005"/>
    <n v="1"/>
    <n v="20"/>
    <n v="10"/>
    <m/>
  </r>
  <r>
    <s v="Caja Principal"/>
    <x v="695"/>
    <s v="J507222047"/>
    <s v="GROUP TEC 2224,C.A. PYME"/>
    <s v="FCLIE/2026/02862"/>
    <d v="2026-07-27T00:00:00"/>
    <n v="500"/>
    <x v="4"/>
    <d v="2026-07-29T00:00:00"/>
    <d v="2026-07-27T00:00:00"/>
    <d v="2026-07-29T00:00:00"/>
    <n v="0"/>
    <s v="Contado"/>
    <n v="2"/>
    <n v="2"/>
    <n v="100"/>
    <n v="0"/>
    <n v="0"/>
    <n v="1.25"/>
    <n v="61.005"/>
    <n v="1"/>
    <n v="6.25"/>
    <n v="2.5"/>
    <m/>
  </r>
  <r>
    <s v="USDT $ "/>
    <x v="696"/>
    <s v="J409546128"/>
    <s v="DARTETT TECNO PUNDA, C.A."/>
    <s v="FCLIE/2026/02894"/>
    <d v="2026-07-29T00:00:00"/>
    <n v="11464.6"/>
    <x v="4"/>
    <d v="2026-07-29T00:00:00"/>
    <d v="2026-07-29T00:00:00"/>
    <d v="2026-07-29T00:00:00"/>
    <n v="0"/>
    <s v="Contado"/>
    <n v="0"/>
    <n v="0"/>
    <n v="100"/>
    <n v="0"/>
    <n v="0"/>
    <n v="1.25"/>
    <n v="62.005"/>
    <n v="1"/>
    <n v="143.3075"/>
    <n v="57.323"/>
    <m/>
  </r>
  <r>
    <s v="USDT $ "/>
    <x v="697"/>
    <s v="J503445475"/>
    <s v="SOAL T COMPUTER, C.A."/>
    <s v="FCLIE/2026/00201"/>
    <d v="2026-03-31T00:00:00"/>
    <n v="999.9"/>
    <x v="1"/>
    <d v="2026-07-29T00:00:00"/>
    <d v="2026-03-31T00:00:00"/>
    <d v="2026-07-29T00:00:00"/>
    <n v="21"/>
    <s v="Credito"/>
    <n v="120"/>
    <n v="99"/>
    <n v="0"/>
    <n v="0"/>
    <n v="0"/>
    <n v="1"/>
    <n v="63.005"/>
    <n v="0"/>
    <n v="0"/>
    <n v="4.9995"/>
    <m/>
  </r>
  <r>
    <s v="USDT $ "/>
    <x v="698"/>
    <s v="J296537453"/>
    <s v="VN GROUP 3000, C.A."/>
    <s v="FCLIE/2026/01967"/>
    <d v="2026-06-17T00:00:00"/>
    <n v="1675.83"/>
    <x v="2"/>
    <d v="2026-07-29T00:00:00"/>
    <d v="2026-06-17T00:00:00"/>
    <d v="2026-07-29T00:00:00"/>
    <s v="21"/>
    <s v="Credito"/>
    <n v="42"/>
    <n v="21"/>
    <n v="50"/>
    <n v="1"/>
    <n v="0"/>
    <n v="1.25"/>
    <n v="64.005"/>
    <n v="1"/>
    <n v="10.4739375"/>
    <n v="8.37915"/>
    <m/>
  </r>
  <r>
    <s v="USDT $ "/>
    <x v="699"/>
    <s v="J504978680"/>
    <s v="CORPORACIÓN DIGIPRO, C.A"/>
    <s v="FCLIE/2026/01936"/>
    <d v="2026-06-16T00:00:00"/>
    <n v="2494"/>
    <x v="6"/>
    <d v="2026-07-29T00:00:00"/>
    <d v="2026-06-16T00:00:00"/>
    <d v="2026-07-29T00:00:00"/>
    <s v="30"/>
    <s v="Credito"/>
    <n v="43"/>
    <n v="13"/>
    <n v="100"/>
    <n v="1"/>
    <n v="0"/>
    <n v="1"/>
    <n v="65.005"/>
    <n v="1"/>
    <n v="24.94"/>
    <n v="12.47"/>
    <m/>
  </r>
  <r>
    <s v="Caja Principal"/>
    <x v="700"/>
    <s v="J314309676"/>
    <s v="SERVICIOS A`S COMPUTER PC, C. A."/>
    <s v="FCLIE/2026/02350"/>
    <d v="2026-07-07T00:00:00"/>
    <n v="2289.83"/>
    <x v="0"/>
    <d v="2026-07-29T00:00:00"/>
    <d v="2026-07-07T00:00:00"/>
    <d v="2026-07-29T00:00:00"/>
    <s v="30"/>
    <s v="Credito"/>
    <n v="22"/>
    <n v="-8"/>
    <n v="100"/>
    <n v="0"/>
    <n v="0"/>
    <n v="1.25"/>
    <n v="66.005"/>
    <n v="1"/>
    <n v="28.622875"/>
    <n v="11.44915"/>
    <m/>
  </r>
  <r>
    <s v="Banesco BS. 3049"/>
    <x v="701"/>
    <s v="J301698550"/>
    <s v="INVERSIONES I.N.L.G.S. C.A."/>
    <s v="FCLIE/2026/02903"/>
    <d v="2026-07-29T00:00:00"/>
    <n v="285.12"/>
    <x v="2"/>
    <d v="2026-07-29T00:00:00"/>
    <d v="2026-07-29T00:00:00"/>
    <d v="2026-07-29T00:00:00"/>
    <n v="0"/>
    <s v="Contado"/>
    <n v="0"/>
    <n v="0"/>
    <n v="100"/>
    <n v="0"/>
    <n v="0"/>
    <n v="1.25"/>
    <n v="67.005"/>
    <n v="1"/>
    <n v="3.564"/>
    <n v="1.4256"/>
    <m/>
  </r>
  <r>
    <s v="USDT $ "/>
    <x v="702"/>
    <s v="V262599236"/>
    <s v="CANOPUS SOLUCIONES TECNOLOGICAS DE ROBERT ALEXIS ZAMBRANO ROJAS"/>
    <s v="FCLIE/2026/02906"/>
    <d v="2026-07-29T00:00:00"/>
    <n v="321.9"/>
    <x v="6"/>
    <d v="2026-07-28T00:00:00"/>
    <d v="2026-07-29T00:00:00"/>
    <d v="2026-07-28T00:00:00"/>
    <n v="0"/>
    <s v="Contado"/>
    <n v="-1"/>
    <n v="-1"/>
    <n v="100"/>
    <n v="0"/>
    <n v="0"/>
    <n v="1"/>
    <n v="68.005"/>
    <n v="1"/>
    <n v="3.219"/>
    <n v="1.6095"/>
    <m/>
  </r>
  <r>
    <s v="Caja Principal"/>
    <x v="703"/>
    <s v="J507010872"/>
    <s v="EMPRENDIMIENTO KIMBERLYN MENDEZ"/>
    <s v="FCLIE/2026/02907"/>
    <d v="2026-07-29T00:00:00"/>
    <n v="65"/>
    <x v="4"/>
    <d v="2026-07-29T00:00:00"/>
    <d v="2026-07-29T00:00:00"/>
    <d v="2026-07-29T00:00:00"/>
    <n v="0"/>
    <s v="Contado"/>
    <n v="0"/>
    <n v="0"/>
    <n v="100"/>
    <n v="0"/>
    <n v="0"/>
    <n v="1.25"/>
    <n v="69.005"/>
    <n v="1"/>
    <n v="0.8125"/>
    <n v="0.325"/>
    <m/>
  </r>
  <r>
    <s v="Caja Principal"/>
    <x v="396"/>
    <s v="J507010872"/>
    <s v="EMPRENDIMIENTO KIMBERLYN MENDEZ"/>
    <s v="FCLIE/2026/02907"/>
    <d v="2026-07-29T00:00:00"/>
    <n v="1"/>
    <x v="4"/>
    <d v="2026-07-15T00:00:00"/>
    <d v="2026-07-29T00:00:00"/>
    <d v="2026-07-15T00:00:00"/>
    <n v="0"/>
    <s v="Contado"/>
    <n v="-14"/>
    <n v="-14"/>
    <n v="100"/>
    <n v="0"/>
    <n v="0"/>
    <n v="1.25"/>
    <n v="70.005"/>
    <n v="1"/>
    <n v="0.0125"/>
    <n v="0.005"/>
    <m/>
  </r>
  <r>
    <s v="USDT $ "/>
    <x v="704"/>
    <s v="J500487720"/>
    <s v="MG TECHNOLOGY, C.A"/>
    <s v="FCLIE/2026/02722"/>
    <d v="2026-07-20T00:00:00"/>
    <n v="250"/>
    <x v="0"/>
    <d v="2026-07-17T00:00:00"/>
    <d v="2026-07-20T00:00:00"/>
    <d v="2026-07-17T00:00:00"/>
    <n v="0"/>
    <s v="Contado"/>
    <n v="-3"/>
    <n v="-3"/>
    <n v="100"/>
    <n v="0"/>
    <n v="0"/>
    <n v="1.25"/>
    <n v="71.005"/>
    <n v="1"/>
    <n v="3.125"/>
    <n v="1.25"/>
    <m/>
  </r>
  <r>
    <s v="USDT $ "/>
    <x v="705"/>
    <s v="J500487720"/>
    <s v="MG TECHNOLOGY, C.A"/>
    <s v="FCLIE/2026/02910"/>
    <d v="2026-07-29T00:00:00"/>
    <n v="65"/>
    <x v="0"/>
    <d v="2026-07-29T00:00:00"/>
    <d v="2026-07-29T00:00:00"/>
    <d v="2026-07-29T00:00:00"/>
    <n v="0"/>
    <s v="Contado"/>
    <n v="0"/>
    <n v="0"/>
    <n v="100"/>
    <n v="0"/>
    <n v="0"/>
    <n v="1.25"/>
    <n v="72.005"/>
    <n v="1"/>
    <n v="0.8125"/>
    <n v="0.325"/>
    <m/>
  </r>
  <r>
    <s v="USDT $ "/>
    <x v="706"/>
    <s v="J500487720"/>
    <s v="MG TECHNOLOGY, C.A"/>
    <s v="FCLIE/2026/02910"/>
    <d v="2026-07-29T00:00:00"/>
    <n v="129.5"/>
    <x v="0"/>
    <d v="2026-07-29T00:00:00"/>
    <d v="2026-07-29T00:00:00"/>
    <d v="2026-07-29T00:00:00"/>
    <n v="0"/>
    <s v="Contado"/>
    <n v="0"/>
    <n v="0"/>
    <n v="100"/>
    <n v="0"/>
    <n v="0"/>
    <n v="1.25"/>
    <n v="73.005"/>
    <n v="1"/>
    <n v="1.61875"/>
    <n v="0.6475"/>
    <m/>
  </r>
  <r>
    <s v="Caja Principal"/>
    <x v="707"/>
    <s v="J402730594"/>
    <s v="TINTAS EXPERT 1705, C.A."/>
    <s v="FCLIE/2026/02895"/>
    <d v="2026-07-29T00:00:00"/>
    <n v="220"/>
    <x v="5"/>
    <d v="2026-07-29T00:00:00"/>
    <d v="2026-07-29T00:00:00"/>
    <d v="2026-07-29T00:00:00"/>
    <n v="0"/>
    <s v="Contado"/>
    <n v="0"/>
    <n v="0"/>
    <n v="100"/>
    <n v="0"/>
    <n v="0"/>
    <n v="1.25"/>
    <n v="74.005"/>
    <n v="1"/>
    <n v="2.75"/>
    <n v="1.1"/>
    <m/>
  </r>
  <r>
    <s v="USDT $ "/>
    <x v="708"/>
    <s v="J506055856"/>
    <s v="MESRAM.2024, C.A."/>
    <s v="FCLIE/2026/02912"/>
    <d v="2026-07-29T00:00:00"/>
    <n v="15.95"/>
    <x v="3"/>
    <d v="2026-07-29T00:00:00"/>
    <d v="2026-07-29T00:00:00"/>
    <d v="2026-07-29T00:00:00"/>
    <n v="0"/>
    <s v="Contado"/>
    <n v="0"/>
    <n v="0"/>
    <n v="100"/>
    <n v="0"/>
    <n v="0"/>
    <n v="1"/>
    <n v="75.005"/>
    <n v="1"/>
    <n v="0.1595"/>
    <n v="0.07975"/>
    <m/>
  </r>
  <r>
    <s v="USDT $ "/>
    <x v="709"/>
    <s v="J405514710"/>
    <s v="INVERSIONES TECNOLOGICAS R.C.R.C., C.A."/>
    <s v="FCLIE/2026/02916"/>
    <d v="2026-07-29T00:00:00"/>
    <n v="482"/>
    <x v="3"/>
    <d v="2026-07-29T00:00:00"/>
    <d v="2026-07-29T00:00:00"/>
    <d v="2026-07-29T00:00:00"/>
    <n v="0"/>
    <s v="Contado"/>
    <n v="0"/>
    <n v="0"/>
    <n v="100"/>
    <n v="0"/>
    <n v="0"/>
    <n v="1"/>
    <n v="76.005"/>
    <n v="1"/>
    <n v="4.82"/>
    <n v="2.41"/>
    <m/>
  </r>
  <r>
    <s v="Caja Principal"/>
    <x v="710"/>
    <s v="J405514710"/>
    <s v="INVERSIONES TECNOLOGICAS R.C.R.C., C.A."/>
    <s v="FCLIE/2026/02916"/>
    <d v="2026-07-29T00:00:00"/>
    <n v="160"/>
    <x v="3"/>
    <d v="2026-07-29T00:00:00"/>
    <d v="2026-07-29T00:00:00"/>
    <d v="2026-07-29T00:00:00"/>
    <n v="0"/>
    <s v="Contado"/>
    <n v="0"/>
    <n v="0"/>
    <n v="100"/>
    <n v="0"/>
    <n v="0"/>
    <n v="1"/>
    <n v="77.005"/>
    <n v="1"/>
    <n v="1.6"/>
    <n v="0.8"/>
    <m/>
  </r>
  <r>
    <s v="USDT $ "/>
    <x v="711"/>
    <s v="J503702494"/>
    <s v="MULTIPC CORP, C.A"/>
    <s v="FCLIE/2026/02917"/>
    <d v="2026-07-29T00:00:00"/>
    <n v="1464"/>
    <x v="4"/>
    <d v="2026-07-29T00:00:00"/>
    <d v="2026-07-29T00:00:00"/>
    <d v="2026-07-29T00:00:00"/>
    <n v="0"/>
    <s v="Contado"/>
    <n v="0"/>
    <n v="0"/>
    <n v="100"/>
    <n v="0"/>
    <n v="0"/>
    <n v="1.25"/>
    <n v="78.005"/>
    <n v="1"/>
    <n v="18.3"/>
    <n v="7.32"/>
    <m/>
  </r>
  <r>
    <s v="REGIONSBANK"/>
    <x v="712"/>
    <s v="J307302445"/>
    <s v="CORPORACION OTIESCA COMPUTACION, C.A"/>
    <s v="FCLIE/2026/02905"/>
    <d v="2026-07-29T00:00:00"/>
    <n v="4153.8"/>
    <x v="6"/>
    <d v="2026-07-29T00:00:00"/>
    <d v="2026-07-29T00:00:00"/>
    <d v="2026-07-29T00:00:00"/>
    <n v="0"/>
    <s v="Contado"/>
    <n v="0"/>
    <n v="0"/>
    <n v="100"/>
    <n v="0"/>
    <n v="0"/>
    <n v="1"/>
    <n v="79.005"/>
    <n v="1"/>
    <n v="41.538"/>
    <n v="20.769"/>
    <m/>
  </r>
  <r>
    <s v="USDT $ "/>
    <x v="713"/>
    <s v="J296810508"/>
    <s v="GRUPO BLUETECH 1315, C.A"/>
    <s v="FCLIE/2026/02850"/>
    <d v="2026-07-27T00:00:00"/>
    <n v="646.95"/>
    <x v="5"/>
    <d v="2026-07-29T00:00:00"/>
    <d v="2026-07-27T00:00:00"/>
    <d v="2026-07-29T00:00:00"/>
    <s v="3"/>
    <s v="Credito"/>
    <n v="2"/>
    <n v="-1"/>
    <n v="100"/>
    <n v="0"/>
    <n v="0"/>
    <n v="1.25"/>
    <n v="80.005"/>
    <n v="1"/>
    <n v="8.086875"/>
    <n v="3.23475"/>
    <m/>
  </r>
  <r>
    <s v="USDT $ "/>
    <x v="714"/>
    <s v="J503184515"/>
    <s v="ARYP TECNOPOLIS, C.A"/>
    <s v="FCLIE/2026/02579"/>
    <d v="2026-07-15T00:00:00"/>
    <n v="100"/>
    <x v="0"/>
    <d v="2026-07-29T00:00:00"/>
    <d v="2026-07-15T00:00:00"/>
    <d v="2026-07-29T00:00:00"/>
    <s v="15"/>
    <s v="Credito"/>
    <n v="14"/>
    <n v="-1"/>
    <n v="100"/>
    <n v="0"/>
    <n v="0"/>
    <n v="1.25"/>
    <n v="81.005"/>
    <n v="1"/>
    <n v="1.25"/>
    <n v="0.5"/>
    <m/>
  </r>
  <r>
    <s v="Facturas de cliente"/>
    <x v="715"/>
    <s v="J299174564"/>
    <s v="JANSCAR SUPPLY, C. A."/>
    <s v="FCLIE/2026/02890"/>
    <d v="2026-07-28T00:00:00"/>
    <n v="1810.2"/>
    <x v="1"/>
    <d v="2026-07-29T00:00:00"/>
    <d v="2026-07-28T00:00:00"/>
    <d v="2026-07-29T00:00:00"/>
    <s v="15"/>
    <s v="Credito"/>
    <n v="1"/>
    <n v="-14"/>
    <n v="100"/>
    <n v="0"/>
    <n v="0"/>
    <n v="1"/>
    <n v="82.005"/>
    <n v="1"/>
    <n v="18.102"/>
    <n v="9.051"/>
    <m/>
  </r>
  <r>
    <s v="Facturas de cliente"/>
    <x v="716"/>
    <s v="J500962568"/>
    <s v="CORPORACION CATECHNOLOGY, C.A."/>
    <s v="FCLIE/2026/02911"/>
    <d v="2026-07-29T00:00:00"/>
    <n v="72.5"/>
    <x v="4"/>
    <d v="2026-07-29T00:00:00"/>
    <d v="2026-07-29T00:00:00"/>
    <d v="2026-07-29T00:00:00"/>
    <s v="21"/>
    <s v="Credito"/>
    <n v="0"/>
    <n v="-21"/>
    <n v="100"/>
    <n v="0"/>
    <n v="0"/>
    <n v="1.25"/>
    <n v="83.005"/>
    <n v="1"/>
    <n v="0.90625"/>
    <n v="0.3625"/>
    <m/>
  </r>
  <r>
    <s v="USDT $ "/>
    <x v="717"/>
    <s v="J405775319"/>
    <s v="COMPUTER INK, CA"/>
    <s v="FCLIE/2026/02693"/>
    <d v="2026-07-17T00:00:00"/>
    <n v="1789.95"/>
    <x v="1"/>
    <d v="2026-07-29T00:00:00"/>
    <d v="2026-07-17T00:00:00"/>
    <d v="2026-07-29T00:00:00"/>
    <s v="15"/>
    <s v="Credito"/>
    <n v="12"/>
    <n v="-3"/>
    <n v="100"/>
    <n v="0"/>
    <n v="0"/>
    <n v="1"/>
    <n v="84.005"/>
    <n v="1"/>
    <n v="17.8995"/>
    <n v="8.94975"/>
    <m/>
  </r>
  <r>
    <s v="Caja Principal"/>
    <x v="718"/>
    <s v="J405424524"/>
    <s v="MULTISERVICIOS OIKODOME PC 2018, C.A."/>
    <s v="FCLIE/2026/02658"/>
    <d v="2026-07-17T00:00:00"/>
    <n v="255.98"/>
    <x v="1"/>
    <d v="2026-07-29T00:00:00"/>
    <d v="2026-07-17T00:00:00"/>
    <d v="2026-07-29T00:00:00"/>
    <s v="7"/>
    <s v="Credito"/>
    <n v="12"/>
    <n v="5"/>
    <n v="100"/>
    <n v="0"/>
    <n v="0"/>
    <n v="1"/>
    <n v="85.005"/>
    <n v="1"/>
    <n v="2.5598"/>
    <n v="1.2799"/>
    <m/>
  </r>
  <r>
    <s v="Banesco BS. 3049"/>
    <x v="719"/>
    <s v="J003068357"/>
    <s v="DISTRIBUIDOR INTEGRAL DE SOLUCIONES PARA OFICINAS DISOFI C. A."/>
    <s v="FCLIE/2026/02914"/>
    <d v="2026-07-29T00:00:00"/>
    <n v="505.25"/>
    <x v="4"/>
    <d v="2026-07-29T00:00:00"/>
    <d v="2026-07-29T00:00:00"/>
    <d v="2026-07-29T00:00:00"/>
    <s v="15"/>
    <s v="Credito"/>
    <n v="0"/>
    <n v="-15"/>
    <n v="100"/>
    <n v="0"/>
    <n v="0"/>
    <n v="1.25"/>
    <n v="86.005"/>
    <n v="1"/>
    <n v="6.315625"/>
    <n v="2.52625"/>
    <m/>
  </r>
  <r>
    <s v="Banesco BS. 3049"/>
    <x v="720"/>
    <s v="J402730594"/>
    <s v="TINTAS EXPERT 1705, C.A."/>
    <s v="FCLIE/2026/02895"/>
    <d v="2026-07-29T00:00:00"/>
    <n v="6.3"/>
    <x v="5"/>
    <d v="2026-07-29T00:00:00"/>
    <d v="2026-07-29T00:00:00"/>
    <d v="2026-07-29T00:00:00"/>
    <n v="0"/>
    <s v="Contado"/>
    <n v="0"/>
    <n v="0"/>
    <n v="100"/>
    <n v="0"/>
    <n v="0"/>
    <n v="1.25"/>
    <n v="87.005"/>
    <n v="1"/>
    <n v="0.07875"/>
    <n v="0.0315"/>
    <m/>
  </r>
  <r>
    <s v="Caja Principal"/>
    <x v="721"/>
    <s v="J501580146"/>
    <s v="OMNIA SUPPLIES C.A"/>
    <s v="FCLIE/2026/02926"/>
    <d v="2026-07-29T00:00:00"/>
    <n v="425"/>
    <x v="0"/>
    <d v="2026-07-29T00:00:00"/>
    <d v="2026-07-29T00:00:00"/>
    <d v="2026-07-29T00:00:00"/>
    <n v="0"/>
    <s v="Contado"/>
    <n v="0"/>
    <n v="0"/>
    <n v="100"/>
    <n v="0"/>
    <n v="0"/>
    <n v="1.25"/>
    <n v="88.005"/>
    <n v="1"/>
    <n v="5.3125"/>
    <n v="2.125"/>
    <m/>
  </r>
  <r>
    <s v="Caja Principal"/>
    <x v="657"/>
    <s v="J501580146"/>
    <s v="OMNIA SUPPLIES C.A"/>
    <s v="FCLIE/2026/02926"/>
    <d v="2026-07-29T00:00:00"/>
    <n v="1"/>
    <x v="0"/>
    <d v="2026-07-27T00:00:00"/>
    <d v="2026-07-29T00:00:00"/>
    <d v="2026-07-27T00:00:00"/>
    <n v="0"/>
    <s v="Contado"/>
    <n v="-2"/>
    <n v="-2"/>
    <n v="100"/>
    <n v="0"/>
    <n v="0"/>
    <n v="1.25"/>
    <n v="89.005"/>
    <n v="1"/>
    <n v="0.0125"/>
    <n v="0.005"/>
    <m/>
  </r>
  <r>
    <s v="Banco del Caribe  BS"/>
    <x v="722"/>
    <s v="J505605739"/>
    <s v="ALGE SOLUTIONS 2024, C.A."/>
    <s v="FCLIE/2026/02923"/>
    <d v="2026-07-29T00:00:00"/>
    <n v="245"/>
    <x v="3"/>
    <d v="2026-07-29T00:00:00"/>
    <d v="2026-07-29T00:00:00"/>
    <d v="2026-07-29T00:00:00"/>
    <n v="0"/>
    <s v="Contado"/>
    <n v="0"/>
    <n v="0"/>
    <n v="100"/>
    <n v="0"/>
    <n v="0"/>
    <n v="1"/>
    <n v="90.005"/>
    <n v="1"/>
    <n v="2.45"/>
    <n v="1.225"/>
    <m/>
  </r>
  <r>
    <s v="Banesco BS. 3049"/>
    <x v="723"/>
    <s v="J501643377"/>
    <s v="SINACEMOSAIS GROUP, CA"/>
    <s v="FCLIE/2026/02922"/>
    <d v="2026-07-29T00:00:00"/>
    <n v="987.6"/>
    <x v="1"/>
    <d v="2026-07-29T00:00:00"/>
    <d v="2026-07-29T00:00:00"/>
    <d v="2026-07-29T00:00:00"/>
    <n v="0"/>
    <s v="Contado"/>
    <n v="0"/>
    <n v="0"/>
    <n v="100"/>
    <n v="0"/>
    <n v="0"/>
    <n v="1"/>
    <n v="91.005"/>
    <n v="1"/>
    <n v="9.876"/>
    <n v="4.938"/>
    <m/>
  </r>
  <r>
    <s v="REGIONSBANK"/>
    <x v="724"/>
    <s v="J315733170"/>
    <s v="INVERSIONES AVEL DRIVE,C.A."/>
    <s v="FCLIE/2026/02521"/>
    <d v="2026-07-13T00:00:00"/>
    <n v="214"/>
    <x v="3"/>
    <d v="2026-07-30T00:00:00"/>
    <d v="2026-07-13T00:00:00"/>
    <d v="2026-07-30T00:00:00"/>
    <s v="15"/>
    <s v="Credito"/>
    <n v="17"/>
    <n v="2"/>
    <n v="100"/>
    <n v="0"/>
    <n v="0"/>
    <n v="1"/>
    <n v="92.005"/>
    <n v="1"/>
    <n v="2.14"/>
    <n v="1.07"/>
    <m/>
  </r>
  <r>
    <s v="TRANSITORIA ZELLE"/>
    <x v="725"/>
    <s v="J500677782"/>
    <s v="CORPORACIÓN TECNOLÓGICA CRT 2010, C.A."/>
    <s v="FCLIE/2026/01941"/>
    <d v="2026-06-16T00:00:00"/>
    <n v="375"/>
    <x v="3"/>
    <d v="2026-07-16T00:00:00"/>
    <d v="2026-06-16T00:00:00"/>
    <d v="2026-07-16T00:00:00"/>
    <s v="15"/>
    <s v="Credito"/>
    <n v="30"/>
    <n v="15"/>
    <n v="100"/>
    <n v="1"/>
    <n v="0"/>
    <n v="1"/>
    <n v="93.005"/>
    <n v="1"/>
    <n v="3.75"/>
    <n v="1.875"/>
    <m/>
  </r>
  <r>
    <s v="TRANSITORIA ZELLE"/>
    <x v="725"/>
    <s v="J500677782"/>
    <s v="CORPORACIÓN TECNOLÓGICA CRT 2010, C.A."/>
    <s v="FCLIE/2026/02173"/>
    <d v="2026-06-29T00:00:00"/>
    <n v="4714.63"/>
    <x v="3"/>
    <d v="2026-07-16T00:00:00"/>
    <d v="2026-06-29T00:00:00"/>
    <d v="2026-07-16T00:00:00"/>
    <s v="15"/>
    <s v="Credito"/>
    <n v="17"/>
    <n v="2"/>
    <n v="100"/>
    <n v="1"/>
    <n v="0"/>
    <n v="1"/>
    <n v="94.005"/>
    <n v="1"/>
    <n v="47.1463"/>
    <n v="23.57315"/>
    <m/>
  </r>
  <r>
    <s v="USDT $ "/>
    <x v="726"/>
    <s v="J313304565"/>
    <s v="INVERSIONES HELP COMPUTER, C. A."/>
    <s v="FCLIE/2026/02411"/>
    <d v="2026-07-09T00:00:00"/>
    <n v="4948.29"/>
    <x v="1"/>
    <d v="2026-07-30T00:00:00"/>
    <d v="2026-07-09T00:00:00"/>
    <d v="2026-07-30T00:00:00"/>
    <s v="21"/>
    <s v="Credito"/>
    <n v="21"/>
    <n v="0"/>
    <n v="100"/>
    <n v="0"/>
    <n v="0"/>
    <n v="1"/>
    <n v="95.005"/>
    <n v="1"/>
    <n v="49.4829"/>
    <n v="24.74145"/>
    <m/>
  </r>
  <r>
    <s v="Banco del Caribe  BS"/>
    <x v="727"/>
    <s v="J003068357"/>
    <s v="DISTRIBUIDOR INTEGRAL DE SOLUCIONES PARA OFICINAS DISOFI C. A."/>
    <s v="FCLIE/2026/02931"/>
    <d v="2026-07-29T00:00:00"/>
    <n v="54.31"/>
    <x v="4"/>
    <d v="2026-07-29T00:00:00"/>
    <d v="2026-07-29T00:00:00"/>
    <d v="2026-07-29T00:00:00"/>
    <s v="15"/>
    <s v="Credito"/>
    <n v="0"/>
    <n v="-15"/>
    <n v="100"/>
    <n v="0"/>
    <n v="0"/>
    <n v="1.25"/>
    <n v="96.005"/>
    <n v="1"/>
    <n v="0.678875"/>
    <n v="0.27155"/>
    <m/>
  </r>
  <r>
    <s v="USDT $ "/>
    <x v="728"/>
    <s v="J504978680"/>
    <s v="CORPORACIÓN DIGIPRO, C.A"/>
    <s v="FCLIE/2026/01954"/>
    <d v="2026-06-16T00:00:00"/>
    <n v="6074.5"/>
    <x v="6"/>
    <d v="2026-07-30T00:00:00"/>
    <d v="2026-06-16T00:00:00"/>
    <d v="2026-07-30T00:00:00"/>
    <s v="30"/>
    <s v="Credito"/>
    <n v="44"/>
    <n v="14"/>
    <n v="100"/>
    <n v="1"/>
    <n v="0"/>
    <n v="1"/>
    <n v="97.005"/>
    <n v="1"/>
    <n v="60.745"/>
    <n v="30.3725"/>
    <m/>
  </r>
  <r>
    <s v="USDT $ "/>
    <x v="729"/>
    <s v="J501459568"/>
    <s v="FENIX STORE, C.A."/>
    <s v="FCLIE/2026/01707"/>
    <d v="2026-06-08T00:00:00"/>
    <n v="2340"/>
    <x v="6"/>
    <d v="2026-07-29T00:00:00"/>
    <d v="2026-06-08T00:00:00"/>
    <d v="2026-07-29T00:00:00"/>
    <s v="15"/>
    <s v="Credito"/>
    <n v="51"/>
    <n v="36"/>
    <n v="30"/>
    <n v="1"/>
    <n v="0"/>
    <n v="1"/>
    <n v="98.005"/>
    <n v="1"/>
    <n v="7.02"/>
    <n v="11.7"/>
    <m/>
  </r>
  <r>
    <s v="USDT $ "/>
    <x v="730"/>
    <s v="J309337319"/>
    <s v="INVERSIONES RUIZ PAREDES C.A"/>
    <s v="FCLIE/2026/02921"/>
    <d v="2026-07-29T00:00:00"/>
    <n v="630"/>
    <x v="6"/>
    <d v="2026-07-28T00:00:00"/>
    <d v="2026-07-29T00:00:00"/>
    <d v="2026-07-28T00:00:00"/>
    <n v="0"/>
    <s v="Contado"/>
    <n v="-1"/>
    <n v="-1"/>
    <n v="100"/>
    <n v="0"/>
    <n v="0"/>
    <n v="1"/>
    <n v="99.005"/>
    <n v="1"/>
    <n v="6.3"/>
    <n v="3.15"/>
    <m/>
  </r>
  <r>
    <s v="USDT $ "/>
    <x v="731"/>
    <s v="V250773192"/>
    <s v="CARLOS MARIO PARRA SUAREZ"/>
    <s v="FCLIE/2026/02930"/>
    <d v="2026-07-29T00:00:00"/>
    <n v="421.05"/>
    <x v="6"/>
    <d v="2026-07-29T00:00:00"/>
    <d v="2026-07-29T00:00:00"/>
    <d v="2026-07-29T00:00:00"/>
    <n v="0"/>
    <s v="Contado"/>
    <n v="0"/>
    <n v="0"/>
    <n v="100"/>
    <n v="0"/>
    <n v="0"/>
    <n v="1"/>
    <n v="100.005"/>
    <n v="1"/>
    <n v="4.2105"/>
    <n v="2.10525"/>
    <m/>
  </r>
  <r>
    <s v="USDT $ "/>
    <x v="732"/>
    <s v="J501643377"/>
    <s v="SINACEMOSAIS GROUP, CA"/>
    <s v="FCLIE/2026/02288"/>
    <d v="2026-07-03T00:00:00"/>
    <n v="478.95"/>
    <x v="1"/>
    <d v="2026-07-03T00:00:00"/>
    <d v="2026-07-03T00:00:00"/>
    <d v="2026-07-03T00:00:00"/>
    <n v="0"/>
    <s v="Contado"/>
    <n v="0"/>
    <n v="0"/>
    <n v="100"/>
    <n v="0"/>
    <n v="0"/>
    <n v="1"/>
    <n v="101.005"/>
    <n v="1"/>
    <n v="4.7895"/>
    <n v="2.39475"/>
    <m/>
  </r>
  <r>
    <s v="Caja Principal"/>
    <x v="376"/>
    <s v="J411279609"/>
    <s v="SISTEMAS RJD, C.A."/>
    <s v="FCLIE/2026/02574"/>
    <d v="2026-07-15T00:00:00"/>
    <n v="6.06"/>
    <x v="2"/>
    <d v="2026-07-15T00:00:00"/>
    <d v="2026-07-15T00:00:00"/>
    <d v="2026-07-15T00:00:00"/>
    <s v="7"/>
    <s v="Credito"/>
    <n v="0"/>
    <n v="-7"/>
    <n v="100"/>
    <n v="0"/>
    <n v="0"/>
    <n v="1.25"/>
    <n v="102.005"/>
    <n v="1"/>
    <n v="0.07575"/>
    <n v="0.0303"/>
    <m/>
  </r>
  <r>
    <s v="Caja Principal"/>
    <x v="733"/>
    <s v="J411279609"/>
    <s v="SISTEMAS RJD, C.A."/>
    <s v="FCLIE/2026/02574"/>
    <d v="2026-07-15T00:00:00"/>
    <n v="1000"/>
    <x v="2"/>
    <d v="2026-07-30T00:00:00"/>
    <d v="2026-07-15T00:00:00"/>
    <d v="2026-07-30T00:00:00"/>
    <s v="7"/>
    <s v="Credito"/>
    <n v="15"/>
    <n v="8"/>
    <n v="100"/>
    <n v="0"/>
    <n v="0"/>
    <n v="1.25"/>
    <n v="103.005"/>
    <n v="1"/>
    <n v="12.5"/>
    <n v="5"/>
    <m/>
  </r>
  <r>
    <s v="Caja Principal"/>
    <x v="734"/>
    <s v="V14037732"/>
    <s v="CARLOS ALEXANDER DE ALMEIDA MORGADO"/>
    <s v="FCLIE/2026/02936"/>
    <d v="2026-07-30T00:00:00"/>
    <n v="97.5"/>
    <x v="0"/>
    <d v="2026-07-30T00:00:00"/>
    <d v="2026-07-30T00:00:00"/>
    <d v="2026-07-30T00:00:00"/>
    <n v="0"/>
    <s v="Contado"/>
    <n v="0"/>
    <n v="0"/>
    <n v="100"/>
    <n v="0"/>
    <n v="0"/>
    <n v="1.25"/>
    <n v="104.005"/>
    <n v="1"/>
    <n v="1.21875"/>
    <n v="0.4875"/>
    <m/>
  </r>
  <r>
    <s v="USDT $ "/>
    <x v="735"/>
    <s v="J296810508"/>
    <s v="GRUPO BLUETECH 1315, C.A"/>
    <s v="FCLIE/2026/02935"/>
    <d v="2026-07-30T00:00:00"/>
    <n v="627"/>
    <x v="5"/>
    <d v="2026-07-30T00:00:00"/>
    <d v="2026-07-30T00:00:00"/>
    <d v="2026-07-30T00:00:00"/>
    <s v="3"/>
    <s v="Credito"/>
    <n v="0"/>
    <n v="-3"/>
    <n v="100"/>
    <n v="0"/>
    <n v="0"/>
    <n v="1.25"/>
    <n v="105.005"/>
    <n v="1"/>
    <n v="7.8375"/>
    <n v="3.135"/>
    <m/>
  </r>
  <r>
    <s v="USDT $ "/>
    <x v="736"/>
    <s v="J402290179"/>
    <s v="SERVITEC R &amp; M, C.A."/>
    <s v="FCLIE/2026/02944"/>
    <d v="2026-07-30T00:00:00"/>
    <n v="301.95"/>
    <x v="1"/>
    <d v="2026-07-30T00:00:00"/>
    <d v="2026-07-30T00:00:00"/>
    <d v="2026-07-30T00:00:00"/>
    <n v="0"/>
    <s v="Contado"/>
    <n v="0"/>
    <n v="0"/>
    <n v="100"/>
    <n v="0"/>
    <n v="0"/>
    <n v="1"/>
    <n v="106.005"/>
    <n v="1"/>
    <n v="3.0195"/>
    <n v="1.50975"/>
    <m/>
  </r>
  <r>
    <s v="Banco del Caribe  BS"/>
    <x v="737"/>
    <s v="J501422192"/>
    <s v="SOLUCIONES INVTECHNET, C.A"/>
    <s v="FCLIE/2026/02945"/>
    <d v="2026-07-30T00:00:00"/>
    <n v="125.35"/>
    <x v="4"/>
    <d v="2026-07-30T00:00:00"/>
    <d v="2026-07-30T00:00:00"/>
    <d v="2026-07-30T00:00:00"/>
    <n v="0"/>
    <s v="Contado"/>
    <n v="0"/>
    <n v="0"/>
    <n v="100"/>
    <n v="0"/>
    <n v="0"/>
    <n v="1.25"/>
    <n v="107.005"/>
    <n v="1"/>
    <n v="1.566875"/>
    <n v="0.62675"/>
    <m/>
  </r>
  <r>
    <s v="TRANSITORIA ZELLE"/>
    <x v="738"/>
    <s v="J500962568"/>
    <s v="CORPORACION CATECHNOLOGY, C.A."/>
    <s v="FCLIE/2026/02354"/>
    <d v="2026-07-07T00:00:00"/>
    <n v="132"/>
    <x v="4"/>
    <d v="2026-07-30T00:00:00"/>
    <d v="2026-07-07T00:00:00"/>
    <d v="2026-07-30T00:00:00"/>
    <s v="21"/>
    <s v="Credito"/>
    <n v="23"/>
    <n v="2"/>
    <n v="100"/>
    <n v="0"/>
    <n v="0"/>
    <n v="1.25"/>
    <n v="108.005"/>
    <n v="1"/>
    <n v="1.65"/>
    <n v="0.66"/>
    <m/>
  </r>
  <r>
    <s v="TRANSITORIA ZELLE"/>
    <x v="738"/>
    <s v="J500962568"/>
    <s v="CORPORACION CATECHNOLOGY, C.A."/>
    <s v="FCLIE/2026/02380"/>
    <d v="2026-07-08T00:00:00"/>
    <n v="1580"/>
    <x v="4"/>
    <d v="2026-07-30T00:00:00"/>
    <d v="2026-07-08T00:00:00"/>
    <d v="2026-07-30T00:00:00"/>
    <s v="21"/>
    <s v="Credito"/>
    <n v="22"/>
    <n v="1"/>
    <n v="100"/>
    <n v="0"/>
    <n v="0"/>
    <n v="1.25"/>
    <n v="109.005"/>
    <n v="1"/>
    <n v="19.75"/>
    <n v="7.9"/>
    <m/>
  </r>
  <r>
    <s v="TRANSITORIA ZELLE"/>
    <x v="739"/>
    <s v="J500132905"/>
    <s v="CORPORACION DIVERSA 2021 C.A"/>
    <s v="FCLIE/2026/02650"/>
    <d v="2026-07-17T00:00:00"/>
    <n v="3608"/>
    <x v="3"/>
    <d v="2026-07-30T00:00:00"/>
    <d v="2026-07-17T00:00:00"/>
    <d v="2026-07-30T00:00:00"/>
    <s v="7"/>
    <s v="Credito"/>
    <n v="13"/>
    <n v="6"/>
    <n v="100"/>
    <n v="0"/>
    <n v="0"/>
    <n v="1"/>
    <n v="110.005"/>
    <n v="1"/>
    <n v="36.08"/>
    <n v="18.04"/>
    <m/>
  </r>
  <r>
    <s v="USDT $ "/>
    <x v="740"/>
    <s v="J296651566"/>
    <s v="ADVANTAGE TECHNOLOGY, C.A"/>
    <s v="FCLIE/2026/02927"/>
    <d v="2026-07-29T00:00:00"/>
    <n v="200"/>
    <x v="0"/>
    <d v="2026-07-29T00:00:00"/>
    <d v="2026-07-29T00:00:00"/>
    <d v="2026-07-29T00:00:00"/>
    <n v="0"/>
    <s v="Contado"/>
    <n v="0"/>
    <n v="0"/>
    <n v="100"/>
    <n v="0"/>
    <n v="0"/>
    <n v="1.25"/>
    <n v="111.005"/>
    <n v="1"/>
    <n v="2.5"/>
    <n v="1"/>
    <m/>
  </r>
  <r>
    <s v="TRANSITORIA ZELLE"/>
    <x v="741"/>
    <s v="J296651566"/>
    <s v="ADVANTAGE TECHNOLOGY, C.A"/>
    <s v="FCLIE/2026/02927"/>
    <d v="2026-07-29T00:00:00"/>
    <n v="220"/>
    <x v="0"/>
    <d v="2026-07-30T00:00:00"/>
    <d v="2026-07-29T00:00:00"/>
    <d v="2026-07-30T00:00:00"/>
    <n v="0"/>
    <s v="Contado"/>
    <n v="1"/>
    <n v="1"/>
    <n v="100"/>
    <n v="0"/>
    <n v="0"/>
    <n v="1.25"/>
    <n v="112.005"/>
    <n v="1"/>
    <n v="2.75"/>
    <n v="1.1"/>
    <m/>
  </r>
  <r>
    <s v="USDT $ "/>
    <x v="742"/>
    <s v="J503403853"/>
    <s v="TINTA`S LARA 2022, C.A"/>
    <s v="FCLIE/2026/02331"/>
    <d v="2026-07-06T00:00:00"/>
    <n v="6249.2"/>
    <x v="5"/>
    <d v="2026-07-30T00:00:00"/>
    <d v="2026-07-06T00:00:00"/>
    <d v="2026-07-30T00:00:00"/>
    <s v="15"/>
    <s v="Credito"/>
    <n v="24"/>
    <n v="9"/>
    <n v="100"/>
    <n v="0"/>
    <n v="0"/>
    <n v="1.25"/>
    <n v="113.005"/>
    <n v="1"/>
    <n v="78.115"/>
    <n v="31.246"/>
    <m/>
  </r>
  <r>
    <s v="USDT $ "/>
    <x v="742"/>
    <s v="J503403853"/>
    <s v="TINTA`S LARA 2022, C.A"/>
    <s v="FCLIE/2026/02437"/>
    <d v="2026-07-09T00:00:00"/>
    <n v="122"/>
    <x v="5"/>
    <d v="2026-07-30T00:00:00"/>
    <d v="2026-07-09T00:00:00"/>
    <d v="2026-07-30T00:00:00"/>
    <s v="15"/>
    <s v="Credito"/>
    <n v="21"/>
    <n v="6"/>
    <n v="100"/>
    <n v="0"/>
    <n v="0"/>
    <n v="1.25"/>
    <n v="114.005"/>
    <n v="1"/>
    <n v="1.525"/>
    <n v="0.61"/>
    <m/>
  </r>
  <r>
    <s v="USDT $ "/>
    <x v="743"/>
    <s v="J501211450"/>
    <s v="COMPU GAMER, C.A."/>
    <s v="FCLIE/2026/01280"/>
    <d v="2026-05-21T00:00:00"/>
    <n v="1950"/>
    <x v="2"/>
    <d v="2026-07-09T00:00:00"/>
    <d v="2026-05-21T00:00:00"/>
    <d v="2026-07-09T00:00:00"/>
    <s v="30"/>
    <s v="Credito"/>
    <n v="49"/>
    <n v="19"/>
    <n v="50"/>
    <n v="2"/>
    <n v="0"/>
    <n v="1"/>
    <n v="115.005"/>
    <n v="1"/>
    <n v="9.75"/>
    <n v="9.75"/>
    <m/>
  </r>
  <r>
    <s v="USDT $ "/>
    <x v="743"/>
    <s v="J501211450"/>
    <s v="COMPU GAMER, C.A."/>
    <s v="FCLIE/2026/01234"/>
    <d v="2026-05-19T00:00:00"/>
    <n v="4182.62"/>
    <x v="2"/>
    <d v="2026-07-09T00:00:00"/>
    <d v="2026-05-19T00:00:00"/>
    <d v="2026-07-09T00:00:00"/>
    <s v="30"/>
    <s v="Credito"/>
    <n v="51"/>
    <n v="21"/>
    <n v="50"/>
    <n v="2"/>
    <n v="0"/>
    <n v="1"/>
    <n v="116.005"/>
    <n v="1"/>
    <n v="20.9131"/>
    <n v="20.9131"/>
    <m/>
  </r>
  <r>
    <s v="USDT $ "/>
    <x v="743"/>
    <s v="J501211450"/>
    <s v="COMPU GAMER, C.A."/>
    <s v="FCLIE/2026/02136"/>
    <d v="2026-06-23T00:00:00"/>
    <n v="56.85"/>
    <x v="2"/>
    <d v="2026-07-09T00:00:00"/>
    <d v="2026-06-23T00:00:00"/>
    <d v="2026-07-09T00:00:00"/>
    <s v="30"/>
    <s v="Credito"/>
    <n v="16"/>
    <n v="-14"/>
    <n v="100"/>
    <n v="1"/>
    <n v="0"/>
    <n v="1.25"/>
    <n v="117.005"/>
    <n v="1"/>
    <n v="0.710625"/>
    <n v="0.28425"/>
    <m/>
  </r>
  <r>
    <s v="USDT $ "/>
    <x v="743"/>
    <s v="J501211450"/>
    <s v="COMPU GAMER, C.A."/>
    <s v="FCLIE/2026/01590"/>
    <d v="2026-06-04T00:00:00"/>
    <n v="859.5"/>
    <x v="2"/>
    <d v="2026-07-09T00:00:00"/>
    <d v="2026-06-04T00:00:00"/>
    <d v="2026-07-09T00:00:00"/>
    <s v="30"/>
    <s v="Credito"/>
    <n v="35"/>
    <n v="5"/>
    <n v="100"/>
    <n v="1"/>
    <n v="0"/>
    <n v="1.25"/>
    <n v="118.005"/>
    <n v="1"/>
    <n v="10.74375"/>
    <n v="4.2975"/>
    <m/>
  </r>
  <r>
    <s v="USDT $ "/>
    <x v="743"/>
    <s v="J501211450"/>
    <s v="COMPU GAMER, C.A."/>
    <s v="FCLIE/2026/01491"/>
    <d v="2026-05-29T00:00:00"/>
    <n v="172.25"/>
    <x v="2"/>
    <d v="2026-07-09T00:00:00"/>
    <d v="2026-05-29T00:00:00"/>
    <d v="2026-07-09T00:00:00"/>
    <s v="30"/>
    <s v="Credito"/>
    <n v="41"/>
    <n v="11"/>
    <n v="100"/>
    <n v="2"/>
    <n v="0"/>
    <n v="1"/>
    <n v="119.005"/>
    <n v="1"/>
    <n v="1.7225"/>
    <n v="0.86125"/>
    <m/>
  </r>
  <r>
    <s v="USDT $ "/>
    <x v="743"/>
    <s v="J501211450"/>
    <s v="COMPU GAMER, C.A."/>
    <s v="FCLIE/2026/01902"/>
    <d v="2026-06-15T00:00:00"/>
    <n v="546.75"/>
    <x v="2"/>
    <d v="2026-07-09T00:00:00"/>
    <d v="2026-06-15T00:00:00"/>
    <d v="2026-07-09T00:00:00"/>
    <s v="30"/>
    <s v="Credito"/>
    <n v="24"/>
    <n v="-6"/>
    <n v="100"/>
    <n v="1"/>
    <n v="0"/>
    <n v="1.25"/>
    <n v="120.005"/>
    <n v="1"/>
    <n v="6.834375"/>
    <n v="2.73375"/>
    <m/>
  </r>
  <r>
    <s v="USDT $ "/>
    <x v="559"/>
    <s v="J501211450"/>
    <s v="COMPU GAMER, C.A."/>
    <s v="FCLIE/2026/01902"/>
    <d v="2026-06-15T00:00:00"/>
    <n v="75.7"/>
    <x v="2"/>
    <d v="2026-07-22T00:00:00"/>
    <d v="2026-06-15T00:00:00"/>
    <d v="2026-07-22T00:00:00"/>
    <s v="30"/>
    <s v="Credito"/>
    <n v="37"/>
    <n v="7"/>
    <n v="100"/>
    <n v="1"/>
    <n v="0"/>
    <n v="1.25"/>
    <n v="121.005"/>
    <n v="1"/>
    <n v="0.94625"/>
    <n v="0.3785"/>
    <m/>
  </r>
  <r>
    <s v="USDT $ "/>
    <x v="744"/>
    <s v="J501211450"/>
    <s v="COMPU GAMER, C.A."/>
    <s v="FCLIE/2026/01902"/>
    <d v="2026-06-15T00:00:00"/>
    <n v="22.55"/>
    <x v="2"/>
    <d v="2026-07-30T00:00:00"/>
    <d v="2026-06-15T00:00:00"/>
    <d v="2026-07-30T00:00:00"/>
    <s v="30"/>
    <s v="Credito"/>
    <n v="45"/>
    <n v="15"/>
    <n v="100"/>
    <n v="1"/>
    <n v="0"/>
    <n v="1.25"/>
    <n v="122.005"/>
    <n v="1"/>
    <n v="0.281875"/>
    <n v="0.11275"/>
    <m/>
  </r>
  <r>
    <s v="USDT $ "/>
    <x v="744"/>
    <s v="J501211450"/>
    <s v="COMPU GAMER, C.A."/>
    <s v="FCLIE/2026/01905"/>
    <d v="2026-06-15T00:00:00"/>
    <n v="527.7"/>
    <x v="2"/>
    <d v="2026-07-30T00:00:00"/>
    <d v="2026-06-15T00:00:00"/>
    <d v="2026-07-30T00:00:00"/>
    <s v="30"/>
    <s v="Credito"/>
    <n v="45"/>
    <n v="15"/>
    <n v="100"/>
    <n v="1"/>
    <n v="0"/>
    <n v="1.25"/>
    <n v="123.005"/>
    <n v="1"/>
    <n v="6.59625"/>
    <n v="2.6385"/>
    <m/>
  </r>
  <r>
    <s v="USDT $ "/>
    <x v="744"/>
    <s v="J501211450"/>
    <s v="COMPU GAMER, C.A."/>
    <s v="FCLIE/2026/01994"/>
    <d v="2026-06-17T00:00:00"/>
    <n v="94.75"/>
    <x v="2"/>
    <d v="2026-07-30T00:00:00"/>
    <d v="2026-06-17T00:00:00"/>
    <d v="2026-07-30T00:00:00"/>
    <s v="30"/>
    <s v="Credito"/>
    <n v="43"/>
    <n v="13"/>
    <n v="100"/>
    <n v="1"/>
    <n v="0"/>
    <n v="1.25"/>
    <n v="124.005"/>
    <n v="1"/>
    <n v="1.184375"/>
    <n v="0.47375"/>
    <m/>
  </r>
  <r>
    <s v="USDT $ "/>
    <x v="744"/>
    <s v="J501211450"/>
    <s v="COMPU GAMER, C.A."/>
    <s v="FCLIE/2026/02061"/>
    <d v="2026-06-19T00:00:00"/>
    <n v="59"/>
    <x v="2"/>
    <d v="2026-07-30T00:00:00"/>
    <d v="2026-06-19T00:00:00"/>
    <d v="2026-07-30T00:00:00"/>
    <s v="30"/>
    <s v="Credito"/>
    <n v="41"/>
    <n v="11"/>
    <n v="100"/>
    <n v="1"/>
    <n v="0"/>
    <n v="1.25"/>
    <n v="125.005"/>
    <n v="1"/>
    <n v="0.7375"/>
    <n v="0.295"/>
    <m/>
  </r>
  <r>
    <s v="REGIONSBANK"/>
    <x v="745"/>
    <s v="J410689200"/>
    <s v="INVERSIONES TECNOBERRYCA, C.A."/>
    <s v="FCLIE/2026/02958"/>
    <d v="2026-07-30T00:00:00"/>
    <n v="4200"/>
    <x v="0"/>
    <d v="2026-07-30T00:00:00"/>
    <d v="2026-07-30T00:00:00"/>
    <d v="2026-07-30T00:00:00"/>
    <n v="0"/>
    <s v="Contado"/>
    <n v="0"/>
    <n v="0"/>
    <n v="100"/>
    <n v="0"/>
    <n v="0"/>
    <n v="1.25"/>
    <n v="126.005"/>
    <n v="1"/>
    <n v="52.5"/>
    <n v="21"/>
    <m/>
  </r>
  <r>
    <s v="REGIONSBANK"/>
    <x v="746"/>
    <s v="J504073067"/>
    <s v="RECARGATE LAS AMERICAS C.A"/>
    <s v="FCLIE/2026/02111"/>
    <d v="2026-06-22T00:00:00"/>
    <n v="1942"/>
    <x v="3"/>
    <d v="2026-07-30T00:00:00"/>
    <d v="2026-06-22T00:00:00"/>
    <d v="2026-07-30T00:00:00"/>
    <s v="21"/>
    <s v="Credito"/>
    <n v="38"/>
    <n v="17"/>
    <n v="50"/>
    <n v="1"/>
    <n v="0"/>
    <n v="1"/>
    <n v="127.005"/>
    <n v="1"/>
    <n v="9.71"/>
    <n v="9.71"/>
    <m/>
  </r>
  <r>
    <s v="Banesco BS. 3049"/>
    <x v="747"/>
    <s v="J501904030"/>
    <s v="APOFIS, C.A."/>
    <s v="FCLIE/2026/02965"/>
    <d v="2026-07-30T00:00:00"/>
    <n v="293"/>
    <x v="3"/>
    <d v="2026-07-30T00:00:00"/>
    <d v="2026-07-30T00:00:00"/>
    <d v="2026-07-30T00:00:00"/>
    <n v="0"/>
    <s v="Contado"/>
    <n v="0"/>
    <n v="0"/>
    <n v="100"/>
    <n v="0"/>
    <n v="0"/>
    <n v="1"/>
    <n v="128.005"/>
    <n v="1"/>
    <n v="2.93"/>
    <n v="1.465"/>
    <m/>
  </r>
  <r>
    <s v="USDT $ "/>
    <x v="748"/>
    <s v="J309735160"/>
    <s v="COMPURAMA"/>
    <s v="FCLIE/2026/02695"/>
    <d v="2026-07-17T00:00:00"/>
    <n v="1900"/>
    <x v="6"/>
    <d v="2026-07-28T00:00:00"/>
    <d v="2026-07-17T00:00:00"/>
    <d v="2026-07-28T00:00:00"/>
    <s v="15"/>
    <s v="Credito"/>
    <n v="11"/>
    <n v="-4"/>
    <n v="100"/>
    <n v="0"/>
    <n v="0"/>
    <n v="1"/>
    <n v="129.005"/>
    <n v="1"/>
    <n v="19"/>
    <n v="9.5"/>
    <m/>
  </r>
  <r>
    <s v="USDT $ "/>
    <x v="749"/>
    <s v="J501499942"/>
    <s v="MEGATIK C.A."/>
    <s v="FCLIE/2026/02847"/>
    <d v="2026-07-27T00:00:00"/>
    <n v="210"/>
    <x v="6"/>
    <d v="2026-07-27T00:00:00"/>
    <d v="2026-07-27T00:00:00"/>
    <d v="2026-07-27T00:00:00"/>
    <n v="0"/>
    <s v="Contado"/>
    <n v="0"/>
    <n v="0"/>
    <n v="100"/>
    <n v="0"/>
    <n v="0"/>
    <n v="1"/>
    <n v="130.005"/>
    <n v="1"/>
    <n v="2.1"/>
    <n v="1.05"/>
    <m/>
  </r>
  <r>
    <s v="USDT $ "/>
    <x v="750"/>
    <s v="J311865144"/>
    <s v="DISTRIBUIDORA SEIKON 777,C. A."/>
    <s v="FCLIE/2026/02967"/>
    <d v="2026-07-30T00:00:00"/>
    <n v="56"/>
    <x v="0"/>
    <d v="2026-07-30T00:00:00"/>
    <d v="2026-07-30T00:00:00"/>
    <d v="2026-07-30T00:00:00"/>
    <n v="0"/>
    <s v="Contado"/>
    <n v="0"/>
    <n v="0"/>
    <n v="100"/>
    <n v="0"/>
    <n v="0"/>
    <n v="1.25"/>
    <n v="131.005"/>
    <n v="1"/>
    <n v="0.7"/>
    <n v="0.28"/>
    <m/>
  </r>
  <r>
    <s v="USDT $ "/>
    <x v="751"/>
    <s v="J503702494"/>
    <s v="MULTIPC CORP, C.A"/>
    <s v="FCLIE/2026/02968"/>
    <d v="2026-07-30T00:00:00"/>
    <n v="126.2"/>
    <x v="4"/>
    <d v="2026-07-30T00:00:00"/>
    <d v="2026-07-30T00:00:00"/>
    <d v="2026-07-30T00:00:00"/>
    <n v="0"/>
    <s v="Contado"/>
    <n v="0"/>
    <n v="0"/>
    <n v="100"/>
    <n v="0"/>
    <n v="0"/>
    <n v="1.25"/>
    <n v="132.005"/>
    <n v="1"/>
    <n v="1.5775"/>
    <n v="0.631"/>
    <m/>
  </r>
  <r>
    <s v="USDT $ "/>
    <x v="752"/>
    <s v="J408614421"/>
    <s v="FULL TECNO 2017, C.A"/>
    <s v="FCLIE/2026/02953"/>
    <d v="2026-07-30T00:00:00"/>
    <n v="4635.6"/>
    <x v="6"/>
    <d v="2026-07-27T00:00:00"/>
    <d v="2026-07-30T00:00:00"/>
    <d v="2026-07-27T00:00:00"/>
    <n v="0"/>
    <s v="Contado"/>
    <n v="-3"/>
    <n v="-3"/>
    <n v="100"/>
    <n v="0"/>
    <n v="0"/>
    <n v="1"/>
    <n v="136.005"/>
    <n v="1"/>
    <n v="46.356"/>
    <n v="23.178"/>
    <m/>
  </r>
  <r>
    <s v="USDT $ "/>
    <x v="753"/>
    <s v="J408614421"/>
    <s v="FULL TECNO 2017, C.A"/>
    <s v="FCLIE/2026/02451"/>
    <d v="2026-07-10T00:00:00"/>
    <n v="3582.8"/>
    <x v="6"/>
    <d v="2026-07-07T00:00:00"/>
    <d v="2026-07-10T00:00:00"/>
    <d v="2026-07-07T00:00:00"/>
    <n v="0"/>
    <s v="Contado"/>
    <n v="-3"/>
    <n v="-3"/>
    <n v="100"/>
    <n v="0"/>
    <n v="0"/>
    <n v="1"/>
    <n v="137.005"/>
    <n v="1"/>
    <n v="35.828"/>
    <n v="17.914"/>
    <m/>
  </r>
  <r>
    <s v="Banesco Custodia $"/>
    <x v="754"/>
    <s v="J300169448"/>
    <s v="DISKCOMPUTER J M A S, C.A."/>
    <s v="FCLIE/2026/02952"/>
    <d v="2026-07-30T00:00:00"/>
    <n v="446"/>
    <x v="6"/>
    <d v="2026-07-30T00:00:00"/>
    <d v="2026-07-30T00:00:00"/>
    <d v="2026-07-30T00:00:00"/>
    <n v="0"/>
    <s v="Contado"/>
    <n v="0"/>
    <n v="0"/>
    <n v="100"/>
    <n v="0"/>
    <n v="0"/>
    <n v="1"/>
    <n v="138.005"/>
    <n v="1"/>
    <n v="4.46"/>
    <n v="2.23"/>
    <m/>
  </r>
  <r>
    <s v="USDT $ "/>
    <x v="755"/>
    <s v="V262599236"/>
    <s v="CANOPUS SOLUCIONES TECNOLOGICAS DE ROBERT ALEXIS ZAMBRANO ROJAS"/>
    <s v="FCLIE/2026/02950"/>
    <d v="2026-07-30T00:00:00"/>
    <n v="239.9"/>
    <x v="6"/>
    <d v="2026-07-30T00:00:00"/>
    <d v="2026-07-30T00:00:00"/>
    <d v="2026-07-30T00:00:00"/>
    <n v="0"/>
    <s v="Contado"/>
    <n v="0"/>
    <n v="0"/>
    <n v="100"/>
    <n v="0"/>
    <n v="0"/>
    <n v="1"/>
    <n v="139.005"/>
    <n v="1"/>
    <n v="2.399"/>
    <n v="1.1995"/>
    <m/>
  </r>
  <r>
    <s v="Banco del Caribe  BS"/>
    <x v="756"/>
    <s v="J500856199"/>
    <s v="DISTRIBUIDORA VENEPRINT, C.A"/>
    <s v="FCLIE/2026/02726"/>
    <d v="2026-07-21T00:00:00"/>
    <n v="690"/>
    <x v="4"/>
    <d v="2026-07-20T00:00:00"/>
    <d v="2026-07-21T00:00:00"/>
    <d v="2026-07-20T00:00:00"/>
    <n v="0"/>
    <s v="Contado"/>
    <n v="-1"/>
    <n v="-1"/>
    <n v="100"/>
    <n v="0"/>
    <n v="0"/>
    <n v="1.25"/>
    <n v="140.005"/>
    <n v="1"/>
    <n v="8.625"/>
    <n v="3.45"/>
    <m/>
  </r>
  <r>
    <s v="USDT $ "/>
    <x v="757"/>
    <s v="J297916695"/>
    <s v="IMPRIMETE, C.A."/>
    <s v="FCLIE/2026/02605"/>
    <d v="2026-07-16T00:00:00"/>
    <n v="855.36"/>
    <x v="4"/>
    <d v="2026-07-15T00:00:00"/>
    <d v="2026-07-16T00:00:00"/>
    <d v="2026-07-15T00:00:00"/>
    <n v="0"/>
    <s v="Contado"/>
    <n v="-1"/>
    <n v="-1"/>
    <n v="100"/>
    <n v="0"/>
    <n v="0"/>
    <n v="1.25"/>
    <n v="141.005"/>
    <n v="1"/>
    <n v="10.692"/>
    <n v="4.2768"/>
    <m/>
  </r>
  <r>
    <s v="Banco del Caribe  BS"/>
    <x v="758"/>
    <s v="J501055459"/>
    <s v="JG TECNOLOGIA 3000, C.A."/>
    <s v="FCLIE/2026/02449"/>
    <d v="2026-07-10T00:00:00"/>
    <n v="259"/>
    <x v="4"/>
    <d v="2026-07-09T00:00:00"/>
    <d v="2026-07-10T00:00:00"/>
    <d v="2026-07-09T00:00:00"/>
    <n v="0"/>
    <s v="Contado"/>
    <n v="-1"/>
    <n v="-1"/>
    <n v="100"/>
    <n v="0"/>
    <n v="0"/>
    <n v="1.25"/>
    <n v="142.005"/>
    <n v="1"/>
    <n v="3.2375"/>
    <n v="1.295"/>
    <m/>
  </r>
  <r>
    <s v="USDT $ "/>
    <x v="759"/>
    <s v="J317356675"/>
    <s v="TIC 99, C."/>
    <s v="FCLIE/2026/02345"/>
    <d v="2026-07-07T00:00:00"/>
    <n v="732"/>
    <x v="4"/>
    <d v="2026-07-07T00:00:00"/>
    <d v="2026-07-07T00:00:00"/>
    <d v="2026-07-07T00:00:00"/>
    <n v="0"/>
    <s v="Contado"/>
    <n v="0"/>
    <n v="0"/>
    <n v="100"/>
    <n v="0"/>
    <n v="0"/>
    <n v="1.25"/>
    <n v="143.005"/>
    <n v="1"/>
    <n v="9.15"/>
    <n v="3.66"/>
    <m/>
  </r>
  <r>
    <s v="Banco del Caribe  BS"/>
    <x v="760"/>
    <s v="J306971203"/>
    <s v="XNET SISTEMAS, C.A."/>
    <s v="FCLIE/2026/02474"/>
    <d v="2026-07-10T00:00:00"/>
    <n v="34.5"/>
    <x v="4"/>
    <d v="2026-07-10T00:00:00"/>
    <d v="2026-07-10T00:00:00"/>
    <d v="2026-07-10T00:00:00"/>
    <n v="0"/>
    <s v="Contado"/>
    <n v="0"/>
    <n v="0"/>
    <n v="100"/>
    <n v="0"/>
    <n v="0"/>
    <n v="1.25"/>
    <n v="144.005"/>
    <n v="1"/>
    <n v="0.43125"/>
    <n v="0.1725"/>
    <m/>
  </r>
  <r>
    <s v="USDT $ "/>
    <x v="761"/>
    <s v="J506775000"/>
    <s v="EMPRENDIMIENTO LAURANAILETH NUÑEZ"/>
    <s v="FCLIE/2026/02834"/>
    <d v="2026-07-27T00:00:00"/>
    <n v="929"/>
    <x v="4"/>
    <d v="2026-07-31T00:00:00"/>
    <d v="2026-07-27T00:00:00"/>
    <d v="2026-07-31T00:00:00"/>
    <s v="7"/>
    <s v="Credito"/>
    <n v="4"/>
    <n v="-3"/>
    <n v="100"/>
    <n v="0"/>
    <n v="0"/>
    <n v="1.25"/>
    <n v="145.005"/>
    <n v="1"/>
    <n v="11.6125"/>
    <n v="4.645"/>
    <m/>
  </r>
  <r>
    <s v="USDT $ "/>
    <x v="762"/>
    <s v="J410472839"/>
    <s v="MEGAPIXEL STORE, C.A. "/>
    <s v="FCLIE/2026/02552"/>
    <d v="2026-07-14T00:00:00"/>
    <n v="1045.2"/>
    <x v="0"/>
    <d v="2026-07-31T00:00:00"/>
    <d v="2026-07-14T00:00:00"/>
    <d v="2026-07-31T00:00:00"/>
    <s v="7"/>
    <s v="Credito"/>
    <n v="17"/>
    <n v="10"/>
    <n v="100"/>
    <n v="0"/>
    <n v="0"/>
    <n v="1.25"/>
    <n v="146.005"/>
    <n v="1"/>
    <n v="13.065"/>
    <n v="5.226"/>
    <m/>
  </r>
  <r>
    <s v="USDT $ "/>
    <x v="763"/>
    <s v="J401851819"/>
    <s v="CONSUMIBLE STORE"/>
    <s v="FCLIE/2026/02225"/>
    <d v="2026-07-02T00:00:00"/>
    <n v="753.06"/>
    <x v="1"/>
    <d v="2026-07-31T00:00:00"/>
    <d v="2026-07-02T00:00:00"/>
    <d v="2026-07-31T00:00:00"/>
    <s v="7"/>
    <s v="Credito"/>
    <n v="29"/>
    <n v="22"/>
    <n v="50"/>
    <n v="0"/>
    <n v="0"/>
    <n v="1"/>
    <n v="147.005"/>
    <n v="1"/>
    <n v="3.7653"/>
    <n v="3.7653"/>
    <m/>
  </r>
  <r>
    <s v="Caja Principal"/>
    <x v="734"/>
    <s v="V14037732"/>
    <s v="CARLOS ALEXANDER DE ALMEIDA MORGADO"/>
    <s v="FCLIE/2026/02983"/>
    <d v="2026-07-31T00:00:00"/>
    <n v="0.85"/>
    <x v="0"/>
    <d v="2026-07-30T00:00:00"/>
    <d v="2026-07-31T00:00:00"/>
    <d v="2026-07-30T00:00:00"/>
    <n v="0"/>
    <s v="Contado"/>
    <n v="-1"/>
    <n v="-1"/>
    <n v="100"/>
    <n v="0"/>
    <n v="0"/>
    <n v="1.25"/>
    <n v="148.005"/>
    <n v="1"/>
    <n v="0.010625"/>
    <n v="0.00425"/>
    <m/>
  </r>
  <r>
    <s v="Caja Principal"/>
    <x v="764"/>
    <s v="V14037732"/>
    <s v="CARLOS ALEXANDER DE ALMEIDA MORGADO"/>
    <s v="FCLIE/2026/02983"/>
    <d v="2026-07-31T00:00:00"/>
    <n v="35"/>
    <x v="0"/>
    <d v="2026-07-31T00:00:00"/>
    <d v="2026-07-31T00:00:00"/>
    <d v="2026-07-31T00:00:00"/>
    <n v="0"/>
    <s v="Contado"/>
    <n v="0"/>
    <n v="0"/>
    <n v="100"/>
    <n v="0"/>
    <n v="0"/>
    <n v="1.25"/>
    <n v="149.005"/>
    <n v="1"/>
    <n v="0.4375"/>
    <n v="0.175"/>
    <m/>
  </r>
  <r>
    <s v="Caja Principal"/>
    <x v="734"/>
    <s v="V14037732"/>
    <s v="CARLOS ALEXANDER DE ALMEIDA MORGADO"/>
    <s v="FCLIE/2026/02983"/>
    <d v="2026-07-31T00:00:00"/>
    <n v="1"/>
    <x v="0"/>
    <d v="2026-07-30T00:00:00"/>
    <d v="2026-07-31T00:00:00"/>
    <d v="2026-07-30T00:00:00"/>
    <n v="0"/>
    <s v="Contado"/>
    <n v="-1"/>
    <n v="-1"/>
    <n v="100"/>
    <n v="0"/>
    <n v="0"/>
    <n v="1.25"/>
    <n v="150.005"/>
    <n v="1"/>
    <n v="0.0125"/>
    <n v="0.005"/>
    <m/>
  </r>
  <r>
    <s v="Caja Principal"/>
    <x v="765"/>
    <s v="J296651566"/>
    <s v="ADVANTAGE TECHNOLOGY, C.A"/>
    <s v="FCLIE/2026/02987"/>
    <d v="2026-07-31T00:00:00"/>
    <n v="200"/>
    <x v="0"/>
    <d v="2026-07-31T00:00:00"/>
    <d v="2026-07-31T00:00:00"/>
    <d v="2026-07-31T00:00:00"/>
    <n v="0"/>
    <s v="Contado"/>
    <n v="0"/>
    <n v="0"/>
    <n v="100"/>
    <n v="0"/>
    <n v="0"/>
    <n v="1.25"/>
    <n v="151.005"/>
    <n v="1"/>
    <n v="2.5"/>
    <n v="1"/>
    <m/>
  </r>
  <r>
    <s v="USDT $ "/>
    <x v="766"/>
    <s v="J296651566"/>
    <s v="ADVANTAGE TECHNOLOGY, C.A"/>
    <s v="FCLIE/2026/02987"/>
    <d v="2026-07-31T00:00:00"/>
    <n v="430"/>
    <x v="0"/>
    <d v="2026-07-31T00:00:00"/>
    <d v="2026-07-31T00:00:00"/>
    <d v="2026-07-31T00:00:00"/>
    <n v="0"/>
    <s v="Contado"/>
    <n v="0"/>
    <n v="0"/>
    <n v="100"/>
    <n v="0"/>
    <n v="0"/>
    <n v="1.25"/>
    <n v="152.005"/>
    <n v="1"/>
    <n v="5.375"/>
    <n v="2.15"/>
    <m/>
  </r>
  <r>
    <s v="USDT $ "/>
    <x v="767"/>
    <s v="J406699128"/>
    <s v="DIGITAL BLESS, C.A."/>
    <s v="FCLIE/2026/02648"/>
    <d v="2026-07-17T00:00:00"/>
    <n v="28.8"/>
    <x v="3"/>
    <d v="2026-07-31T00:00:00"/>
    <d v="2026-07-17T00:00:00"/>
    <d v="2026-07-31T00:00:00"/>
    <s v="21"/>
    <s v="Credito"/>
    <n v="14"/>
    <n v="-7"/>
    <n v="100"/>
    <n v="0"/>
    <n v="0"/>
    <n v="1"/>
    <n v="153.005"/>
    <n v="1"/>
    <n v="0.288"/>
    <n v="0.144"/>
    <m/>
  </r>
  <r>
    <s v="USDT $ "/>
    <x v="767"/>
    <s v="J406699128"/>
    <s v="DIGITAL BLESS, C.A."/>
    <s v="FCLIE/2026/02649"/>
    <d v="2026-07-17T00:00:00"/>
    <n v="1970"/>
    <x v="3"/>
    <d v="2026-07-31T00:00:00"/>
    <d v="2026-07-17T00:00:00"/>
    <d v="2026-07-31T00:00:00"/>
    <s v="21"/>
    <s v="Credito"/>
    <n v="14"/>
    <n v="-7"/>
    <n v="100"/>
    <n v="0"/>
    <n v="0"/>
    <n v="1"/>
    <n v="154.005"/>
    <n v="1"/>
    <n v="19.7"/>
    <n v="9.85"/>
    <m/>
  </r>
  <r>
    <s v="Caja Principal"/>
    <x v="768"/>
    <s v="J404536299"/>
    <s v="DISTRIBUIDORA COMPU OFFICE C.A."/>
    <s v="FCLIE/2026/02991"/>
    <d v="2026-07-31T00:00:00"/>
    <n v="249.75"/>
    <x v="0"/>
    <d v="2026-07-31T00:00:00"/>
    <d v="2026-07-31T00:00:00"/>
    <d v="2026-07-31T00:00:00"/>
    <n v="0"/>
    <s v="Contado"/>
    <n v="0"/>
    <n v="0"/>
    <n v="100"/>
    <n v="0"/>
    <n v="0"/>
    <n v="1.25"/>
    <n v="155.005"/>
    <n v="1"/>
    <n v="3.121875"/>
    <n v="1.24875"/>
    <m/>
  </r>
  <r>
    <s v="USDT $ "/>
    <x v="769"/>
    <s v="J405775319"/>
    <s v="COMPUTER INK, CA"/>
    <s v="FCLIE/2026/02970"/>
    <d v="2026-07-30T00:00:00"/>
    <n v="259"/>
    <x v="0"/>
    <d v="2026-07-31T00:00:00"/>
    <d v="2026-07-30T00:00:00"/>
    <d v="2026-07-31T00:00:00"/>
    <s v="15"/>
    <s v="Credito"/>
    <n v="1"/>
    <n v="-14"/>
    <n v="100"/>
    <n v="0"/>
    <n v="0"/>
    <n v="1.25"/>
    <n v="156.005"/>
    <n v="1"/>
    <n v="3.2375"/>
    <n v="1.295"/>
    <m/>
  </r>
  <r>
    <s v="REGIONSBANK"/>
    <x v="770"/>
    <s v="J307302445"/>
    <s v="CORPORACION OTIESCA COMPUTACION, C.A"/>
    <s v="FCLIE/2026/02943"/>
    <d v="2026-07-30T00:00:00"/>
    <n v="458.76"/>
    <x v="6"/>
    <d v="2026-07-31T00:00:00"/>
    <d v="2026-07-30T00:00:00"/>
    <d v="2026-07-31T00:00:00"/>
    <n v="0"/>
    <s v="Contado"/>
    <n v="1"/>
    <n v="1"/>
    <n v="100"/>
    <n v="0"/>
    <n v="0"/>
    <n v="1"/>
    <n v="157.005"/>
    <n v="1"/>
    <n v="4.5876"/>
    <n v="2.2938"/>
    <m/>
  </r>
  <r>
    <s v="USDT $ "/>
    <x v="771"/>
    <s v="J409216594"/>
    <s v="SOLUCIONES MAESTRIKO 365 C.A."/>
    <s v="FCLIE/2026/02996"/>
    <d v="2026-07-31T00:00:00"/>
    <n v="521.6"/>
    <x v="5"/>
    <d v="2026-07-31T00:00:00"/>
    <d v="2026-07-31T00:00:00"/>
    <d v="2026-07-31T00:00:00"/>
    <n v="0"/>
    <s v="Contado"/>
    <n v="0"/>
    <n v="0"/>
    <n v="100"/>
    <n v="0"/>
    <n v="0"/>
    <n v="1.25"/>
    <n v="158.005"/>
    <n v="1"/>
    <n v="6.52"/>
    <n v="2.608"/>
    <m/>
  </r>
  <r>
    <s v="USDT $ "/>
    <x v="772"/>
    <s v="J507234487"/>
    <s v="BRUT'S STORE 1, C.A."/>
    <s v="FCLIE/2026/02978"/>
    <d v="2026-07-31T00:00:00"/>
    <n v="47.5"/>
    <x v="4"/>
    <d v="2026-07-31T00:00:00"/>
    <d v="2026-07-31T00:00:00"/>
    <d v="2026-07-31T00:00:00"/>
    <n v="0"/>
    <s v="Contado"/>
    <n v="0"/>
    <n v="0"/>
    <n v="100"/>
    <n v="0"/>
    <n v="0"/>
    <n v="1.25"/>
    <n v="159.005"/>
    <n v="1"/>
    <n v="0.59375"/>
    <n v="0.2375"/>
    <m/>
  </r>
  <r>
    <s v="REGIONSBANK"/>
    <x v="773"/>
    <s v="J307302445"/>
    <s v="CORPORACION OTIESCA COMPUTACION, C.A"/>
    <s v="FCLIE/2026/02943"/>
    <d v="2026-07-30T00:00:00"/>
    <n v="381.24"/>
    <x v="6"/>
    <d v="2026-07-31T00:00:00"/>
    <d v="2026-07-30T00:00:00"/>
    <d v="2026-07-31T00:00:00"/>
    <n v="0"/>
    <s v="Contado"/>
    <n v="1"/>
    <n v="1"/>
    <n v="100"/>
    <n v="0"/>
    <n v="0"/>
    <n v="1"/>
    <n v="160.005"/>
    <n v="1"/>
    <n v="3.8124"/>
    <n v="1.9062"/>
    <m/>
  </r>
  <r>
    <s v="USDT $ "/>
    <x v="774"/>
    <s v="V149429898"/>
    <s v="DUDMAN ADOLFO MEDINA ORTIZ"/>
    <s v="FCLIE/2026/02979"/>
    <d v="2026-07-31T00:00:00"/>
    <n v="230"/>
    <x v="1"/>
    <d v="2026-07-31T00:00:00"/>
    <d v="2026-07-31T00:00:00"/>
    <d v="2026-07-31T00:00:00"/>
    <n v="0"/>
    <s v="Contado"/>
    <n v="0"/>
    <n v="0"/>
    <n v="100"/>
    <n v="0"/>
    <n v="0"/>
    <n v="1"/>
    <n v="161.005"/>
    <n v="1"/>
    <n v="2.3"/>
    <n v="1.15"/>
    <m/>
  </r>
  <r>
    <s v="USDT $ "/>
    <x v="775"/>
    <s v="J401637051"/>
    <s v="CENTRO TECNOLOGICO CHACAO, C.A."/>
    <s v="FCLIE/2026/02214"/>
    <d v="2026-07-01T00:00:00"/>
    <n v="46"/>
    <x v="2"/>
    <d v="2026-07-31T00:00:00"/>
    <d v="2026-07-01T00:00:00"/>
    <d v="2026-07-31T00:00:00"/>
    <s v="7"/>
    <s v="Credito"/>
    <n v="30"/>
    <n v="23"/>
    <n v="50"/>
    <n v="0"/>
    <n v="0"/>
    <n v="1.25"/>
    <n v="162.005"/>
    <n v="1"/>
    <n v="0.2875"/>
    <n v="0.23"/>
    <m/>
  </r>
  <r>
    <s v="USDT $ "/>
    <x v="776"/>
    <s v="J508511069"/>
    <s v="SERVICPRINTER, C. A."/>
    <s v="FCLIE/2026/02984"/>
    <d v="2026-07-31T00:00:00"/>
    <n v="300"/>
    <x v="4"/>
    <d v="2026-07-31T00:00:00"/>
    <d v="2026-07-31T00:00:00"/>
    <d v="2026-07-31T00:00:00"/>
    <n v="0"/>
    <s v="Contado"/>
    <n v="0"/>
    <n v="0"/>
    <n v="100"/>
    <n v="0"/>
    <n v="0"/>
    <n v="1.25"/>
    <n v="163.005"/>
    <n v="1"/>
    <n v="3.75"/>
    <n v="1.5"/>
    <m/>
  </r>
  <r>
    <s v="Banco del Caribe  BS"/>
    <x v="777"/>
    <s v="J502097864"/>
    <s v="XDATA TELECOMUNICACIONES, C.A"/>
    <s v="FCLIE/2026/02993"/>
    <d v="2026-07-31T00:00:00"/>
    <n v="247.38"/>
    <x v="4"/>
    <d v="2026-07-31T00:00:00"/>
    <d v="2026-07-31T00:00:00"/>
    <d v="2026-07-31T00:00:00"/>
    <n v="0"/>
    <s v="Contado"/>
    <n v="0"/>
    <n v="0"/>
    <n v="100"/>
    <n v="0"/>
    <n v="0"/>
    <n v="1.25"/>
    <n v="164.005"/>
    <n v="1"/>
    <n v="3.09225"/>
    <n v="1.2369"/>
    <m/>
  </r>
  <r>
    <s v="Banesco BS. 3049"/>
    <x v="778"/>
    <s v="J500801726"/>
    <s v="INVERSIONES AVISAL, C.A."/>
    <s v="FCLIE/2026/02982"/>
    <d v="2026-07-31T00:00:00"/>
    <n v="119"/>
    <x v="3"/>
    <d v="2026-07-31T00:00:00"/>
    <d v="2026-07-31T00:00:00"/>
    <d v="2026-07-31T00:00:00"/>
    <n v="0"/>
    <s v="Contado"/>
    <n v="0"/>
    <n v="0"/>
    <n v="100"/>
    <n v="0"/>
    <n v="0"/>
    <n v="1"/>
    <n v="165.005"/>
    <n v="1"/>
    <n v="1.19"/>
    <n v="0.595"/>
    <m/>
  </r>
  <r>
    <s v="Banco del Caribe  BS"/>
    <x v="779"/>
    <s v="J505605739"/>
    <s v="ALGE SOLUTIONS 2024, C.A."/>
    <s v="FCLIE/2026/02977"/>
    <d v="2026-07-31T00:00:00"/>
    <n v="646"/>
    <x v="3"/>
    <d v="2026-07-31T00:00:00"/>
    <d v="2026-07-31T00:00:00"/>
    <d v="2026-07-31T00:00:00"/>
    <n v="0"/>
    <s v="Contado"/>
    <n v="0"/>
    <n v="0"/>
    <n v="100"/>
    <n v="0"/>
    <n v="0"/>
    <n v="1"/>
    <n v="166.005"/>
    <n v="1"/>
    <n v="6.46"/>
    <n v="3.23"/>
    <m/>
  </r>
  <r>
    <s v="Banesco BS. 3049"/>
    <x v="780"/>
    <s v="J505605739"/>
    <s v="ALGE SOLUTIONS 2024, C.A."/>
    <s v="FCLIE/2026/02688"/>
    <d v="2026-07-17T00:00:00"/>
    <n v="260"/>
    <x v="3"/>
    <d v="2026-07-17T00:00:00"/>
    <d v="2026-07-17T00:00:00"/>
    <d v="2026-07-17T00:00:00"/>
    <n v="0"/>
    <s v="Contado"/>
    <n v="0"/>
    <n v="0"/>
    <n v="100"/>
    <n v="0"/>
    <n v="0"/>
    <n v="1"/>
    <n v="167.005"/>
    <n v="1"/>
    <n v="2.6"/>
    <n v="1.3"/>
    <m/>
  </r>
  <r>
    <s v="USDT $ "/>
    <x v="781"/>
    <s v="J315234157"/>
    <s v="COMPUTRONIC DE VENEZUELA, C.A."/>
    <s v="FCLIE/2026/02448"/>
    <d v="2026-07-10T00:00:00"/>
    <n v="490"/>
    <x v="6"/>
    <d v="2026-07-08T00:00:00"/>
    <d v="2026-07-10T00:00:00"/>
    <d v="2026-07-08T00:00:00"/>
    <n v="0"/>
    <s v="Contado"/>
    <n v="-2"/>
    <n v="-2"/>
    <n v="100"/>
    <n v="0"/>
    <n v="0"/>
    <n v="1"/>
    <n v="168.005"/>
    <n v="1"/>
    <n v="4.9"/>
    <n v="2.45"/>
    <m/>
  </r>
  <r>
    <s v="Caja Principal"/>
    <x v="782"/>
    <s v="J310866040"/>
    <s v="SALO CORPORATION C.A."/>
    <s v="FCLIE/2026/02995"/>
    <d v="2026-07-31T00:00:00"/>
    <n v="56.85"/>
    <x v="0"/>
    <d v="2026-07-31T00:00:00"/>
    <d v="2026-07-31T00:00:00"/>
    <d v="2026-07-31T00:00:00"/>
    <n v="0"/>
    <s v="Contado"/>
    <n v="0"/>
    <n v="0"/>
    <n v="100"/>
    <n v="0"/>
    <n v="0"/>
    <n v="1.25"/>
    <n v="169.005"/>
    <n v="1"/>
    <n v="0.710625"/>
    <n v="0.28425"/>
    <m/>
  </r>
  <r>
    <s v="Banesco BS. 3049"/>
    <x v="783"/>
    <s v="V262599236"/>
    <s v="CANOPUS SOLUCIONES TECNOLOGICAS DE ROBERT ALEXIS ZAMBRANO ROJAS"/>
    <s v="FCLIE/2026/02985"/>
    <d v="2026-07-31T00:00:00"/>
    <n v="186.34"/>
    <x v="6"/>
    <d v="2026-07-31T00:00:00"/>
    <d v="2026-07-31T00:00:00"/>
    <d v="2026-07-31T00:00:00"/>
    <n v="0"/>
    <s v="Contado"/>
    <n v="0"/>
    <n v="0"/>
    <n v="100"/>
    <n v="0"/>
    <n v="0"/>
    <n v="1"/>
    <n v="170.005"/>
    <n v="1"/>
    <n v="1.8634"/>
    <n v="0.9317"/>
    <m/>
  </r>
  <r>
    <s v="Caja Principal"/>
    <x v="784"/>
    <s v="J506323702"/>
    <s v="ELECTRO PC 2023,C.A"/>
    <s v="FCLIE/2026/03000"/>
    <d v="2026-07-31T00:00:00"/>
    <n v="1103.76"/>
    <x v="6"/>
    <d v="2026-07-31T00:00:00"/>
    <d v="2026-07-31T00:00:00"/>
    <d v="2026-07-31T00:00:00"/>
    <n v="0"/>
    <s v="Contado"/>
    <n v="0"/>
    <n v="0"/>
    <n v="100"/>
    <n v="0"/>
    <n v="0"/>
    <n v="1"/>
    <n v="171.005"/>
    <n v="1"/>
    <n v="11.0376"/>
    <n v="5.5188"/>
    <m/>
  </r>
  <r>
    <s v="USDT $ "/>
    <x v="785"/>
    <s v="J315234157"/>
    <s v="COMPUTRONIC DE VENEZUELA, C.A."/>
    <s v="FCLIE/2026/03001"/>
    <d v="2026-07-31T00:00:00"/>
    <n v="165.1"/>
    <x v="6"/>
    <d v="2026-07-31T00:00:00"/>
    <d v="2026-07-31T00:00:00"/>
    <d v="2026-07-31T00:00:00"/>
    <n v="0"/>
    <s v="Contado"/>
    <n v="0"/>
    <n v="0"/>
    <n v="100"/>
    <n v="0"/>
    <n v="0"/>
    <n v="1"/>
    <n v="172.005"/>
    <n v="1"/>
    <n v="1.651"/>
    <n v="0.8255"/>
    <m/>
  </r>
  <r>
    <s v="USDT $ "/>
    <x v="786"/>
    <s v="J506055856"/>
    <s v="MESRAM.2024, C.A."/>
    <s v="FCLIE/2026/02997"/>
    <d v="2026-07-31T00:00:00"/>
    <n v="40.7"/>
    <x v="3"/>
    <d v="2026-07-31T00:00:00"/>
    <d v="2026-07-31T00:00:00"/>
    <d v="2026-07-31T00:00:00"/>
    <n v="0"/>
    <s v="Contado"/>
    <n v="0"/>
    <n v="0"/>
    <n v="100"/>
    <n v="0"/>
    <n v="0"/>
    <n v="1"/>
    <n v="173.005"/>
    <n v="1"/>
    <n v="0.407"/>
    <n v="0.2035"/>
    <m/>
  </r>
  <r>
    <s v="USDT $ "/>
    <x v="787"/>
    <s v="J507010872"/>
    <s v="EMPRENDIMIENTO KIMBERLYN MENDEZ"/>
    <s v="FCLIE/2026/03004"/>
    <d v="2026-07-31T00:00:00"/>
    <n v="49.95"/>
    <x v="4"/>
    <d v="2026-07-31T00:00:00"/>
    <d v="2026-07-31T00:00:00"/>
    <d v="2026-07-31T00:00:00"/>
    <n v="0"/>
    <s v="Contado"/>
    <n v="0"/>
    <n v="0"/>
    <n v="100"/>
    <n v="0"/>
    <n v="0"/>
    <n v="1.25"/>
    <n v="174.005"/>
    <n v="1"/>
    <n v="0.624375"/>
    <n v="0.24975"/>
    <m/>
  </r>
  <r>
    <s v="USDT $ "/>
    <x v="788"/>
    <s v="J003384259"/>
    <s v="REPRESENTACIONES OPS, C.A"/>
    <s v="FCLIE/2026/02839"/>
    <d v="2026-07-27T00:00:00"/>
    <n v="170"/>
    <x v="0"/>
    <d v="2026-07-31T00:00:00"/>
    <d v="2026-07-27T00:00:00"/>
    <d v="2026-07-31T00:00:00"/>
    <s v="7"/>
    <s v="Credito"/>
    <n v="4"/>
    <n v="-3"/>
    <n v="100"/>
    <n v="0"/>
    <n v="0"/>
    <n v="1.25"/>
    <n v="175.005"/>
    <n v="1"/>
    <n v="2.125"/>
    <n v="0.85"/>
    <m/>
  </r>
  <r>
    <s v="Banesco BS. 3049"/>
    <x v="789"/>
    <s v="J412239961"/>
    <s v=" INVERSIONES VALCASAR 2010, C.A."/>
    <s v="FCLIE/2026/02427"/>
    <d v="2026-07-09T00:00:00"/>
    <n v="1092.26"/>
    <x v="2"/>
    <d v="2026-07-31T00:00:00"/>
    <d v="2026-07-09T00:00:00"/>
    <d v="2026-07-31T00:00:00"/>
    <s v="30 Días"/>
    <s v="Credito"/>
    <n v="22"/>
    <e v="#VALUE!"/>
    <n v="0"/>
    <n v="0"/>
    <n v="0"/>
    <n v="1.25"/>
    <n v="176.005"/>
    <n v="1"/>
    <n v="0"/>
    <n v="5.4613"/>
    <m/>
  </r>
  <r>
    <s v="USDT $ "/>
    <x v="790"/>
    <s v="J412401777"/>
    <s v="INVERSIONES FRANCIS. FULL COLOR 2019, C.A"/>
    <s v="FCLIE/2026/03003"/>
    <d v="2026-07-31T00:00:00"/>
    <n v="26"/>
    <x v="3"/>
    <d v="2026-07-31T00:00:00"/>
    <d v="2026-07-31T00:00:00"/>
    <d v="2026-07-31T00:00:00"/>
    <n v="0"/>
    <s v="Contado"/>
    <n v="0"/>
    <n v="0"/>
    <n v="100"/>
    <n v="0"/>
    <n v="0"/>
    <n v="1"/>
    <n v="177.005"/>
    <n v="1"/>
    <n v="0.26"/>
    <n v="0.13"/>
    <m/>
  </r>
  <r>
    <s v="USDT $ "/>
    <x v="791"/>
    <s v="J500677782"/>
    <s v="CORPORACIÓN TECNOLÓGICA CRT 2010, C.A."/>
    <s v="FCLIE/2026/02508"/>
    <d v="2026-07-13T00:00:00"/>
    <n v="120"/>
    <x v="3"/>
    <d v="2026-07-31T00:00:00"/>
    <d v="2026-07-13T00:00:00"/>
    <d v="2026-07-31T00:00:00"/>
    <s v="15"/>
    <s v="Credito"/>
    <n v="18"/>
    <n v="3"/>
    <n v="100"/>
    <n v="0"/>
    <n v="0"/>
    <n v="1"/>
    <n v="178.005"/>
    <n v="1"/>
    <n v="1.2"/>
    <n v="0.6"/>
    <m/>
  </r>
  <r>
    <s v="USDT $ "/>
    <x v="791"/>
    <s v="J500677782"/>
    <s v="CORPORACIÓN TECNOLÓGICA CRT 2010, C.A."/>
    <s v="FCLIE/2026/02537"/>
    <d v="2026-07-14T00:00:00"/>
    <n v="233.13"/>
    <x v="3"/>
    <d v="2026-07-31T00:00:00"/>
    <d v="2026-07-14T00:00:00"/>
    <d v="2026-07-31T00:00:00"/>
    <s v="15"/>
    <s v="Credito"/>
    <n v="17"/>
    <n v="2"/>
    <n v="100"/>
    <n v="0"/>
    <n v="0"/>
    <n v="1"/>
    <n v="179.005"/>
    <n v="1"/>
    <n v="2.3313"/>
    <n v="1.16565"/>
    <m/>
  </r>
  <r>
    <s v="TRANSITORIA ZELLE"/>
    <x v="792"/>
    <s v="J500677782"/>
    <s v="CORPORACIÓN TECNOLÓGICA CRT 2010, C.A."/>
    <s v="FCLIE/2026/02012"/>
    <d v="2026-06-18T00:00:00"/>
    <n v="29696.94"/>
    <x v="3"/>
    <d v="2026-07-31T00:00:00"/>
    <d v="2026-06-18T00:00:00"/>
    <d v="2026-07-31T00:00:00"/>
    <s v="15"/>
    <s v="Credito"/>
    <n v="43"/>
    <n v="28"/>
    <n v="50"/>
    <n v="1"/>
    <n v="0"/>
    <n v="1"/>
    <n v="180.005"/>
    <n v="1"/>
    <n v="148.4847"/>
    <n v="148.4847"/>
    <m/>
  </r>
  <r>
    <s v="USDT $ "/>
    <x v="791"/>
    <s v="J500677782"/>
    <s v="CORPORACIÓN TECNOLÓGICA CRT 2010, C.A."/>
    <s v="FCLIE/2026/02537"/>
    <d v="2026-07-14T00:00:00"/>
    <n v="103.87"/>
    <x v="3"/>
    <d v="2026-07-31T00:00:00"/>
    <d v="2026-07-14T00:00:00"/>
    <d v="2026-07-31T00:00:00"/>
    <s v="15"/>
    <s v="Credito"/>
    <n v="17"/>
    <n v="2"/>
    <n v="100"/>
    <n v="0"/>
    <n v="0"/>
    <n v="1"/>
    <n v="181.005"/>
    <n v="1"/>
    <n v="1.0387"/>
    <n v="0.51935"/>
    <m/>
  </r>
  <r>
    <s v="USDT $ "/>
    <x v="793"/>
    <s v="J501499942"/>
    <s v="MEGATIK C.A."/>
    <s v="FCLIE/2026/03005"/>
    <d v="2026-07-31T00:00:00"/>
    <n v="500"/>
    <x v="6"/>
    <d v="2026-07-30T00:00:00"/>
    <d v="2026-07-31T00:00:00"/>
    <d v="2026-07-30T00:00:00"/>
    <n v="0"/>
    <s v="Contado"/>
    <n v="-1"/>
    <n v="-1"/>
    <n v="100"/>
    <n v="0"/>
    <n v="0"/>
    <n v="1"/>
    <n v="182.005"/>
    <n v="1"/>
    <n v="5"/>
    <n v="2.5"/>
    <m/>
  </r>
  <r>
    <s v="TRANSITORIA ZELLE"/>
    <x v="794"/>
    <s v="J501499942"/>
    <s v="MEGATIK C.A."/>
    <s v="FCLIE/2026/03005"/>
    <d v="2026-07-31T00:00:00"/>
    <n v="57"/>
    <x v="6"/>
    <d v="2026-07-31T00:00:00"/>
    <d v="2026-07-31T00:00:00"/>
    <d v="2026-07-31T00:00:00"/>
    <n v="0"/>
    <s v="Contado"/>
    <n v="0"/>
    <n v="0"/>
    <n v="100"/>
    <n v="0"/>
    <n v="0"/>
    <n v="1"/>
    <n v="183.005"/>
    <n v="1"/>
    <n v="0.57"/>
    <n v="0.285"/>
    <m/>
  </r>
  <r>
    <s v="TRANSITORIA ZELLE"/>
    <x v="795"/>
    <s v="J298903201"/>
    <s v="PUERTO VENTAS C A"/>
    <s v="FCLIE/2026/03006"/>
    <d v="2026-07-31T00:00:00"/>
    <n v="335"/>
    <x v="1"/>
    <d v="2026-07-31T00:00:00"/>
    <d v="2026-07-31T00:00:00"/>
    <d v="2026-07-31T00:00:00"/>
    <n v="0"/>
    <s v="Contado"/>
    <n v="0"/>
    <n v="0"/>
    <n v="100"/>
    <n v="0"/>
    <n v="0"/>
    <n v="1"/>
    <n v="185.005"/>
    <n v="1"/>
    <n v="3.35"/>
    <n v="1.675"/>
    <m/>
  </r>
  <r>
    <s v="Banco del Caribe  BS"/>
    <x v="796"/>
    <s v="J507010872"/>
    <s v="EMPRENDIMIENTO KIMBERLYN MENDEZ"/>
    <s v="FCLIE/2026/03008"/>
    <d v="2026-07-31T00:00:00"/>
    <n v="52"/>
    <x v="4"/>
    <d v="2026-07-31T00:00:00"/>
    <d v="2026-07-31T00:00:00"/>
    <d v="2026-07-31T00:00:00"/>
    <n v="0"/>
    <s v="Contado"/>
    <n v="0"/>
    <n v="0"/>
    <n v="100"/>
    <n v="0"/>
    <n v="0"/>
    <n v="1.25"/>
    <n v="186.005"/>
    <n v="1"/>
    <n v="0.65"/>
    <n v="0.26"/>
    <m/>
  </r>
  <r>
    <s v="USDT $ "/>
    <x v="797"/>
    <s v="J508511069"/>
    <s v="SERVICPRINTER, C. A."/>
    <s v="FCLIE/2026/03009"/>
    <d v="2026-07-31T00:00:00"/>
    <n v="1260"/>
    <x v="4"/>
    <d v="2026-07-31T00:00:00"/>
    <d v="2026-07-31T00:00:00"/>
    <d v="2026-07-31T00:00:00"/>
    <n v="0"/>
    <s v="Contado"/>
    <n v="0"/>
    <n v="0"/>
    <n v="100"/>
    <n v="0"/>
    <n v="0"/>
    <n v="1.25"/>
    <n v="187.005"/>
    <n v="1"/>
    <n v="15.75"/>
    <n v="6.3"/>
    <m/>
  </r>
  <r>
    <s v="Banesco BS. 3049"/>
    <x v="798"/>
    <s v="J412239961"/>
    <s v=" INVERSIONES VALCASAR 2010, C.A."/>
    <s v="FCLIE/2026/02427"/>
    <d v="2026-07-09T00:00:00"/>
    <n v="1294.68"/>
    <x v="2"/>
    <d v="2026-07-31T00:00:00"/>
    <d v="2026-07-09T00:00:00"/>
    <d v="2026-07-31T00:00:00"/>
    <n v="30"/>
    <s v="Credito"/>
    <n v="22"/>
    <n v="-8"/>
    <n v="100"/>
    <n v="0"/>
    <n v="0"/>
    <n v="1.25"/>
    <n v="188.005"/>
    <n v="1"/>
    <n v="16.1835"/>
    <n v="6.4734"/>
    <m/>
  </r>
  <r>
    <s v="Facturas de cliente"/>
    <x v="799"/>
    <s v="J313304565"/>
    <s v="INVERSIONES HELP COMPUTER, C. A."/>
    <s v="FCLIE/2026/02356"/>
    <d v="2026-07-07T00:00:00"/>
    <n v="480"/>
    <x v="1"/>
    <d v="2026-07-09T00:00:00"/>
    <d v="2026-07-07T00:00:00"/>
    <d v="2026-07-09T00:00:00"/>
    <s v="21"/>
    <s v="Credito"/>
    <n v="2"/>
    <n v="-19"/>
    <n v="100"/>
    <n v="0"/>
    <n v="0"/>
    <n v="1"/>
    <n v="189.005"/>
    <n v="1"/>
    <n v="4.8"/>
    <n v="2.4"/>
    <m/>
  </r>
  <r>
    <s v="USDT $ "/>
    <x v="726"/>
    <s v="J313304565"/>
    <s v="INVERSIONES HELP COMPUTER, C. A."/>
    <s v="FCLIE/2026/02151"/>
    <d v="2026-06-23T00:00:00"/>
    <n v="0.71"/>
    <x v="1"/>
    <d v="2026-07-30T00:00:00"/>
    <d v="2026-06-23T00:00:00"/>
    <d v="2026-07-30T00:00:00"/>
    <s v="21"/>
    <s v="Credito"/>
    <n v="37"/>
    <n v="16"/>
    <n v="50"/>
    <n v="1"/>
    <n v="0"/>
    <n v="1"/>
    <n v="190.005"/>
    <n v="1"/>
    <n v="0.00355"/>
    <n v="0.00355"/>
    <m/>
  </r>
  <r>
    <s v="USDT $ "/>
    <x v="800"/>
    <s v="J500574665"/>
    <s v="TECNOLOGIA JASPE, C. A."/>
    <s v="FCLIE/2026/02584"/>
    <d v="2026-07-15T00:00:00"/>
    <n v="535"/>
    <x v="1"/>
    <d v="2026-07-31T00:00:00"/>
    <d v="2026-07-15T00:00:00"/>
    <d v="2026-07-31T00:00:00"/>
    <s v="15"/>
    <s v="Credito"/>
    <n v="16"/>
    <n v="1"/>
    <n v="100"/>
    <n v="0"/>
    <n v="0"/>
    <n v="1"/>
    <n v="191.005"/>
    <n v="1"/>
    <n v="5.35"/>
    <n v="2.675"/>
    <m/>
  </r>
  <r>
    <s v="USDT $ "/>
    <x v="800"/>
    <s v="J500574665"/>
    <s v="TECNOLOGIA JASPE, C. A."/>
    <s v="FCLIE/2026/02607"/>
    <d v="2026-07-16T00:00:00"/>
    <n v="615.95"/>
    <x v="1"/>
    <d v="2026-07-31T00:00:00"/>
    <d v="2026-07-16T00:00:00"/>
    <d v="2026-07-31T00:00:00"/>
    <s v="15"/>
    <s v="Credito"/>
    <n v="15"/>
    <n v="0"/>
    <n v="100"/>
    <n v="0"/>
    <n v="0"/>
    <n v="1"/>
    <n v="192.005"/>
    <n v="1"/>
    <n v="6.1595"/>
    <n v="3.07975"/>
    <m/>
  </r>
  <r>
    <s v="USDT $ "/>
    <x v="418"/>
    <s v="J412883879"/>
    <s v="INVERSIONES FUTSAL MARKET, C.A."/>
    <s v="FCLIE/2026/02628"/>
    <d v="2026-07-16T00:00:00"/>
    <n v="17"/>
    <x v="2"/>
    <d v="2026-07-16T00:00:00"/>
    <d v="2026-07-16T00:00:00"/>
    <d v="2026-07-16T00:00:00"/>
    <n v="0"/>
    <s v="Contado"/>
    <n v="0"/>
    <n v="0"/>
    <n v="100"/>
    <n v="0"/>
    <n v="0"/>
    <n v="1.25"/>
    <n v="193.005"/>
    <n v="1"/>
    <n v="0.2125"/>
    <n v="0.085"/>
    <m/>
  </r>
  <r>
    <s v="USDT $ "/>
    <x v="668"/>
    <s v="J505218034"/>
    <s v="CANELON ARANZAZU I, C.A"/>
    <s v="FCLIE/2026/03011"/>
    <d v="2026-08-04T00:00:00"/>
    <n v="426"/>
    <x v="4"/>
    <d v="2026-07-28T00:00:00"/>
    <d v="2026-08-04T00:00:00"/>
    <d v="2026-07-28T00:00:00"/>
    <n v="0"/>
    <s v="Contado"/>
    <n v="-7"/>
    <n v="-7"/>
    <n v="100"/>
    <n v="0"/>
    <n v="0"/>
    <n v="1.25"/>
    <n v="194.005"/>
    <n v="1"/>
    <n v="5.325"/>
    <n v="2.13"/>
    <m/>
  </r>
  <r>
    <s v="USDT $ "/>
    <x v="668"/>
    <s v="J505218034"/>
    <s v="CANELON ARANZAZU I, C.A"/>
    <s v="FCLIE/2026/02901"/>
    <d v="2026-07-29T00:00:00"/>
    <n v="23.2"/>
    <x v="4"/>
    <d v="2026-07-28T00:00:00"/>
    <d v="2026-07-29T00:00:00"/>
    <d v="2026-07-28T00:00:00"/>
    <n v="0"/>
    <s v="Contado"/>
    <n v="-1"/>
    <n v="-1"/>
    <n v="100"/>
    <n v="0"/>
    <n v="0"/>
    <n v="1.25"/>
    <n v="195.005"/>
    <n v="1"/>
    <n v="0.29"/>
    <n v="0.116"/>
    <m/>
  </r>
  <r>
    <s v="USDT $ "/>
    <x v="801"/>
    <s v="J500636750"/>
    <s v="PHONE CELL VEM II, C.A."/>
    <s v="FCLIE/2026/02699"/>
    <d v="2026-07-20T00:00:00"/>
    <n v="650"/>
    <x v="5"/>
    <d v="2026-07-17T00:00:00"/>
    <d v="2026-07-20T00:00:00"/>
    <d v="2026-07-17T00:00:00"/>
    <s v="21"/>
    <s v="Credito"/>
    <n v="-3"/>
    <n v="-24"/>
    <n v="100"/>
    <n v="0"/>
    <n v="0"/>
    <n v="1.25"/>
    <n v="196.005"/>
    <n v="1"/>
    <n v="8.125"/>
    <n v="3.25"/>
    <m/>
  </r>
  <r>
    <s v="USDT $ "/>
    <x v="802"/>
    <s v="J412478273"/>
    <s v="COMPUNAR C.A."/>
    <s v="FCLIE/2026/02682"/>
    <d v="2026-07-17T00:00:00"/>
    <n v="420"/>
    <x v="5"/>
    <d v="2026-07-16T00:00:00"/>
    <d v="2026-07-17T00:00:00"/>
    <d v="2026-07-16T00:00:00"/>
    <n v="0"/>
    <s v="Contado"/>
    <n v="-1"/>
    <n v="-1"/>
    <n v="100"/>
    <n v="0"/>
    <n v="0"/>
    <n v="1.25"/>
    <n v="197.005"/>
    <n v="1"/>
    <n v="5.25"/>
    <n v="2.1"/>
    <m/>
  </r>
  <r>
    <s v="USDT $ "/>
    <x v="803"/>
    <s v="J412478273"/>
    <s v="COMPUNAR C.A."/>
    <s v="FCLIE/2026/02920"/>
    <d v="2026-07-29T00:00:00"/>
    <n v="630"/>
    <x v="5"/>
    <d v="2026-07-29T00:00:00"/>
    <d v="2026-07-29T00:00:00"/>
    <d v="2026-07-29T00:00:00"/>
    <n v="0"/>
    <s v="Contado"/>
    <n v="0"/>
    <n v="0"/>
    <n v="100"/>
    <n v="0"/>
    <n v="0"/>
    <n v="1.25"/>
    <n v="198.005"/>
    <n v="1"/>
    <n v="7.875"/>
    <n v="3.15"/>
    <m/>
  </r>
  <r>
    <s v="USDT $ "/>
    <x v="668"/>
    <s v="J505218034"/>
    <s v="CANELON ARANZAZU I, C.A"/>
    <s v="FCLIE/2026/03035"/>
    <d v="2026-08-04T00:00:00"/>
    <n v="0.4"/>
    <x v="4"/>
    <d v="2026-07-28T00:00:00"/>
    <d v="2026-08-04T00:00:00"/>
    <d v="2026-07-28T00:00:00"/>
    <n v="0"/>
    <s v="Contado"/>
    <n v="-7"/>
    <n v="-7"/>
    <n v="100"/>
    <n v="0"/>
    <n v="0"/>
    <n v="1.25"/>
    <n v="199.005"/>
    <n v="1"/>
    <n v="0.005"/>
    <n v="0.002"/>
    <m/>
  </r>
  <r>
    <s v="USDT $ "/>
    <x v="735"/>
    <s v="J296810508"/>
    <s v="GRUPO BLUETECH 1315, C.A"/>
    <s v="FCLIE/2026/02969"/>
    <d v="2026-07-30T00:00:00"/>
    <n v="14.7"/>
    <x v="5"/>
    <d v="2026-07-30T00:00:00"/>
    <d v="2026-07-30T00:00:00"/>
    <d v="2026-07-30T00:00:00"/>
    <s v="3"/>
    <s v="Credito"/>
    <n v="0"/>
    <n v="-3"/>
    <n v="100"/>
    <n v="0"/>
    <n v="0"/>
    <n v="1.25"/>
    <n v="200.005"/>
    <n v="1"/>
    <n v="0.18375"/>
    <n v="0.0735"/>
    <m/>
  </r>
  <r>
    <s v="Caja Principal"/>
    <x v="396"/>
    <s v="J507010872"/>
    <s v="EMPRENDIMIENTO KIMBERLYN MENDEZ"/>
    <s v="FCLIE/2026/03030"/>
    <d v="2026-08-04T00:00:00"/>
    <n v="1.85"/>
    <x v="4"/>
    <d v="2026-07-15T00:00:00"/>
    <d v="2026-08-04T00:00:00"/>
    <d v="2026-07-15T00:00:00"/>
    <n v="0"/>
    <s v="Contado"/>
    <n v="-20"/>
    <n v="-20"/>
    <n v="100"/>
    <n v="0"/>
    <n v="0"/>
    <n v="1.25"/>
    <n v="201.005"/>
    <n v="1"/>
    <n v="0.023125"/>
    <n v="0.00925"/>
    <m/>
  </r>
  <r>
    <s v="Caja Principal"/>
    <x v="718"/>
    <s v="J405424524"/>
    <s v="MULTISERVICIOS OIKODOME PC 2018, C.A."/>
    <s v="FCLIE/2026/02928"/>
    <d v="2026-07-29T00:00:00"/>
    <n v="144.02"/>
    <x v="1"/>
    <d v="2026-07-29T00:00:00"/>
    <d v="2026-07-29T00:00:00"/>
    <d v="2026-07-29T00:00:00"/>
    <s v="7"/>
    <s v="Credito"/>
    <n v="0"/>
    <n v="-7"/>
    <n v="100"/>
    <n v="0"/>
    <n v="0"/>
    <n v="1"/>
    <n v="202.005"/>
    <n v="1"/>
    <n v="1.4402"/>
    <n v="0.7201"/>
    <m/>
  </r>
  <r>
    <s v="USDT $ "/>
    <x v="321"/>
    <s v="J315095076"/>
    <s v="PC MALL, C.A."/>
    <s v="FCLIE/2026/02784"/>
    <d v="2026-07-22T00:00:00"/>
    <n v="212.2"/>
    <x v="6"/>
    <d v="2026-07-02T00:00:00"/>
    <d v="2026-07-22T00:00:00"/>
    <d v="2026-07-02T00:00:00"/>
    <s v="7"/>
    <s v="Credito"/>
    <n v="-20"/>
    <n v="-27"/>
    <n v="100"/>
    <n v="0"/>
    <n v="0"/>
    <n v="1"/>
    <n v="203.005"/>
    <n v="1"/>
    <n v="2.122"/>
    <n v="1.061"/>
    <m/>
  </r>
  <r>
    <s v="Caja Principal"/>
    <x v="804"/>
    <s v="J500689292"/>
    <s v="DISTRIBUIDORA ARCHER 20, C.A."/>
    <s v="FCLIE/2026/02663"/>
    <d v="2026-07-17T00:00:00"/>
    <n v="89.17"/>
    <x v="1"/>
    <d v="2026-07-17T00:00:00"/>
    <d v="2026-07-17T00:00:00"/>
    <d v="2026-07-17T00:00:00"/>
    <s v="15"/>
    <s v="Credito"/>
    <n v="0"/>
    <n v="-15"/>
    <n v="100"/>
    <n v="0"/>
    <n v="0"/>
    <n v="1"/>
    <n v="204.005"/>
    <n v="1"/>
    <n v="0.8917"/>
    <n v="0.44585"/>
    <m/>
  </r>
  <r>
    <s v="USDT $ "/>
    <x v="513"/>
    <s v="J506103656"/>
    <s v="TWENTY SEVEN TECH, C.A"/>
    <s v="FCLIE/2026/02044"/>
    <d v="2026-06-19T00:00:00"/>
    <n v="2"/>
    <x v="5"/>
    <d v="2026-07-20T00:00:00"/>
    <d v="2026-06-19T00:00:00"/>
    <d v="2026-07-20T00:00:00"/>
    <n v="0"/>
    <s v="Contado"/>
    <n v="31"/>
    <n v="31"/>
    <n v="0"/>
    <n v="1"/>
    <n v="0"/>
    <n v="1"/>
    <n v="205.005"/>
    <n v="0"/>
    <n v="0"/>
    <n v="0.01"/>
    <m/>
  </r>
  <r>
    <s v="Banco del Caribe  BS"/>
    <x v="595"/>
    <s v="J506426331"/>
    <s v="DISTRIBUIDORA COMPU TONER 3000, C.A."/>
    <s v="FCLIE/2026/02678"/>
    <d v="2026-07-17T00:00:00"/>
    <n v="1"/>
    <x v="1"/>
    <d v="2026-07-23T00:00:00"/>
    <d v="2026-07-17T00:00:00"/>
    <d v="2026-07-23T00:00:00"/>
    <s v="15"/>
    <s v="Credito"/>
    <n v="6"/>
    <n v="-9"/>
    <n v="100"/>
    <n v="0"/>
    <n v="0"/>
    <n v="1"/>
    <n v="206.005"/>
    <n v="1"/>
    <n v="0.01"/>
    <n v="0.005"/>
    <m/>
  </r>
  <r>
    <s v="Caja Principal"/>
    <x v="805"/>
    <s v="J507606015"/>
    <s v="VIDRIOS LA YAGUARA, C.A"/>
    <s v="FCLIE/2026/02372"/>
    <d v="2026-07-08T00:00:00"/>
    <n v="1769.8"/>
    <x v="2"/>
    <d v="2026-07-07T00:00:00"/>
    <d v="2026-07-08T00:00:00"/>
    <d v="2026-07-07T00:00:00"/>
    <n v="0"/>
    <s v="Contado"/>
    <n v="-1"/>
    <n v="-1"/>
    <n v="100"/>
    <n v="0"/>
    <n v="0"/>
    <n v="1.25"/>
    <n v="207.005"/>
    <n v="1"/>
    <n v="22.1225"/>
    <n v="8.849"/>
    <m/>
  </r>
  <r>
    <s v="Facturas de cliente"/>
    <x v="806"/>
    <s v="J301662229"/>
    <s v="CONSORCIO PROMOTING, C.A."/>
    <s v="FCLIE/2026/02412"/>
    <d v="2026-07-09T00:00:00"/>
    <n v="2916.24"/>
    <x v="3"/>
    <d v="2026-07-10T00:00:00"/>
    <d v="2026-07-09T00:00:00"/>
    <d v="2026-07-10T00:00:00"/>
    <n v="0"/>
    <s v="Contado"/>
    <n v="1"/>
    <n v="1"/>
    <n v="100"/>
    <n v="0"/>
    <n v="0"/>
    <n v="1"/>
    <n v="208.005"/>
    <n v="1"/>
    <n v="29.1624"/>
    <n v="14.5812"/>
    <m/>
  </r>
  <r>
    <s v="USDT $ "/>
    <x v="545"/>
    <s v="J306148973"/>
    <s v="EQUIP OFFICE COMPUTERS, C.A."/>
    <s v="FCLIE/2026/02762"/>
    <d v="2026-07-22T00:00:00"/>
    <n v="381.6"/>
    <x v="1"/>
    <d v="2026-07-21T00:00:00"/>
    <d v="2026-07-22T00:00:00"/>
    <d v="2026-07-21T00:00:00"/>
    <s v="21"/>
    <s v="Credito"/>
    <n v="-1"/>
    <n v="-22"/>
    <n v="100"/>
    <n v="0"/>
    <n v="0"/>
    <n v="1"/>
    <n v="209.005"/>
    <n v="1"/>
    <n v="3.816"/>
    <n v="1.908"/>
    <m/>
  </r>
  <r>
    <s v="Facturas de cliente"/>
    <x v="807"/>
    <s v="J312601060"/>
    <s v="LDC COMPUTER C.A"/>
    <s v="FCLIE/2026/02795"/>
    <d v="2026-07-23T00:00:00"/>
    <n v="875.54"/>
    <x v="2"/>
    <d v="2026-07-29T00:00:00"/>
    <d v="2026-07-23T00:00:00"/>
    <d v="2026-07-29T00:00:00"/>
    <s v="15"/>
    <s v="Credito"/>
    <n v="6"/>
    <n v="-9"/>
    <n v="100"/>
    <n v="0"/>
    <n v="0"/>
    <n v="1.25"/>
    <n v="210.005"/>
    <n v="1"/>
    <n v="10.94425"/>
    <n v="4.3777"/>
    <m/>
  </r>
  <r>
    <s v="Facturas de cliente"/>
    <x v="808"/>
    <s v="J312601060"/>
    <s v="LDC COMPUTER C.A"/>
    <s v="RFCLIE/2026/00073"/>
    <d v="2026-07-29T00:00:00"/>
    <n v="22.07"/>
    <x v="2"/>
    <d v="2026-07-23T00:00:00"/>
    <d v="2026-07-29T00:00:00"/>
    <d v="2026-07-23T00:00:00"/>
    <s v="15"/>
    <s v="Credito"/>
    <n v="-6"/>
    <n v="-21"/>
    <n v="100"/>
    <n v="0"/>
    <n v="0"/>
    <n v="1.25"/>
    <n v="211.005"/>
    <n v="1"/>
    <n v="0.275875"/>
    <n v="0.11035"/>
    <m/>
  </r>
  <r>
    <s v="USDT $ "/>
    <x v="735"/>
    <s v="J296810508"/>
    <s v="GRUPO BLUETECH 1315, C.A"/>
    <s v="FCLIE/2026/03040"/>
    <d v="2026-08-04T00:00:00"/>
    <n v="0.3"/>
    <x v="5"/>
    <d v="2026-07-30T00:00:00"/>
    <d v="2026-08-04T00:00:00"/>
    <d v="2026-07-30T00:00:00"/>
    <s v="3"/>
    <s v="Credito"/>
    <n v="-5"/>
    <n v="-8"/>
    <n v="100"/>
    <n v="0"/>
    <n v="0"/>
    <n v="1.25"/>
    <n v="212.005"/>
    <n v="1"/>
    <n v="0.00375"/>
    <n v="0.0015"/>
    <m/>
  </r>
  <r>
    <s v="USDT $ "/>
    <x v="713"/>
    <s v="J296810508"/>
    <s v="GRUPO BLUETECH 1315, C.A"/>
    <s v="FCLIE/2026/03040"/>
    <d v="2026-08-04T00:00:00"/>
    <n v="0.05"/>
    <x v="5"/>
    <d v="2026-07-29T00:00:00"/>
    <d v="2026-08-04T00:00:00"/>
    <d v="2026-07-29T00:00:00"/>
    <s v="3"/>
    <s v="Credito"/>
    <n v="-6"/>
    <n v="-9"/>
    <n v="100"/>
    <n v="0"/>
    <n v="0"/>
    <n v="1.25"/>
    <n v="213.005"/>
    <n v="1"/>
    <n v="0.000625"/>
    <n v="0.00025"/>
    <m/>
  </r>
  <r>
    <s v="REGIONSBANK"/>
    <x v="437"/>
    <s v="J500242816"/>
    <s v=" SMART FIX 168, C.A"/>
    <s v="FCLIE/2026/01672"/>
    <d v="2026-06-05T00:00:00"/>
    <n v="376"/>
    <x v="6"/>
    <d v="2026-07-17T00:00:00"/>
    <d v="2026-06-05T00:00:00"/>
    <d v="2026-07-17T00:00:00"/>
    <n v="30"/>
    <s v="Credito"/>
    <n v="42"/>
    <n v="12"/>
    <n v="100"/>
    <n v="1"/>
    <n v="0"/>
    <n v="1"/>
    <n v="214.005"/>
    <n v="1"/>
    <n v="3.76"/>
    <n v="1.88"/>
    <m/>
  </r>
  <r>
    <s v="REGIONSBANK"/>
    <x v="437"/>
    <s v="J500242816"/>
    <s v=" SMART FIX 168, C.A"/>
    <s v="FCLIE/2026/01149"/>
    <d v="2026-05-15T00:00:00"/>
    <n v="71.44"/>
    <x v="6"/>
    <d v="2026-07-17T00:00:00"/>
    <d v="2026-05-15T00:00:00"/>
    <d v="2026-07-17T00:00:00"/>
    <n v="30"/>
    <s v="Credito"/>
    <n v="63"/>
    <n v="33"/>
    <n v="30"/>
    <n v="2"/>
    <n v="0"/>
    <n v="1"/>
    <n v="215.005"/>
    <n v="1"/>
    <n v="0.21432"/>
    <n v="0.3572"/>
    <m/>
  </r>
  <r>
    <s v="REGIONSBANK"/>
    <x v="773"/>
    <s v="J307302445"/>
    <s v="CORPORACION OTIESCA COMPUTACION, C.A"/>
    <s v="FCLIE/2026/03124"/>
    <d v="2026-08-07T00:00:00"/>
    <n v="77.53"/>
    <x v="6"/>
    <d v="2026-07-31T00:00:00"/>
    <d v="2026-08-07T00:00:00"/>
    <d v="2026-07-31T00:00:00"/>
    <n v="0"/>
    <s v="Contado"/>
    <n v="-7"/>
    <n v="-7"/>
    <n v="100"/>
    <n v="0"/>
    <n v="0"/>
    <n v="1"/>
    <n v="216.005"/>
    <n v="1"/>
    <n v="0.7753"/>
    <n v="0.3876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showDrill="1" multipleFieldFilters="0">
  <location ref="A3:C71" firstHeaderRow="0" firstDataRow="1" firstDataCol="1"/>
  <pivotFields count="24">
    <pivotField showAll="0"/>
    <pivotField axis="axisRow" showAll="0">
      <items count="6767">
        <item m="1" x="2361"/>
        <item m="1" x="5447"/>
        <item m="1" x="6458"/>
        <item m="1" x="5449"/>
        <item m="1" x="4731"/>
        <item m="1" x="5589"/>
        <item m="1" x="5386"/>
        <item m="1" x="5626"/>
        <item m="1" x="5632"/>
        <item m="1" x="5641"/>
        <item m="1" x="6333"/>
        <item m="1" x="3900"/>
        <item m="1" x="4674"/>
        <item m="1" x="5643"/>
        <item m="1" x="3345"/>
        <item m="1" x="5644"/>
        <item m="1" x="5645"/>
        <item m="1" x="4402"/>
        <item m="1" x="2538"/>
        <item m="1" x="5223"/>
        <item m="1" x="4525"/>
        <item m="1" x="2474"/>
        <item m="1" x="6073"/>
        <item m="1" x="6544"/>
        <item m="1" x="3222"/>
        <item m="1" x="4540"/>
        <item m="1" x="3221"/>
        <item m="1" x="3901"/>
        <item m="1" x="4499"/>
        <item m="1" x="6066"/>
        <item m="1" x="4541"/>
        <item m="1" x="6074"/>
        <item m="1" x="5275"/>
        <item m="1" x="6078"/>
        <item m="1" x="3763"/>
        <item m="1" x="6306"/>
        <item m="1" x="2320"/>
        <item m="1" x="6584"/>
        <item m="1" x="6332"/>
        <item m="1" x="1713"/>
        <item m="1" x="2506"/>
        <item m="1" x="2542"/>
        <item m="1" x="2515"/>
        <item m="1" x="6318"/>
        <item m="1" x="6319"/>
        <item m="1" x="5296"/>
        <item m="1" x="5637"/>
        <item m="1" x="5646"/>
        <item m="1" x="2541"/>
        <item m="1" x="6245"/>
        <item m="1" x="6322"/>
        <item m="1" x="6201"/>
        <item m="1" x="3911"/>
        <item m="1" x="6323"/>
        <item m="1" x="6248"/>
        <item m="1" x="5660"/>
        <item m="1" x="1625"/>
        <item m="1" x="3808"/>
        <item m="1" x="2270"/>
        <item m="1" x="3203"/>
        <item m="1" x="5658"/>
        <item m="1" x="4924"/>
        <item m="1" x="5661"/>
        <item m="1" x="4565"/>
        <item m="1" x="6122"/>
        <item m="1" x="2546"/>
        <item m="1" x="3909"/>
        <item m="1" x="6150"/>
        <item m="1" x="5659"/>
        <item m="1" x="6199"/>
        <item m="1" x="5817"/>
        <item m="1" x="6057"/>
        <item m="1" x="4562"/>
        <item m="1" x="4591"/>
        <item m="1" x="6005"/>
        <item m="1" x="5816"/>
        <item m="1" x="6247"/>
        <item m="1" x="6254"/>
        <item m="1" x="2544"/>
        <item m="1" x="4597"/>
        <item m="1" x="2545"/>
        <item m="1" x="5656"/>
        <item m="1" x="1695"/>
        <item m="1" x="5655"/>
        <item m="1" x="6450"/>
        <item m="1" x="6740"/>
        <item m="1" x="6121"/>
        <item m="1" x="4703"/>
        <item m="1" x="2269"/>
        <item m="1" x="4915"/>
        <item m="1" x="5942"/>
        <item m="1" x="3858"/>
        <item m="1" x="5814"/>
        <item m="1" x="5653"/>
        <item m="1" x="5451"/>
        <item m="1" x="3859"/>
        <item m="1" x="1415"/>
        <item m="1" x="5652"/>
        <item m="1" x="4770"/>
        <item m="1" x="5651"/>
        <item m="1" x="3594"/>
        <item m="1" x="6244"/>
        <item m="1" x="2096"/>
        <item m="1" x="5650"/>
        <item m="1" x="6250"/>
        <item m="1" x="5389"/>
        <item m="1" x="5978"/>
        <item m="1" x="6320"/>
        <item m="1" x="4526"/>
        <item m="1" x="6556"/>
        <item m="1" x="3486"/>
        <item m="1" x="2025"/>
        <item m="1" x="5649"/>
        <item m="1" x="6185"/>
        <item m="1" x="6585"/>
        <item m="1" x="2543"/>
        <item m="1" x="2478"/>
        <item m="1" x="6372"/>
        <item m="1" x="6312"/>
        <item m="1" x="5803"/>
        <item m="1" x="2511"/>
        <item m="1" x="4630"/>
        <item m="1" x="6072"/>
        <item m="1" x="6511"/>
        <item m="1" x="6512"/>
        <item m="1" x="6514"/>
        <item m="1" x="6517"/>
        <item m="1" x="6519"/>
        <item m="1" x="6520"/>
        <item m="1" x="6521"/>
        <item m="1" x="6522"/>
        <item m="1" x="6523"/>
        <item m="1" x="6524"/>
        <item m="1" x="6525"/>
        <item m="1" x="6526"/>
        <item m="1" x="6518"/>
        <item m="1" x="6527"/>
        <item m="1" x="6718"/>
        <item m="1" x="6529"/>
        <item m="1" x="6530"/>
        <item m="1" x="6531"/>
        <item m="1" x="6532"/>
        <item m="1" x="6675"/>
        <item m="1" x="6539"/>
        <item m="1" x="6540"/>
        <item m="1" x="6701"/>
        <item m="1" x="6542"/>
        <item m="1" x="6543"/>
        <item m="1" x="6563"/>
        <item m="1" x="6559"/>
        <item m="1" x="6548"/>
        <item m="1" x="6549"/>
        <item m="1" x="6709"/>
        <item m="1" x="6552"/>
        <item m="1" x="6553"/>
        <item m="1" x="6555"/>
        <item m="1" x="6558"/>
        <item m="1" x="6663"/>
        <item m="1" x="5335"/>
        <item m="1" x="6561"/>
        <item m="1" x="4940"/>
        <item m="1" x="6564"/>
        <item m="1" x="6627"/>
        <item m="1" x="6566"/>
        <item m="1" x="6567"/>
        <item m="1" x="6569"/>
        <item m="1" x="6576"/>
        <item m="1" x="6577"/>
        <item m="1" x="6578"/>
        <item m="1" x="6580"/>
        <item m="1" x="6582"/>
        <item m="1" x="6604"/>
        <item m="1" x="6588"/>
        <item m="1" x="6589"/>
        <item m="1" x="6590"/>
        <item m="1" x="6591"/>
        <item m="1" x="6592"/>
        <item m="1" x="6593"/>
        <item m="1" x="6598"/>
        <item m="1" x="6599"/>
        <item m="1" x="6160"/>
        <item m="1" x="6601"/>
        <item m="1" x="6602"/>
        <item m="1" x="6603"/>
        <item m="1" x="6609"/>
        <item m="1" x="6611"/>
        <item m="1" x="6613"/>
        <item m="1" x="6720"/>
        <item m="1" x="6615"/>
        <item m="1" x="6600"/>
        <item m="1" x="6622"/>
        <item m="1" x="6623"/>
        <item m="1" x="6624"/>
        <item m="1" x="6625"/>
        <item m="1" x="6696"/>
        <item m="1" x="6629"/>
        <item m="1" x="6630"/>
        <item m="1" x="6660"/>
        <item m="1" x="6654"/>
        <item m="1" x="6634"/>
        <item m="1" x="6635"/>
        <item m="1" x="6646"/>
        <item m="1" x="6638"/>
        <item m="1" x="6565"/>
        <item m="1" x="6640"/>
        <item m="1" x="6643"/>
        <item m="1" x="6644"/>
        <item m="1" x="6645"/>
        <item m="1" x="6647"/>
        <item m="1" x="6649"/>
        <item m="1" x="6653"/>
        <item m="1" x="6665"/>
        <item m="1" x="6666"/>
        <item m="1" x="6667"/>
        <item m="1" x="6670"/>
        <item m="1" x="6678"/>
        <item m="1" x="6679"/>
        <item m="1" x="1887"/>
        <item m="1" x="6680"/>
        <item m="1" x="6042"/>
        <item m="1" x="6606"/>
        <item m="1" x="6684"/>
        <item m="1" x="6545"/>
        <item m="1" x="6687"/>
        <item m="1" x="6689"/>
        <item m="1" x="6690"/>
        <item m="1" x="6692"/>
        <item m="1" x="5052"/>
        <item m="1" x="6693"/>
        <item m="1" x="6694"/>
        <item m="1" x="6695"/>
        <item m="1" x="6697"/>
        <item m="1" x="6698"/>
        <item m="1" x="6699"/>
        <item m="1" x="6702"/>
        <item m="1" x="6705"/>
        <item m="1" x="6706"/>
        <item m="1" x="6707"/>
        <item m="1" x="6668"/>
        <item m="1" x="6714"/>
        <item m="1" x="6715"/>
        <item m="1" x="6055"/>
        <item m="1" x="6717"/>
        <item m="1" x="6722"/>
        <item m="1" x="6631"/>
        <item m="1" x="6726"/>
        <item m="1" x="6728"/>
        <item m="1" x="6729"/>
        <item m="1" x="6730"/>
        <item m="1" x="6733"/>
        <item m="1" x="6734"/>
        <item m="1" x="6735"/>
        <item m="1" x="6738"/>
        <item m="1" x="6743"/>
        <item m="1" x="6744"/>
        <item m="1" x="6746"/>
        <item m="1" x="6749"/>
        <item m="1" x="6652"/>
        <item m="1" x="6752"/>
        <item m="1" x="6651"/>
        <item m="1" x="6754"/>
        <item m="1" x="6755"/>
        <item m="1" x="6756"/>
        <item m="1" x="6757"/>
        <item m="1" x="6758"/>
        <item m="1" x="6425"/>
        <item m="1" x="6760"/>
        <item m="1" x="6763"/>
        <item m="1" x="6764"/>
        <item m="1" x="6551"/>
        <item m="1" x="6682"/>
        <item m="1" x="6528"/>
        <item m="1" x="6610"/>
        <item m="1" x="6672"/>
        <item m="1" x="5319"/>
        <item m="1" x="6265"/>
        <item m="1" x="6537"/>
        <item m="1" x="6619"/>
        <item m="1" x="6750"/>
        <item m="1" x="6751"/>
        <item m="1" x="6732"/>
        <item m="1" x="3846"/>
        <item m="1" x="6704"/>
        <item m="1" x="5801"/>
        <item m="1" x="6324"/>
        <item m="1" x="6723"/>
        <item m="1" x="6674"/>
        <item m="1" x="6662"/>
        <item m="1" x="6597"/>
        <item m="1" x="6759"/>
        <item m="1" x="6617"/>
        <item m="1" x="6579"/>
        <item m="1" x="6618"/>
        <item m="1" x="6560"/>
        <item m="1" x="6535"/>
        <item m="1" x="4539"/>
        <item m="1" x="5456"/>
        <item m="1" x="5972"/>
        <item m="1" x="6724"/>
        <item m="1" x="5665"/>
        <item m="1" x="6546"/>
        <item m="1" x="6673"/>
        <item m="1" x="6633"/>
        <item m="1" x="6554"/>
        <item m="1" x="6632"/>
        <item m="1" x="4719"/>
        <item m="1" x="4550"/>
        <item m="1" x="5666"/>
        <item m="1" x="6325"/>
        <item m="1" x="6575"/>
        <item m="1" x="6648"/>
        <item m="1" x="6574"/>
        <item m="1" x="6572"/>
        <item m="1" x="3845"/>
        <item m="1" x="6641"/>
        <item m="1" x="6607"/>
        <item m="1" x="6737"/>
        <item m="1" x="6621"/>
        <item m="1" x="3353"/>
        <item m="1" x="6513"/>
        <item m="1" x="4859"/>
        <item m="1" x="6716"/>
        <item m="1" x="6111"/>
        <item m="1" x="5818"/>
        <item m="1" x="6686"/>
        <item m="1" x="6765"/>
        <item m="1" x="6727"/>
        <item m="1" x="6711"/>
        <item m="1" x="6534"/>
        <item m="1" x="4576"/>
        <item m="1" x="1018"/>
        <item m="1" x="6683"/>
        <item m="1" x="6721"/>
        <item m="1" x="5130"/>
        <item m="1" x="3893"/>
        <item m="1" x="3915"/>
        <item m="1" x="6495"/>
        <item m="1" x="6676"/>
        <item m="1" x="6084"/>
        <item m="1" x="4702"/>
        <item m="1" x="6581"/>
        <item m="1" x="6252"/>
        <item m="1" x="1622"/>
        <item m="1" x="6656"/>
        <item m="1" x="6620"/>
        <item m="1" x="6691"/>
        <item m="1" x="6608"/>
        <item m="1" x="6719"/>
        <item m="1" x="6626"/>
        <item m="1" x="6547"/>
        <item m="1" x="6658"/>
        <item m="1" x="6616"/>
        <item m="1" x="6742"/>
        <item m="1" x="6536"/>
        <item m="1" x="6669"/>
        <item m="1" x="6725"/>
        <item m="1" x="5819"/>
        <item m="1" x="5820"/>
        <item m="1" x="6642"/>
        <item m="1" x="6060"/>
        <item m="1" x="6636"/>
        <item m="1" x="5667"/>
        <item m="1" x="6062"/>
        <item m="1" x="6571"/>
        <item m="1" x="6178"/>
        <item m="1" x="6677"/>
        <item m="1" x="4701"/>
        <item m="1" x="5459"/>
        <item m="1" x="6731"/>
        <item m="1" x="6637"/>
        <item m="1" x="6326"/>
        <item m="1" x="4504"/>
        <item m="1" x="6541"/>
        <item m="1" x="6090"/>
        <item m="1" x="3918"/>
        <item m="1" x="4680"/>
        <item m="1" x="6688"/>
        <item m="1" x="4496"/>
        <item m="1" x="6516"/>
        <item m="1" x="6583"/>
        <item m="1" x="6570"/>
        <item m="1" x="6586"/>
        <item m="1" x="6327"/>
        <item m="1" x="6069"/>
        <item m="1" x="6748"/>
        <item m="1" x="6594"/>
        <item m="1" x="6533"/>
        <item m="1" x="6712"/>
        <item m="1" x="2097"/>
        <item m="1" x="5060"/>
        <item m="1" x="5272"/>
        <item m="1" x="3826"/>
        <item m="1" x="6628"/>
        <item m="1" x="6515"/>
        <item m="1" x="6741"/>
        <item m="1" x="6538"/>
        <item m="1" x="5460"/>
        <item m="1" x="6703"/>
        <item m="1" x="6657"/>
        <item m="1" x="4522"/>
        <item m="1" x="4718"/>
        <item m="1" x="5217"/>
        <item m="1" x="6328"/>
        <item m="1" x="6329"/>
        <item m="1" x="6739"/>
        <item m="1" x="6568"/>
        <item m="1" x="6445"/>
        <item m="1" x="6761"/>
        <item m="1" x="5669"/>
        <item m="1" x="4403"/>
        <item m="1" x="4405"/>
        <item m="1" x="5670"/>
        <item m="1" x="6061"/>
        <item m="1" x="4919"/>
        <item m="1" x="6612"/>
        <item m="1" x="6753"/>
        <item m="1" x="6747"/>
        <item m="1" x="4594"/>
        <item m="1" x="6587"/>
        <item m="1" x="3220"/>
        <item m="1" x="6655"/>
        <item m="1" x="6650"/>
        <item m="1" x="6681"/>
        <item m="1" x="6736"/>
        <item m="1" x="6700"/>
        <item m="1" x="6605"/>
        <item m="1" x="5821"/>
        <item m="1" x="3924"/>
        <item m="1" x="6659"/>
        <item m="1" x="4732"/>
        <item m="1" x="6614"/>
        <item m="1" x="6639"/>
        <item m="1" x="6557"/>
        <item m="1" x="6595"/>
        <item m="1" x="5321"/>
        <item m="1" x="5822"/>
        <item m="1" x="5222"/>
        <item m="1" x="6550"/>
        <item m="1" x="6113"/>
        <item m="1" x="6596"/>
        <item m="1" x="6664"/>
        <item m="1" x="6745"/>
        <item m="1" x="5823"/>
        <item m="1" x="6562"/>
        <item m="1" x="6501"/>
        <item m="1" x="6330"/>
        <item m="1" x="6713"/>
        <item m="1" x="6671"/>
        <item m="1" x="5824"/>
        <item m="1" x="3354"/>
        <item m="1" x="6259"/>
        <item m="1" x="6092"/>
        <item m="1" x="6661"/>
        <item m="1" x="4570"/>
        <item m="1" x="4906"/>
        <item m="1" x="6762"/>
        <item m="1" x="2547"/>
        <item m="1" x="6710"/>
        <item m="1" x="4577"/>
        <item m="1" x="4977"/>
        <item m="1" x="6573"/>
        <item m="1" x="6685"/>
        <item m="1" x="6708"/>
        <item m="1" x="5421"/>
        <item m="1" x="6432"/>
        <item m="1" x="6347"/>
        <item m="1" x="6211"/>
        <item m="1" x="6251"/>
        <item m="1" x="6457"/>
        <item m="1" x="6116"/>
        <item m="1" x="5428"/>
        <item m="1" x="6179"/>
        <item m="1" x="6043"/>
        <item m="1" x="6198"/>
        <item m="1" x="5432"/>
        <item m="1" x="6348"/>
        <item m="1" x="6354"/>
        <item m="1" x="6075"/>
        <item m="1" x="5975"/>
        <item m="1" x="5437"/>
        <item m="1" x="6119"/>
        <item m="1" x="6076"/>
        <item m="1" x="5440"/>
        <item m="1" x="6365"/>
        <item m="1" x="6024"/>
        <item m="1" x="5443"/>
        <item m="1" x="5444"/>
        <item m="1" x="6052"/>
        <item m="1" x="5446"/>
        <item m="1" x="5898"/>
        <item m="1" x="5463"/>
        <item m="1" x="5464"/>
        <item m="1" x="5465"/>
        <item m="1" x="5466"/>
        <item m="1" x="5436"/>
        <item m="1" x="5468"/>
        <item m="1" x="5469"/>
        <item m="1" x="5470"/>
        <item m="1" x="5517"/>
        <item m="1" x="5472"/>
        <item m="1" x="5473"/>
        <item m="1" x="5954"/>
        <item m="1" x="5475"/>
        <item m="1" x="5476"/>
        <item m="1" x="5477"/>
        <item m="1" x="5478"/>
        <item m="1" x="5479"/>
        <item m="1" x="5480"/>
        <item m="1" x="5481"/>
        <item m="1" x="5482"/>
        <item m="1" x="3931"/>
        <item m="1" x="5483"/>
        <item m="1" x="5489"/>
        <item m="1" x="5921"/>
        <item m="1" x="5504"/>
        <item m="1" x="5487"/>
        <item m="1" x="5488"/>
        <item m="1" x="5512"/>
        <item m="1" x="5490"/>
        <item m="1" x="6007"/>
        <item m="1" x="5492"/>
        <item m="1" x="5493"/>
        <item m="1" x="5494"/>
        <item m="1" x="5495"/>
        <item m="1" x="5496"/>
        <item m="1" x="5754"/>
        <item m="1" x="5598"/>
        <item m="1" x="3932"/>
        <item m="1" x="5499"/>
        <item m="1" x="5500"/>
        <item m="1" x="5501"/>
        <item m="1" x="5484"/>
        <item m="1" x="5503"/>
        <item m="1" x="5505"/>
        <item m="1" x="5506"/>
        <item m="1" x="5433"/>
        <item m="1" x="5509"/>
        <item m="1" x="5510"/>
        <item m="1" x="5511"/>
        <item m="1" x="4629"/>
        <item m="1" x="6008"/>
        <item m="1" x="6149"/>
        <item m="1" x="4669"/>
        <item m="1" x="5518"/>
        <item m="1" x="5830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4616"/>
        <item m="1" x="5531"/>
        <item m="1" x="5533"/>
        <item m="1" x="5425"/>
        <item m="1" x="5536"/>
        <item m="1" x="3946"/>
        <item m="1" x="5502"/>
        <item m="1" x="5539"/>
        <item m="1" x="5540"/>
        <item m="1" x="4579"/>
        <item m="1" x="4587"/>
        <item m="1" x="5542"/>
        <item m="1" x="5427"/>
        <item m="1" x="5544"/>
        <item m="1" x="5545"/>
        <item m="1" x="5513"/>
        <item m="1" x="5548"/>
        <item m="1" x="5549"/>
        <item m="1" x="5550"/>
        <item m="1" x="5551"/>
        <item m="1" x="5552"/>
        <item m="1" x="5633"/>
        <item m="1" x="5757"/>
        <item m="1" x="5554"/>
        <item m="1" x="5555"/>
        <item m="1" x="4548"/>
        <item m="1" x="5556"/>
        <item m="1" x="5557"/>
        <item m="1" x="5558"/>
        <item m="1" x="5559"/>
        <item m="1" x="5560"/>
        <item m="1" x="5561"/>
        <item m="1" x="3954"/>
        <item m="1" x="5562"/>
        <item m="1" x="5774"/>
        <item m="1" x="5564"/>
        <item m="1" x="5563"/>
        <item m="1" x="5566"/>
        <item m="1" x="5567"/>
        <item m="1" x="5568"/>
        <item m="1" x="5569"/>
        <item m="1" x="5570"/>
        <item m="1" x="5571"/>
        <item m="1" x="5572"/>
        <item m="1" x="5422"/>
        <item m="1" x="5573"/>
        <item m="1" x="5574"/>
        <item m="1" x="4642"/>
        <item m="1" x="5575"/>
        <item m="1" x="5840"/>
        <item m="1" x="5577"/>
        <item m="1" x="5759"/>
        <item m="1" x="5514"/>
        <item m="1" x="5580"/>
        <item m="1" x="5581"/>
        <item m="1" x="5582"/>
        <item m="1" x="5583"/>
        <item m="1" x="5442"/>
        <item m="1" x="6266"/>
        <item m="1" x="6368"/>
        <item m="1" x="6038"/>
        <item m="1" x="5586"/>
        <item m="1" x="5587"/>
        <item m="1" x="6103"/>
        <item m="1" x="4564"/>
        <item m="1" x="5999"/>
        <item m="1" x="5765"/>
        <item m="1" x="5535"/>
        <item m="1" x="5663"/>
        <item m="1" x="5593"/>
        <item m="1" x="5778"/>
        <item m="1" x="5810"/>
        <item m="1" x="5799"/>
        <item m="1" x="5795"/>
        <item m="1" x="5508"/>
        <item m="1" x="5763"/>
        <item m="1" x="5167"/>
        <item m="1" x="5605"/>
        <item m="1" x="5609"/>
        <item m="1" x="5610"/>
        <item m="1" x="5474"/>
        <item m="1" x="5611"/>
        <item m="1" x="6006"/>
        <item m="1" x="5613"/>
        <item m="1" x="5614"/>
        <item m="1" x="6460"/>
        <item m="1" x="5615"/>
        <item m="1" x="5616"/>
        <item m="1" x="5618"/>
        <item m="1" x="5619"/>
        <item m="1" x="5620"/>
        <item m="1" x="5621"/>
        <item m="1" x="5622"/>
        <item m="1" x="5623"/>
        <item m="1" x="5624"/>
        <item m="1" x="5625"/>
        <item m="1" x="5627"/>
        <item m="1" x="5628"/>
        <item m="1" x="5629"/>
        <item m="1" x="6180"/>
        <item m="1" x="5631"/>
        <item m="1" x="6451"/>
        <item m="1" x="5634"/>
        <item m="1" x="5635"/>
        <item m="1" x="6371"/>
        <item m="1" x="6267"/>
        <item m="1" x="5277"/>
        <item m="1" x="5640"/>
        <item m="1" x="6217"/>
        <item m="1" x="5749"/>
        <item m="1" x="5671"/>
        <item m="1" x="5672"/>
        <item m="1" x="5673"/>
        <item m="1" x="5674"/>
        <item m="1" x="5675"/>
        <item m="1" x="3928"/>
        <item m="1" x="5676"/>
        <item m="1" x="5677"/>
        <item m="1" x="5678"/>
        <item m="1" x="5706"/>
        <item m="1" x="5679"/>
        <item m="1" x="5680"/>
        <item m="1" x="5681"/>
        <item m="1" x="5682"/>
        <item m="1" x="5683"/>
        <item m="1" x="5684"/>
        <item m="1" x="5685"/>
        <item m="1" x="4882"/>
        <item m="1" x="5686"/>
        <item m="1" x="5687"/>
        <item m="1" x="5688"/>
        <item m="1" x="5689"/>
        <item m="1" x="5690"/>
        <item m="1" x="5691"/>
        <item m="1" x="5519"/>
        <item m="1" x="5264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1747"/>
        <item m="1" x="5668"/>
        <item m="1" x="5709"/>
        <item m="1" x="5710"/>
        <item m="1" x="3933"/>
        <item m="1" x="5712"/>
        <item m="1" x="5707"/>
        <item m="1" x="5713"/>
        <item m="1" x="5714"/>
        <item m="1" x="5715"/>
        <item m="1" x="5716"/>
        <item m="1" x="5717"/>
        <item m="1" x="5718"/>
        <item m="1" x="4291"/>
        <item m="1" x="3939"/>
        <item m="1" x="5784"/>
        <item m="1" x="5720"/>
        <item m="1" x="5721"/>
        <item m="1" x="5485"/>
        <item m="1" x="5923"/>
        <item m="1" x="5724"/>
        <item m="1" x="3285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234"/>
        <item m="1" x="2550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8"/>
        <item m="1" x="5647"/>
        <item m="1" x="5750"/>
        <item m="1" x="5751"/>
        <item m="1" x="5752"/>
        <item m="1" x="5753"/>
        <item m="1" x="5755"/>
        <item m="1" x="5756"/>
        <item m="1" x="4743"/>
        <item m="1" x="5758"/>
        <item m="1" x="5760"/>
        <item m="1" x="5761"/>
        <item m="1" x="5137"/>
        <item m="1" x="5762"/>
        <item m="1" x="5764"/>
        <item m="1" x="4379"/>
        <item m="1" x="5766"/>
        <item m="1" x="5767"/>
        <item m="1" x="5769"/>
        <item m="1" x="5722"/>
        <item m="1" x="4878"/>
        <item m="1" x="5771"/>
        <item m="1" x="5772"/>
        <item m="1" x="5773"/>
        <item m="1" x="5930"/>
        <item m="1" x="5775"/>
        <item m="1" x="5776"/>
        <item m="1" x="4542"/>
        <item m="1" x="5777"/>
        <item m="1" x="5935"/>
        <item m="1" x="5779"/>
        <item m="1" x="5780"/>
        <item m="1" x="5781"/>
        <item m="1" x="4954"/>
        <item m="1" x="5783"/>
        <item m="1" x="4935"/>
        <item m="1" x="5588"/>
        <item m="1" x="5785"/>
        <item m="1" x="5638"/>
        <item m="1" x="5787"/>
        <item m="1" x="5788"/>
        <item m="1" x="5789"/>
        <item m="1" x="5790"/>
        <item m="1" x="5791"/>
        <item m="1" x="5792"/>
        <item m="1" x="5793"/>
        <item m="1" x="5794"/>
        <item m="1" x="6026"/>
        <item m="1" x="6186"/>
        <item m="1" x="6105"/>
        <item m="1" x="6114"/>
        <item m="1" x="6032"/>
        <item m="1" x="6195"/>
        <item m="1" x="5796"/>
        <item m="1" x="5797"/>
        <item m="1" x="5798"/>
        <item m="1" x="6208"/>
        <item m="1" x="5800"/>
        <item m="1" x="5802"/>
        <item m="1" x="6334"/>
        <item m="1" x="6270"/>
        <item m="1" x="5805"/>
        <item m="1" x="6377"/>
        <item m="1" x="6144"/>
        <item m="1" x="6278"/>
        <item m="1" x="6181"/>
        <item m="1" x="5809"/>
        <item m="1" x="6183"/>
        <item m="1" x="6124"/>
        <item m="1" x="6310"/>
        <item m="1" x="5812"/>
        <item m="1" x="2517"/>
        <item m="1" x="5825"/>
        <item m="1" x="5826"/>
        <item m="1" x="5827"/>
        <item m="1" x="5828"/>
        <item m="1" x="5829"/>
        <item m="1" x="5604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452"/>
        <item m="1" x="5841"/>
        <item m="1" x="5842"/>
        <item m="1" x="5648"/>
        <item m="1" x="5843"/>
        <item m="1" x="5844"/>
        <item m="1" x="5845"/>
        <item m="1" x="2549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4428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447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736"/>
        <item m="1" x="5899"/>
        <item m="1" x="5900"/>
        <item m="1" x="5901"/>
        <item m="1" x="5902"/>
        <item m="1" x="4835"/>
        <item m="1" x="5903"/>
        <item m="1" x="5904"/>
        <item m="1" x="5905"/>
        <item m="1" x="5719"/>
        <item m="1" x="5907"/>
        <item m="1" x="5491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6456"/>
        <item m="1" x="6187"/>
        <item m="1" x="5922"/>
        <item m="1" x="6378"/>
        <item m="1" x="6433"/>
        <item m="1" x="5924"/>
        <item m="1" x="5925"/>
        <item m="1" x="5926"/>
        <item m="1" x="5927"/>
        <item m="1" x="4420"/>
        <item m="1" x="5928"/>
        <item m="1" x="5929"/>
        <item m="1" x="5062"/>
        <item m="1" x="4735"/>
        <item m="1" x="5931"/>
        <item m="1" x="5932"/>
        <item m="1" x="5933"/>
        <item m="1" x="6137"/>
        <item m="1" x="6047"/>
        <item m="1" x="6029"/>
        <item m="1" x="6010"/>
        <item m="1" x="5937"/>
        <item m="1" x="5938"/>
        <item m="1" x="5939"/>
        <item m="1" x="5940"/>
        <item m="1" x="5941"/>
        <item m="1" x="5515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2553"/>
        <item m="1" x="5455"/>
        <item m="1" x="5955"/>
        <item m="1" x="5956"/>
        <item m="1" x="5957"/>
        <item m="1" x="491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6085"/>
        <item m="1" x="6166"/>
        <item m="1" x="6225"/>
        <item m="1" x="6071"/>
        <item m="1" x="6063"/>
        <item m="1" x="6070"/>
        <item m="1" x="6056"/>
        <item m="1" x="6059"/>
        <item m="1" x="6049"/>
        <item m="1" x="6039"/>
        <item m="1" x="5450"/>
        <item m="1" x="5723"/>
        <item m="1" x="5664"/>
        <item m="1" x="5906"/>
        <item m="1" x="6001"/>
        <item m="1" x="3930"/>
        <item m="1" x="6019"/>
        <item m="1" x="5426"/>
        <item m="1" x="5993"/>
        <item m="1" x="5424"/>
        <item m="1" x="5980"/>
        <item m="1" x="5994"/>
        <item m="1" x="6036"/>
        <item m="1" x="6012"/>
        <item m="1" x="6034"/>
        <item m="1" x="6040"/>
        <item m="1" x="5990"/>
        <item m="1" x="6000"/>
        <item m="1" x="5597"/>
        <item m="1" x="5497"/>
        <item m="1" x="5995"/>
        <item m="1" x="5708"/>
        <item m="1" x="5430"/>
        <item m="1" x="5434"/>
        <item m="1" x="6017"/>
        <item m="1" x="6045"/>
        <item m="1" x="5982"/>
        <item m="1" x="5601"/>
        <item m="1" x="5815"/>
        <item m="1" x="3424"/>
        <item m="1" x="6011"/>
        <item m="1" x="6027"/>
        <item m="1" x="5594"/>
        <item m="1" x="5989"/>
        <item m="1" x="6002"/>
        <item m="1" x="4828"/>
        <item m="1" x="5985"/>
        <item m="1" x="5441"/>
        <item m="1" x="6013"/>
        <item m="1" x="5486"/>
        <item m="1" x="5546"/>
        <item m="1" x="4741"/>
        <item m="1" x="6030"/>
        <item m="1" x="4546"/>
        <item m="1" x="6018"/>
        <item m="1" x="3945"/>
        <item m="1" x="5997"/>
        <item m="1" x="5973"/>
        <item m="1" x="6058"/>
        <item m="1" x="5983"/>
        <item m="1" x="6014"/>
        <item m="1" x="6028"/>
        <item m="1" x="5423"/>
        <item m="1" x="6044"/>
        <item m="1" x="5606"/>
        <item m="1" x="5431"/>
        <item m="1" x="5059"/>
        <item m="1" x="5458"/>
        <item m="1" x="6003"/>
        <item m="1" x="5747"/>
        <item m="1" x="5998"/>
        <item m="1" x="5438"/>
        <item m="1" x="6046"/>
        <item m="1" x="5934"/>
        <item m="1" x="6016"/>
        <item m="1" x="6004"/>
        <item m="1" x="5435"/>
        <item m="1" x="6434"/>
        <item m="1" x="5976"/>
        <item m="1" x="5662"/>
        <item m="1" x="5988"/>
        <item m="1" x="5811"/>
        <item m="1" x="5807"/>
        <item m="1" x="6023"/>
        <item m="1" x="6033"/>
        <item m="1" x="5608"/>
        <item m="1" x="5987"/>
        <item m="1" x="5974"/>
        <item m="1" x="6051"/>
        <item m="1" x="5981"/>
        <item m="1" x="5657"/>
        <item m="1" x="5596"/>
        <item m="1" x="5270"/>
        <item m="1" x="6068"/>
        <item m="1" x="5584"/>
        <item m="1" x="6041"/>
        <item m="1" x="6022"/>
        <item m="1" x="3956"/>
        <item m="1" x="6015"/>
        <item m="1" x="6067"/>
        <item m="1" x="5996"/>
        <item m="1" x="6054"/>
        <item m="1" x="5986"/>
        <item m="1" x="5992"/>
        <item m="1" x="5429"/>
        <item m="1" x="5936"/>
        <item m="1" x="5977"/>
        <item m="1" x="6025"/>
        <item m="1" x="6021"/>
        <item m="1" x="6048"/>
        <item m="1" x="5979"/>
        <item m="1" x="3960"/>
        <item m="1" x="6210"/>
        <item m="1" x="6102"/>
        <item m="1" x="6492"/>
        <item m="1" x="6077"/>
        <item m="1" x="6117"/>
        <item m="1" x="6083"/>
        <item m="1" x="6080"/>
        <item m="1" x="6089"/>
        <item m="1" x="6082"/>
        <item m="1" x="6118"/>
        <item m="1" x="6079"/>
        <item m="1" x="6087"/>
        <item m="1" x="6184"/>
        <item m="1" x="6091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086"/>
        <item m="1" x="5984"/>
        <item m="1" x="5991"/>
        <item m="1" x="1571"/>
        <item m="1" x="6053"/>
        <item m="1" x="6106"/>
        <item m="1" x="5454"/>
        <item m="1" x="6107"/>
        <item m="1" x="6108"/>
        <item m="1" x="6109"/>
        <item m="1" x="6110"/>
        <item m="1" x="5453"/>
        <item m="1" x="6112"/>
        <item m="1" x="4722"/>
        <item m="1" x="5591"/>
        <item m="1" x="5612"/>
        <item m="1" x="3935"/>
        <item m="1" x="6115"/>
        <item m="1" x="5603"/>
        <item m="1" x="5639"/>
        <item m="1" x="6031"/>
        <item m="1" x="6050"/>
        <item m="1" x="6120"/>
        <item m="1" x="5576"/>
        <item m="1" x="5537"/>
        <item m="1" x="5541"/>
        <item m="1" x="6123"/>
        <item m="1" x="5543"/>
        <item m="1" x="6125"/>
        <item m="1" x="6126"/>
        <item m="1" x="6127"/>
        <item m="1" x="3705"/>
        <item m="1" x="5804"/>
        <item m="1" x="3943"/>
        <item m="1" x="6129"/>
        <item m="1" x="6130"/>
        <item m="1" x="5276"/>
        <item m="1" x="6131"/>
        <item m="1" x="4841"/>
        <item m="1" x="6132"/>
        <item m="1" x="6133"/>
        <item m="1" x="5498"/>
        <item m="1" x="6134"/>
        <item m="1" x="6135"/>
        <item m="1" x="6136"/>
        <item m="1" x="5806"/>
        <item m="1" x="6138"/>
        <item m="1" x="6139"/>
        <item m="1" x="6140"/>
        <item m="1" x="6141"/>
        <item m="1" x="6142"/>
        <item m="1" x="6143"/>
        <item m="1" x="5704"/>
        <item m="1" x="6145"/>
        <item m="1" x="6146"/>
        <item m="1" x="6147"/>
        <item m="1" x="5507"/>
        <item m="1" x="5553"/>
        <item m="1" x="6081"/>
        <item m="1" x="6151"/>
        <item m="1" x="6152"/>
        <item m="1" x="4840"/>
        <item m="1" x="6153"/>
        <item m="1" x="6154"/>
        <item m="1" x="5379"/>
        <item m="1" x="6155"/>
        <item m="1" x="6156"/>
        <item m="1" x="6157"/>
        <item m="1" x="6158"/>
        <item m="1" x="6159"/>
        <item m="1" x="6088"/>
        <item m="1" x="6161"/>
        <item m="1" x="6162"/>
        <item m="1" x="6163"/>
        <item m="1" x="6164"/>
        <item m="1" x="6165"/>
        <item m="1" x="4684"/>
        <item m="1" x="6009"/>
        <item m="1" x="4638"/>
        <item m="1" x="5585"/>
        <item m="1" x="6167"/>
        <item m="1" x="6168"/>
        <item m="1" x="6169"/>
        <item m="1" x="6170"/>
        <item m="1" x="6171"/>
        <item m="1" x="6172"/>
        <item m="1" x="5538"/>
        <item m="1" x="6173"/>
        <item m="1" x="6174"/>
        <item m="1" x="6175"/>
        <item m="1" x="6176"/>
        <item m="1" x="6393"/>
        <item m="1" x="6261"/>
        <item m="1" x="6240"/>
        <item m="1" x="6249"/>
        <item m="1" x="6253"/>
        <item m="1" x="6255"/>
        <item m="1" x="6262"/>
        <item m="1" x="6243"/>
        <item m="1" x="6260"/>
        <item m="1" x="6256"/>
        <item m="1" x="6402"/>
        <item m="1" x="6263"/>
        <item m="1" x="6264"/>
        <item m="1" x="6317"/>
        <item m="1" x="6258"/>
        <item m="1" x="6246"/>
        <item m="1" x="6257"/>
        <item m="1" x="2483"/>
        <item m="1" x="6398"/>
        <item m="1" x="6206"/>
        <item m="1" x="6230"/>
        <item m="1" x="6242"/>
        <item m="1" x="5782"/>
        <item m="1" x="6236"/>
        <item m="1" x="4552"/>
        <item m="1" x="6215"/>
        <item m="1" x="2548"/>
        <item m="1" x="6200"/>
        <item m="1" x="6235"/>
        <item m="1" x="6203"/>
        <item m="1" x="6226"/>
        <item m="1" x="6222"/>
        <item m="1" x="6239"/>
        <item m="1" x="6182"/>
        <item m="1" x="6128"/>
        <item m="1" x="6202"/>
        <item m="1" x="6218"/>
        <item m="1" x="6233"/>
        <item m="1" x="6220"/>
        <item m="1" x="6197"/>
        <item m="1" x="6238"/>
        <item m="1" x="6224"/>
        <item m="1" x="6414"/>
        <item m="1" x="6209"/>
        <item m="1" x="5808"/>
        <item m="1" x="5595"/>
        <item m="1" x="6188"/>
        <item m="1" x="5462"/>
        <item m="1" x="6223"/>
        <item m="1" x="6234"/>
        <item m="1" x="6219"/>
        <item m="1" x="6237"/>
        <item m="1" x="6148"/>
        <item m="1" x="5457"/>
        <item m="1" x="6104"/>
        <item m="1" x="6065"/>
        <item m="1" x="6231"/>
        <item m="1" x="6214"/>
        <item m="1" x="6227"/>
        <item m="1" x="6439"/>
        <item m="1" x="6232"/>
        <item m="1" x="5532"/>
        <item m="1" x="6241"/>
        <item m="1" x="5471"/>
        <item m="1" x="6213"/>
        <item m="1" x="6221"/>
        <item m="1" x="6228"/>
        <item m="1" x="6196"/>
        <item m="1" x="6216"/>
        <item m="1" x="6204"/>
        <item m="1" x="6192"/>
        <item m="1" x="6190"/>
        <item m="1" x="6191"/>
        <item m="1" x="6177"/>
        <item m="1" x="5607"/>
        <item m="1" x="5461"/>
        <item m="1" x="6212"/>
        <item m="1" x="6189"/>
        <item m="1" x="6229"/>
        <item m="1" x="6205"/>
        <item m="1" x="6207"/>
        <item m="1" x="5630"/>
        <item m="1" x="3595"/>
        <item m="1" x="4972"/>
        <item m="1" x="6268"/>
        <item m="1" x="6269"/>
        <item m="1" x="6020"/>
        <item m="1" x="6271"/>
        <item m="1" x="6272"/>
        <item m="1" x="6273"/>
        <item m="1" x="6274"/>
        <item m="1" x="6275"/>
        <item m="1" x="6276"/>
        <item m="1" x="6277"/>
        <item m="1" x="6331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7"/>
        <item m="1" x="6308"/>
        <item m="1" x="6309"/>
        <item m="1" x="6193"/>
        <item m="1" x="6311"/>
        <item m="1" x="3689"/>
        <item m="1" x="4893"/>
        <item m="1" x="6194"/>
        <item m="1" x="6313"/>
        <item m="1" x="6314"/>
        <item m="1" x="4876"/>
        <item m="1" x="6315"/>
        <item m="1" x="6316"/>
        <item m="1" x="6321"/>
        <item m="1" x="5768"/>
        <item m="1" x="4771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5692"/>
        <item m="1" x="6349"/>
        <item m="1" x="6350"/>
        <item m="1" x="6351"/>
        <item m="1" x="6352"/>
        <item m="1" x="6353"/>
        <item m="1" x="5590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6"/>
        <item m="1" x="6367"/>
        <item m="1" x="5599"/>
        <item m="1" x="6369"/>
        <item m="1" x="6370"/>
        <item m="1" x="6064"/>
        <item m="1" x="6373"/>
        <item m="1" x="6374"/>
        <item m="1" x="6375"/>
        <item m="1" x="6376"/>
        <item m="1" x="5813"/>
        <item m="1" x="5297"/>
        <item m="1" x="6379"/>
        <item m="1" x="6380"/>
        <item m="1" x="6381"/>
        <item m="1" x="4566"/>
        <item m="1" x="6382"/>
        <item m="1" x="6383"/>
        <item m="1" x="6384"/>
        <item m="1" x="6385"/>
        <item m="1" x="6386"/>
        <item m="1" x="6387"/>
        <item m="1" x="6388"/>
        <item m="1" x="6389"/>
        <item m="1" x="4986"/>
        <item m="1" x="6390"/>
        <item m="1" x="6391"/>
        <item m="1" x="6392"/>
        <item m="1" x="5617"/>
        <item m="1" x="4382"/>
        <item m="1" x="6394"/>
        <item m="1" x="6395"/>
        <item m="1" x="6396"/>
        <item m="1" x="6397"/>
        <item m="1" x="6037"/>
        <item m="1" x="6399"/>
        <item m="1" x="6400"/>
        <item m="1" x="6401"/>
        <item m="1" x="5565"/>
        <item m="1" x="6403"/>
        <item m="1" x="6404"/>
        <item m="1" x="6405"/>
        <item m="1" x="6406"/>
        <item m="1" x="6407"/>
        <item m="1" x="5305"/>
        <item m="1" x="6408"/>
        <item m="1" x="6409"/>
        <item m="1" x="6410"/>
        <item m="1" x="6411"/>
        <item m="1" x="6412"/>
        <item m="1" x="6413"/>
        <item m="1" x="5600"/>
        <item m="1" x="5592"/>
        <item m="1" x="6415"/>
        <item m="1" x="6416"/>
        <item m="1" x="6417"/>
        <item m="1" x="5160"/>
        <item m="1" x="6418"/>
        <item m="1" x="6419"/>
        <item m="1" x="6420"/>
        <item m="1" x="6421"/>
        <item m="1" x="6422"/>
        <item m="1" x="6423"/>
        <item m="1" x="6424"/>
        <item m="1" x="5602"/>
        <item m="1" x="6426"/>
        <item m="1" x="6427"/>
        <item m="1" x="6428"/>
        <item m="1" x="5133"/>
        <item m="1" x="6429"/>
        <item m="1" x="6430"/>
        <item m="1" x="6431"/>
        <item m="1" x="5448"/>
        <item m="1" x="5642"/>
        <item m="1" x="6035"/>
        <item m="1" x="6435"/>
        <item m="1" x="6436"/>
        <item m="1" x="6437"/>
        <item m="1" x="2551"/>
        <item m="1" x="6438"/>
        <item m="1" x="3720"/>
        <item m="1" x="5654"/>
        <item m="1" x="5636"/>
        <item m="1" x="6440"/>
        <item m="1" x="6441"/>
        <item m="1" x="6442"/>
        <item m="1" x="6443"/>
        <item m="1" x="6444"/>
        <item m="1" x="5711"/>
        <item m="1" x="6446"/>
        <item m="1" x="6447"/>
        <item m="1" x="6448"/>
        <item m="1" x="6449"/>
        <item m="1" x="4838"/>
        <item m="1" x="5516"/>
        <item m="1" x="6452"/>
        <item m="1" x="4537"/>
        <item m="1" x="6453"/>
        <item m="1" x="6454"/>
        <item m="1" x="6455"/>
        <item m="1" x="5578"/>
        <item m="1" x="6503"/>
        <item m="1" x="6459"/>
        <item m="1" x="5445"/>
        <item m="1" x="6461"/>
        <item m="1" x="6462"/>
        <item m="1" x="6463"/>
        <item m="1" x="6464"/>
        <item m="1" x="6465"/>
        <item m="1" x="6466"/>
        <item m="1" x="6467"/>
        <item m="1" x="6468"/>
        <item m="1" x="2552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5547"/>
        <item m="1" x="4582"/>
        <item m="1" x="6483"/>
        <item m="1" x="6484"/>
        <item m="1" x="4612"/>
        <item m="1" x="6485"/>
        <item m="1" x="6486"/>
        <item m="1" x="6487"/>
        <item m="1" x="6488"/>
        <item m="1" x="6489"/>
        <item m="1" x="5770"/>
        <item m="1" x="6490"/>
        <item m="1" x="6491"/>
        <item m="1" x="5467"/>
        <item m="1" x="5534"/>
        <item m="1" x="5439"/>
        <item m="1" x="6493"/>
        <item m="1" x="6494"/>
        <item m="1" x="5186"/>
        <item m="1" x="5705"/>
        <item m="1" x="6496"/>
        <item m="1" x="6497"/>
        <item m="1" x="6498"/>
        <item m="1" x="6499"/>
        <item m="1" x="6500"/>
        <item m="1" x="5786"/>
        <item m="1" x="6502"/>
        <item m="1" x="5530"/>
        <item m="1" x="6504"/>
        <item m="1" x="4769"/>
        <item m="1" x="6505"/>
        <item m="1" x="4554"/>
        <item m="1" x="5579"/>
        <item m="1" x="6506"/>
        <item m="1" x="6507"/>
        <item m="1" x="6508"/>
        <item m="1" x="6509"/>
        <item m="1" x="6510"/>
        <item m="1" x="4535"/>
        <item m="1" x="5134"/>
        <item m="1" x="5420"/>
        <item m="1" x="5326"/>
        <item m="1" x="4922"/>
        <item m="1" x="5315"/>
        <item m="1" x="5412"/>
        <item m="1" x="4992"/>
        <item m="1" x="5327"/>
        <item m="1" x="5359"/>
        <item m="1" x="5348"/>
        <item m="1" x="5360"/>
        <item m="1" x="5318"/>
        <item m="1" x="4764"/>
        <item m="1" x="4697"/>
        <item m="1" x="5328"/>
        <item m="1" x="5361"/>
        <item m="1" x="5410"/>
        <item m="1" x="5411"/>
        <item m="1" x="4898"/>
        <item m="1" x="4698"/>
        <item m="1" x="5254"/>
        <item m="1" x="5293"/>
        <item m="1" x="5273"/>
        <item m="1" x="5190"/>
        <item m="1" x="5384"/>
        <item m="1" x="5294"/>
        <item m="1" x="5385"/>
        <item m="1" x="5255"/>
        <item m="1" x="4733"/>
        <item m="1" x="5237"/>
        <item m="1" x="4918"/>
        <item m="1" x="5051"/>
        <item m="1" x="4923"/>
        <item m="1" x="5256"/>
        <item m="1" x="5177"/>
        <item m="1" x="4763"/>
        <item m="1" x="5252"/>
        <item m="1" x="5149"/>
        <item m="1" x="5287"/>
        <item m="1" x="4699"/>
        <item m="1" x="5228"/>
        <item m="1" x="4758"/>
        <item m="1" x="5387"/>
        <item m="1" x="4888"/>
        <item m="1" x="2095"/>
        <item m="1" x="4916"/>
        <item m="1" x="5295"/>
        <item m="1" x="5345"/>
        <item m="1" x="5388"/>
        <item m="1" x="5227"/>
        <item m="1" x="4678"/>
        <item m="1" x="5036"/>
        <item m="1" x="4991"/>
        <item m="1" x="5195"/>
        <item m="1" x="4573"/>
        <item m="1" x="5303"/>
        <item m="1" x="4673"/>
        <item m="1" x="4644"/>
        <item m="1" x="4646"/>
        <item m="1" x="4647"/>
        <item m="1" x="4648"/>
        <item m="1" x="4957"/>
        <item m="1" x="4650"/>
        <item m="1" x="4651"/>
        <item m="1" x="5037"/>
        <item m="1" x="5087"/>
        <item m="1" x="4681"/>
        <item m="1" x="2554"/>
        <item m="1" x="4831"/>
        <item m="1" x="4659"/>
        <item m="1" x="4660"/>
        <item m="1" x="4661"/>
        <item m="1" x="4662"/>
        <item m="1" x="4663"/>
        <item m="1" x="4833"/>
        <item m="1" x="4664"/>
        <item m="1" x="4656"/>
        <item m="1" x="4679"/>
        <item m="1" x="4666"/>
        <item m="1" x="4667"/>
        <item m="1" x="4676"/>
        <item m="1" x="4675"/>
        <item m="1" x="4668"/>
        <item m="1" x="4877"/>
        <item m="1" x="4994"/>
        <item m="1" x="3961"/>
        <item m="1" x="4665"/>
        <item m="1" x="4716"/>
        <item m="1" x="4683"/>
        <item m="1" x="4717"/>
        <item m="1" x="4742"/>
        <item m="1" x="5007"/>
        <item m="1" x="4690"/>
        <item m="1" x="4691"/>
        <item m="1" x="4692"/>
        <item m="1" x="4693"/>
        <item m="1" x="4739"/>
        <item m="1" x="4695"/>
        <item m="1" x="4696"/>
        <item m="1" x="4700"/>
        <item m="1" x="4720"/>
        <item m="1" x="4721"/>
        <item m="1" x="4723"/>
        <item m="1" x="3421"/>
        <item m="1" x="4704"/>
        <item m="1" x="4705"/>
        <item m="1" x="4706"/>
        <item m="1" x="4707"/>
        <item m="1" x="4708"/>
        <item m="1" x="5032"/>
        <item m="1" x="4709"/>
        <item m="1" x="5020"/>
        <item m="1" x="4711"/>
        <item m="1" x="5021"/>
        <item m="1" x="4988"/>
        <item m="1" x="4754"/>
        <item m="1" x="4533"/>
        <item m="1" x="4715"/>
        <item m="1" x="5022"/>
        <item m="1" x="5013"/>
        <item m="1" x="4967"/>
        <item m="1" x="4710"/>
        <item m="1" x="4734"/>
        <item m="1" x="4730"/>
        <item m="1" x="4762"/>
        <item m="1" x="4736"/>
        <item m="1" x="4737"/>
        <item m="1" x="4760"/>
        <item m="1" x="4740"/>
        <item m="1" x="4765"/>
        <item m="1" x="2512"/>
        <item m="1" x="5044"/>
        <item m="1" x="4744"/>
        <item m="1" x="4911"/>
        <item m="1" x="4746"/>
        <item m="1" x="4747"/>
        <item m="1" x="4748"/>
        <item m="1" x="4749"/>
        <item m="1" x="5010"/>
        <item m="1" x="4751"/>
        <item m="1" x="2555"/>
        <item m="1" x="4766"/>
        <item m="1" x="4767"/>
        <item m="1" x="5279"/>
        <item m="1" x="4768"/>
        <item m="1" x="4753"/>
        <item m="1" x="4759"/>
        <item m="1" x="4755"/>
        <item m="1" x="5120"/>
        <item m="1" x="4958"/>
        <item m="1" x="4847"/>
        <item m="1" x="3244"/>
        <item m="1" x="5049"/>
        <item m="1" x="4794"/>
        <item m="1" x="4772"/>
        <item m="1" x="4654"/>
        <item m="1" x="4774"/>
        <item m="1" x="4775"/>
        <item m="1" x="4776"/>
        <item m="1" x="4777"/>
        <item m="1" x="4778"/>
        <item m="1" x="4779"/>
        <item m="1" x="4936"/>
        <item m="1" x="4781"/>
        <item m="1" x="4798"/>
        <item m="1" x="4782"/>
        <item m="1" x="4645"/>
        <item m="1" x="4799"/>
        <item m="1" x="4784"/>
        <item m="1" x="4785"/>
        <item m="1" x="4786"/>
        <item m="1" x="4787"/>
        <item m="1" x="5056"/>
        <item m="1" x="4724"/>
        <item m="1" x="4791"/>
        <item m="1" x="4792"/>
        <item m="1" x="4830"/>
        <item m="1" x="5080"/>
        <item m="1" x="4793"/>
        <item m="1" x="4796"/>
        <item m="1" x="4728"/>
        <item m="1" x="4845"/>
        <item m="1" x="4800"/>
        <item m="1" x="4801"/>
        <item m="1" x="4802"/>
        <item m="1" x="4803"/>
        <item m="1" x="4712"/>
        <item m="1" x="4805"/>
        <item m="1" x="4806"/>
        <item m="1" x="4834"/>
        <item m="1" x="5070"/>
        <item m="1" x="4807"/>
        <item m="1" x="4808"/>
        <item m="1" x="4809"/>
        <item m="1" x="5057"/>
        <item m="1" x="4836"/>
        <item m="1" x="5038"/>
        <item m="1" x="4811"/>
        <item m="1" x="4812"/>
        <item m="1" x="4813"/>
        <item m="1" x="4814"/>
        <item m="1" x="4816"/>
        <item m="1" x="4846"/>
        <item m="1" x="4817"/>
        <item m="1" x="4823"/>
        <item m="1" x="5206"/>
        <item m="1" x="2321"/>
        <item m="1" x="4820"/>
        <item m="1" x="4738"/>
        <item m="1" x="5144"/>
        <item m="1" x="5367"/>
        <item m="1" x="4824"/>
        <item m="1" x="5079"/>
        <item m="1" x="4826"/>
        <item m="1" x="4827"/>
        <item m="1" x="4837"/>
        <item m="1" x="5086"/>
        <item m="1" x="4839"/>
        <item m="1" x="4655"/>
        <item m="1" x="5081"/>
        <item m="1" x="4713"/>
        <item m="1" x="4842"/>
        <item m="1" x="4970"/>
        <item m="1" x="4844"/>
        <item m="1" x="4849"/>
        <item m="1" x="5046"/>
        <item m="1" x="4848"/>
        <item m="1" x="5156"/>
        <item m="1" x="4832"/>
        <item m="1" x="4881"/>
        <item m="1" x="4866"/>
        <item m="1" x="4853"/>
        <item m="1" x="4854"/>
        <item m="1" x="4672"/>
        <item m="1" x="4378"/>
        <item m="1" x="4689"/>
        <item m="1" x="4886"/>
        <item m="1" x="4865"/>
        <item m="1" x="4694"/>
        <item m="1" x="4856"/>
        <item m="1" x="4864"/>
        <item m="1" x="4857"/>
        <item m="1" x="4858"/>
        <item m="1" x="4860"/>
        <item m="1" x="4861"/>
        <item m="1" x="4863"/>
        <item m="1" x="4867"/>
        <item m="1" x="4868"/>
        <item m="1" x="4875"/>
        <item m="1" x="4968"/>
        <item m="1" x="4870"/>
        <item m="1" x="4726"/>
        <item m="1" x="4872"/>
        <item m="1" x="4873"/>
        <item m="1" x="4874"/>
        <item m="1" x="4851"/>
        <item m="1" x="3965"/>
        <item m="1" x="5001"/>
        <item m="1" x="5207"/>
        <item m="1" x="2556"/>
        <item m="1" x="4920"/>
        <item m="1" x="4757"/>
        <item m="1" x="4884"/>
        <item m="1" x="4885"/>
        <item m="1" x="4887"/>
        <item m="1" x="4670"/>
        <item m="1" x="5066"/>
        <item m="1" x="4892"/>
        <item m="1" x="4900"/>
        <item m="1" x="4549"/>
        <item m="1" x="4895"/>
        <item m="1" x="4896"/>
        <item m="1" x="4899"/>
        <item m="1" x="4897"/>
        <item m="1" x="4568"/>
        <item m="1" x="3712"/>
        <item m="1" x="4901"/>
        <item m="1" x="4686"/>
        <item m="1" x="1020"/>
        <item m="1" x="4904"/>
        <item m="1" x="4905"/>
        <item m="1" x="4883"/>
        <item m="1" x="4907"/>
        <item m="1" x="4908"/>
        <item m="1" x="4652"/>
        <item m="1" x="4745"/>
        <item m="1" x="5189"/>
        <item m="1" x="4912"/>
        <item m="1" x="4913"/>
        <item m="1" x="4937"/>
        <item m="1" x="4894"/>
        <item m="1" x="4921"/>
        <item m="1" x="4973"/>
        <item m="1" x="3864"/>
        <item m="1" x="4925"/>
        <item m="1" x="4975"/>
        <item m="1" x="4976"/>
        <item m="1" x="4926"/>
        <item m="1" x="4927"/>
        <item m="1" x="4928"/>
        <item m="1" x="4978"/>
        <item m="1" x="5132"/>
        <item m="1" x="4929"/>
        <item m="1" x="4930"/>
        <item m="1" x="4985"/>
        <item m="1" x="5354"/>
        <item m="1" x="3420"/>
        <item m="1" x="4933"/>
        <item m="1" x="4934"/>
        <item m="1" x="4903"/>
        <item m="1" x="4780"/>
        <item m="1" x="5068"/>
        <item m="1" x="4941"/>
        <item m="1" x="4942"/>
        <item m="1" x="4943"/>
        <item m="1" x="4944"/>
        <item m="1" x="4945"/>
        <item m="1" x="4804"/>
        <item m="1" x="4890"/>
        <item m="1" x="4891"/>
        <item m="1" x="4948"/>
        <item m="1" x="5155"/>
        <item m="1" x="5187"/>
        <item m="1" x="4951"/>
        <item m="1" x="5085"/>
        <item m="1" x="4953"/>
        <item m="1" x="4815"/>
        <item m="1" x="4687"/>
        <item m="1" x="5146"/>
        <item m="1" x="4727"/>
        <item m="1" x="5017"/>
        <item m="1" x="4725"/>
        <item m="1" x="4961"/>
        <item m="1" x="4962"/>
        <item m="1" x="4611"/>
        <item m="1" x="4955"/>
        <item m="1" x="4964"/>
        <item m="1" x="4950"/>
        <item m="1" x="4969"/>
        <item m="1" x="4990"/>
        <item m="1" x="4979"/>
        <item m="1" x="4984"/>
        <item m="1" x="4601"/>
        <item m="1" x="5123"/>
        <item m="1" x="4825"/>
        <item m="1" x="4688"/>
        <item m="1" x="4995"/>
        <item m="1" x="4981"/>
        <item m="1" x="5117"/>
        <item m="1" x="5116"/>
        <item m="1" x="4983"/>
        <item m="1" x="4996"/>
        <item m="1" x="4987"/>
        <item m="1" x="5409"/>
        <item m="1" x="4852"/>
        <item m="1" x="4989"/>
        <item m="1" x="4993"/>
        <item m="1" x="4997"/>
        <item m="1" x="2507"/>
        <item m="1" x="4998"/>
        <item m="1" x="4999"/>
        <item m="1" x="3245"/>
        <item m="1" x="5124"/>
        <item m="1" x="5000"/>
        <item m="1" x="5002"/>
        <item m="1" x="4902"/>
        <item m="1" x="5003"/>
        <item m="1" x="4939"/>
        <item m="1" x="5005"/>
        <item m="1" x="5181"/>
        <item m="1" x="5191"/>
        <item m="1" x="5006"/>
        <item m="1" x="5231"/>
        <item m="1" x="4685"/>
        <item m="1" x="5148"/>
        <item m="1" x="5008"/>
        <item m="1" x="4971"/>
        <item m="1" x="5009"/>
        <item m="1" x="4963"/>
        <item m="1" x="4862"/>
        <item m="1" x="5011"/>
        <item m="1" x="4980"/>
        <item m="1" x="5012"/>
        <item m="1" x="4788"/>
        <item m="1" x="5014"/>
        <item m="1" x="5016"/>
        <item m="1" x="5015"/>
        <item m="1" x="5018"/>
        <item m="1" x="4949"/>
        <item m="1" x="4789"/>
        <item m="1" x="4795"/>
        <item m="1" x="3969"/>
        <item m="1" x="5023"/>
        <item m="1" x="5054"/>
        <item m="1" x="5048"/>
        <item m="1" x="5024"/>
        <item m="1" x="5025"/>
        <item m="1" x="5026"/>
        <item m="1" x="5027"/>
        <item m="1" x="5028"/>
        <item m="1" x="5029"/>
        <item m="1" x="5030"/>
        <item m="1" x="5031"/>
        <item m="1" x="5241"/>
        <item m="1" x="5209"/>
        <item m="1" x="5078"/>
        <item m="1" x="5034"/>
        <item m="1" x="5088"/>
        <item m="1" x="5035"/>
        <item m="1" x="4810"/>
        <item m="1" x="5043"/>
        <item m="1" x="4543"/>
        <item m="1" x="5064"/>
        <item m="1" x="4657"/>
        <item m="1" x="5045"/>
        <item m="1" x="4879"/>
        <item m="1" x="4855"/>
        <item m="1" x="5047"/>
        <item m="1" x="5050"/>
        <item m="1" x="5063"/>
        <item m="1" x="5053"/>
        <item m="1" x="5055"/>
        <item m="1" x="5224"/>
        <item m="1" x="5058"/>
        <item m="1" x="5061"/>
        <item m="1" x="5091"/>
        <item m="1" x="5107"/>
        <item m="1" x="5092"/>
        <item m="1" x="5108"/>
        <item m="1" x="5065"/>
        <item m="1" x="4850"/>
        <item m="1" x="5109"/>
        <item m="1" x="5067"/>
        <item m="1" x="5069"/>
        <item m="1" x="2513"/>
        <item m="1" x="5071"/>
        <item m="1" x="5072"/>
        <item m="1" x="4932"/>
        <item m="1" x="5093"/>
        <item m="1" x="4829"/>
        <item m="1" x="5074"/>
        <item m="1" x="4818"/>
        <item m="1" x="5076"/>
        <item m="1" x="5094"/>
        <item m="1" x="5077"/>
        <item m="1" x="5096"/>
        <item m="1" x="5260"/>
        <item m="1" x="4947"/>
        <item m="1" x="4871"/>
        <item m="1" x="5082"/>
        <item m="1" x="5095"/>
        <item m="1" x="5083"/>
        <item m="1" x="5097"/>
        <item m="1" x="5163"/>
        <item m="1" x="5178"/>
        <item m="1" x="4592"/>
        <item m="1" x="5084"/>
        <item m="1" x="5244"/>
        <item m="1" x="5089"/>
        <item m="1" x="5090"/>
        <item m="1" x="5098"/>
        <item m="1" x="5248"/>
        <item m="1" x="4938"/>
        <item m="1" x="5140"/>
        <item m="1" x="5099"/>
        <item m="1" x="5100"/>
        <item m="1" x="5129"/>
        <item m="1" x="3481"/>
        <item m="1" x="5101"/>
        <item m="1" x="5103"/>
        <item m="1" x="5104"/>
        <item m="1" x="5105"/>
        <item m="1" x="5261"/>
        <item m="1" x="5131"/>
        <item m="1" x="5135"/>
        <item m="1" x="5110"/>
        <item m="1" x="5111"/>
        <item m="1" x="5112"/>
        <item m="1" x="5113"/>
        <item m="1" x="5114"/>
        <item m="1" x="5115"/>
        <item m="1" x="4982"/>
        <item m="1" x="5278"/>
        <item m="1" x="5136"/>
        <item m="1" x="5118"/>
        <item m="1" x="5119"/>
        <item m="1" x="2557"/>
        <item m="1" x="5121"/>
        <item m="1" x="5122"/>
        <item m="1" x="5282"/>
        <item m="1" x="4677"/>
        <item m="1" x="5145"/>
        <item m="1" x="5125"/>
        <item m="1" x="4797"/>
        <item m="1" x="5126"/>
        <item m="1" x="5127"/>
        <item m="1" x="5128"/>
        <item m="1" x="5243"/>
        <item m="1" x="5138"/>
        <item m="1" x="5141"/>
        <item m="1" x="5139"/>
        <item m="1" x="5194"/>
        <item m="1" x="5142"/>
        <item m="1" x="5143"/>
        <item m="1" x="3971"/>
        <item m="1" x="5174"/>
        <item m="1" x="5175"/>
        <item m="1" x="5304"/>
        <item m="1" x="5147"/>
        <item m="1" x="5309"/>
        <item m="1" x="4959"/>
        <item m="1" x="5150"/>
        <item m="1" x="4819"/>
        <item m="1" x="5152"/>
        <item m="1" x="5153"/>
        <item m="1" x="5154"/>
        <item m="1" x="4965"/>
        <item m="1" x="4869"/>
        <item m="1" x="5157"/>
        <item m="1" x="5158"/>
        <item m="1" x="5159"/>
        <item m="1" x="5161"/>
        <item m="1" x="4960"/>
        <item m="1" x="5164"/>
        <item m="1" x="5284"/>
        <item m="1" x="5166"/>
        <item m="1" x="4952"/>
        <item m="1" x="5192"/>
        <item m="1" x="4773"/>
        <item m="1" x="5169"/>
        <item m="1" x="5170"/>
        <item m="1" x="5171"/>
        <item m="1" x="5172"/>
        <item m="1" x="5173"/>
        <item m="1" x="5176"/>
        <item m="1" x="5333"/>
        <item m="1" x="4418"/>
        <item m="1" x="5310"/>
        <item m="1" x="5168"/>
        <item m="1" x="5179"/>
        <item m="1" x="5221"/>
        <item m="1" x="5180"/>
        <item m="1" x="4889"/>
        <item m="1" x="5182"/>
        <item m="1" x="5183"/>
        <item m="1" x="5185"/>
        <item m="1" x="5151"/>
        <item m="1" x="5343"/>
        <item m="1" x="4966"/>
        <item m="1" x="5188"/>
        <item m="1" x="4914"/>
        <item m="1" x="3422"/>
        <item m="1" x="5193"/>
        <item m="1" x="5075"/>
        <item m="1" x="2167"/>
        <item m="1" x="5196"/>
        <item m="1" x="5197"/>
        <item m="1" x="5198"/>
        <item m="1" x="5199"/>
        <item m="1" x="5200"/>
        <item m="1" x="5201"/>
        <item m="1" x="5202"/>
        <item m="1" x="5225"/>
        <item m="1" x="5203"/>
        <item m="1" x="5204"/>
        <item m="1" x="5205"/>
        <item m="1" x="2558"/>
        <item m="1" x="5208"/>
        <item m="1" x="5311"/>
        <item m="1" x="3487"/>
        <item m="1" x="5317"/>
        <item m="1" x="5210"/>
        <item m="1" x="5211"/>
        <item m="1" x="4602"/>
        <item m="1" x="5212"/>
        <item m="1" x="5226"/>
        <item m="1" x="5213"/>
        <item m="1" x="4590"/>
        <item m="1" x="5214"/>
        <item m="1" x="4377"/>
        <item m="1" x="5229"/>
        <item m="1" x="5230"/>
        <item m="1" x="5216"/>
        <item m="1" x="5215"/>
        <item m="1" x="5218"/>
        <item m="1" x="5219"/>
        <item m="1" x="5220"/>
        <item m="1" x="5246"/>
        <item m="1" x="5232"/>
        <item m="1" x="5073"/>
        <item m="1" x="5233"/>
        <item m="1" x="5358"/>
        <item m="1" x="5362"/>
        <item m="1" x="5357"/>
        <item m="1" x="5236"/>
        <item m="1" x="5240"/>
        <item m="1" x="5235"/>
        <item m="1" x="5238"/>
        <item m="1" x="5239"/>
        <item m="1" x="5331"/>
        <item m="1" x="5242"/>
        <item m="1" x="4671"/>
        <item m="1" x="5267"/>
        <item m="1" x="5245"/>
        <item m="1" x="5249"/>
        <item m="1" x="5347"/>
        <item m="1" x="5247"/>
        <item m="1" x="5250"/>
        <item m="1" x="5251"/>
        <item m="1" x="5019"/>
        <item m="1" x="4534"/>
        <item m="1" x="5253"/>
        <item m="1" x="4880"/>
        <item m="1" x="5257"/>
        <item m="1" x="5258"/>
        <item m="1" x="5259"/>
        <item m="1" x="3332"/>
        <item m="1" x="5262"/>
        <item m="1" x="5040"/>
        <item m="1" x="4910"/>
        <item m="1" x="5356"/>
        <item m="1" x="5349"/>
        <item m="1" x="5265"/>
        <item m="1" x="5266"/>
        <item m="1" x="4750"/>
        <item m="1" x="5268"/>
        <item m="1" x="5269"/>
        <item m="1" x="5271"/>
        <item m="1" x="5274"/>
        <item m="1" x="5308"/>
        <item m="1" x="5280"/>
        <item m="1" x="5281"/>
        <item m="1" x="5283"/>
        <item m="1" x="5363"/>
        <item m="1" x="5285"/>
        <item m="1" x="5365"/>
        <item m="1" x="5286"/>
        <item m="1" x="5312"/>
        <item m="1" x="5313"/>
        <item m="1" x="5342"/>
        <item m="1" x="4946"/>
        <item m="1" x="5288"/>
        <item m="1" x="5289"/>
        <item m="1" x="5290"/>
        <item m="1" x="5291"/>
        <item m="1" x="5162"/>
        <item m="1" x="5292"/>
        <item m="1" x="3658"/>
        <item m="1" x="4682"/>
        <item m="1" x="5316"/>
        <item m="1" x="5298"/>
        <item m="1" x="5299"/>
        <item m="1" x="4761"/>
        <item m="1" x="5300"/>
        <item m="1" x="5301"/>
        <item m="1" x="5302"/>
        <item m="1" x="4653"/>
        <item m="1" x="4909"/>
        <item m="1" x="5033"/>
        <item m="1" x="5041"/>
        <item m="1" x="4551"/>
        <item m="1" x="5306"/>
        <item m="1" x="4567"/>
        <item m="1" x="5314"/>
        <item m="1" x="5307"/>
        <item m="1" x="5336"/>
        <item m="1" x="4790"/>
        <item m="1" x="5320"/>
        <item m="1" x="4752"/>
        <item m="1" x="5322"/>
        <item m="1" x="2425"/>
        <item m="1" x="3982"/>
        <item m="1" x="5323"/>
        <item m="1" x="4557"/>
        <item m="1" x="5324"/>
        <item m="1" x="5325"/>
        <item m="1" x="5355"/>
        <item m="1" x="5329"/>
        <item m="1" x="5380"/>
        <item m="1" x="5330"/>
        <item m="1" x="4649"/>
        <item m="1" x="5375"/>
        <item m="1" x="5334"/>
        <item m="1" x="5383"/>
        <item m="1" x="5165"/>
        <item m="1" x="5337"/>
        <item m="1" x="5338"/>
        <item m="1" x="5339"/>
        <item m="1" x="5340"/>
        <item m="1" x="5341"/>
        <item m="1" x="4532"/>
        <item m="1" x="5344"/>
        <item m="1" x="3697"/>
        <item m="1" x="5346"/>
        <item m="1" x="5039"/>
        <item m="1" x="4974"/>
        <item m="1" x="5350"/>
        <item m="1" x="3704"/>
        <item m="1" x="1021"/>
        <item m="1" x="2504"/>
        <item m="1" x="5351"/>
        <item m="1" x="5352"/>
        <item m="1" x="5353"/>
        <item m="1" x="4783"/>
        <item m="1" x="5263"/>
        <item m="1" x="4756"/>
        <item m="1" x="5106"/>
        <item m="1" x="5417"/>
        <item m="1" x="5364"/>
        <item m="1" x="3986"/>
        <item m="1" x="1868"/>
        <item m="1" x="5366"/>
        <item m="1" x="5004"/>
        <item m="1" x="5368"/>
        <item m="1" x="5369"/>
        <item m="1" x="5370"/>
        <item m="1" x="5371"/>
        <item m="1" x="5372"/>
        <item m="1" x="2481"/>
        <item m="1" x="5394"/>
        <item m="1" x="5373"/>
        <item m="1" x="5390"/>
        <item m="1" x="5391"/>
        <item m="1" x="5403"/>
        <item m="1" x="5374"/>
        <item m="1" x="5392"/>
        <item m="1" x="5400"/>
        <item m="1" x="5376"/>
        <item m="1" x="5377"/>
        <item m="1" x="5378"/>
        <item m="1" x="4714"/>
        <item m="1" x="4821"/>
        <item m="1" x="4658"/>
        <item m="1" x="5381"/>
        <item m="1" x="5395"/>
        <item m="1" x="4464"/>
        <item m="1" x="4553"/>
        <item m="1" x="5382"/>
        <item m="1" x="4956"/>
        <item m="1" x="4822"/>
        <item m="1" x="5393"/>
        <item m="1" x="5396"/>
        <item m="1" x="4729"/>
        <item m="1" x="3990"/>
        <item m="1" x="5397"/>
        <item m="1" x="5398"/>
        <item m="1" x="5399"/>
        <item m="1" x="3329"/>
        <item m="1" x="4483"/>
        <item m="1" x="4473"/>
        <item m="1" x="4545"/>
        <item m="1" x="5415"/>
        <item m="1" x="5184"/>
        <item m="1" x="4465"/>
        <item m="1" x="5416"/>
        <item m="1" x="5402"/>
        <item m="1" x="5418"/>
        <item m="1" x="5404"/>
        <item m="1" x="1022"/>
        <item m="1" x="5405"/>
        <item m="1" x="3708"/>
        <item m="1" x="4931"/>
        <item m="1" x="5406"/>
        <item m="1" x="5407"/>
        <item m="1" x="5408"/>
        <item m="1" x="3251"/>
        <item m="1" x="5419"/>
        <item m="1" x="4843"/>
        <item m="1" x="5042"/>
        <item m="1" x="5413"/>
        <item m="1" x="5102"/>
        <item m="1" x="5414"/>
        <item m="1" x="3265"/>
        <item m="1" x="5332"/>
        <item m="1" x="5401"/>
        <item m="1" x="4636"/>
        <item m="1" x="4486"/>
        <item m="1" x="4501"/>
        <item m="1" x="3872"/>
        <item m="1" x="3874"/>
        <item m="1" x="4600"/>
        <item m="1" x="4384"/>
        <item m="1" x="4560"/>
        <item m="1" x="4606"/>
        <item m="1" x="4607"/>
        <item m="1" x="3880"/>
        <item m="1" x="3881"/>
        <item m="1" x="4593"/>
        <item m="1" x="3883"/>
        <item m="1" x="3884"/>
        <item m="1" x="4618"/>
        <item m="1" x="3886"/>
        <item m="1" x="4605"/>
        <item m="1" x="3891"/>
        <item m="1" x="3894"/>
        <item m="1" x="3895"/>
        <item m="1" x="4563"/>
        <item m="1" x="3898"/>
        <item m="1" x="4637"/>
        <item m="1" x="3925"/>
        <item m="1" x="4595"/>
        <item m="1" x="4387"/>
        <item m="1" x="4188"/>
        <item m="1" x="3984"/>
        <item m="1" x="4385"/>
        <item m="1" x="3988"/>
        <item m="1" x="3922"/>
        <item m="1" x="3997"/>
        <item m="1" x="4055"/>
        <item m="1" x="3999"/>
        <item m="1" x="3936"/>
        <item m="1" x="4002"/>
        <item m="1" x="4052"/>
        <item m="1" x="3977"/>
        <item m="1" x="4006"/>
        <item m="1" x="4007"/>
        <item m="1" x="3952"/>
        <item m="1" x="4009"/>
        <item m="1" x="4010"/>
        <item m="1" x="4011"/>
        <item m="1" x="4012"/>
        <item m="1" x="4014"/>
        <item m="1" x="4015"/>
        <item m="1" x="3973"/>
        <item m="1" x="2560"/>
        <item m="1" x="3942"/>
        <item m="1" x="4019"/>
        <item m="1" x="4020"/>
        <item m="1" x="4021"/>
        <item m="1" x="4022"/>
        <item m="1" x="4023"/>
        <item m="1" x="4024"/>
        <item m="1" x="4025"/>
        <item m="1" x="4337"/>
        <item m="1" x="4029"/>
        <item m="1" x="3927"/>
        <item m="1" x="4284"/>
        <item m="1" x="4381"/>
        <item m="1" x="4410"/>
        <item m="1" x="4409"/>
        <item m="1" x="4034"/>
        <item m="1" x="4254"/>
        <item m="1" x="4231"/>
        <item m="1" x="4132"/>
        <item m="1" x="4261"/>
        <item m="1" x="4039"/>
        <item m="1" x="3275"/>
        <item m="1" x="4043"/>
        <item m="1" x="4342"/>
        <item m="1" x="3897"/>
        <item m="1" x="4346"/>
        <item m="1" x="2114"/>
        <item m="1" x="3671"/>
        <item m="1" x="4436"/>
        <item m="1" x="4049"/>
        <item m="1" x="4213"/>
        <item m="1" x="4050"/>
        <item m="1" x="4051"/>
        <item m="1" x="4184"/>
        <item m="1" x="4194"/>
        <item m="1" x="4327"/>
        <item m="1" x="4108"/>
        <item m="1" x="3914"/>
        <item m="1" x="4062"/>
        <item m="1" x="4063"/>
        <item m="1" x="3330"/>
        <item m="1" x="4064"/>
        <item m="1" x="4000"/>
        <item m="1" x="4068"/>
        <item m="1" x="4252"/>
        <item m="1" x="4070"/>
        <item m="1" x="3967"/>
        <item m="1" x="4072"/>
        <item m="1" x="4073"/>
        <item m="1" x="4226"/>
        <item m="1" x="4300"/>
        <item m="1" x="4332"/>
        <item m="1" x="4077"/>
        <item m="1" x="3286"/>
        <item m="1" x="4078"/>
        <item m="1" x="3586"/>
        <item m="1" x="4080"/>
        <item m="1" x="4081"/>
        <item m="1" x="4263"/>
        <item m="1" x="4431"/>
        <item m="1" x="4298"/>
        <item m="1" x="4216"/>
        <item m="1" x="4086"/>
        <item m="1" x="4484"/>
        <item m="1" x="4087"/>
        <item m="1" x="4235"/>
        <item m="1" x="4089"/>
        <item m="1" x="4090"/>
        <item m="1" x="4091"/>
        <item m="1" x="4092"/>
        <item m="1" x="3985"/>
        <item m="1" x="3996"/>
        <item m="1" x="4095"/>
        <item m="1" x="4096"/>
        <item m="1" x="3983"/>
        <item m="1" x="4098"/>
        <item m="1" x="4099"/>
        <item m="1" x="3920"/>
        <item m="1" x="3878"/>
        <item m="1" x="4124"/>
        <item m="1" x="4103"/>
        <item m="1" x="3992"/>
        <item m="1" x="4105"/>
        <item m="1" x="3910"/>
        <item m="1" x="4107"/>
        <item m="1" x="4508"/>
        <item m="1" x="4084"/>
        <item m="1" x="4641"/>
        <item m="1" x="4453"/>
        <item m="1" x="4454"/>
        <item m="1" x="4114"/>
        <item m="1" x="3980"/>
        <item m="1" x="4079"/>
        <item m="1" x="4117"/>
        <item m="1" x="4118"/>
        <item m="1" x="4404"/>
        <item m="1" x="4462"/>
        <item m="1" x="4146"/>
        <item m="1" x="4123"/>
        <item m="1" x="4364"/>
        <item m="1" x="4125"/>
        <item m="1" x="4610"/>
        <item m="1" x="3896"/>
        <item m="1" x="3929"/>
        <item m="1" x="4128"/>
        <item m="1" x="4104"/>
        <item m="1" x="4233"/>
        <item m="1" x="2561"/>
        <item m="1" x="4282"/>
        <item m="1" x="4234"/>
        <item m="1" x="3989"/>
        <item m="1" x="4209"/>
        <item m="1" x="4137"/>
        <item m="1" x="4138"/>
        <item m="1" x="4140"/>
        <item m="1" x="4141"/>
        <item m="1" x="4076"/>
        <item m="1" x="4143"/>
        <item m="1" x="4144"/>
        <item m="1" x="4145"/>
        <item m="1" x="4292"/>
        <item m="1" x="4147"/>
        <item m="1" x="3887"/>
        <item m="1" x="4149"/>
        <item m="1" x="4193"/>
        <item m="1" x="2562"/>
        <item m="1" x="4239"/>
        <item m="1" x="4152"/>
        <item m="1" x="4153"/>
        <item m="1" x="4310"/>
        <item m="1" x="4458"/>
        <item m="1" x="4459"/>
        <item m="1" x="4156"/>
        <item m="1" x="3905"/>
        <item m="1" x="4314"/>
        <item m="1" x="4158"/>
        <item m="1" x="4159"/>
        <item m="1" x="4160"/>
        <item m="1" x="4161"/>
        <item m="1" x="4162"/>
        <item m="1" x="4163"/>
        <item m="1" x="4164"/>
        <item m="1" x="4400"/>
        <item m="1" x="4518"/>
        <item m="1" x="4392"/>
        <item m="1" x="4167"/>
        <item m="1" x="4127"/>
        <item m="1" x="4170"/>
        <item m="1" x="4171"/>
        <item m="1" x="4172"/>
        <item m="1" x="4442"/>
        <item m="1" x="4174"/>
        <item m="1" x="4175"/>
        <item m="1" x="4176"/>
        <item m="1" x="4177"/>
        <item m="1" x="4178"/>
        <item m="1" x="3944"/>
        <item m="1" x="4180"/>
        <item m="1" x="4181"/>
        <item m="1" x="4366"/>
        <item m="1" x="4183"/>
        <item m="1" x="3890"/>
        <item m="1" x="4502"/>
        <item m="1" x="4185"/>
        <item m="1" x="4186"/>
        <item m="1" x="4187"/>
        <item m="1" x="4308"/>
        <item m="1" x="4335"/>
        <item m="1" x="4189"/>
        <item m="1" x="4192"/>
        <item m="1" x="4133"/>
        <item m="1" x="4042"/>
        <item m="1" x="4150"/>
        <item m="1" x="3966"/>
        <item m="1" x="4198"/>
        <item m="1" x="4199"/>
        <item m="1" x="4200"/>
        <item m="1" x="4266"/>
        <item m="1" x="4205"/>
        <item m="1" x="4201"/>
        <item m="1" x="3723"/>
        <item m="1" x="4202"/>
        <item m="1" x="4203"/>
        <item m="1" x="4204"/>
        <item m="1" x="4115"/>
        <item m="1" x="4297"/>
        <item m="1" x="4208"/>
        <item m="1" x="4033"/>
        <item m="1" x="3991"/>
        <item m="1" x="4211"/>
        <item m="1" x="2058"/>
        <item m="1" x="4301"/>
        <item m="1" x="4339"/>
        <item m="1" x="4031"/>
        <item m="1" x="4214"/>
        <item m="1" x="3940"/>
        <item m="1" x="4500"/>
        <item m="1" x="1086"/>
        <item m="1" x="4343"/>
        <item m="1" x="4093"/>
        <item m="1" x="3554"/>
        <item m="1" x="4218"/>
        <item m="1" x="4219"/>
        <item m="1" x="4287"/>
        <item m="1" x="4221"/>
        <item m="1" x="4240"/>
        <item m="1" x="4224"/>
        <item m="1" x="3912"/>
        <item m="1" x="3919"/>
        <item m="1" x="4289"/>
        <item m="1" x="3978"/>
        <item m="1" x="2563"/>
        <item m="1" x="4303"/>
        <item m="1" x="4228"/>
        <item m="1" x="4165"/>
        <item m="1" x="4615"/>
        <item m="1" x="3964"/>
        <item m="1" x="4354"/>
        <item m="1" x="4236"/>
        <item m="1" x="4237"/>
        <item m="1" x="4330"/>
        <item m="1" x="4116"/>
        <item m="1" x="4215"/>
        <item m="1" x="4222"/>
        <item m="1" x="4294"/>
        <item m="1" x="4242"/>
        <item m="1" x="4416"/>
        <item m="1" x="4244"/>
        <item m="1" x="4245"/>
        <item m="1" x="4119"/>
        <item m="1" x="4247"/>
        <item m="1" x="3902"/>
        <item m="1" x="3904"/>
        <item m="1" x="4249"/>
        <item m="1" x="4250"/>
        <item m="1" x="4302"/>
        <item m="1" x="4016"/>
        <item m="1" x="4253"/>
        <item m="1" x="4270"/>
        <item m="1" x="4255"/>
        <item m="1" x="4036"/>
        <item m="1" x="3995"/>
        <item m="1" x="4352"/>
        <item m="1" x="3331"/>
        <item m="1" x="4258"/>
        <item m="1" x="4259"/>
        <item m="1" x="4260"/>
        <item m="1" x="3695"/>
        <item m="1" x="4262"/>
        <item m="1" x="4001"/>
        <item m="1" x="4210"/>
        <item m="1" x="4286"/>
        <item m="1" x="3892"/>
        <item m="1" x="4267"/>
        <item m="1" x="4268"/>
        <item m="1" x="4488"/>
        <item m="1" x="3917"/>
        <item m="1" x="4060"/>
        <item m="1" x="3877"/>
        <item m="1" x="3970"/>
        <item m="1" x="4272"/>
        <item m="1" x="4273"/>
        <item m="1" x="4111"/>
        <item m="1" x="4274"/>
        <item m="1" x="4275"/>
        <item m="1" x="4276"/>
        <item m="1" x="3875"/>
        <item m="1" x="2290"/>
        <item m="1" x="4277"/>
        <item m="1" x="4278"/>
        <item m="1" x="4640"/>
        <item m="1" x="4639"/>
        <item m="1" x="4280"/>
        <item m="1" x="4281"/>
        <item m="1" x="4045"/>
        <item m="1" x="4256"/>
        <item m="1" x="4588"/>
        <item m="1" x="4633"/>
        <item m="1" x="4632"/>
        <item m="1" x="3949"/>
        <item m="1" x="4363"/>
        <item m="1" x="4288"/>
        <item m="1" x="4290"/>
        <item m="1" x="2518"/>
        <item m="1" x="4120"/>
        <item m="1" x="4293"/>
        <item m="1" x="4109"/>
        <item m="1" x="4295"/>
        <item m="1" x="4296"/>
        <item m="1" x="4142"/>
        <item m="1" x="4220"/>
        <item m="1" x="4399"/>
        <item m="1" x="1850"/>
        <item m="1" x="4088"/>
        <item m="1" x="4053"/>
        <item m="1" x="4227"/>
        <item m="1" x="4058"/>
        <item m="1" x="4401"/>
        <item m="1" x="4269"/>
        <item m="1" x="4304"/>
        <item m="1" x="4229"/>
        <item m="1" x="4306"/>
        <item m="1" x="4083"/>
        <item m="1" x="3972"/>
        <item m="1" x="4622"/>
        <item m="1" x="4113"/>
        <item m="1" x="4283"/>
        <item m="1" x="4357"/>
        <item m="1" x="4110"/>
        <item m="1" x="4223"/>
        <item m="1" x="4317"/>
        <item m="1" x="3857"/>
        <item m="1" x="4319"/>
        <item m="1" x="4067"/>
        <item m="1" x="4321"/>
        <item m="1" x="4322"/>
        <item m="1" x="2564"/>
        <item m="1" x="4323"/>
        <item m="1" x="4326"/>
        <item m="1" x="4463"/>
        <item m="1" x="4312"/>
        <item m="1" x="4328"/>
        <item m="1" x="4329"/>
        <item m="1" x="984"/>
        <item m="1" x="4389"/>
        <item m="1" x="3981"/>
        <item m="1" x="4071"/>
        <item m="1" x="4232"/>
        <item m="1" x="4057"/>
        <item m="1" x="4360"/>
        <item m="1" x="4491"/>
        <item m="1" x="3540"/>
        <item m="1" x="4028"/>
        <item m="1" x="4361"/>
        <item m="1" x="4450"/>
        <item m="1" x="3958"/>
        <item m="1" x="4340"/>
        <item m="1" x="4341"/>
        <item m="1" x="4094"/>
        <item m="1" x="3947"/>
        <item m="1" x="4135"/>
        <item m="1" x="3934"/>
        <item m="1" x="4212"/>
        <item m="1" x="1137"/>
        <item m="1" x="4348"/>
        <item m="1" x="4082"/>
        <item m="1" x="4100"/>
        <item m="1" x="4264"/>
        <item m="1" x="4509"/>
        <item m="1" x="4350"/>
        <item m="1" x="4351"/>
        <item m="1" x="4102"/>
        <item m="1" x="4334"/>
        <item m="1" x="4038"/>
        <item m="1" x="4355"/>
        <item m="1" x="4356"/>
        <item m="1" x="3688"/>
        <item m="1" x="4358"/>
        <item m="1" x="4359"/>
        <item m="1" x="4397"/>
        <item m="1" x="4452"/>
        <item m="1" x="3562"/>
        <item m="1" x="4362"/>
        <item m="1" x="4388"/>
        <item m="1" x="4457"/>
        <item m="1" x="4365"/>
        <item m="1" x="4106"/>
        <item m="1" x="4367"/>
        <item m="1" x="4523"/>
        <item m="1" x="4369"/>
        <item m="1" x="4370"/>
        <item m="1" x="4371"/>
        <item m="1" x="4372"/>
        <item m="1" x="3202"/>
        <item m="1" x="3907"/>
        <item m="1" x="3926"/>
        <item m="1" x="4305"/>
        <item m="1" x="3593"/>
        <item m="1" x="4380"/>
        <item m="1" x="3941"/>
        <item m="1" x="4047"/>
        <item m="1" x="4498"/>
        <item m="1" x="4383"/>
        <item m="1" x="3937"/>
        <item m="1" x="4085"/>
        <item m="1" x="3987"/>
        <item m="1" x="4390"/>
        <item m="1" x="3906"/>
        <item m="1" x="3993"/>
        <item m="1" x="4313"/>
        <item m="1" x="4169"/>
        <item m="1" x="4391"/>
        <item m="1" x="4318"/>
        <item m="1" x="4394"/>
        <item m="1" x="4507"/>
        <item m="1" x="4395"/>
        <item m="1" x="4396"/>
        <item m="1" x="4061"/>
        <item m="1" x="4398"/>
        <item m="1" x="3998"/>
        <item m="1" x="4044"/>
        <item m="1" x="3879"/>
        <item m="1" x="4148"/>
        <item m="1" x="3975"/>
        <item m="1" x="3888"/>
        <item m="1" x="4406"/>
        <item m="1" x="4407"/>
        <item m="1" x="4136"/>
        <item m="1" x="4271"/>
        <item m="1" x="4408"/>
        <item m="1" x="4122"/>
        <item m="1" x="4411"/>
        <item m="1" x="4412"/>
        <item m="1" x="4413"/>
        <item m="1" x="4414"/>
        <item m="1" x="4415"/>
        <item m="1" x="4325"/>
        <item m="1" x="4393"/>
        <item m="1" x="4041"/>
        <item m="1" x="4353"/>
        <item m="1" x="4386"/>
        <item m="1" x="4230"/>
        <item m="1" x="4419"/>
        <item m="1" x="4134"/>
        <item m="1" x="4421"/>
        <item m="1" x="4422"/>
        <item m="1" x="4423"/>
        <item m="1" x="4424"/>
        <item m="1" x="4425"/>
        <item m="1" x="4426"/>
        <item m="1" x="4427"/>
        <item m="1" x="4129"/>
        <item m="1" x="4429"/>
        <item m="1" x="4430"/>
        <item m="1" x="3953"/>
        <item m="1" x="4432"/>
        <item m="1" x="4433"/>
        <item m="1" x="4434"/>
        <item m="1" x="4435"/>
        <item m="1" x="4037"/>
        <item m="1" x="4195"/>
        <item m="1" x="4437"/>
        <item m="1" x="4438"/>
        <item m="1" x="1867"/>
        <item m="1" x="4439"/>
        <item m="1" x="4440"/>
        <item m="1" x="4441"/>
        <item m="1" x="4417"/>
        <item m="1" x="1626"/>
        <item m="1" x="4168"/>
        <item m="1" x="4443"/>
        <item m="1" x="4444"/>
        <item m="1" x="4445"/>
        <item m="1" x="4446"/>
        <item m="1" x="4447"/>
        <item m="1" x="4448"/>
        <item m="1" x="4004"/>
        <item m="1" x="4449"/>
        <item m="1" x="4013"/>
        <item m="1" x="4026"/>
        <item m="1" x="4243"/>
        <item m="1" x="4451"/>
        <item m="1" x="4246"/>
        <item m="1" x="4324"/>
        <item m="1" x="4173"/>
        <item m="1" x="4456"/>
        <item m="1" x="4032"/>
        <item m="1" x="4131"/>
        <item m="1" x="4155"/>
        <item m="1" x="4460"/>
        <item m="1" x="4461"/>
        <item m="1" x="3889"/>
        <item m="1" x="3957"/>
        <item m="1" x="3959"/>
        <item m="1" x="4196"/>
        <item m="1" x="3205"/>
        <item m="1" x="4466"/>
        <item m="1" x="4467"/>
        <item m="1" x="4345"/>
        <item m="1" x="4468"/>
        <item m="1" x="4469"/>
        <item m="1" x="4470"/>
        <item m="1" x="2322"/>
        <item m="1" x="4069"/>
        <item m="1" x="2475"/>
        <item m="1" x="4474"/>
        <item m="1" x="4375"/>
        <item m="1" x="4476"/>
        <item m="1" x="4151"/>
        <item m="1" x="4478"/>
        <item m="1" x="4479"/>
        <item m="1" x="4480"/>
        <item m="1" x="4481"/>
        <item m="1" x="4040"/>
        <item m="1" x="4482"/>
        <item m="1" x="3613"/>
        <item m="1" x="4257"/>
        <item m="1" x="4485"/>
        <item m="1" x="4101"/>
        <item m="1" x="4487"/>
        <item m="1" x="3488"/>
        <item m="1" x="4059"/>
        <item m="1" x="3443"/>
        <item m="1" x="4490"/>
        <item m="1" x="4279"/>
        <item m="1" x="3968"/>
        <item m="1" x="4376"/>
        <item m="1" x="4492"/>
        <item m="1" x="4493"/>
        <item m="1" x="4030"/>
        <item m="1" x="4494"/>
        <item m="1" x="4495"/>
        <item m="1" x="4536"/>
        <item m="1" x="4497"/>
        <item m="1" x="4074"/>
        <item m="1" x="3391"/>
        <item m="1" x="2479"/>
        <item m="1" x="4315"/>
        <item m="1" x="4207"/>
        <item m="1" x="4344"/>
        <item m="1" x="3994"/>
        <item m="1" x="4368"/>
        <item m="1" x="4035"/>
        <item m="1" x="3678"/>
        <item m="1" x="4027"/>
        <item m="1" x="4505"/>
        <item m="1" x="4506"/>
        <item m="1" x="4075"/>
        <item m="1" x="4046"/>
        <item m="1" x="4373"/>
        <item m="1" x="4349"/>
        <item m="1" x="4333"/>
        <item m="1" x="4503"/>
        <item m="1" x="4251"/>
        <item m="1" x="4510"/>
        <item m="1" x="4511"/>
        <item m="1" x="4336"/>
        <item m="1" x="4512"/>
        <item m="1" x="4513"/>
        <item m="1" x="4514"/>
        <item m="1" x="4515"/>
        <item m="1" x="4516"/>
        <item m="1" x="4307"/>
        <item m="1" x="4519"/>
        <item m="1" x="4139"/>
        <item m="1" x="3885"/>
        <item m="1" x="3276"/>
        <item m="1" x="2565"/>
        <item m="1" x="4520"/>
        <item m="1" x="4008"/>
        <item m="1" x="4521"/>
        <item m="1" x="4311"/>
        <item m="1" x="4489"/>
        <item m="1" x="4571"/>
        <item m="1" x="4524"/>
        <item m="1" x="3809"/>
        <item m="1" x="3908"/>
        <item m="1" x="4517"/>
        <item m="1" x="4347"/>
        <item m="1" x="4527"/>
        <item m="1" x="3962"/>
        <item m="1" x="4528"/>
        <item m="1" x="4529"/>
        <item m="1" x="4530"/>
        <item m="1" x="4531"/>
        <item m="1" x="4054"/>
        <item m="1" x="3979"/>
        <item m="1" x="4048"/>
        <item m="1" x="4299"/>
        <item m="1" x="4285"/>
        <item m="1" x="4538"/>
        <item m="1" x="3536"/>
        <item m="1" x="3899"/>
        <item m="1" x="4320"/>
        <item m="1" x="3955"/>
        <item m="1" x="4544"/>
        <item m="1" x="3974"/>
        <item m="1" x="3903"/>
        <item m="1" x="3871"/>
        <item m="1" x="4547"/>
        <item m="1" x="3948"/>
        <item m="1" x="3876"/>
        <item m="1" x="4130"/>
        <item m="1" x="4217"/>
        <item m="1" x="3963"/>
        <item m="1" x="4238"/>
        <item m="1" x="4126"/>
        <item m="1" x="4331"/>
        <item m="1" x="4056"/>
        <item m="1" x="4555"/>
        <item m="1" x="4556"/>
        <item m="1" x="3672"/>
        <item m="1" x="4558"/>
        <item m="1" x="4559"/>
        <item m="1" x="4581"/>
        <item m="1" x="4583"/>
        <item m="1" x="4596"/>
        <item m="1" x="4066"/>
        <item m="1" x="4584"/>
        <item m="1" x="4003"/>
        <item m="1" x="4598"/>
        <item m="1" x="4585"/>
        <item m="1" x="3976"/>
        <item m="1" x="4569"/>
        <item m="1" x="3659"/>
        <item m="1" x="4572"/>
        <item m="1" x="4589"/>
        <item m="1" x="4574"/>
        <item m="1" x="4575"/>
        <item m="1" x="4166"/>
        <item m="1" x="4578"/>
        <item m="1" x="2566"/>
        <item m="1" x="4065"/>
        <item m="1" x="4580"/>
        <item m="1" x="4005"/>
        <item m="1" x="4643"/>
        <item m="1" x="4157"/>
        <item m="1" x="2567"/>
        <item m="1" x="4586"/>
        <item m="1" x="4191"/>
        <item m="1" x="4265"/>
        <item m="1" x="3882"/>
        <item m="1" x="4206"/>
        <item m="1" x="3680"/>
        <item m="1" x="4471"/>
        <item m="1" x="4472"/>
        <item m="1" x="3921"/>
        <item m="1" x="4599"/>
        <item m="1" x="4225"/>
        <item m="1" x="4374"/>
        <item m="1" x="4154"/>
        <item m="1" x="4338"/>
        <item m="1" x="3869"/>
        <item m="1" x="4603"/>
        <item m="1" x="4017"/>
        <item m="1" x="4309"/>
        <item m="1" x="4604"/>
        <item m="1" x="3591"/>
        <item m="1" x="4608"/>
        <item m="1" x="3950"/>
        <item m="1" x="3916"/>
        <item m="1" x="4609"/>
        <item m="1" x="4097"/>
        <item m="1" x="4248"/>
        <item m="1" x="4197"/>
        <item m="1" x="4182"/>
        <item m="1" x="3951"/>
        <item m="1" x="4455"/>
        <item m="1" x="4613"/>
        <item m="1" x="4614"/>
        <item m="1" x="3425"/>
        <item m="1" x="4475"/>
        <item m="1" x="4561"/>
        <item m="1" x="4018"/>
        <item m="1" x="4316"/>
        <item m="1" x="4617"/>
        <item m="1" x="4179"/>
        <item m="1" x="4619"/>
        <item m="1" x="4620"/>
        <item m="1" x="3938"/>
        <item m="1" x="4190"/>
        <item m="1" x="3923"/>
        <item m="1" x="4621"/>
        <item m="1" x="3873"/>
        <item m="1" x="4623"/>
        <item m="1" x="4624"/>
        <item m="1" x="4625"/>
        <item m="1" x="4626"/>
        <item m="1" x="4627"/>
        <item m="1" x="4628"/>
        <item m="1" x="3225"/>
        <item m="1" x="4241"/>
        <item m="1" x="3400"/>
        <item m="1" x="4631"/>
        <item m="1" x="4112"/>
        <item m="1" x="3913"/>
        <item m="1" x="3870"/>
        <item m="1" x="4634"/>
        <item m="1" x="4635"/>
        <item m="1" x="4121"/>
        <item m="1" x="3355"/>
        <item m="1" x="3368"/>
        <item m="1" x="3356"/>
        <item m="1" x="3206"/>
        <item m="1" x="3773"/>
        <item m="1" x="3209"/>
        <item m="1" x="3210"/>
        <item m="1" x="3211"/>
        <item m="1" x="3651"/>
        <item m="1" x="3215"/>
        <item m="1" x="3216"/>
        <item m="1" x="3217"/>
        <item m="1" x="3218"/>
        <item m="1" x="3219"/>
        <item m="1" x="3246"/>
        <item m="1" x="3379"/>
        <item m="1" x="3247"/>
        <item m="1" x="3654"/>
        <item m="1" x="3587"/>
        <item m="1" x="3392"/>
        <item m="1" x="3393"/>
        <item m="1" x="3666"/>
        <item m="1" x="3230"/>
        <item m="1" x="3232"/>
        <item m="1" x="3248"/>
        <item m="1" x="3552"/>
        <item m="1" x="3239"/>
        <item m="1" x="3401"/>
        <item m="1" x="3589"/>
        <item m="1" x="3707"/>
        <item m="1" x="3256"/>
        <item m="1" x="3403"/>
        <item m="1" x="3249"/>
        <item m="1" x="3250"/>
        <item m="1" x="3252"/>
        <item m="1" x="3253"/>
        <item m="1" x="3475"/>
        <item m="1" x="3833"/>
        <item m="1" x="3255"/>
        <item m="1" x="3691"/>
        <item m="1" x="3417"/>
        <item m="1" x="3258"/>
        <item m="1" x="3684"/>
        <item m="1" x="3387"/>
        <item m="1" x="3563"/>
        <item m="1" x="3423"/>
        <item m="1" x="3717"/>
        <item m="1" x="3719"/>
        <item m="1" x="3274"/>
        <item m="1" x="2568"/>
        <item m="1" x="3277"/>
        <item m="1" x="3278"/>
        <item m="1" x="3543"/>
        <item m="1" x="3280"/>
        <item m="1" x="3281"/>
        <item m="1" x="3282"/>
        <item m="1" x="3283"/>
        <item m="1" x="3207"/>
        <item m="1" x="3289"/>
        <item m="1" x="3721"/>
        <item m="1" x="3208"/>
        <item m="1" x="3287"/>
        <item m="1" x="3361"/>
        <item m="1" x="1704"/>
        <item m="1" x="3290"/>
        <item m="1" x="3291"/>
        <item m="1" x="3295"/>
        <item m="1" x="3292"/>
        <item m="1" x="3293"/>
        <item m="1" x="3378"/>
        <item m="1" x="3257"/>
        <item m="1" x="3260"/>
        <item m="1" x="3304"/>
        <item m="1" x="3596"/>
        <item m="1" x="3655"/>
        <item m="1" x="3681"/>
        <item m="1" x="3212"/>
        <item m="1" x="3547"/>
        <item m="1" x="3308"/>
        <item m="1" x="3309"/>
        <item m="1" x="3310"/>
        <item m="1" x="3311"/>
        <item m="1" x="3312"/>
        <item m="1" x="3313"/>
        <item m="1" x="3314"/>
        <item m="1" x="3296"/>
        <item m="1" x="3297"/>
        <item m="1" x="3317"/>
        <item m="1" x="2569"/>
        <item m="1" x="3319"/>
        <item m="1" x="3320"/>
        <item m="1" x="3323"/>
        <item m="1" x="3326"/>
        <item m="1" x="3327"/>
        <item m="1" x="3328"/>
        <item m="1" x="1025"/>
        <item m="1" x="3333"/>
        <item m="1" x="3334"/>
        <item m="1" x="3335"/>
        <item m="1" x="2323"/>
        <item m="1" x="3762"/>
        <item m="1" x="3305"/>
        <item m="1" x="3337"/>
        <item m="1" x="2570"/>
        <item m="1" x="3338"/>
        <item m="1" x="3339"/>
        <item m="1" x="3340"/>
        <item m="1" x="3341"/>
        <item m="1" x="3342"/>
        <item m="1" x="2572"/>
        <item m="1" x="3343"/>
        <item m="1" x="3344"/>
        <item m="1" x="3607"/>
        <item m="1" x="3346"/>
        <item m="1" x="3347"/>
        <item m="1" x="3348"/>
        <item m="1" x="3854"/>
        <item m="1" x="2571"/>
        <item m="1" x="3352"/>
        <item m="1" x="3614"/>
        <item m="1" x="2573"/>
        <item m="1" x="3357"/>
        <item m="1" x="3358"/>
        <item m="1" x="3359"/>
        <item m="1" x="3744"/>
        <item m="1" x="3778"/>
        <item m="1" x="2465"/>
        <item m="1" x="3362"/>
        <item m="1" x="2519"/>
        <item m="1" x="3521"/>
        <item m="1" x="3366"/>
        <item m="1" x="3375"/>
        <item m="1" x="3369"/>
        <item m="1" x="3370"/>
        <item m="1" x="3371"/>
        <item m="1" x="3372"/>
        <item m="1" x="3373"/>
        <item m="1" x="3374"/>
        <item m="1" x="3491"/>
        <item m="1" x="3601"/>
        <item m="1" x="3213"/>
        <item m="1" x="3380"/>
        <item m="1" x="3223"/>
        <item m="1" x="3382"/>
        <item m="1" x="3383"/>
        <item m="1" x="3396"/>
        <item m="1" x="3789"/>
        <item m="1" x="3473"/>
        <item m="1" x="3388"/>
        <item m="1" x="3389"/>
        <item m="1" x="3792"/>
        <item m="1" x="3298"/>
        <item m="1" x="3498"/>
        <item m="1" x="3390"/>
        <item m="1" x="3395"/>
        <item m="1" x="3775"/>
        <item m="1" x="3397"/>
        <item m="1" x="3398"/>
        <item m="1" x="3399"/>
        <item m="1" x="3805"/>
        <item m="1" x="3402"/>
        <item m="1" x="3500"/>
        <item m="1" x="3426"/>
        <item m="1" x="3568"/>
        <item m="1" x="3405"/>
        <item m="1" x="3406"/>
        <item m="1" x="3604"/>
        <item m="1" x="2574"/>
        <item m="1" x="3409"/>
        <item m="1" x="3410"/>
        <item m="1" x="3529"/>
        <item m="1" x="1757"/>
        <item m="1" x="3412"/>
        <item m="1" x="3413"/>
        <item m="1" x="3414"/>
        <item m="1" x="3415"/>
        <item m="1" x="3755"/>
        <item m="1" x="3418"/>
        <item m="1" x="3419"/>
        <item m="1" x="3806"/>
        <item m="1" x="3462"/>
        <item m="1" x="3259"/>
        <item m="1" x="3224"/>
        <item m="1" x="3436"/>
        <item m="1" x="2324"/>
        <item m="1" x="3427"/>
        <item m="1" x="3428"/>
        <item m="1" x="3429"/>
        <item m="1" x="2575"/>
        <item m="1" x="3474"/>
        <item m="1" x="2576"/>
        <item m="1" x="3430"/>
        <item m="1" x="3431"/>
        <item m="1" x="3432"/>
        <item m="1" x="3433"/>
        <item m="1" x="3434"/>
        <item m="1" x="3435"/>
        <item m="1" x="3437"/>
        <item m="1" x="3226"/>
        <item m="1" x="2509"/>
        <item m="1" x="1918"/>
        <item m="1" x="3439"/>
        <item m="1" x="3440"/>
        <item m="1" x="3441"/>
        <item m="1" x="3442"/>
        <item m="1" x="2266"/>
        <item m="1" x="3444"/>
        <item m="1" x="3445"/>
        <item m="1" x="3446"/>
        <item m="1" x="3262"/>
        <item m="1" x="3782"/>
        <item m="1" x="3272"/>
        <item m="1" x="3449"/>
        <item m="1" x="3756"/>
        <item m="1" x="3451"/>
        <item m="1" x="3452"/>
        <item m="1" x="3496"/>
        <item m="1" x="3454"/>
        <item m="1" x="3455"/>
        <item m="1" x="3299"/>
        <item m="1" x="3495"/>
        <item m="1" x="3457"/>
        <item m="1" x="3458"/>
        <item m="1" x="3263"/>
        <item m="1" x="3620"/>
        <item m="1" x="3818"/>
        <item m="1" x="3503"/>
        <item m="1" x="3302"/>
        <item m="1" x="3819"/>
        <item m="1" x="3463"/>
        <item m="1" x="3464"/>
        <item m="1" x="3465"/>
        <item m="1" x="3466"/>
        <item m="1" x="3303"/>
        <item m="1" x="3468"/>
        <item m="1" x="1631"/>
        <item m="1" x="3470"/>
        <item m="1" x="3471"/>
        <item m="1" x="3472"/>
        <item m="1" x="3360"/>
        <item m="1" x="3288"/>
        <item m="1" x="3476"/>
        <item m="1" x="3477"/>
        <item m="1" x="3478"/>
        <item m="1" x="3645"/>
        <item m="1" x="3480"/>
        <item m="1" x="3546"/>
        <item m="1" x="3483"/>
        <item m="1" x="3484"/>
        <item m="1" x="3485"/>
        <item m="1" x="3489"/>
        <item m="1" x="3490"/>
        <item m="1" x="1928"/>
        <item m="1" x="2577"/>
        <item m="1" x="3532"/>
        <item m="1" x="3279"/>
        <item m="1" x="3825"/>
        <item m="1" x="1944"/>
        <item m="1" x="3497"/>
        <item m="1" x="3745"/>
        <item m="1" x="3501"/>
        <item m="1" x="3502"/>
        <item m="1" x="2578"/>
        <item m="1" x="3294"/>
        <item m="1" x="3504"/>
        <item m="1" x="3227"/>
        <item m="1" x="3853"/>
        <item m="1" x="3506"/>
        <item m="1" x="3507"/>
        <item m="1" x="3508"/>
        <item m="1" x="3264"/>
        <item m="1" x="3228"/>
        <item m="1" x="3229"/>
        <item m="1" x="3231"/>
        <item m="1" x="3511"/>
        <item m="1" x="3512"/>
        <item m="1" x="3513"/>
        <item m="1" x="3867"/>
        <item m="1" x="3515"/>
        <item m="1" x="3516"/>
        <item m="1" x="3517"/>
        <item m="1" x="3518"/>
        <item m="1" x="3519"/>
        <item m="1" x="3776"/>
        <item m="1" x="3706"/>
        <item m="1" x="3522"/>
        <item m="1" x="3542"/>
        <item m="1" x="3524"/>
        <item m="1" x="3411"/>
        <item m="1" x="985"/>
        <item m="1" x="3525"/>
        <item m="1" x="2580"/>
        <item m="1" x="3526"/>
        <item m="1" x="3657"/>
        <item m="1" x="3450"/>
        <item m="1" x="2579"/>
        <item m="1" x="3528"/>
        <item m="1" x="3236"/>
        <item m="1" x="3530"/>
        <item m="1" x="3531"/>
        <item m="1" x="3606"/>
        <item m="1" x="3533"/>
        <item m="1" x="3534"/>
        <item m="1" x="3535"/>
        <item m="1" x="3537"/>
        <item m="1" x="3538"/>
        <item m="1" x="3539"/>
        <item m="1" x="3610"/>
        <item m="1" x="3351"/>
        <item m="1" x="3254"/>
        <item m="1" x="3592"/>
        <item m="1" x="3267"/>
        <item m="1" x="3544"/>
        <item m="1" x="3545"/>
        <item m="1" x="3548"/>
        <item m="1" x="3549"/>
        <item m="1" x="3306"/>
        <item m="1" x="3307"/>
        <item m="1" x="3559"/>
        <item m="1" x="3551"/>
        <item m="1" x="3677"/>
        <item m="1" x="1569"/>
        <item m="1" x="3363"/>
        <item m="1" x="3416"/>
        <item m="1" x="3233"/>
        <item m="1" x="3555"/>
        <item m="1" x="3556"/>
        <item m="1" x="3557"/>
        <item m="1" x="3386"/>
        <item m="1" x="3558"/>
        <item m="1" x="3377"/>
        <item m="1" x="3560"/>
        <item m="1" x="3561"/>
        <item m="1" x="3514"/>
        <item m="1" x="3438"/>
        <item m="1" x="3565"/>
        <item m="1" x="2581"/>
        <item m="1" x="3567"/>
        <item m="1" x="3701"/>
        <item m="1" x="2508"/>
        <item m="1" x="3570"/>
        <item m="1" x="3571"/>
        <item m="1" x="3572"/>
        <item m="1" x="258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315"/>
        <item m="1" x="3316"/>
        <item m="1" x="3588"/>
        <item m="1" x="3318"/>
        <item m="1" x="3590"/>
        <item m="1" x="3376"/>
        <item m="1" x="3509"/>
        <item m="1" x="2026"/>
        <item m="1" x="2146"/>
        <item m="1" x="3597"/>
        <item m="1" x="2583"/>
        <item m="1" x="3447"/>
        <item m="1" x="3569"/>
        <item m="1" x="3599"/>
        <item m="1" x="3600"/>
        <item m="1" x="3602"/>
        <item m="1" x="3603"/>
        <item m="1" x="3728"/>
        <item m="1" x="3605"/>
        <item m="1" x="3268"/>
        <item m="1" x="3609"/>
        <item m="1" x="3365"/>
        <item m="1" x="3647"/>
        <item m="1" x="2325"/>
        <item m="1" x="3234"/>
        <item m="1" x="3269"/>
        <item m="1" x="3615"/>
        <item m="1" x="3467"/>
        <item m="1" x="3616"/>
        <item m="1" x="3492"/>
        <item m="1" x="3617"/>
        <item m="1" x="2316"/>
        <item m="1" x="3618"/>
        <item m="1" x="3619"/>
        <item m="1" x="3321"/>
        <item m="1" x="3550"/>
        <item m="1" x="3510"/>
        <item m="1" x="3621"/>
        <item m="1" x="3622"/>
        <item m="1" x="3650"/>
        <item m="1" x="3623"/>
        <item m="1" x="3624"/>
        <item m="1" x="3625"/>
        <item m="1" x="258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774"/>
        <item m="1" x="3637"/>
        <item m="1" x="3638"/>
        <item m="1" x="3639"/>
        <item m="1" x="3640"/>
        <item m="1" x="3641"/>
        <item m="1" x="3642"/>
        <item m="1" x="3643"/>
        <item m="1" x="3644"/>
        <item m="1" x="1703"/>
        <item m="1" x="3673"/>
        <item m="1" x="3646"/>
        <item m="1" x="3384"/>
        <item m="1" x="3493"/>
        <item m="1" x="3235"/>
        <item m="1" x="3649"/>
        <item m="1" x="3214"/>
        <item m="1" x="3868"/>
        <item m="1" x="3270"/>
        <item m="1" x="3652"/>
        <item m="1" x="3653"/>
        <item m="1" x="3322"/>
        <item m="1" x="3336"/>
        <item m="1" x="3656"/>
        <item m="1" x="3660"/>
        <item m="1" x="3611"/>
        <item m="1" x="3661"/>
        <item m="1" x="3682"/>
        <item m="1" x="3662"/>
        <item m="1" x="3663"/>
        <item m="1" x="3664"/>
        <item m="1" x="3665"/>
        <item m="1" x="2586"/>
        <item m="1" x="3667"/>
        <item m="1" x="3668"/>
        <item m="1" x="3350"/>
        <item m="1" x="3669"/>
        <item m="1" x="3527"/>
        <item m="1" x="3670"/>
        <item m="1" x="3237"/>
        <item m="1" x="3238"/>
        <item m="1" x="3777"/>
        <item m="1" x="3674"/>
        <item m="1" x="3675"/>
        <item m="1" x="3676"/>
        <item m="1" x="3367"/>
        <item m="1" x="3679"/>
        <item m="1" x="3520"/>
        <item m="1" x="3683"/>
        <item m="1" x="3791"/>
        <item m="1" x="3685"/>
        <item m="1" x="3686"/>
        <item m="1" x="3687"/>
        <item m="1" x="3271"/>
        <item m="1" x="3690"/>
        <item m="1" x="3564"/>
        <item m="1" x="3692"/>
        <item m="1" x="3608"/>
        <item m="1" x="3553"/>
        <item m="1" x="3648"/>
        <item m="1" x="3301"/>
        <item m="1" x="3448"/>
        <item m="1" x="3698"/>
        <item m="1" x="1702"/>
        <item m="1" x="3699"/>
        <item m="1" x="3700"/>
        <item m="1" x="3696"/>
        <item m="1" x="3702"/>
        <item m="1" x="3703"/>
        <item m="1" x="2472"/>
        <item m="1" x="3730"/>
        <item m="1" x="3566"/>
        <item m="1" x="3453"/>
        <item m="1" x="3709"/>
        <item m="1" x="3710"/>
        <item m="1" x="3711"/>
        <item m="1" x="3324"/>
        <item m="1" x="3713"/>
        <item m="1" x="3714"/>
        <item m="1" x="3715"/>
        <item m="1" x="3716"/>
        <item m="1" x="3325"/>
        <item m="1" x="3381"/>
        <item m="1" x="3718"/>
        <item m="1" x="1748"/>
        <item m="1" x="3722"/>
        <item m="1" x="3724"/>
        <item m="1" x="3725"/>
        <item m="1" x="3726"/>
        <item m="1" x="3727"/>
        <item m="1" x="3694"/>
        <item m="1" x="3273"/>
        <item m="1" x="3729"/>
        <item m="1" x="3523"/>
        <item m="1" x="986"/>
        <item m="1" x="3731"/>
        <item m="1" x="2587"/>
        <item m="1" x="3732"/>
        <item m="1" x="3733"/>
        <item m="1" x="2588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349"/>
        <item m="1" x="3828"/>
        <item m="1" x="3757"/>
        <item m="1" x="3482"/>
        <item m="1" x="3758"/>
        <item m="1" x="3759"/>
        <item m="1" x="3760"/>
        <item m="1" x="3761"/>
        <item m="1" x="3456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598"/>
        <item m="1" x="3364"/>
        <item m="1" x="3693"/>
        <item m="1" x="3612"/>
        <item m="1" x="3829"/>
        <item m="1" x="3266"/>
        <item m="1" x="3469"/>
        <item m="1" x="3779"/>
        <item m="1" x="3780"/>
        <item m="1" x="3781"/>
        <item m="1" x="1630"/>
        <item m="1" x="3783"/>
        <item m="1" x="3784"/>
        <item m="1" x="3785"/>
        <item m="1" x="3499"/>
        <item m="1" x="3786"/>
        <item m="1" x="3787"/>
        <item m="1" x="3788"/>
        <item m="1" x="3408"/>
        <item m="1" x="3284"/>
        <item m="1" x="3790"/>
        <item m="1" x="3404"/>
        <item m="1" x="3793"/>
        <item m="1" x="3794"/>
        <item m="1" x="3795"/>
        <item m="1" x="3796"/>
        <item m="1" x="3797"/>
        <item m="1" x="3798"/>
        <item m="1" x="2113"/>
        <item m="1" x="3799"/>
        <item m="1" x="3800"/>
        <item m="1" x="3801"/>
        <item m="1" x="3802"/>
        <item m="1" x="3803"/>
        <item m="1" x="3804"/>
        <item m="1" x="3459"/>
        <item m="1" x="3460"/>
        <item m="1" x="2589"/>
        <item m="1" x="3394"/>
        <item m="1" x="3807"/>
        <item m="1" x="3461"/>
        <item m="1" x="3300"/>
        <item m="1" x="3810"/>
        <item m="1" x="3811"/>
        <item m="1" x="3812"/>
        <item m="1" x="3813"/>
        <item m="1" x="3814"/>
        <item m="1" x="3815"/>
        <item m="1" x="3816"/>
        <item m="1" x="3817"/>
        <item m="1" x="1752"/>
        <item m="1" x="3505"/>
        <item m="1" x="3820"/>
        <item m="1" x="3821"/>
        <item m="1" x="3822"/>
        <item m="1" x="3823"/>
        <item m="1" x="3824"/>
        <item m="1" x="3240"/>
        <item m="1" x="3385"/>
        <item m="1" x="3827"/>
        <item m="1" x="2590"/>
        <item m="1" x="3830"/>
        <item m="1" x="3831"/>
        <item m="1" x="3832"/>
        <item m="1" x="3261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241"/>
        <item m="1" x="3843"/>
        <item m="1" x="3844"/>
        <item m="1" x="2593"/>
        <item m="1" x="3242"/>
        <item m="1" x="3243"/>
        <item m="1" x="3204"/>
        <item m="1" x="3541"/>
        <item m="1" x="3847"/>
        <item m="1" x="3848"/>
        <item m="1" x="3849"/>
        <item m="1" x="3479"/>
        <item m="1" x="3850"/>
        <item m="1" x="3851"/>
        <item m="1" x="3852"/>
        <item m="1" x="3407"/>
        <item m="1" x="3494"/>
        <item m="1" x="3855"/>
        <item m="1" x="3856"/>
        <item m="1" x="1927"/>
        <item m="1" x="3860"/>
        <item m="1" x="3861"/>
        <item m="1" x="3862"/>
        <item m="1" x="3863"/>
        <item m="1" x="3865"/>
        <item m="1" x="2594"/>
        <item m="1" x="3866"/>
        <item m="1" x="1629"/>
        <item m="1" x="2528"/>
        <item m="1" x="2529"/>
        <item m="1" x="2530"/>
        <item m="1" x="2531"/>
        <item m="1" x="1931"/>
        <item m="1" x="2532"/>
        <item m="1" x="2533"/>
        <item m="1" x="2534"/>
        <item m="1" x="2535"/>
        <item m="1" x="2536"/>
        <item m="1" x="1706"/>
        <item m="1" x="2537"/>
        <item m="1" x="2539"/>
        <item m="1" x="2540"/>
        <item m="1" x="2559"/>
        <item m="1" x="2440"/>
        <item m="1" x="2584"/>
        <item m="1" x="2591"/>
        <item m="1" x="2592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1811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040"/>
        <item m="1" x="2063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1566"/>
        <item m="1" x="2702"/>
        <item m="1" x="2703"/>
        <item m="1" x="2516"/>
        <item m="1" x="2704"/>
        <item m="1" x="2705"/>
        <item m="1" x="2706"/>
        <item m="1" x="2707"/>
        <item m="1" x="2708"/>
        <item m="1" x="2709"/>
        <item m="1" x="2710"/>
        <item m="1" x="2711"/>
        <item m="1" x="855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1628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006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1087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051"/>
        <item m="1" x="2793"/>
        <item m="1" x="2794"/>
        <item m="1" x="2795"/>
        <item m="1" x="2796"/>
        <item m="1" x="2797"/>
        <item m="1" x="2798"/>
        <item m="1" x="2799"/>
        <item m="1" x="2800"/>
        <item m="1" x="1661"/>
        <item m="1" x="2801"/>
        <item m="1" x="2802"/>
        <item m="1" x="987"/>
        <item m="1" x="2803"/>
        <item m="1" x="2804"/>
        <item m="1" x="2805"/>
        <item m="1" x="2806"/>
        <item m="1" x="2807"/>
        <item m="1" x="2379"/>
        <item m="1" x="2808"/>
        <item m="1" x="2809"/>
        <item m="1" x="2810"/>
        <item m="1" x="2811"/>
        <item m="1" x="2812"/>
        <item m="1" x="2813"/>
        <item m="1" x="2814"/>
        <item m="1" x="1567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1490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098"/>
        <item m="1" x="2876"/>
        <item m="1" x="2877"/>
        <item m="1" x="2878"/>
        <item m="1" x="2879"/>
        <item m="1" x="2880"/>
        <item m="1" x="2881"/>
        <item m="1" x="1573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1684"/>
        <item m="1" x="2906"/>
        <item m="1" x="2907"/>
        <item m="1" x="2908"/>
        <item m="1" x="2909"/>
        <item m="1" x="2910"/>
        <item m="1" x="2317"/>
        <item m="1" x="2911"/>
        <item m="1" x="2912"/>
        <item m="1" x="2913"/>
        <item m="1" x="2510"/>
        <item m="1" x="1810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1570"/>
        <item m="1" x="2928"/>
        <item m="1" x="2929"/>
        <item m="1" x="2930"/>
        <item m="1" x="2466"/>
        <item m="1" x="2931"/>
        <item m="1" x="2932"/>
        <item m="1" x="2933"/>
        <item m="1" x="2934"/>
        <item m="1" x="2935"/>
        <item m="1" x="2936"/>
        <item m="1" x="2937"/>
        <item m="1" x="2446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1919"/>
        <item m="1" x="2948"/>
        <item m="1" x="2949"/>
        <item m="1" x="2514"/>
        <item m="1" x="2950"/>
        <item m="1" x="2951"/>
        <item m="1" x="2952"/>
        <item m="1" x="2953"/>
        <item m="1" x="2954"/>
        <item m="1" x="2268"/>
        <item m="1" x="2955"/>
        <item m="1" x="2956"/>
        <item m="1" x="2957"/>
        <item m="1" x="2958"/>
        <item m="1" x="2959"/>
        <item m="1" x="2960"/>
        <item m="1" x="1632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1612"/>
        <item m="1" x="2971"/>
        <item m="1" x="2972"/>
        <item m="1" x="2973"/>
        <item m="1" x="2974"/>
        <item m="1" x="2975"/>
        <item m="1" x="2976"/>
        <item m="1" x="2977"/>
        <item m="1" x="1565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1718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1659"/>
        <item m="1" x="3022"/>
        <item m="1" x="3023"/>
        <item m="1" x="3024"/>
        <item m="1" x="3025"/>
        <item m="1" x="3026"/>
        <item m="1" x="3027"/>
        <item m="1" x="3028"/>
        <item m="1" x="3029"/>
        <item m="1" x="1633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177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2077"/>
        <item m="1" x="3076"/>
        <item m="1" x="3077"/>
        <item m="1" x="1563"/>
        <item m="1" x="3078"/>
        <item m="1" x="3079"/>
        <item m="1" x="3080"/>
        <item m="1" x="3081"/>
        <item m="1" x="1804"/>
        <item m="1" x="3082"/>
        <item m="1" x="3083"/>
        <item m="1" x="3084"/>
        <item m="1" x="1939"/>
        <item m="1" x="3085"/>
        <item m="1" x="3086"/>
        <item m="1" x="3087"/>
        <item m="1" x="3088"/>
        <item m="1" x="3089"/>
        <item m="1" x="3090"/>
        <item m="1" x="2078"/>
        <item m="1" x="2056"/>
        <item m="1" x="3091"/>
        <item m="1" x="3092"/>
        <item m="1" x="3093"/>
        <item m="1" x="3094"/>
        <item m="1" x="3095"/>
        <item m="1" x="3096"/>
        <item m="1" x="3097"/>
        <item m="1" x="2326"/>
        <item m="1" x="3098"/>
        <item m="1" x="3099"/>
        <item m="1" x="3100"/>
        <item m="1" x="3101"/>
        <item m="1" x="3102"/>
        <item m="1" x="3103"/>
        <item m="1" x="3104"/>
        <item m="1" x="3105"/>
        <item m="1" x="1561"/>
        <item m="1" x="3106"/>
        <item m="1" x="3107"/>
        <item m="1" x="3108"/>
        <item m="1" x="3109"/>
        <item m="1" x="3110"/>
        <item m="1" x="3111"/>
        <item m="1" x="1751"/>
        <item m="1" x="3112"/>
        <item m="1" x="3113"/>
        <item m="1" x="3114"/>
        <item m="1" x="3115"/>
        <item m="1" x="3116"/>
        <item m="1" x="3117"/>
        <item m="1" x="2482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1639"/>
        <item m="1" x="3134"/>
        <item m="1" x="1930"/>
        <item m="1" x="3135"/>
        <item m="1" x="3136"/>
        <item m="1" x="3137"/>
        <item m="1" x="3138"/>
        <item m="1" x="3139"/>
        <item m="1" x="3140"/>
        <item m="1" x="3141"/>
        <item m="1" x="3142"/>
        <item m="1" x="2378"/>
        <item m="1" x="3143"/>
        <item m="1" x="2046"/>
        <item m="1" x="1719"/>
        <item m="1" x="3144"/>
        <item m="1" x="1657"/>
        <item m="1" x="3145"/>
        <item m="1" x="1915"/>
        <item m="1" x="3146"/>
        <item m="1" x="1920"/>
        <item m="1" x="3147"/>
        <item m="1" x="3148"/>
        <item m="1" x="1720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1878"/>
        <item m="1" x="3171"/>
        <item m="1" x="3172"/>
        <item m="1" x="3173"/>
        <item m="1" x="3174"/>
        <item m="1" x="1662"/>
        <item m="1" x="1660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1914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1558"/>
        <item m="1" x="1559"/>
        <item m="1" x="1560"/>
        <item m="1" x="1562"/>
        <item m="1" x="1564"/>
        <item m="1" x="1568"/>
        <item m="1" x="1572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3"/>
        <item m="1" x="1624"/>
        <item m="1" x="1627"/>
        <item m="1" x="1634"/>
        <item m="1" x="1635"/>
        <item m="1" x="1636"/>
        <item m="1" x="1637"/>
        <item m="1" x="1638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8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6"/>
        <item m="1" x="1697"/>
        <item m="1" x="1698"/>
        <item m="1" x="1699"/>
        <item m="1" x="1700"/>
        <item m="1" x="1701"/>
        <item m="1" x="1705"/>
        <item m="1" x="1707"/>
        <item m="1" x="1708"/>
        <item m="1" x="1709"/>
        <item m="1" x="1710"/>
        <item m="1" x="1711"/>
        <item m="1" x="1712"/>
        <item m="1" x="1714"/>
        <item m="1" x="1715"/>
        <item m="1" x="1716"/>
        <item m="1" x="1717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9"/>
        <item m="1" x="1750"/>
        <item m="1" x="1753"/>
        <item m="1" x="1754"/>
        <item m="1" x="1755"/>
        <item m="1" x="1756"/>
        <item m="1" x="1425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217"/>
        <item m="1" x="1798"/>
        <item m="1" x="1799"/>
        <item m="1" x="1800"/>
        <item m="1" x="1801"/>
        <item m="1" x="1802"/>
        <item m="1" x="1803"/>
        <item m="1" x="1805"/>
        <item m="1" x="1806"/>
        <item m="1" x="1807"/>
        <item m="1" x="1808"/>
        <item m="1" x="1809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049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9"/>
        <item m="1" x="1880"/>
        <item m="1" x="1881"/>
        <item m="1" x="1882"/>
        <item m="1" x="1883"/>
        <item m="1" x="1884"/>
        <item m="1" x="1885"/>
        <item m="1" x="1886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6"/>
        <item m="1" x="1917"/>
        <item m="1" x="1921"/>
        <item m="1" x="1922"/>
        <item m="1" x="1923"/>
        <item m="1" x="1924"/>
        <item m="1" x="1925"/>
        <item m="1" x="1926"/>
        <item m="1" x="1929"/>
        <item m="1" x="1932"/>
        <item m="1" x="1933"/>
        <item m="1" x="1934"/>
        <item m="1" x="1935"/>
        <item m="1" x="1936"/>
        <item m="1" x="1937"/>
        <item m="1" x="1938"/>
        <item m="1" x="1940"/>
        <item m="1" x="1941"/>
        <item m="1" x="1942"/>
        <item m="1" x="1943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988"/>
        <item m="1" x="2005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7"/>
        <item m="1" x="2028"/>
        <item m="1" x="989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1"/>
        <item m="1" x="2042"/>
        <item m="1" x="2043"/>
        <item m="1" x="2044"/>
        <item m="1" x="2045"/>
        <item m="1" x="2047"/>
        <item m="1" x="2048"/>
        <item m="1" x="2049"/>
        <item m="1" x="2050"/>
        <item m="1" x="2052"/>
        <item m="1" x="2053"/>
        <item m="1" x="2054"/>
        <item m="1" x="2055"/>
        <item m="1" x="2057"/>
        <item m="1" x="2059"/>
        <item m="1" x="2060"/>
        <item m="1" x="2061"/>
        <item m="1" x="2062"/>
        <item m="1" x="2064"/>
        <item m="1" x="2065"/>
        <item m="1" x="2066"/>
        <item m="1" x="2067"/>
        <item m="1" x="2068"/>
        <item m="1" x="2069"/>
        <item m="1" x="2071"/>
        <item m="1" x="2072"/>
        <item m="1" x="2073"/>
        <item m="1" x="1145"/>
        <item m="1" x="2074"/>
        <item m="1" x="2075"/>
        <item m="1" x="2076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823"/>
        <item m="1" x="2099"/>
        <item m="1" x="2100"/>
        <item m="1" x="2101"/>
        <item m="1" x="2102"/>
        <item m="1" x="2103"/>
        <item m="1" x="2104"/>
        <item m="1" x="2105"/>
        <item m="1" x="2106"/>
        <item m="1" x="901"/>
        <item m="1" x="2107"/>
        <item m="1" x="2108"/>
        <item m="1" x="2109"/>
        <item m="1" x="2110"/>
        <item m="1" x="2111"/>
        <item m="1" x="2112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7"/>
        <item m="1" x="2148"/>
        <item m="1" x="2149"/>
        <item m="1" x="2150"/>
        <item m="1" x="2151"/>
        <item m="1" x="2152"/>
        <item m="1" x="2153"/>
        <item m="1" x="2154"/>
        <item m="1" x="1088"/>
        <item m="1" x="2155"/>
        <item m="1" x="2156"/>
        <item m="1" x="2157"/>
        <item m="1" x="2158"/>
        <item m="1" x="1426"/>
        <item m="1" x="2159"/>
        <item m="1" x="2160"/>
        <item m="1" x="2161"/>
        <item m="1" x="2162"/>
        <item m="1" x="2163"/>
        <item m="1" x="2164"/>
        <item m="1" x="2165"/>
        <item m="1" x="2166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7"/>
        <item m="1" x="2271"/>
        <item m="1" x="2272"/>
        <item m="1" x="2273"/>
        <item m="1" x="2274"/>
        <item m="1" x="2275"/>
        <item m="1" x="2276"/>
        <item m="1" x="2277"/>
        <item m="1" x="2278"/>
        <item m="1" x="1097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8"/>
        <item m="1" x="2319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2391"/>
        <item m="1" x="2392"/>
        <item m="1" x="2393"/>
        <item m="1" x="879"/>
        <item m="1" x="2394"/>
        <item m="1" x="880"/>
        <item m="1" x="2395"/>
        <item m="1" x="2396"/>
        <item m="1" x="2397"/>
        <item m="1" x="2398"/>
        <item m="1" x="2399"/>
        <item m="1" x="2400"/>
        <item m="1" x="2401"/>
        <item m="1" x="2402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1461"/>
        <item m="1" x="2414"/>
        <item m="1" x="2415"/>
        <item m="1" x="2416"/>
        <item m="1" x="2417"/>
        <item m="1" x="2418"/>
        <item m="1" x="2419"/>
        <item m="1" x="2420"/>
        <item m="1" x="2421"/>
        <item m="1" x="2424"/>
        <item m="1" x="2426"/>
        <item m="1" x="2427"/>
        <item m="1" x="2428"/>
        <item m="1" x="2429"/>
        <item m="1" x="2430"/>
        <item m="1" x="2431"/>
        <item m="1" x="2433"/>
        <item m="1" x="2434"/>
        <item m="1" x="2435"/>
        <item m="1" x="2436"/>
        <item m="1" x="2437"/>
        <item m="1" x="2438"/>
        <item m="1" x="2439"/>
        <item m="1" x="2441"/>
        <item m="1" x="2442"/>
        <item m="1" x="2443"/>
        <item m="1" x="2444"/>
        <item m="1" x="2445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60"/>
        <item m="1" x="2467"/>
        <item m="1" x="2469"/>
        <item m="1" x="2470"/>
        <item m="1" x="2471"/>
        <item m="1" x="2473"/>
        <item m="1" x="2476"/>
        <item m="1" x="2477"/>
        <item m="1" x="2480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3"/>
        <item m="1" x="2505"/>
        <item m="1" x="2520"/>
        <item m="1" x="2521"/>
        <item m="1" x="2522"/>
        <item m="1" x="2523"/>
        <item m="1" x="2524"/>
        <item m="1" x="2525"/>
        <item m="1" x="2526"/>
        <item m="1" x="1441"/>
        <item m="1" x="2527"/>
        <item m="1" x="2070"/>
        <item m="1" x="2349"/>
        <item m="1" x="2385"/>
        <item m="1" x="2403"/>
        <item m="1" x="2422"/>
        <item m="1" x="2423"/>
        <item m="1" x="2432"/>
        <item m="1" x="2456"/>
        <item m="1" x="2457"/>
        <item m="1" x="2458"/>
        <item m="1" x="1159"/>
        <item m="1" x="2459"/>
        <item m="1" x="1177"/>
        <item m="1" x="2461"/>
        <item m="1" x="2462"/>
        <item m="1" x="2463"/>
        <item m="1" x="2464"/>
        <item m="1" x="2468"/>
        <item m="1" x="1124"/>
        <item m="1" x="2502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9"/>
        <item m="1" x="1023"/>
        <item m="1" x="1024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9"/>
        <item m="1" x="1090"/>
        <item m="1" x="1091"/>
        <item m="1" x="1092"/>
        <item m="1" x="1093"/>
        <item m="1" x="1094"/>
        <item m="1" x="1095"/>
        <item m="1" x="1096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8"/>
        <item m="1" x="1139"/>
        <item m="1" x="1140"/>
        <item m="1" x="1141"/>
        <item m="1" x="1142"/>
        <item m="1" x="1143"/>
        <item m="1" x="114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t="default"/>
      </items>
    </pivotField>
    <pivotField showAll="0"/>
    <pivotField showAll="0"/>
    <pivotField showAll="0"/>
    <pivotField numFmtId="58" showAll="0"/>
    <pivotField numFmtId="4" showAll="0"/>
    <pivotField axis="axisRow" showAll="0">
      <items count="9">
        <item m="1" x="7"/>
        <item sd="0" x="2"/>
        <item sd="0" x="3"/>
        <item sd="0" x="5"/>
        <item sd="0" x="0"/>
        <item sd="0" x="4"/>
        <item sd="0" x="1"/>
        <item x="6"/>
        <item t="default"/>
      </items>
    </pivotField>
    <pivotField numFmtId="58" showAll="0"/>
    <pivotField numFmtId="185" showAll="0"/>
    <pivotField numFmtId="185" showAll="0"/>
    <pivotField showAll="0"/>
    <pivotField showAll="0"/>
    <pivotField numFmtId="1" showAll="0"/>
    <pivotField showAll="0"/>
    <pivotField numFmtId="1" showAll="0"/>
    <pivotField showAll="0"/>
    <pivotField showAll="0"/>
    <pivotField numFmtId="2" showAll="0"/>
    <pivotField numFmtId="2" showAll="0"/>
    <pivotField showAll="0"/>
    <pivotField dataField="1" showAll="0"/>
    <pivotField dataField="1" numFmtId="2" showAll="0"/>
    <pivotField showAll="0"/>
  </pivotFields>
  <rowFields count="2">
    <field x="7"/>
    <field x="1"/>
  </rowFields>
  <rowItems count="68">
    <i>
      <x v="1"/>
    </i>
    <i>
      <x v="2"/>
    </i>
    <i>
      <x v="3"/>
    </i>
    <i>
      <x v="4"/>
    </i>
    <i>
      <x v="5"/>
    </i>
    <i>
      <x v="6"/>
    </i>
    <i>
      <x v="7"/>
    </i>
    <i r="1">
      <x v="6006"/>
    </i>
    <i r="1">
      <x v="6017"/>
    </i>
    <i r="1">
      <x v="6037"/>
    </i>
    <i r="1">
      <x v="6038"/>
    </i>
    <i r="1">
      <x v="6127"/>
    </i>
    <i r="1">
      <x v="6134"/>
    </i>
    <i r="1">
      <x v="6165"/>
    </i>
    <i r="1">
      <x v="6166"/>
    </i>
    <i r="1">
      <x v="6167"/>
    </i>
    <i r="1">
      <x v="6168"/>
    </i>
    <i r="1">
      <x v="6169"/>
    </i>
    <i r="1">
      <x v="6206"/>
    </i>
    <i r="1">
      <x v="6210"/>
    </i>
    <i r="1">
      <x v="6219"/>
    </i>
    <i r="1">
      <x v="6269"/>
    </i>
    <i r="1">
      <x v="6277"/>
    </i>
    <i r="1">
      <x v="6278"/>
    </i>
    <i r="1">
      <x v="6279"/>
    </i>
    <i r="1">
      <x v="6335"/>
    </i>
    <i r="1">
      <x v="6351"/>
    </i>
    <i r="1">
      <x v="6366"/>
    </i>
    <i r="1">
      <x v="6394"/>
    </i>
    <i r="1">
      <x v="6431"/>
    </i>
    <i r="1">
      <x v="6432"/>
    </i>
    <i r="1">
      <x v="6433"/>
    </i>
    <i r="1">
      <x v="6462"/>
    </i>
    <i r="1">
      <x v="6510"/>
    </i>
    <i r="1">
      <x v="6511"/>
    </i>
    <i r="1">
      <x v="6521"/>
    </i>
    <i r="1">
      <x v="6530"/>
    </i>
    <i r="1">
      <x v="6549"/>
    </i>
    <i r="1">
      <x v="6551"/>
    </i>
    <i r="1">
      <x v="6566"/>
    </i>
    <i r="1">
      <x v="6586"/>
    </i>
    <i r="1">
      <x v="6590"/>
    </i>
    <i r="1">
      <x v="6591"/>
    </i>
    <i r="1">
      <x v="6592"/>
    </i>
    <i r="1">
      <x v="6634"/>
    </i>
    <i r="1">
      <x v="6638"/>
    </i>
    <i r="1">
      <x v="6656"/>
    </i>
    <i r="1">
      <x v="6659"/>
    </i>
    <i r="1">
      <x v="6669"/>
    </i>
    <i r="1">
      <x v="6685"/>
    </i>
    <i r="1">
      <x v="6686"/>
    </i>
    <i r="1">
      <x v="6687"/>
    </i>
    <i r="1">
      <x v="6688"/>
    </i>
    <i r="1">
      <x v="6705"/>
    </i>
    <i r="1">
      <x v="6706"/>
    </i>
    <i r="1">
      <x v="6709"/>
    </i>
    <i r="1">
      <x v="6710"/>
    </i>
    <i r="1">
      <x v="6711"/>
    </i>
    <i r="1">
      <x v="6712"/>
    </i>
    <i r="1">
      <x v="6727"/>
    </i>
    <i r="1">
      <x v="6730"/>
    </i>
    <i r="1">
      <x v="6738"/>
    </i>
    <i r="1">
      <x v="6740"/>
    </i>
    <i r="1">
      <x v="6741"/>
    </i>
    <i r="1">
      <x v="6742"/>
    </i>
    <i r="1">
      <x v="6750"/>
    </i>
    <i r="1">
      <x v="67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ago Comision" fld="21" baseField="0" baseItem="0"/>
    <dataField name="Suma de Pago Gerente" fld="22" baseField="0" baseItem="0" numFmtId="2"/>
  </dataFields>
  <formats count="6">
    <format dxfId="0">
      <pivotArea outline="0" collapsedLevelsAreSubtotals="1" fieldPosition="0"/>
    </format>
    <format dxfId="1">
      <pivotArea dataOnly="0" labelOnly="1" outline="0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Vendedores" displayName="Vendedores" ref="A9:C18" totalsRowShown="0">
  <autoFilter ref="A9:C18"/>
  <tableColumns count="3">
    <tableColumn id="1" name="Vendedor "/>
    <tableColumn id="2" name="Meta " dataDxfId="6"/>
    <tableColumn id="3" name="Tipo %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ision" displayName="Comision" ref="A20:F25" totalsRowShown="0">
  <autoFilter ref="A20:F25"/>
  <tableColumns count="6">
    <tableColumn id="1" name="Comision en base a Meta %" dataDxfId="8"/>
    <tableColumn id="2" name="N" dataDxfId="9"/>
    <tableColumn id="3" name="E" dataDxfId="10"/>
    <tableColumn id="4" name="O" dataDxfId="11"/>
    <tableColumn id="5" name="P" dataDxfId="12"/>
    <tableColumn id="6" name="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ntas" displayName="Ventas" ref="A43:J52" totalsRowShown="0">
  <autoFilter ref="A43:J52"/>
  <tableColumns count="10">
    <tableColumn id="1" name="Vendedor %"/>
    <tableColumn id="2" name="Unidades" dataDxfId="14"/>
    <tableColumn id="3" name="Venta" dataDxfId="15"/>
    <tableColumn id="4" name="% De meta" dataDxfId="16"/>
    <tableColumn id="5" name="c%" dataDxfId="17"/>
    <tableColumn id="6" name="Tipo" dataDxfId="18"/>
    <tableColumn id="7" name="0" dataDxfId="19"/>
    <tableColumn id="8" name="1" dataDxfId="20"/>
    <tableColumn id="9" name="2" dataDxfId="21"/>
    <tableColumn id="10" name="3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entes" displayName="Clientes" ref="A55:D2071" totalsRowShown="0">
  <autoFilter ref="A55:D2071"/>
  <sortState ref="A55:D2071">
    <sortCondition ref="A55:A1445"/>
  </sortState>
  <tableColumns count="4">
    <tableColumn id="1" name="Codigo" dataDxfId="23"/>
    <tableColumn id="2" name="Nombre" dataDxfId="24"/>
    <tableColumn id="3" name="Columna1" dataDxfId="25"/>
    <tableColumn id="4" name="Días Plazo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A2:B7" totalsRowShown="0">
  <autoFilter ref="A2:B7"/>
  <tableColumns count="2">
    <tableColumn id="1" name="Tipo de Vendedor:"/>
    <tableColumn id="2" name="Siglas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aDias" displayName="TablaDias" ref="A34:D40" totalsRowShown="0">
  <autoFilter ref="A34:D40"/>
  <tableColumns count="4">
    <tableColumn id="1" name="Tipo"/>
    <tableColumn id="2" name="Desde " dataDxfId="28"/>
    <tableColumn id="3" name="Hasta " dataDxfId="29"/>
    <tableColumn id="4" name="Porcentaje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Gerente" displayName="Gerente" ref="A27:C31" totalsRowShown="0">
  <autoFilter ref="A27:C31"/>
  <tableColumns count="3">
    <tableColumn id="1" name="% Gerente" dataDxfId="31"/>
    <tableColumn id="2" name="Desde" dataDxfId="32"/>
    <tableColumn id="3" name="Hasta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Cobros" displayName="Cobros" ref="A1:X1050" totalsRowCount="1">
  <autoFilter ref="A1:X1049"/>
  <sortState ref="A1:X1049">
    <sortCondition ref="D1:D860" descending="1"/>
  </sortState>
  <tableColumns count="24">
    <tableColumn id="1" name="Tipo Abono" dataDxfId="34"/>
    <tableColumn id="2" name="Doc Abono" dataDxfId="35"/>
    <tableColumn id="3" name="Cod. Cliente" dataDxfId="36"/>
    <tableColumn id="4" name="Cliente" dataDxfId="37"/>
    <tableColumn id="5" name="Doc. Cargo" dataDxfId="38"/>
    <tableColumn id="6" name="Fecha Cargo" dataDxfId="39"/>
    <tableColumn id="7" name="Valor Pagado" dataDxfId="40"/>
    <tableColumn id="8" name="Vendedor" dataDxfId="41"/>
    <tableColumn id="9" name="Fecha Aplicacion" dataDxfId="42"/>
    <tableColumn id="10" name="Fecha Cargo S" dataDxfId="43"/>
    <tableColumn id="11" name="Fecha Aplicación S" dataDxfId="44"/>
    <tableColumn id="12" name="Dias de Credito" dataDxfId="45"/>
    <tableColumn id="13" name="Tipo" dataDxfId="46"/>
    <tableColumn id="14" name="Dias al pago" dataDxfId="47"/>
    <tableColumn id="15" name="Dias pasado" dataDxfId="48"/>
    <tableColumn id="16" name="% aplicar" dataDxfId="49"/>
    <tableColumn id="17" name="Mes" dataDxfId="50"/>
    <tableColumn id="18" name="Papel" dataDxfId="51"/>
    <tableColumn id="19" name="% A pagar Vendedor" dataDxfId="52"/>
    <tableColumn id="20" name="% A pagar Gerente" dataDxfId="53"/>
    <tableColumn id="21" name="Vencido" dataDxfId="54"/>
    <tableColumn id="22" name="Pago Comision" totalsRowFunction="sum" dataDxfId="55"/>
    <tableColumn id="23" name="Pago Gerente" totalsRowFunction="sum" dataDxfId="56"/>
    <tableColumn id="24" name="Columna1" dataDxfId="5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5" name="PAPEL" displayName="PAPEL" ref="A3:M64" totalsRowShown="0">
  <autoFilter ref="A3:M64"/>
  <tableColumns count="13">
    <tableColumn id="1" name="Fecha" dataDxfId="60"/>
    <tableColumn id="2" name="Numero" dataDxfId="61"/>
    <tableColumn id="3" name="Cuenta" dataDxfId="62"/>
    <tableColumn id="4" name="Cliente" dataDxfId="63"/>
    <tableColumn id="5" name="Codigo" dataDxfId="64"/>
    <tableColumn id="6" name="Articulo" dataDxfId="65"/>
    <tableColumn id="7" name="Vendedor" dataDxfId="66"/>
    <tableColumn id="8" name="Unidades" dataDxfId="67"/>
    <tableColumn id="9" name="Costo" dataDxfId="68"/>
    <tableColumn id="10" name="Venta" dataDxfId="69"/>
    <tableColumn id="11" name="Utilidad" dataDxfId="70"/>
    <tableColumn id="12" name="MargenV" dataDxfId="71"/>
    <tableColumn id="13" name="Columna1" dataDxfId="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atpcs.com.co/catalogos/CatalogoPOS_SAT.pdf" TargetMode="Externa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2071"/>
  <sheetViews>
    <sheetView topLeftCell="A37" workbookViewId="0">
      <selection activeCell="H44" sqref="H44:H50"/>
    </sheetView>
  </sheetViews>
  <sheetFormatPr defaultColWidth="11" defaultRowHeight="15"/>
  <cols>
    <col min="1" max="1" width="26.2833333333333" customWidth="1"/>
    <col min="2" max="2" width="17.2833333333333" style="34" customWidth="1"/>
    <col min="3" max="3" width="17.7083333333333" style="34" customWidth="1"/>
    <col min="4" max="4" width="14.7083333333333" style="34" customWidth="1"/>
    <col min="5" max="5" width="11.425" customWidth="1"/>
    <col min="6" max="6" width="11.5666666666667" style="77" customWidth="1"/>
    <col min="7" max="7" width="7.56666666666667" customWidth="1"/>
    <col min="8" max="8" width="7.70833333333333" customWidth="1"/>
    <col min="9" max="9" width="9.14166666666667" style="34" customWidth="1"/>
    <col min="10" max="10" width="7.56666666666667" customWidth="1"/>
    <col min="11" max="11" width="7.85833333333333" style="34" customWidth="1"/>
    <col min="12" max="12" width="11.425" style="34" customWidth="1"/>
    <col min="13" max="13" width="13.8583333333333" style="78" customWidth="1"/>
    <col min="14" max="14" width="12.5666666666667" style="78" customWidth="1"/>
  </cols>
  <sheetData>
    <row r="2" ht="15.75" spans="1:5">
      <c r="A2" t="s">
        <v>0</v>
      </c>
      <c r="B2" s="34" t="s">
        <v>1</v>
      </c>
      <c r="D2" s="79" t="s">
        <v>2</v>
      </c>
      <c r="E2" s="103">
        <v>46174</v>
      </c>
    </row>
    <row r="3" ht="15.75" spans="1:15">
      <c r="A3" t="s">
        <v>3</v>
      </c>
      <c r="B3" s="34" t="s">
        <v>4</v>
      </c>
      <c r="C3" s="80"/>
      <c r="L3" s="109"/>
      <c r="M3" s="112"/>
      <c r="N3" s="112"/>
      <c r="O3" s="113"/>
    </row>
    <row r="4" spans="1:15">
      <c r="A4" t="s">
        <v>5</v>
      </c>
      <c r="B4" s="34" t="s">
        <v>6</v>
      </c>
      <c r="C4" s="80"/>
      <c r="K4" s="110"/>
      <c r="M4" s="114"/>
      <c r="N4" s="115"/>
      <c r="O4" s="115"/>
    </row>
    <row r="5" spans="1:15">
      <c r="A5" s="81" t="s">
        <v>7</v>
      </c>
      <c r="B5" s="34" t="s">
        <v>8</v>
      </c>
      <c r="C5" s="80"/>
      <c r="K5" s="110"/>
      <c r="M5" s="114"/>
      <c r="N5" s="115"/>
      <c r="O5" s="115"/>
    </row>
    <row r="6" spans="1:2">
      <c r="A6" t="s">
        <v>9</v>
      </c>
      <c r="B6" s="34" t="s">
        <v>10</v>
      </c>
    </row>
    <row r="7" spans="1:2">
      <c r="A7" t="s">
        <v>11</v>
      </c>
      <c r="B7" s="34" t="s">
        <v>12</v>
      </c>
    </row>
    <row r="9" spans="1:3">
      <c r="A9" t="s">
        <v>13</v>
      </c>
      <c r="B9" s="34" t="s">
        <v>14</v>
      </c>
      <c r="C9" s="34" t="s">
        <v>15</v>
      </c>
    </row>
    <row r="10" spans="1:3">
      <c r="A10" s="49" t="s">
        <v>16</v>
      </c>
      <c r="B10" s="82">
        <v>200000</v>
      </c>
      <c r="C10" s="34" t="s">
        <v>4</v>
      </c>
    </row>
    <row r="11" spans="1:3">
      <c r="A11" s="49" t="s">
        <v>17</v>
      </c>
      <c r="B11" s="82">
        <v>160000</v>
      </c>
      <c r="C11" s="62" t="s">
        <v>4</v>
      </c>
    </row>
    <row r="12" spans="1:3">
      <c r="A12" s="49" t="s">
        <v>18</v>
      </c>
      <c r="B12" s="82">
        <v>160000</v>
      </c>
      <c r="C12" s="34" t="s">
        <v>4</v>
      </c>
    </row>
    <row r="13" spans="1:3">
      <c r="A13" t="s">
        <v>19</v>
      </c>
      <c r="B13" s="82">
        <v>65000</v>
      </c>
      <c r="C13" s="34" t="s">
        <v>4</v>
      </c>
    </row>
    <row r="14" spans="1:3">
      <c r="A14" t="s">
        <v>20</v>
      </c>
      <c r="B14" s="82">
        <v>40000</v>
      </c>
      <c r="C14" s="62" t="s">
        <v>4</v>
      </c>
    </row>
    <row r="15" spans="1:3">
      <c r="A15" s="49" t="s">
        <v>21</v>
      </c>
      <c r="B15" s="82">
        <v>65000</v>
      </c>
      <c r="C15" s="34" t="s">
        <v>4</v>
      </c>
    </row>
    <row r="16" spans="1:3">
      <c r="A16" s="49" t="s">
        <v>22</v>
      </c>
      <c r="B16" s="82">
        <v>160000</v>
      </c>
      <c r="C16" s="62" t="s">
        <v>4</v>
      </c>
    </row>
    <row r="17" spans="2:5">
      <c r="B17" s="82"/>
      <c r="D17" s="83"/>
      <c r="E17" s="104"/>
    </row>
    <row r="18" spans="1:3">
      <c r="A18" t="s">
        <v>23</v>
      </c>
      <c r="B18" s="82">
        <v>0.005</v>
      </c>
      <c r="C18" s="62" t="s">
        <v>6</v>
      </c>
    </row>
    <row r="20" spans="1:6">
      <c r="A20" t="s">
        <v>24</v>
      </c>
      <c r="B20" s="34" t="s">
        <v>4</v>
      </c>
      <c r="C20" s="34" t="s">
        <v>6</v>
      </c>
      <c r="D20" s="34" t="s">
        <v>8</v>
      </c>
      <c r="E20" s="34" t="s">
        <v>10</v>
      </c>
      <c r="F20" s="78" t="s">
        <v>12</v>
      </c>
    </row>
    <row r="21" spans="1:6">
      <c r="A21" s="34">
        <v>80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</row>
    <row r="22" spans="1:6">
      <c r="A22" s="34">
        <v>100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</row>
    <row r="23" spans="1:6">
      <c r="A23" s="34">
        <v>110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</row>
    <row r="24" spans="1:6">
      <c r="A24" s="34">
        <v>150</v>
      </c>
      <c r="B24" s="34">
        <v>1.25</v>
      </c>
      <c r="C24" s="34">
        <v>1.25</v>
      </c>
      <c r="D24" s="34">
        <v>1.25</v>
      </c>
      <c r="E24" s="34">
        <v>1.25</v>
      </c>
      <c r="F24" s="34">
        <v>1.25</v>
      </c>
    </row>
    <row r="25" spans="1:6">
      <c r="A25" s="34" t="s">
        <v>25</v>
      </c>
      <c r="B25" s="84">
        <v>0.005</v>
      </c>
      <c r="C25" s="84"/>
      <c r="D25" s="84"/>
      <c r="E25" s="84"/>
      <c r="F25" s="84"/>
    </row>
    <row r="26" spans="1:6">
      <c r="A26" s="34"/>
      <c r="E26" s="34"/>
      <c r="F26" s="34"/>
    </row>
    <row r="27" hidden="1" spans="1:6">
      <c r="A27" s="34" t="s">
        <v>26</v>
      </c>
      <c r="B27" s="34" t="s">
        <v>27</v>
      </c>
      <c r="C27" s="34" t="s">
        <v>28</v>
      </c>
      <c r="E27" s="34"/>
      <c r="F27" s="34"/>
    </row>
    <row r="28" hidden="1" spans="1:6">
      <c r="A28" s="34">
        <v>0.005</v>
      </c>
      <c r="B28" s="85">
        <v>0</v>
      </c>
      <c r="C28" s="86">
        <v>800000</v>
      </c>
      <c r="E28" s="34"/>
      <c r="F28" s="34"/>
    </row>
    <row r="29" hidden="1" spans="1:6">
      <c r="A29" s="34">
        <v>0.005</v>
      </c>
      <c r="B29" s="85">
        <v>800001</v>
      </c>
      <c r="C29" s="86">
        <v>1499999</v>
      </c>
      <c r="E29" s="34"/>
      <c r="F29" s="34"/>
    </row>
    <row r="30" hidden="1" spans="1:6">
      <c r="A30" s="34">
        <v>0.005</v>
      </c>
      <c r="B30" s="85">
        <v>1500000</v>
      </c>
      <c r="C30" s="86">
        <v>1999999</v>
      </c>
      <c r="E30" s="34"/>
      <c r="F30" s="34"/>
    </row>
    <row r="31" hidden="1" spans="1:6">
      <c r="A31" s="34">
        <v>0.005</v>
      </c>
      <c r="B31" s="85">
        <v>2000000</v>
      </c>
      <c r="C31" s="86">
        <v>10000000</v>
      </c>
      <c r="E31" s="34"/>
      <c r="F31" s="34"/>
    </row>
    <row r="32" hidden="1" spans="1:6">
      <c r="A32" s="34"/>
      <c r="E32" s="34"/>
      <c r="F32" s="34"/>
    </row>
    <row r="33" spans="2:6">
      <c r="B33" s="87" t="s">
        <v>29</v>
      </c>
      <c r="C33" s="87"/>
      <c r="E33" s="34"/>
      <c r="F33" s="34"/>
    </row>
    <row r="34" spans="1:6">
      <c r="A34" t="s">
        <v>30</v>
      </c>
      <c r="B34" s="34" t="s">
        <v>31</v>
      </c>
      <c r="C34" s="34" t="s">
        <v>32</v>
      </c>
      <c r="D34" s="34" t="s">
        <v>33</v>
      </c>
      <c r="E34" s="34"/>
      <c r="F34" s="34"/>
    </row>
    <row r="35" spans="1:6">
      <c r="A35" t="s">
        <v>34</v>
      </c>
      <c r="B35" s="34">
        <v>0</v>
      </c>
      <c r="C35" s="34">
        <v>3</v>
      </c>
      <c r="D35" s="34">
        <v>100</v>
      </c>
      <c r="E35" s="34"/>
      <c r="F35" s="34"/>
    </row>
    <row r="36" spans="1:6">
      <c r="A36" t="s">
        <v>34</v>
      </c>
      <c r="B36" s="34">
        <v>4</v>
      </c>
      <c r="C36" s="34">
        <v>10000</v>
      </c>
      <c r="D36" s="34">
        <v>0</v>
      </c>
      <c r="E36" s="34"/>
      <c r="F36" s="34"/>
    </row>
    <row r="37" spans="1:6">
      <c r="A37" t="s">
        <v>35</v>
      </c>
      <c r="B37" s="34">
        <v>0</v>
      </c>
      <c r="C37" s="34">
        <v>15</v>
      </c>
      <c r="D37" s="34">
        <v>100</v>
      </c>
      <c r="E37" s="34"/>
      <c r="F37" s="34"/>
    </row>
    <row r="38" spans="1:6">
      <c r="A38" t="s">
        <v>35</v>
      </c>
      <c r="B38" s="34">
        <v>16</v>
      </c>
      <c r="C38" s="34">
        <v>30</v>
      </c>
      <c r="D38" s="34">
        <v>50</v>
      </c>
      <c r="E38" s="34"/>
      <c r="F38" s="34"/>
    </row>
    <row r="39" spans="1:6">
      <c r="A39" t="s">
        <v>35</v>
      </c>
      <c r="B39" s="34">
        <v>31</v>
      </c>
      <c r="C39" s="34">
        <v>60</v>
      </c>
      <c r="D39" s="34">
        <v>30</v>
      </c>
      <c r="E39" s="34"/>
      <c r="F39" s="34"/>
    </row>
    <row r="40" spans="1:6">
      <c r="A40" t="s">
        <v>35</v>
      </c>
      <c r="B40" s="34">
        <v>61</v>
      </c>
      <c r="C40" s="34">
        <v>10000</v>
      </c>
      <c r="D40" s="34">
        <v>0</v>
      </c>
      <c r="E40" s="34"/>
      <c r="F40" s="34"/>
    </row>
    <row r="42" spans="7:10">
      <c r="G42" s="63" t="s">
        <v>36</v>
      </c>
      <c r="H42" s="63" t="s">
        <v>37</v>
      </c>
      <c r="I42" s="110" t="s">
        <v>38</v>
      </c>
      <c r="J42" s="63" t="s">
        <v>39</v>
      </c>
    </row>
    <row r="43" spans="1:12">
      <c r="A43" t="s">
        <v>40</v>
      </c>
      <c r="B43" s="34" t="s">
        <v>41</v>
      </c>
      <c r="C43" s="34" t="s">
        <v>42</v>
      </c>
      <c r="D43" t="s">
        <v>43</v>
      </c>
      <c r="E43" s="34" t="s">
        <v>44</v>
      </c>
      <c r="F43" s="34" t="s">
        <v>30</v>
      </c>
      <c r="G43" s="34" t="s">
        <v>45</v>
      </c>
      <c r="H43" s="34" t="s">
        <v>46</v>
      </c>
      <c r="I43" s="34" t="s">
        <v>47</v>
      </c>
      <c r="J43" t="s">
        <v>48</v>
      </c>
      <c r="K43"/>
      <c r="L43"/>
    </row>
    <row r="44" spans="1:12">
      <c r="A44" s="49" t="s">
        <v>16</v>
      </c>
      <c r="B44" s="88"/>
      <c r="C44" s="89">
        <f>359108.53+1050</f>
        <v>360158.53</v>
      </c>
      <c r="D44" s="46">
        <f>(Ventas[[#This Row],[Venta]]*100)/INDEX(Vendedores[Meta ],MATCH(Ventas[[#This Row],[Vendedor %]],Vendedores[Vendedor ],0),1)</f>
        <v>180.079265</v>
      </c>
      <c r="E44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150</v>
      </c>
      <c r="F44" s="61" t="str">
        <f>INDEX(Vendedores[Tipo %],MATCH(Ventas[[#This Row],[Vendedor %]],Vendedores[Vendedor ]))</f>
        <v>N</v>
      </c>
      <c r="G44" s="46">
        <f>IF(Ventas[[#This Row],[c%]]=0,0,INDEX(Comision[[N]:[P]],MATCH(Ventas[[#This Row],[c%]],Comision[Comision en base a Meta %],0),MATCH(Ventas[[#This Row],[Tipo]],Comision[[#Headers],[N]:[P]],0)))</f>
        <v>1.25</v>
      </c>
      <c r="H44" s="105">
        <v>1</v>
      </c>
      <c r="I44" s="105">
        <v>1</v>
      </c>
      <c r="J44" s="105">
        <v>1.25</v>
      </c>
      <c r="K44"/>
      <c r="L44"/>
    </row>
    <row r="45" spans="1:12">
      <c r="A45" s="49" t="s">
        <v>17</v>
      </c>
      <c r="B45" s="88"/>
      <c r="C45" s="89">
        <v>192543.68</v>
      </c>
      <c r="D45" s="46">
        <f>(Ventas[[#This Row],[Venta]]*100)/INDEX(Vendedores[Meta ],MATCH(Ventas[[#This Row],[Vendedor %]],Vendedores[Vendedor ],0),1)</f>
        <v>120.3398</v>
      </c>
      <c r="E45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110</v>
      </c>
      <c r="F45" s="61" t="str">
        <f>INDEX(Vendedores[Tipo %],MATCH(Ventas[[#This Row],[Vendedor %]],Vendedores[Vendedor ]))</f>
        <v>N</v>
      </c>
      <c r="G45" s="46">
        <f>IF(Ventas[[#This Row],[c%]]=0,0,INDEX(Comision[[N]:[P]],MATCH(Ventas[[#This Row],[c%]],Comision[Comision en base a Meta %],0),MATCH(Ventas[[#This Row],[Tipo]],Comision[[#Headers],[N]:[P]],0)))</f>
        <v>1</v>
      </c>
      <c r="H45" s="105">
        <v>1</v>
      </c>
      <c r="I45" s="105">
        <v>0</v>
      </c>
      <c r="J45" s="105">
        <v>1</v>
      </c>
      <c r="K45"/>
      <c r="L45"/>
    </row>
    <row r="46" spans="1:12">
      <c r="A46" s="49" t="s">
        <v>18</v>
      </c>
      <c r="B46" s="88"/>
      <c r="C46" s="89">
        <v>259586.25</v>
      </c>
      <c r="D46" s="46">
        <f>(Ventas[[#This Row],[Venta]]*100)/INDEX(Vendedores[Meta ],MATCH(Ventas[[#This Row],[Vendedor %]],Vendedores[Vendedor ],0),1)</f>
        <v>162.24140625</v>
      </c>
      <c r="E46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150</v>
      </c>
      <c r="F46" s="61" t="str">
        <f>INDEX(Vendedores[Tipo %],MATCH(Ventas[[#This Row],[Vendedor %]],Vendedores[Vendedor ]))</f>
        <v>N</v>
      </c>
      <c r="G46" s="46">
        <f>IF(Ventas[[#This Row],[c%]]=0,0,INDEX(Comision[[N]:[P]],MATCH(Ventas[[#This Row],[c%]],Comision[Comision en base a Meta %],0),MATCH(Ventas[[#This Row],[Tipo]],Comision[[#Headers],[N]:[P]],0)))</f>
        <v>1.25</v>
      </c>
      <c r="H46" s="105">
        <v>1</v>
      </c>
      <c r="I46" s="105">
        <v>0</v>
      </c>
      <c r="J46" s="105">
        <v>1</v>
      </c>
      <c r="K46"/>
      <c r="L46"/>
    </row>
    <row r="47" spans="1:12">
      <c r="A47" t="s">
        <v>19</v>
      </c>
      <c r="B47" s="88"/>
      <c r="C47" s="89">
        <v>137377.91</v>
      </c>
      <c r="D47" s="46">
        <f>(Ventas[[#This Row],[Venta]]*100)/INDEX(Vendedores[Meta ],MATCH(Ventas[[#This Row],[Vendedor %]],Vendedores[Vendedor ],0),1)</f>
        <v>211.350630769231</v>
      </c>
      <c r="E47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150</v>
      </c>
      <c r="F47" s="61" t="str">
        <f>INDEX(Vendedores[Tipo %],MATCH(Ventas[[#This Row],[Vendedor %]],Vendedores[Vendedor ]))</f>
        <v>N</v>
      </c>
      <c r="G47" s="46">
        <f>IF(Ventas[[#This Row],[c%]]=0,0,INDEX(Comision[[N]:[P]],MATCH(Ventas[[#This Row],[c%]],Comision[Comision en base a Meta %],0),MATCH(Ventas[[#This Row],[Tipo]],Comision[[#Headers],[N]:[P]],0)))</f>
        <v>1.25</v>
      </c>
      <c r="H47" s="105">
        <v>1.25</v>
      </c>
      <c r="I47" s="105">
        <v>1</v>
      </c>
      <c r="J47" s="105">
        <v>1</v>
      </c>
      <c r="K47"/>
      <c r="L47"/>
    </row>
    <row r="48" spans="1:12">
      <c r="A48" t="s">
        <v>20</v>
      </c>
      <c r="B48" s="88"/>
      <c r="C48" s="89">
        <v>106938.81</v>
      </c>
      <c r="D48" s="46">
        <f>(Ventas[[#This Row],[Venta]]*100)/INDEX(Vendedores[Meta ],MATCH(Ventas[[#This Row],[Vendedor %]],Vendedores[Vendedor ],0),1)</f>
        <v>267.347025</v>
      </c>
      <c r="E48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150</v>
      </c>
      <c r="F48" s="61" t="str">
        <f>INDEX(Vendedores[Tipo %],MATCH(Ventas[[#This Row],[Vendedor %]],Vendedores[Vendedor ]))</f>
        <v>N</v>
      </c>
      <c r="G48" s="46">
        <f>IF(Ventas[[#This Row],[c%]]=0,0,INDEX(Comision[[N]:[P]],MATCH(Ventas[[#This Row],[c%]],Comision[Comision en base a Meta %],0),MATCH(Ventas[[#This Row],[Tipo]],Comision[[#Headers],[N]:[P]],0)))</f>
        <v>1.25</v>
      </c>
      <c r="H48" s="105">
        <v>1.25</v>
      </c>
      <c r="I48" s="105">
        <v>1</v>
      </c>
      <c r="J48" s="105">
        <v>1</v>
      </c>
      <c r="K48"/>
      <c r="L48"/>
    </row>
    <row r="49" spans="1:12">
      <c r="A49" s="49" t="s">
        <v>21</v>
      </c>
      <c r="B49" s="88"/>
      <c r="C49" s="89">
        <v>108183.06</v>
      </c>
      <c r="D49" s="46">
        <f>(Ventas[[#This Row],[Venta]]*100)/INDEX(Vendedores[Meta ],MATCH(Ventas[[#This Row],[Vendedor %]],Vendedores[Vendedor ],0),1)</f>
        <v>166.435476923077</v>
      </c>
      <c r="E49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150</v>
      </c>
      <c r="F49" s="61" t="str">
        <f>INDEX(Vendedores[Tipo %],MATCH(Ventas[[#This Row],[Vendedor %]],Vendedores[Vendedor ]))</f>
        <v>N</v>
      </c>
      <c r="G49" s="46">
        <f>IF(Ventas[[#This Row],[c%]]=0,0,INDEX(Comision[[N]:[P]],MATCH(Ventas[[#This Row],[c%]],Comision[Comision en base a Meta %],0),MATCH(Ventas[[#This Row],[Tipo]],Comision[[#Headers],[N]:[P]],0)))</f>
        <v>1.25</v>
      </c>
      <c r="H49" s="105">
        <v>1</v>
      </c>
      <c r="I49" s="105">
        <v>1</v>
      </c>
      <c r="J49" s="105">
        <v>1</v>
      </c>
      <c r="K49"/>
      <c r="L49"/>
    </row>
    <row r="50" spans="1:12">
      <c r="A50" s="49" t="s">
        <v>22</v>
      </c>
      <c r="B50" s="88"/>
      <c r="C50" s="89">
        <v>161388.99</v>
      </c>
      <c r="D50" s="46">
        <f>(Ventas[[#This Row],[Venta]]*100)/INDEX(Vendedores[Meta ],MATCH(Ventas[[#This Row],[Vendedor %]],Vendedores[Vendedor ],0),1)</f>
        <v>100.86811875</v>
      </c>
      <c r="E50" s="45">
        <f>IF(OR(Ventas[[#This Row],[Tipo]]="O",Ventas[[#This Row],[Tipo]]="P"),80,IF(Ventas[[#This Row],[% De meta]]&lt;A$21,0,IF(AND(Ventas[[#This Row],[% De meta]]&gt;=A$21,Ventas[[#This Row],[% De meta]]&lt;A$22),A$21,IF(AND(Ventas[[#This Row],[% De meta]]&gt;=A$22,Ventas[[#This Row],[% De meta]]&lt;A$23),A$22,IF(AND(Ventas[[#This Row],[% De meta]]&gt;=A$23,Ventas[[#This Row],[% De meta]]&lt;A$24),A$23,IF(Ventas[[#This Row],[% De meta]]&gt;=A$24,A$24,0))))))</f>
        <v>100</v>
      </c>
      <c r="F50" s="61" t="str">
        <f>INDEX(Vendedores[Tipo %],MATCH(Ventas[[#This Row],[Vendedor %]],Vendedores[Vendedor ]))</f>
        <v>N</v>
      </c>
      <c r="G50" s="46">
        <f>IF(Ventas[[#This Row],[c%]]=0,0,INDEX(Comision[[N]:[P]],MATCH(Ventas[[#This Row],[c%]],Comision[Comision en base a Meta %],0),MATCH(Ventas[[#This Row],[Tipo]],Comision[[#Headers],[N]:[P]],0)))</f>
        <v>1</v>
      </c>
      <c r="H50" s="105">
        <v>1</v>
      </c>
      <c r="I50" s="105">
        <v>1</v>
      </c>
      <c r="J50" s="105">
        <v>1.25</v>
      </c>
      <c r="K50"/>
      <c r="L50"/>
    </row>
    <row r="51" spans="2:12">
      <c r="B51" s="88"/>
      <c r="C51" s="89"/>
      <c r="D51" s="46"/>
      <c r="E51" s="45"/>
      <c r="F51" s="61"/>
      <c r="G51" s="46"/>
      <c r="H51" s="106"/>
      <c r="I51" s="106"/>
      <c r="J51" s="111"/>
      <c r="K51"/>
      <c r="L51"/>
    </row>
    <row r="52" spans="1:9">
      <c r="A52" t="s">
        <v>23</v>
      </c>
      <c r="B52" s="88"/>
      <c r="C52" s="90">
        <f>SUM(C44:C51)</f>
        <v>1326177.23</v>
      </c>
      <c r="D52" s="91"/>
      <c r="E52" s="45"/>
      <c r="F52" s="61"/>
      <c r="G52" s="47">
        <f>SUMIFS(Gerente[% Gerente],Gerente[Desde],"&lt;="&amp;Ventas[[#This Row],[Venta]],Gerente[Hasta],"&gt;="&amp;Ventas[[#This Row],[Venta]])</f>
        <v>0.005</v>
      </c>
      <c r="H52" s="107">
        <v>0.005</v>
      </c>
      <c r="I52" s="107">
        <v>0.005</v>
      </c>
    </row>
    <row r="53" spans="2:9">
      <c r="B53" s="92"/>
      <c r="C53" s="93"/>
      <c r="D53" s="85"/>
      <c r="E53" s="45"/>
      <c r="F53" s="61"/>
      <c r="G53" s="46"/>
      <c r="H53" s="106"/>
      <c r="I53" s="106"/>
    </row>
    <row r="54" spans="13:13">
      <c r="M54" s="116"/>
    </row>
    <row r="55" spans="1:11">
      <c r="A55" s="94" t="s">
        <v>49</v>
      </c>
      <c r="B55" s="95" t="s">
        <v>50</v>
      </c>
      <c r="C55" s="96" t="s">
        <v>51</v>
      </c>
      <c r="D55" s="96" t="s">
        <v>52</v>
      </c>
      <c r="E55" s="34"/>
      <c r="F55"/>
      <c r="G55" s="77"/>
      <c r="I55"/>
      <c r="J55" s="34"/>
      <c r="K55"/>
    </row>
    <row r="56" spans="1:11">
      <c r="A56" s="97"/>
      <c r="B56" s="98" t="s">
        <v>53</v>
      </c>
      <c r="C56" s="98" t="s">
        <v>54</v>
      </c>
      <c r="D56" s="99" t="str">
        <f>IF(OR(Clientes[[#This Row],[Columna1]]="Pago inmediato",Clientes[[#This Row],[Columna1]]=""),0,SUBSTITUTE(Clientes[[#This Row],[Columna1]]," días",""))</f>
        <v>7</v>
      </c>
      <c r="E56" s="34"/>
      <c r="F56" s="108"/>
      <c r="G56" s="82"/>
      <c r="I56"/>
      <c r="J56" s="34"/>
      <c r="K56"/>
    </row>
    <row r="57" spans="1:11">
      <c r="A57" s="100"/>
      <c r="B57" s="101" t="s">
        <v>55</v>
      </c>
      <c r="C57" s="101" t="s">
        <v>56</v>
      </c>
      <c r="D57" s="99">
        <f>IF(OR(Clientes[[#This Row],[Columna1]]="Pago inmediato",Clientes[[#This Row],[Columna1]]=""),0,SUBSTITUTE(Clientes[[#This Row],[Columna1]]," días",""))</f>
        <v>0</v>
      </c>
      <c r="E57" s="34"/>
      <c r="F57"/>
      <c r="G57" s="77"/>
      <c r="I57"/>
      <c r="J57" s="34"/>
      <c r="K57"/>
    </row>
    <row r="58" ht="60" spans="1:11">
      <c r="A58" s="102" t="s">
        <v>57</v>
      </c>
      <c r="B58" s="102" t="s">
        <v>58</v>
      </c>
      <c r="C58" s="102" t="s">
        <v>56</v>
      </c>
      <c r="D58" s="99">
        <f>IF(OR(Clientes[[#This Row],[Columna1]]="Pago inmediato",Clientes[[#This Row],[Columna1]]=""),0,SUBSTITUTE(Clientes[[#This Row],[Columna1]]," días",""))</f>
        <v>0</v>
      </c>
      <c r="E58" s="34"/>
      <c r="F58"/>
      <c r="G58" s="77"/>
      <c r="I58"/>
      <c r="J58" s="34"/>
      <c r="K58"/>
    </row>
    <row r="59" ht="30" spans="1:11">
      <c r="A59" s="102" t="s">
        <v>59</v>
      </c>
      <c r="B59" s="102" t="s">
        <v>60</v>
      </c>
      <c r="C59" s="102" t="s">
        <v>61</v>
      </c>
      <c r="D59" s="99" t="str">
        <f>IF(OR(Clientes[[#This Row],[Columna1]]="Pago inmediato",Clientes[[#This Row],[Columna1]]=""),0,SUBSTITUTE(Clientes[[#This Row],[Columna1]]," días",""))</f>
        <v>15</v>
      </c>
      <c r="E59" s="34"/>
      <c r="F59"/>
      <c r="G59" s="77"/>
      <c r="I59"/>
      <c r="J59" s="34"/>
      <c r="K59"/>
    </row>
    <row r="60" ht="30" spans="1:11">
      <c r="A60" s="102" t="s">
        <v>62</v>
      </c>
      <c r="B60" s="102" t="s">
        <v>63</v>
      </c>
      <c r="C60" s="102" t="s">
        <v>56</v>
      </c>
      <c r="D60" s="99">
        <f>IF(OR(Clientes[[#This Row],[Columna1]]="Pago inmediato",Clientes[[#This Row],[Columna1]]=""),0,SUBSTITUTE(Clientes[[#This Row],[Columna1]]," días",""))</f>
        <v>0</v>
      </c>
      <c r="E60" s="34"/>
      <c r="F60"/>
      <c r="G60" s="77"/>
      <c r="I60"/>
      <c r="J60" s="34"/>
      <c r="K60"/>
    </row>
    <row r="61" spans="1:11">
      <c r="A61" s="102" t="s">
        <v>64</v>
      </c>
      <c r="B61" s="102" t="s">
        <v>65</v>
      </c>
      <c r="C61" s="102" t="s">
        <v>56</v>
      </c>
      <c r="D61" s="99">
        <f>IF(OR(Clientes[[#This Row],[Columna1]]="Pago inmediato",Clientes[[#This Row],[Columna1]]=""),0,SUBSTITUTE(Clientes[[#This Row],[Columna1]]," días",""))</f>
        <v>0</v>
      </c>
      <c r="E61" s="34"/>
      <c r="F61"/>
      <c r="G61" s="77"/>
      <c r="I61"/>
      <c r="J61" s="34"/>
      <c r="K61"/>
    </row>
    <row r="62" spans="1:11">
      <c r="A62" s="102" t="s">
        <v>66</v>
      </c>
      <c r="B62" s="102" t="s">
        <v>67</v>
      </c>
      <c r="C62" s="102" t="s">
        <v>54</v>
      </c>
      <c r="D62" s="99" t="str">
        <f>IF(OR(Clientes[[#This Row],[Columna1]]="Pago inmediato",Clientes[[#This Row],[Columna1]]=""),0,SUBSTITUTE(Clientes[[#This Row],[Columna1]]," días",""))</f>
        <v>7</v>
      </c>
      <c r="E62" s="34"/>
      <c r="F62"/>
      <c r="G62" s="77"/>
      <c r="I62"/>
      <c r="J62" s="34"/>
      <c r="K62"/>
    </row>
    <row r="63" ht="30" spans="1:11">
      <c r="A63" s="102" t="s">
        <v>66</v>
      </c>
      <c r="B63" s="102" t="s">
        <v>68</v>
      </c>
      <c r="C63" s="102" t="s">
        <v>54</v>
      </c>
      <c r="D63" s="99" t="str">
        <f>IF(OR(Clientes[[#This Row],[Columna1]]="Pago inmediato",Clientes[[#This Row],[Columna1]]=""),0,SUBSTITUTE(Clientes[[#This Row],[Columna1]]," días",""))</f>
        <v>7</v>
      </c>
      <c r="E63" s="34"/>
      <c r="F63"/>
      <c r="G63" s="77"/>
      <c r="I63"/>
      <c r="J63" s="34"/>
      <c r="K63"/>
    </row>
    <row r="64" spans="1:11">
      <c r="A64" s="102" t="s">
        <v>69</v>
      </c>
      <c r="B64" s="102" t="s">
        <v>70</v>
      </c>
      <c r="C64" s="102" t="s">
        <v>56</v>
      </c>
      <c r="D64" s="99">
        <f>IF(OR(Clientes[[#This Row],[Columna1]]="Pago inmediato",Clientes[[#This Row],[Columna1]]=""),0,SUBSTITUTE(Clientes[[#This Row],[Columna1]]," días",""))</f>
        <v>0</v>
      </c>
      <c r="E64" s="34"/>
      <c r="F64"/>
      <c r="G64" s="77"/>
      <c r="I64"/>
      <c r="J64" s="34"/>
      <c r="K64"/>
    </row>
    <row r="65" ht="30" spans="1:11">
      <c r="A65" s="102" t="s">
        <v>69</v>
      </c>
      <c r="B65" s="102" t="s">
        <v>71</v>
      </c>
      <c r="C65" s="102" t="s">
        <v>56</v>
      </c>
      <c r="D65" s="99">
        <f>IF(OR(Clientes[[#This Row],[Columna1]]="Pago inmediato",Clientes[[#This Row],[Columna1]]=""),0,SUBSTITUTE(Clientes[[#This Row],[Columna1]]," días",""))</f>
        <v>0</v>
      </c>
      <c r="E65" s="34"/>
      <c r="F65"/>
      <c r="G65" s="77"/>
      <c r="I65"/>
      <c r="J65" s="34"/>
      <c r="K65"/>
    </row>
    <row r="66" ht="30" spans="1:11">
      <c r="A66" s="102" t="s">
        <v>72</v>
      </c>
      <c r="B66" s="102" t="s">
        <v>73</v>
      </c>
      <c r="C66" s="102" t="s">
        <v>56</v>
      </c>
      <c r="D66" s="99">
        <f>IF(OR(Clientes[[#This Row],[Columna1]]="Pago inmediato",Clientes[[#This Row],[Columna1]]=""),0,SUBSTITUTE(Clientes[[#This Row],[Columna1]]," días",""))</f>
        <v>0</v>
      </c>
      <c r="E66" s="34"/>
      <c r="F66"/>
      <c r="G66" s="77"/>
      <c r="I66"/>
      <c r="J66" s="34"/>
      <c r="K66"/>
    </row>
    <row r="67" ht="30" spans="1:11">
      <c r="A67" s="102" t="s">
        <v>74</v>
      </c>
      <c r="B67" s="102" t="s">
        <v>75</v>
      </c>
      <c r="C67" s="102" t="s">
        <v>61</v>
      </c>
      <c r="D67" s="99" t="str">
        <f>IF(OR(Clientes[[#This Row],[Columna1]]="Pago inmediato",Clientes[[#This Row],[Columna1]]=""),0,SUBSTITUTE(Clientes[[#This Row],[Columna1]]," días",""))</f>
        <v>15</v>
      </c>
      <c r="E67" s="34"/>
      <c r="F67"/>
      <c r="G67" s="77"/>
      <c r="I67"/>
      <c r="J67" s="34"/>
      <c r="K67"/>
    </row>
    <row r="68" spans="1:11">
      <c r="A68" s="102" t="s">
        <v>76</v>
      </c>
      <c r="B68" s="102" t="s">
        <v>77</v>
      </c>
      <c r="C68" s="102" t="s">
        <v>56</v>
      </c>
      <c r="D68" s="99">
        <f>IF(OR(Clientes[[#This Row],[Columna1]]="Pago inmediato",Clientes[[#This Row],[Columna1]]=""),0,SUBSTITUTE(Clientes[[#This Row],[Columna1]]," días",""))</f>
        <v>0</v>
      </c>
      <c r="E68" s="34"/>
      <c r="F68"/>
      <c r="G68" s="77"/>
      <c r="I68"/>
      <c r="J68" s="34"/>
      <c r="K68"/>
    </row>
    <row r="69" ht="90" spans="1:11">
      <c r="A69" s="102" t="s">
        <v>78</v>
      </c>
      <c r="B69" s="102" t="s">
        <v>79</v>
      </c>
      <c r="C69" s="102" t="s">
        <v>56</v>
      </c>
      <c r="D69" s="99">
        <f>IF(OR(Clientes[[#This Row],[Columna1]]="Pago inmediato",Clientes[[#This Row],[Columna1]]=""),0,SUBSTITUTE(Clientes[[#This Row],[Columna1]]," días",""))</f>
        <v>0</v>
      </c>
      <c r="E69" s="34"/>
      <c r="F69"/>
      <c r="G69" s="77"/>
      <c r="I69"/>
      <c r="J69" s="34"/>
      <c r="K69"/>
    </row>
    <row r="70" ht="45" spans="1:11">
      <c r="A70" s="102" t="s">
        <v>80</v>
      </c>
      <c r="B70" s="102" t="s">
        <v>81</v>
      </c>
      <c r="C70" s="102" t="s">
        <v>56</v>
      </c>
      <c r="D70" s="99">
        <f>IF(OR(Clientes[[#This Row],[Columna1]]="Pago inmediato",Clientes[[#This Row],[Columna1]]=""),0,SUBSTITUTE(Clientes[[#This Row],[Columna1]]," días",""))</f>
        <v>0</v>
      </c>
      <c r="E70" s="34"/>
      <c r="F70"/>
      <c r="G70" s="77"/>
      <c r="I70"/>
      <c r="J70" s="34"/>
      <c r="K70"/>
    </row>
    <row r="71" ht="45" spans="1:11">
      <c r="A71" s="102" t="s">
        <v>82</v>
      </c>
      <c r="B71" s="102" t="s">
        <v>83</v>
      </c>
      <c r="C71" s="102" t="s">
        <v>56</v>
      </c>
      <c r="D71" s="99">
        <f>IF(OR(Clientes[[#This Row],[Columna1]]="Pago inmediato",Clientes[[#This Row],[Columna1]]=""),0,SUBSTITUTE(Clientes[[#This Row],[Columna1]]," días",""))</f>
        <v>0</v>
      </c>
      <c r="E71" s="34"/>
      <c r="F71"/>
      <c r="G71" s="77"/>
      <c r="I71"/>
      <c r="J71" s="34"/>
      <c r="K71"/>
    </row>
    <row r="72" ht="60" spans="1:11">
      <c r="A72" s="102" t="s">
        <v>82</v>
      </c>
      <c r="B72" s="102" t="s">
        <v>84</v>
      </c>
      <c r="C72" s="102" t="s">
        <v>56</v>
      </c>
      <c r="D72" s="99">
        <f>IF(OR(Clientes[[#This Row],[Columna1]]="Pago inmediato",Clientes[[#This Row],[Columna1]]=""),0,SUBSTITUTE(Clientes[[#This Row],[Columna1]]," días",""))</f>
        <v>0</v>
      </c>
      <c r="E72" s="34"/>
      <c r="F72"/>
      <c r="G72" s="77"/>
      <c r="I72"/>
      <c r="J72" s="34"/>
      <c r="K72"/>
    </row>
    <row r="73" ht="30" spans="1:11">
      <c r="A73" s="102" t="s">
        <v>85</v>
      </c>
      <c r="B73" s="102" t="s">
        <v>86</v>
      </c>
      <c r="C73" s="102" t="s">
        <v>56</v>
      </c>
      <c r="D73" s="99">
        <f>IF(OR(Clientes[[#This Row],[Columna1]]="Pago inmediato",Clientes[[#This Row],[Columna1]]=""),0,SUBSTITUTE(Clientes[[#This Row],[Columna1]]," días",""))</f>
        <v>0</v>
      </c>
      <c r="E73" s="34"/>
      <c r="F73"/>
      <c r="G73" s="77"/>
      <c r="I73"/>
      <c r="J73" s="34"/>
      <c r="K73"/>
    </row>
    <row r="74" ht="30" spans="1:11">
      <c r="A74" s="102" t="s">
        <v>87</v>
      </c>
      <c r="B74" s="102" t="s">
        <v>88</v>
      </c>
      <c r="C74" s="102" t="s">
        <v>56</v>
      </c>
      <c r="D74" s="99">
        <f>IF(OR(Clientes[[#This Row],[Columna1]]="Pago inmediato",Clientes[[#This Row],[Columna1]]=""),0,SUBSTITUTE(Clientes[[#This Row],[Columna1]]," días",""))</f>
        <v>0</v>
      </c>
      <c r="E74" s="34"/>
      <c r="F74"/>
      <c r="G74" s="77"/>
      <c r="I74"/>
      <c r="J74" s="34"/>
      <c r="K74"/>
    </row>
    <row r="75" ht="45" spans="1:11">
      <c r="A75" s="102" t="s">
        <v>89</v>
      </c>
      <c r="B75" s="102" t="s">
        <v>90</v>
      </c>
      <c r="C75" s="102" t="s">
        <v>56</v>
      </c>
      <c r="D75" s="99">
        <f>IF(OR(Clientes[[#This Row],[Columna1]]="Pago inmediato",Clientes[[#This Row],[Columna1]]=""),0,SUBSTITUTE(Clientes[[#This Row],[Columna1]]," días",""))</f>
        <v>0</v>
      </c>
      <c r="E75" s="34"/>
      <c r="F75"/>
      <c r="G75" s="77"/>
      <c r="I75"/>
      <c r="J75" s="34"/>
      <c r="K75"/>
    </row>
    <row r="76" s="49" customFormat="1" ht="75" spans="1:16384">
      <c r="A76" s="102" t="s">
        <v>91</v>
      </c>
      <c r="B76" s="102" t="s">
        <v>92</v>
      </c>
      <c r="C76" s="102" t="s">
        <v>56</v>
      </c>
      <c r="D76" s="49">
        <v>0</v>
      </c>
      <c r="CQ76" s="49" t="s">
        <v>93</v>
      </c>
      <c r="CR76" s="49" t="s">
        <v>94</v>
      </c>
      <c r="CS76" s="49" t="s">
        <v>93</v>
      </c>
      <c r="CT76" s="49" t="s">
        <v>94</v>
      </c>
      <c r="CU76" s="49" t="s">
        <v>93</v>
      </c>
      <c r="CV76" s="49" t="s">
        <v>94</v>
      </c>
      <c r="CW76" s="49" t="s">
        <v>93</v>
      </c>
      <c r="CX76" s="49" t="s">
        <v>94</v>
      </c>
      <c r="CY76" s="49" t="s">
        <v>93</v>
      </c>
      <c r="CZ76" s="49" t="s">
        <v>94</v>
      </c>
      <c r="DA76" s="49" t="s">
        <v>93</v>
      </c>
      <c r="DB76" s="49" t="s">
        <v>94</v>
      </c>
      <c r="DC76" s="49" t="s">
        <v>93</v>
      </c>
      <c r="DD76" s="49" t="s">
        <v>94</v>
      </c>
      <c r="DE76" s="49" t="s">
        <v>93</v>
      </c>
      <c r="DF76" s="49" t="s">
        <v>94</v>
      </c>
      <c r="DG76" s="49" t="s">
        <v>93</v>
      </c>
      <c r="DH76" s="49" t="s">
        <v>94</v>
      </c>
      <c r="DI76" s="49" t="s">
        <v>93</v>
      </c>
      <c r="DJ76" s="49" t="s">
        <v>94</v>
      </c>
      <c r="DK76" s="49" t="s">
        <v>93</v>
      </c>
      <c r="DL76" s="49" t="s">
        <v>94</v>
      </c>
      <c r="DM76" s="49" t="s">
        <v>93</v>
      </c>
      <c r="DN76" s="49" t="s">
        <v>94</v>
      </c>
      <c r="DO76" s="49" t="s">
        <v>93</v>
      </c>
      <c r="DP76" s="49" t="s">
        <v>94</v>
      </c>
      <c r="DQ76" s="49" t="s">
        <v>93</v>
      </c>
      <c r="DR76" s="49" t="s">
        <v>94</v>
      </c>
      <c r="DS76" s="49" t="s">
        <v>93</v>
      </c>
      <c r="DT76" s="49" t="s">
        <v>94</v>
      </c>
      <c r="DU76" s="49" t="s">
        <v>93</v>
      </c>
      <c r="DV76" s="49" t="s">
        <v>94</v>
      </c>
      <c r="DW76" s="49" t="s">
        <v>93</v>
      </c>
      <c r="DX76" s="49" t="s">
        <v>94</v>
      </c>
      <c r="DY76" s="49" t="s">
        <v>93</v>
      </c>
      <c r="DZ76" s="49" t="s">
        <v>94</v>
      </c>
      <c r="EA76" s="49" t="s">
        <v>93</v>
      </c>
      <c r="EB76" s="49" t="s">
        <v>94</v>
      </c>
      <c r="EC76" s="49" t="s">
        <v>93</v>
      </c>
      <c r="ED76" s="49" t="s">
        <v>94</v>
      </c>
      <c r="EE76" s="49" t="s">
        <v>93</v>
      </c>
      <c r="EF76" s="49" t="s">
        <v>94</v>
      </c>
      <c r="EG76" s="49" t="s">
        <v>93</v>
      </c>
      <c r="EH76" s="49" t="s">
        <v>94</v>
      </c>
      <c r="EI76" s="49" t="s">
        <v>93</v>
      </c>
      <c r="EJ76" s="49" t="s">
        <v>94</v>
      </c>
      <c r="EK76" s="49" t="s">
        <v>93</v>
      </c>
      <c r="EL76" s="49" t="s">
        <v>94</v>
      </c>
      <c r="EM76" s="49" t="s">
        <v>93</v>
      </c>
      <c r="EN76" s="49" t="s">
        <v>94</v>
      </c>
      <c r="EO76" s="49" t="s">
        <v>93</v>
      </c>
      <c r="EP76" s="49" t="s">
        <v>94</v>
      </c>
      <c r="EQ76" s="49" t="s">
        <v>93</v>
      </c>
      <c r="ER76" s="49" t="s">
        <v>94</v>
      </c>
      <c r="ES76" s="49" t="s">
        <v>93</v>
      </c>
      <c r="ET76" s="49" t="s">
        <v>94</v>
      </c>
      <c r="EU76" s="49" t="s">
        <v>93</v>
      </c>
      <c r="EV76" s="49" t="s">
        <v>94</v>
      </c>
      <c r="EW76" s="49" t="s">
        <v>93</v>
      </c>
      <c r="EX76" s="49" t="s">
        <v>94</v>
      </c>
      <c r="EY76" s="49" t="s">
        <v>93</v>
      </c>
      <c r="EZ76" s="49" t="s">
        <v>94</v>
      </c>
      <c r="FA76" s="49" t="s">
        <v>93</v>
      </c>
      <c r="FB76" s="49" t="s">
        <v>94</v>
      </c>
      <c r="FC76" s="49" t="s">
        <v>93</v>
      </c>
      <c r="FD76" s="49" t="s">
        <v>94</v>
      </c>
      <c r="FE76" s="49" t="s">
        <v>93</v>
      </c>
      <c r="FF76" s="49" t="s">
        <v>94</v>
      </c>
      <c r="FG76" s="49" t="s">
        <v>93</v>
      </c>
      <c r="FH76" s="49" t="s">
        <v>94</v>
      </c>
      <c r="FI76" s="49" t="s">
        <v>93</v>
      </c>
      <c r="FJ76" s="49" t="s">
        <v>94</v>
      </c>
      <c r="FK76" s="49" t="s">
        <v>93</v>
      </c>
      <c r="FL76" s="49" t="s">
        <v>94</v>
      </c>
      <c r="FM76" s="49" t="s">
        <v>93</v>
      </c>
      <c r="FN76" s="49" t="s">
        <v>94</v>
      </c>
      <c r="FO76" s="49" t="s">
        <v>93</v>
      </c>
      <c r="FP76" s="49" t="s">
        <v>94</v>
      </c>
      <c r="FQ76" s="49" t="s">
        <v>93</v>
      </c>
      <c r="FR76" s="49" t="s">
        <v>94</v>
      </c>
      <c r="FS76" s="49" t="s">
        <v>93</v>
      </c>
      <c r="FT76" s="49" t="s">
        <v>94</v>
      </c>
      <c r="FU76" s="49" t="s">
        <v>93</v>
      </c>
      <c r="FV76" s="49" t="s">
        <v>94</v>
      </c>
      <c r="FW76" s="49" t="s">
        <v>93</v>
      </c>
      <c r="FX76" s="49" t="s">
        <v>94</v>
      </c>
      <c r="FY76" s="49" t="s">
        <v>93</v>
      </c>
      <c r="FZ76" s="49" t="s">
        <v>94</v>
      </c>
      <c r="GA76" s="49" t="s">
        <v>93</v>
      </c>
      <c r="GB76" s="49" t="s">
        <v>94</v>
      </c>
      <c r="GC76" s="49" t="s">
        <v>93</v>
      </c>
      <c r="GD76" s="49" t="s">
        <v>94</v>
      </c>
      <c r="GE76" s="49" t="s">
        <v>93</v>
      </c>
      <c r="GF76" s="49" t="s">
        <v>94</v>
      </c>
      <c r="GG76" s="49" t="s">
        <v>93</v>
      </c>
      <c r="GH76" s="49" t="s">
        <v>94</v>
      </c>
      <c r="GI76" s="49" t="s">
        <v>93</v>
      </c>
      <c r="GJ76" s="49" t="s">
        <v>94</v>
      </c>
      <c r="GK76" s="49" t="s">
        <v>93</v>
      </c>
      <c r="GL76" s="49" t="s">
        <v>94</v>
      </c>
      <c r="GM76" s="49" t="s">
        <v>93</v>
      </c>
      <c r="GN76" s="49" t="s">
        <v>94</v>
      </c>
      <c r="GO76" s="49" t="s">
        <v>93</v>
      </c>
      <c r="GP76" s="49" t="s">
        <v>94</v>
      </c>
      <c r="GQ76" s="49" t="s">
        <v>93</v>
      </c>
      <c r="GR76" s="49" t="s">
        <v>94</v>
      </c>
      <c r="GS76" s="49" t="s">
        <v>93</v>
      </c>
      <c r="GT76" s="49" t="s">
        <v>94</v>
      </c>
      <c r="GU76" s="49" t="s">
        <v>93</v>
      </c>
      <c r="GV76" s="49" t="s">
        <v>94</v>
      </c>
      <c r="GW76" s="49" t="s">
        <v>93</v>
      </c>
      <c r="GX76" s="49" t="s">
        <v>94</v>
      </c>
      <c r="GY76" s="49" t="s">
        <v>93</v>
      </c>
      <c r="GZ76" s="49" t="s">
        <v>94</v>
      </c>
      <c r="HA76" s="49" t="s">
        <v>93</v>
      </c>
      <c r="HB76" s="49" t="s">
        <v>94</v>
      </c>
      <c r="HC76" s="49" t="s">
        <v>93</v>
      </c>
      <c r="HD76" s="49" t="s">
        <v>94</v>
      </c>
      <c r="HE76" s="49" t="s">
        <v>93</v>
      </c>
      <c r="HF76" s="49" t="s">
        <v>94</v>
      </c>
      <c r="HG76" s="49" t="s">
        <v>93</v>
      </c>
      <c r="HH76" s="49" t="s">
        <v>94</v>
      </c>
      <c r="HI76" s="49" t="s">
        <v>93</v>
      </c>
      <c r="HJ76" s="49" t="s">
        <v>94</v>
      </c>
      <c r="HK76" s="49" t="s">
        <v>93</v>
      </c>
      <c r="HL76" s="49" t="s">
        <v>94</v>
      </c>
      <c r="HM76" s="49" t="s">
        <v>93</v>
      </c>
      <c r="HN76" s="49" t="s">
        <v>94</v>
      </c>
      <c r="HO76" s="49" t="s">
        <v>93</v>
      </c>
      <c r="HP76" s="49" t="s">
        <v>94</v>
      </c>
      <c r="HQ76" s="49" t="s">
        <v>93</v>
      </c>
      <c r="HR76" s="49" t="s">
        <v>94</v>
      </c>
      <c r="HS76" s="49" t="s">
        <v>93</v>
      </c>
      <c r="HT76" s="49" t="s">
        <v>94</v>
      </c>
      <c r="HU76" s="49" t="s">
        <v>93</v>
      </c>
      <c r="HV76" s="49" t="s">
        <v>94</v>
      </c>
      <c r="HW76" s="49" t="s">
        <v>93</v>
      </c>
      <c r="HX76" s="49" t="s">
        <v>94</v>
      </c>
      <c r="HY76" s="49" t="s">
        <v>93</v>
      </c>
      <c r="HZ76" s="49" t="s">
        <v>94</v>
      </c>
      <c r="IA76" s="49" t="s">
        <v>93</v>
      </c>
      <c r="IB76" s="49" t="s">
        <v>94</v>
      </c>
      <c r="IC76" s="49" t="s">
        <v>93</v>
      </c>
      <c r="ID76" s="49" t="s">
        <v>94</v>
      </c>
      <c r="IE76" s="49" t="s">
        <v>93</v>
      </c>
      <c r="IF76" s="49" t="s">
        <v>94</v>
      </c>
      <c r="IG76" s="49" t="s">
        <v>93</v>
      </c>
      <c r="IH76" s="49" t="s">
        <v>94</v>
      </c>
      <c r="II76" s="49" t="s">
        <v>93</v>
      </c>
      <c r="IJ76" s="49" t="s">
        <v>94</v>
      </c>
      <c r="IK76" s="49" t="s">
        <v>93</v>
      </c>
      <c r="IL76" s="49" t="s">
        <v>94</v>
      </c>
      <c r="IM76" s="49" t="s">
        <v>93</v>
      </c>
      <c r="IN76" s="49" t="s">
        <v>94</v>
      </c>
      <c r="IO76" s="49" t="s">
        <v>93</v>
      </c>
      <c r="IP76" s="49" t="s">
        <v>94</v>
      </c>
      <c r="IQ76" s="49" t="s">
        <v>93</v>
      </c>
      <c r="IR76" s="49" t="s">
        <v>94</v>
      </c>
      <c r="IS76" s="49" t="s">
        <v>93</v>
      </c>
      <c r="IT76" s="49" t="s">
        <v>94</v>
      </c>
      <c r="IU76" s="49" t="s">
        <v>93</v>
      </c>
      <c r="IV76" s="49" t="s">
        <v>94</v>
      </c>
      <c r="IW76" s="49" t="s">
        <v>93</v>
      </c>
      <c r="IX76" s="49" t="s">
        <v>94</v>
      </c>
      <c r="IY76" s="49" t="s">
        <v>93</v>
      </c>
      <c r="IZ76" s="49" t="s">
        <v>94</v>
      </c>
      <c r="JA76" s="49" t="s">
        <v>93</v>
      </c>
      <c r="JB76" s="49" t="s">
        <v>94</v>
      </c>
      <c r="JC76" s="49" t="s">
        <v>93</v>
      </c>
      <c r="JD76" s="49" t="s">
        <v>94</v>
      </c>
      <c r="JE76" s="49" t="s">
        <v>93</v>
      </c>
      <c r="JF76" s="49" t="s">
        <v>94</v>
      </c>
      <c r="JG76" s="49" t="s">
        <v>93</v>
      </c>
      <c r="JH76" s="49" t="s">
        <v>94</v>
      </c>
      <c r="JI76" s="49" t="s">
        <v>93</v>
      </c>
      <c r="JJ76" s="49" t="s">
        <v>94</v>
      </c>
      <c r="JK76" s="49" t="s">
        <v>93</v>
      </c>
      <c r="JL76" s="49" t="s">
        <v>94</v>
      </c>
      <c r="JM76" s="49" t="s">
        <v>93</v>
      </c>
      <c r="JN76" s="49" t="s">
        <v>94</v>
      </c>
      <c r="JO76" s="49" t="s">
        <v>93</v>
      </c>
      <c r="JP76" s="49" t="s">
        <v>94</v>
      </c>
      <c r="JQ76" s="49" t="s">
        <v>93</v>
      </c>
      <c r="JR76" s="49" t="s">
        <v>94</v>
      </c>
      <c r="JS76" s="49" t="s">
        <v>93</v>
      </c>
      <c r="JT76" s="49" t="s">
        <v>94</v>
      </c>
      <c r="JU76" s="49" t="s">
        <v>93</v>
      </c>
      <c r="JV76" s="49" t="s">
        <v>94</v>
      </c>
      <c r="JW76" s="49" t="s">
        <v>93</v>
      </c>
      <c r="JX76" s="49" t="s">
        <v>94</v>
      </c>
      <c r="JY76" s="49" t="s">
        <v>93</v>
      </c>
      <c r="JZ76" s="49" t="s">
        <v>94</v>
      </c>
      <c r="KA76" s="49" t="s">
        <v>93</v>
      </c>
      <c r="KB76" s="49" t="s">
        <v>94</v>
      </c>
      <c r="KC76" s="49" t="s">
        <v>93</v>
      </c>
      <c r="KD76" s="49" t="s">
        <v>94</v>
      </c>
      <c r="KE76" s="49" t="s">
        <v>93</v>
      </c>
      <c r="KF76" s="49" t="s">
        <v>94</v>
      </c>
      <c r="KG76" s="49" t="s">
        <v>93</v>
      </c>
      <c r="KH76" s="49" t="s">
        <v>94</v>
      </c>
      <c r="KI76" s="49" t="s">
        <v>93</v>
      </c>
      <c r="KJ76" s="49" t="s">
        <v>94</v>
      </c>
      <c r="KK76" s="49" t="s">
        <v>93</v>
      </c>
      <c r="KL76" s="49" t="s">
        <v>94</v>
      </c>
      <c r="KM76" s="49" t="s">
        <v>93</v>
      </c>
      <c r="KN76" s="49" t="s">
        <v>94</v>
      </c>
      <c r="KO76" s="49" t="s">
        <v>93</v>
      </c>
      <c r="KP76" s="49" t="s">
        <v>94</v>
      </c>
      <c r="KQ76" s="49" t="s">
        <v>93</v>
      </c>
      <c r="KR76" s="49" t="s">
        <v>94</v>
      </c>
      <c r="KS76" s="49" t="s">
        <v>93</v>
      </c>
      <c r="KT76" s="49" t="s">
        <v>94</v>
      </c>
      <c r="KU76" s="49" t="s">
        <v>93</v>
      </c>
      <c r="KV76" s="49" t="s">
        <v>94</v>
      </c>
      <c r="KW76" s="49" t="s">
        <v>93</v>
      </c>
      <c r="KX76" s="49" t="s">
        <v>94</v>
      </c>
      <c r="KY76" s="49" t="s">
        <v>93</v>
      </c>
      <c r="KZ76" s="49" t="s">
        <v>94</v>
      </c>
      <c r="LA76" s="49" t="s">
        <v>93</v>
      </c>
      <c r="LB76" s="49" t="s">
        <v>94</v>
      </c>
      <c r="LC76" s="49" t="s">
        <v>93</v>
      </c>
      <c r="LD76" s="49" t="s">
        <v>94</v>
      </c>
      <c r="LE76" s="49" t="s">
        <v>93</v>
      </c>
      <c r="LF76" s="49" t="s">
        <v>94</v>
      </c>
      <c r="LG76" s="49" t="s">
        <v>93</v>
      </c>
      <c r="LH76" s="49" t="s">
        <v>94</v>
      </c>
      <c r="LI76" s="49" t="s">
        <v>93</v>
      </c>
      <c r="LJ76" s="49" t="s">
        <v>94</v>
      </c>
      <c r="LK76" s="49" t="s">
        <v>93</v>
      </c>
      <c r="LL76" s="49" t="s">
        <v>94</v>
      </c>
      <c r="LM76" s="49" t="s">
        <v>93</v>
      </c>
      <c r="LN76" s="49" t="s">
        <v>94</v>
      </c>
      <c r="LO76" s="49" t="s">
        <v>93</v>
      </c>
      <c r="LP76" s="49" t="s">
        <v>94</v>
      </c>
      <c r="LQ76" s="49" t="s">
        <v>93</v>
      </c>
      <c r="LR76" s="49" t="s">
        <v>94</v>
      </c>
      <c r="LS76" s="49" t="s">
        <v>93</v>
      </c>
      <c r="LT76" s="49" t="s">
        <v>94</v>
      </c>
      <c r="LU76" s="49" t="s">
        <v>93</v>
      </c>
      <c r="LV76" s="49" t="s">
        <v>94</v>
      </c>
      <c r="LW76" s="49" t="s">
        <v>93</v>
      </c>
      <c r="LX76" s="49" t="s">
        <v>94</v>
      </c>
      <c r="LY76" s="49" t="s">
        <v>93</v>
      </c>
      <c r="LZ76" s="49" t="s">
        <v>94</v>
      </c>
      <c r="MA76" s="49" t="s">
        <v>93</v>
      </c>
      <c r="MB76" s="49" t="s">
        <v>94</v>
      </c>
      <c r="MC76" s="49" t="s">
        <v>93</v>
      </c>
      <c r="MD76" s="49" t="s">
        <v>94</v>
      </c>
      <c r="ME76" s="49" t="s">
        <v>93</v>
      </c>
      <c r="MF76" s="49" t="s">
        <v>94</v>
      </c>
      <c r="MG76" s="49" t="s">
        <v>93</v>
      </c>
      <c r="MH76" s="49" t="s">
        <v>94</v>
      </c>
      <c r="MI76" s="49" t="s">
        <v>93</v>
      </c>
      <c r="MJ76" s="49" t="s">
        <v>94</v>
      </c>
      <c r="MK76" s="49" t="s">
        <v>93</v>
      </c>
      <c r="ML76" s="49" t="s">
        <v>94</v>
      </c>
      <c r="MM76" s="49" t="s">
        <v>93</v>
      </c>
      <c r="MN76" s="49" t="s">
        <v>94</v>
      </c>
      <c r="MO76" s="49" t="s">
        <v>93</v>
      </c>
      <c r="MP76" s="49" t="s">
        <v>94</v>
      </c>
      <c r="MQ76" s="49" t="s">
        <v>93</v>
      </c>
      <c r="MR76" s="49" t="s">
        <v>94</v>
      </c>
      <c r="MS76" s="49" t="s">
        <v>93</v>
      </c>
      <c r="MT76" s="49" t="s">
        <v>94</v>
      </c>
      <c r="MU76" s="49" t="s">
        <v>93</v>
      </c>
      <c r="MV76" s="49" t="s">
        <v>94</v>
      </c>
      <c r="MW76" s="49" t="s">
        <v>93</v>
      </c>
      <c r="MX76" s="49" t="s">
        <v>94</v>
      </c>
      <c r="MY76" s="49" t="s">
        <v>93</v>
      </c>
      <c r="MZ76" s="49" t="s">
        <v>94</v>
      </c>
      <c r="NA76" s="49" t="s">
        <v>93</v>
      </c>
      <c r="NB76" s="49" t="s">
        <v>94</v>
      </c>
      <c r="NC76" s="49" t="s">
        <v>93</v>
      </c>
      <c r="ND76" s="49" t="s">
        <v>94</v>
      </c>
      <c r="NE76" s="49" t="s">
        <v>93</v>
      </c>
      <c r="NF76" s="49" t="s">
        <v>94</v>
      </c>
      <c r="NG76" s="49" t="s">
        <v>93</v>
      </c>
      <c r="NH76" s="49" t="s">
        <v>94</v>
      </c>
      <c r="NI76" s="49" t="s">
        <v>93</v>
      </c>
      <c r="NJ76" s="49" t="s">
        <v>94</v>
      </c>
      <c r="NK76" s="49" t="s">
        <v>93</v>
      </c>
      <c r="NL76" s="49" t="s">
        <v>94</v>
      </c>
      <c r="NM76" s="49" t="s">
        <v>93</v>
      </c>
      <c r="NN76" s="49" t="s">
        <v>94</v>
      </c>
      <c r="NO76" s="49" t="s">
        <v>93</v>
      </c>
      <c r="NP76" s="49" t="s">
        <v>94</v>
      </c>
      <c r="NQ76" s="49" t="s">
        <v>93</v>
      </c>
      <c r="NR76" s="49" t="s">
        <v>94</v>
      </c>
      <c r="NS76" s="49" t="s">
        <v>93</v>
      </c>
      <c r="NT76" s="49" t="s">
        <v>94</v>
      </c>
      <c r="NU76" s="49" t="s">
        <v>93</v>
      </c>
      <c r="NV76" s="49" t="s">
        <v>94</v>
      </c>
      <c r="NW76" s="49" t="s">
        <v>93</v>
      </c>
      <c r="NX76" s="49" t="s">
        <v>94</v>
      </c>
      <c r="NY76" s="49" t="s">
        <v>93</v>
      </c>
      <c r="NZ76" s="49" t="s">
        <v>94</v>
      </c>
      <c r="OA76" s="49" t="s">
        <v>93</v>
      </c>
      <c r="OB76" s="49" t="s">
        <v>94</v>
      </c>
      <c r="OC76" s="49" t="s">
        <v>93</v>
      </c>
      <c r="OD76" s="49" t="s">
        <v>94</v>
      </c>
      <c r="OE76" s="49" t="s">
        <v>93</v>
      </c>
      <c r="OF76" s="49" t="s">
        <v>94</v>
      </c>
      <c r="OG76" s="49" t="s">
        <v>93</v>
      </c>
      <c r="OH76" s="49" t="s">
        <v>94</v>
      </c>
      <c r="OI76" s="49" t="s">
        <v>93</v>
      </c>
      <c r="OJ76" s="49" t="s">
        <v>94</v>
      </c>
      <c r="OK76" s="49" t="s">
        <v>93</v>
      </c>
      <c r="OL76" s="49" t="s">
        <v>94</v>
      </c>
      <c r="OM76" s="49" t="s">
        <v>93</v>
      </c>
      <c r="ON76" s="49" t="s">
        <v>94</v>
      </c>
      <c r="OO76" s="49" t="s">
        <v>93</v>
      </c>
      <c r="OP76" s="49" t="s">
        <v>94</v>
      </c>
      <c r="OQ76" s="49" t="s">
        <v>93</v>
      </c>
      <c r="OR76" s="49" t="s">
        <v>94</v>
      </c>
      <c r="OS76" s="49" t="s">
        <v>93</v>
      </c>
      <c r="OT76" s="49" t="s">
        <v>94</v>
      </c>
      <c r="OU76" s="49" t="s">
        <v>93</v>
      </c>
      <c r="OV76" s="49" t="s">
        <v>94</v>
      </c>
      <c r="OW76" s="49" t="s">
        <v>93</v>
      </c>
      <c r="OX76" s="49" t="s">
        <v>94</v>
      </c>
      <c r="OY76" s="49" t="s">
        <v>93</v>
      </c>
      <c r="OZ76" s="49" t="s">
        <v>94</v>
      </c>
      <c r="PA76" s="49" t="s">
        <v>93</v>
      </c>
      <c r="PB76" s="49" t="s">
        <v>94</v>
      </c>
      <c r="PC76" s="49" t="s">
        <v>93</v>
      </c>
      <c r="PD76" s="49" t="s">
        <v>94</v>
      </c>
      <c r="PE76" s="49" t="s">
        <v>93</v>
      </c>
      <c r="PF76" s="49" t="s">
        <v>94</v>
      </c>
      <c r="PG76" s="49" t="s">
        <v>93</v>
      </c>
      <c r="PH76" s="49" t="s">
        <v>94</v>
      </c>
      <c r="PI76" s="49" t="s">
        <v>93</v>
      </c>
      <c r="PJ76" s="49" t="s">
        <v>94</v>
      </c>
      <c r="PK76" s="49" t="s">
        <v>93</v>
      </c>
      <c r="PL76" s="49" t="s">
        <v>94</v>
      </c>
      <c r="PM76" s="49" t="s">
        <v>93</v>
      </c>
      <c r="PN76" s="49" t="s">
        <v>94</v>
      </c>
      <c r="PO76" s="49" t="s">
        <v>93</v>
      </c>
      <c r="PP76" s="49" t="s">
        <v>94</v>
      </c>
      <c r="PQ76" s="49" t="s">
        <v>93</v>
      </c>
      <c r="PR76" s="49" t="s">
        <v>94</v>
      </c>
      <c r="PS76" s="49" t="s">
        <v>93</v>
      </c>
      <c r="PT76" s="49" t="s">
        <v>94</v>
      </c>
      <c r="PU76" s="49" t="s">
        <v>93</v>
      </c>
      <c r="PV76" s="49" t="s">
        <v>94</v>
      </c>
      <c r="PW76" s="49" t="s">
        <v>93</v>
      </c>
      <c r="PX76" s="49" t="s">
        <v>94</v>
      </c>
      <c r="PY76" s="49" t="s">
        <v>93</v>
      </c>
      <c r="PZ76" s="49" t="s">
        <v>94</v>
      </c>
      <c r="QA76" s="49" t="s">
        <v>93</v>
      </c>
      <c r="QB76" s="49" t="s">
        <v>94</v>
      </c>
      <c r="QC76" s="49" t="s">
        <v>93</v>
      </c>
      <c r="QD76" s="49" t="s">
        <v>94</v>
      </c>
      <c r="QE76" s="49" t="s">
        <v>93</v>
      </c>
      <c r="QF76" s="49" t="s">
        <v>94</v>
      </c>
      <c r="QG76" s="49" t="s">
        <v>93</v>
      </c>
      <c r="QH76" s="49" t="s">
        <v>94</v>
      </c>
      <c r="QI76" s="49" t="s">
        <v>93</v>
      </c>
      <c r="QJ76" s="49" t="s">
        <v>94</v>
      </c>
      <c r="QK76" s="49" t="s">
        <v>93</v>
      </c>
      <c r="QL76" s="49" t="s">
        <v>94</v>
      </c>
      <c r="QM76" s="49" t="s">
        <v>93</v>
      </c>
      <c r="QN76" s="49" t="s">
        <v>94</v>
      </c>
      <c r="QO76" s="49" t="s">
        <v>93</v>
      </c>
      <c r="QP76" s="49" t="s">
        <v>94</v>
      </c>
      <c r="QQ76" s="49" t="s">
        <v>93</v>
      </c>
      <c r="QR76" s="49" t="s">
        <v>94</v>
      </c>
      <c r="QS76" s="49" t="s">
        <v>93</v>
      </c>
      <c r="QT76" s="49" t="s">
        <v>94</v>
      </c>
      <c r="QU76" s="49" t="s">
        <v>93</v>
      </c>
      <c r="QV76" s="49" t="s">
        <v>94</v>
      </c>
      <c r="QW76" s="49" t="s">
        <v>93</v>
      </c>
      <c r="QX76" s="49" t="s">
        <v>94</v>
      </c>
      <c r="QY76" s="49" t="s">
        <v>93</v>
      </c>
      <c r="QZ76" s="49" t="s">
        <v>94</v>
      </c>
      <c r="RA76" s="49" t="s">
        <v>93</v>
      </c>
      <c r="RB76" s="49" t="s">
        <v>94</v>
      </c>
      <c r="RC76" s="49" t="s">
        <v>93</v>
      </c>
      <c r="RD76" s="49" t="s">
        <v>94</v>
      </c>
      <c r="RE76" s="49" t="s">
        <v>93</v>
      </c>
      <c r="RF76" s="49" t="s">
        <v>94</v>
      </c>
      <c r="RG76" s="49" t="s">
        <v>93</v>
      </c>
      <c r="RH76" s="49" t="s">
        <v>94</v>
      </c>
      <c r="RI76" s="49" t="s">
        <v>93</v>
      </c>
      <c r="RJ76" s="49" t="s">
        <v>94</v>
      </c>
      <c r="RK76" s="49" t="s">
        <v>93</v>
      </c>
      <c r="RL76" s="49" t="s">
        <v>94</v>
      </c>
      <c r="RM76" s="49" t="s">
        <v>93</v>
      </c>
      <c r="RN76" s="49" t="s">
        <v>94</v>
      </c>
      <c r="RO76" s="49" t="s">
        <v>93</v>
      </c>
      <c r="RP76" s="49" t="s">
        <v>94</v>
      </c>
      <c r="RQ76" s="49" t="s">
        <v>93</v>
      </c>
      <c r="RR76" s="49" t="s">
        <v>94</v>
      </c>
      <c r="RS76" s="49" t="s">
        <v>93</v>
      </c>
      <c r="RT76" s="49" t="s">
        <v>94</v>
      </c>
      <c r="RU76" s="49" t="s">
        <v>93</v>
      </c>
      <c r="RV76" s="49" t="s">
        <v>94</v>
      </c>
      <c r="RW76" s="49" t="s">
        <v>93</v>
      </c>
      <c r="RX76" s="49" t="s">
        <v>94</v>
      </c>
      <c r="RY76" s="49" t="s">
        <v>93</v>
      </c>
      <c r="RZ76" s="49" t="s">
        <v>94</v>
      </c>
      <c r="SA76" s="49" t="s">
        <v>93</v>
      </c>
      <c r="SB76" s="49" t="s">
        <v>94</v>
      </c>
      <c r="SC76" s="49" t="s">
        <v>93</v>
      </c>
      <c r="SD76" s="49" t="s">
        <v>94</v>
      </c>
      <c r="SE76" s="49" t="s">
        <v>93</v>
      </c>
      <c r="SF76" s="49" t="s">
        <v>94</v>
      </c>
      <c r="SG76" s="49" t="s">
        <v>93</v>
      </c>
      <c r="SH76" s="49" t="s">
        <v>94</v>
      </c>
      <c r="SI76" s="49" t="s">
        <v>93</v>
      </c>
      <c r="SJ76" s="49" t="s">
        <v>94</v>
      </c>
      <c r="SK76" s="49" t="s">
        <v>93</v>
      </c>
      <c r="SL76" s="49" t="s">
        <v>94</v>
      </c>
      <c r="SM76" s="49" t="s">
        <v>93</v>
      </c>
      <c r="SN76" s="49" t="s">
        <v>94</v>
      </c>
      <c r="SO76" s="49" t="s">
        <v>93</v>
      </c>
      <c r="SP76" s="49" t="s">
        <v>94</v>
      </c>
      <c r="SQ76" s="49" t="s">
        <v>93</v>
      </c>
      <c r="SR76" s="49" t="s">
        <v>94</v>
      </c>
      <c r="SS76" s="49" t="s">
        <v>93</v>
      </c>
      <c r="ST76" s="49" t="s">
        <v>94</v>
      </c>
      <c r="SU76" s="49" t="s">
        <v>93</v>
      </c>
      <c r="SV76" s="49" t="s">
        <v>94</v>
      </c>
      <c r="SW76" s="49" t="s">
        <v>93</v>
      </c>
      <c r="SX76" s="49" t="s">
        <v>94</v>
      </c>
      <c r="SY76" s="49" t="s">
        <v>93</v>
      </c>
      <c r="SZ76" s="49" t="s">
        <v>94</v>
      </c>
      <c r="TA76" s="49" t="s">
        <v>93</v>
      </c>
      <c r="TB76" s="49" t="s">
        <v>94</v>
      </c>
      <c r="TC76" s="49" t="s">
        <v>93</v>
      </c>
      <c r="TD76" s="49" t="s">
        <v>94</v>
      </c>
      <c r="TE76" s="49" t="s">
        <v>93</v>
      </c>
      <c r="TF76" s="49" t="s">
        <v>94</v>
      </c>
      <c r="TG76" s="49" t="s">
        <v>93</v>
      </c>
      <c r="TH76" s="49" t="s">
        <v>94</v>
      </c>
      <c r="TI76" s="49" t="s">
        <v>93</v>
      </c>
      <c r="TJ76" s="49" t="s">
        <v>94</v>
      </c>
      <c r="TK76" s="49" t="s">
        <v>93</v>
      </c>
      <c r="TL76" s="49" t="s">
        <v>94</v>
      </c>
      <c r="TM76" s="49" t="s">
        <v>93</v>
      </c>
      <c r="TN76" s="49" t="s">
        <v>94</v>
      </c>
      <c r="TO76" s="49" t="s">
        <v>93</v>
      </c>
      <c r="TP76" s="49" t="s">
        <v>94</v>
      </c>
      <c r="TQ76" s="49" t="s">
        <v>93</v>
      </c>
      <c r="TR76" s="49" t="s">
        <v>94</v>
      </c>
      <c r="TS76" s="49" t="s">
        <v>93</v>
      </c>
      <c r="TT76" s="49" t="s">
        <v>94</v>
      </c>
      <c r="TU76" s="49" t="s">
        <v>93</v>
      </c>
      <c r="TV76" s="49" t="s">
        <v>94</v>
      </c>
      <c r="TW76" s="49" t="s">
        <v>93</v>
      </c>
      <c r="TX76" s="49" t="s">
        <v>94</v>
      </c>
      <c r="TY76" s="49" t="s">
        <v>93</v>
      </c>
      <c r="TZ76" s="49" t="s">
        <v>94</v>
      </c>
      <c r="UA76" s="49" t="s">
        <v>93</v>
      </c>
      <c r="UB76" s="49" t="s">
        <v>94</v>
      </c>
      <c r="UC76" s="49" t="s">
        <v>93</v>
      </c>
      <c r="UD76" s="49" t="s">
        <v>94</v>
      </c>
      <c r="UE76" s="49" t="s">
        <v>93</v>
      </c>
      <c r="UF76" s="49" t="s">
        <v>94</v>
      </c>
      <c r="UG76" s="49" t="s">
        <v>93</v>
      </c>
      <c r="UH76" s="49" t="s">
        <v>94</v>
      </c>
      <c r="UI76" s="49" t="s">
        <v>93</v>
      </c>
      <c r="UJ76" s="49" t="s">
        <v>94</v>
      </c>
      <c r="UK76" s="49" t="s">
        <v>93</v>
      </c>
      <c r="UL76" s="49" t="s">
        <v>94</v>
      </c>
      <c r="UM76" s="49" t="s">
        <v>93</v>
      </c>
      <c r="UN76" s="49" t="s">
        <v>94</v>
      </c>
      <c r="UO76" s="49" t="s">
        <v>93</v>
      </c>
      <c r="UP76" s="49" t="s">
        <v>94</v>
      </c>
      <c r="UQ76" s="49" t="s">
        <v>93</v>
      </c>
      <c r="UR76" s="49" t="s">
        <v>94</v>
      </c>
      <c r="US76" s="49" t="s">
        <v>93</v>
      </c>
      <c r="UT76" s="49" t="s">
        <v>94</v>
      </c>
      <c r="UU76" s="49" t="s">
        <v>93</v>
      </c>
      <c r="UV76" s="49" t="s">
        <v>94</v>
      </c>
      <c r="UW76" s="49" t="s">
        <v>93</v>
      </c>
      <c r="UX76" s="49" t="s">
        <v>94</v>
      </c>
      <c r="UY76" s="49" t="s">
        <v>93</v>
      </c>
      <c r="UZ76" s="49" t="s">
        <v>94</v>
      </c>
      <c r="VA76" s="49" t="s">
        <v>93</v>
      </c>
      <c r="VB76" s="49" t="s">
        <v>94</v>
      </c>
      <c r="VC76" s="49" t="s">
        <v>93</v>
      </c>
      <c r="VD76" s="49" t="s">
        <v>94</v>
      </c>
      <c r="VE76" s="49" t="s">
        <v>93</v>
      </c>
      <c r="VF76" s="49" t="s">
        <v>94</v>
      </c>
      <c r="VG76" s="49" t="s">
        <v>93</v>
      </c>
      <c r="VH76" s="49" t="s">
        <v>94</v>
      </c>
      <c r="VI76" s="49" t="s">
        <v>93</v>
      </c>
      <c r="VJ76" s="49" t="s">
        <v>94</v>
      </c>
      <c r="VK76" s="49" t="s">
        <v>93</v>
      </c>
      <c r="VL76" s="49" t="s">
        <v>94</v>
      </c>
      <c r="VM76" s="49" t="s">
        <v>93</v>
      </c>
      <c r="VN76" s="49" t="s">
        <v>94</v>
      </c>
      <c r="VO76" s="49" t="s">
        <v>93</v>
      </c>
      <c r="VP76" s="49" t="s">
        <v>94</v>
      </c>
      <c r="VQ76" s="49" t="s">
        <v>93</v>
      </c>
      <c r="VR76" s="49" t="s">
        <v>94</v>
      </c>
      <c r="VS76" s="49" t="s">
        <v>93</v>
      </c>
      <c r="VT76" s="49" t="s">
        <v>94</v>
      </c>
      <c r="VU76" s="49" t="s">
        <v>93</v>
      </c>
      <c r="VV76" s="49" t="s">
        <v>94</v>
      </c>
      <c r="VW76" s="49" t="s">
        <v>93</v>
      </c>
      <c r="VX76" s="49" t="s">
        <v>94</v>
      </c>
      <c r="VY76" s="49" t="s">
        <v>93</v>
      </c>
      <c r="VZ76" s="49" t="s">
        <v>94</v>
      </c>
      <c r="WA76" s="49" t="s">
        <v>93</v>
      </c>
      <c r="WB76" s="49" t="s">
        <v>94</v>
      </c>
      <c r="WC76" s="49" t="s">
        <v>93</v>
      </c>
      <c r="WD76" s="49" t="s">
        <v>94</v>
      </c>
      <c r="WE76" s="49" t="s">
        <v>93</v>
      </c>
      <c r="WF76" s="49" t="s">
        <v>94</v>
      </c>
      <c r="WG76" s="49" t="s">
        <v>93</v>
      </c>
      <c r="WH76" s="49" t="s">
        <v>94</v>
      </c>
      <c r="WI76" s="49" t="s">
        <v>93</v>
      </c>
      <c r="WJ76" s="49" t="s">
        <v>94</v>
      </c>
      <c r="WK76" s="49" t="s">
        <v>93</v>
      </c>
      <c r="WL76" s="49" t="s">
        <v>94</v>
      </c>
      <c r="WM76" s="49" t="s">
        <v>93</v>
      </c>
      <c r="WN76" s="49" t="s">
        <v>94</v>
      </c>
      <c r="WO76" s="49" t="s">
        <v>93</v>
      </c>
      <c r="WP76" s="49" t="s">
        <v>94</v>
      </c>
      <c r="WQ76" s="49" t="s">
        <v>93</v>
      </c>
      <c r="WR76" s="49" t="s">
        <v>94</v>
      </c>
      <c r="WS76" s="49" t="s">
        <v>93</v>
      </c>
      <c r="WT76" s="49" t="s">
        <v>94</v>
      </c>
      <c r="WU76" s="49" t="s">
        <v>93</v>
      </c>
      <c r="WV76" s="49" t="s">
        <v>94</v>
      </c>
      <c r="WW76" s="49" t="s">
        <v>93</v>
      </c>
      <c r="WX76" s="49" t="s">
        <v>94</v>
      </c>
      <c r="WY76" s="49" t="s">
        <v>93</v>
      </c>
      <c r="WZ76" s="49" t="s">
        <v>94</v>
      </c>
      <c r="XA76" s="49" t="s">
        <v>93</v>
      </c>
      <c r="XB76" s="49" t="s">
        <v>94</v>
      </c>
      <c r="XC76" s="49" t="s">
        <v>93</v>
      </c>
      <c r="XD76" s="49" t="s">
        <v>94</v>
      </c>
      <c r="XE76" s="49" t="s">
        <v>93</v>
      </c>
      <c r="XF76" s="49" t="s">
        <v>94</v>
      </c>
      <c r="XG76" s="49" t="s">
        <v>93</v>
      </c>
      <c r="XH76" s="49" t="s">
        <v>94</v>
      </c>
      <c r="XI76" s="49" t="s">
        <v>93</v>
      </c>
      <c r="XJ76" s="49" t="s">
        <v>94</v>
      </c>
      <c r="XK76" s="49" t="s">
        <v>93</v>
      </c>
      <c r="XL76" s="49" t="s">
        <v>94</v>
      </c>
      <c r="XM76" s="49" t="s">
        <v>93</v>
      </c>
      <c r="XN76" s="49" t="s">
        <v>94</v>
      </c>
      <c r="XO76" s="49" t="s">
        <v>93</v>
      </c>
      <c r="XP76" s="49" t="s">
        <v>94</v>
      </c>
      <c r="XQ76" s="49" t="s">
        <v>93</v>
      </c>
      <c r="XR76" s="49" t="s">
        <v>94</v>
      </c>
      <c r="XS76" s="49" t="s">
        <v>93</v>
      </c>
      <c r="XT76" s="49" t="s">
        <v>94</v>
      </c>
      <c r="XU76" s="49" t="s">
        <v>93</v>
      </c>
      <c r="XV76" s="49" t="s">
        <v>94</v>
      </c>
      <c r="XW76" s="49" t="s">
        <v>93</v>
      </c>
      <c r="XX76" s="49" t="s">
        <v>94</v>
      </c>
      <c r="XY76" s="49" t="s">
        <v>93</v>
      </c>
      <c r="XZ76" s="49" t="s">
        <v>94</v>
      </c>
      <c r="YA76" s="49" t="s">
        <v>93</v>
      </c>
      <c r="YB76" s="49" t="s">
        <v>94</v>
      </c>
      <c r="YC76" s="49" t="s">
        <v>93</v>
      </c>
      <c r="YD76" s="49" t="s">
        <v>94</v>
      </c>
      <c r="YE76" s="49" t="s">
        <v>93</v>
      </c>
      <c r="YF76" s="49" t="s">
        <v>94</v>
      </c>
      <c r="YG76" s="49" t="s">
        <v>93</v>
      </c>
      <c r="YH76" s="49" t="s">
        <v>94</v>
      </c>
      <c r="YI76" s="49" t="s">
        <v>93</v>
      </c>
      <c r="YJ76" s="49" t="s">
        <v>94</v>
      </c>
      <c r="YK76" s="49" t="s">
        <v>93</v>
      </c>
      <c r="YL76" s="49" t="s">
        <v>94</v>
      </c>
      <c r="YM76" s="49" t="s">
        <v>93</v>
      </c>
      <c r="YN76" s="49" t="s">
        <v>94</v>
      </c>
      <c r="YO76" s="49" t="s">
        <v>93</v>
      </c>
      <c r="YP76" s="49" t="s">
        <v>94</v>
      </c>
      <c r="YQ76" s="49" t="s">
        <v>93</v>
      </c>
      <c r="YR76" s="49" t="s">
        <v>94</v>
      </c>
      <c r="YS76" s="49" t="s">
        <v>93</v>
      </c>
      <c r="YT76" s="49" t="s">
        <v>94</v>
      </c>
      <c r="YU76" s="49" t="s">
        <v>93</v>
      </c>
      <c r="YV76" s="49" t="s">
        <v>94</v>
      </c>
      <c r="YW76" s="49" t="s">
        <v>93</v>
      </c>
      <c r="YX76" s="49" t="s">
        <v>94</v>
      </c>
      <c r="YY76" s="49" t="s">
        <v>93</v>
      </c>
      <c r="YZ76" s="49" t="s">
        <v>94</v>
      </c>
      <c r="ZA76" s="49" t="s">
        <v>93</v>
      </c>
      <c r="ZB76" s="49" t="s">
        <v>94</v>
      </c>
      <c r="ZC76" s="49" t="s">
        <v>93</v>
      </c>
      <c r="ZD76" s="49" t="s">
        <v>94</v>
      </c>
      <c r="ZE76" s="49" t="s">
        <v>93</v>
      </c>
      <c r="ZF76" s="49" t="s">
        <v>94</v>
      </c>
      <c r="ZG76" s="49" t="s">
        <v>93</v>
      </c>
      <c r="ZH76" s="49" t="s">
        <v>94</v>
      </c>
      <c r="ZI76" s="49" t="s">
        <v>93</v>
      </c>
      <c r="ZJ76" s="49" t="s">
        <v>94</v>
      </c>
      <c r="ZK76" s="49" t="s">
        <v>93</v>
      </c>
      <c r="ZL76" s="49" t="s">
        <v>94</v>
      </c>
      <c r="ZM76" s="49" t="s">
        <v>93</v>
      </c>
      <c r="ZN76" s="49" t="s">
        <v>94</v>
      </c>
      <c r="ZO76" s="49" t="s">
        <v>93</v>
      </c>
      <c r="ZP76" s="49" t="s">
        <v>94</v>
      </c>
      <c r="ZQ76" s="49" t="s">
        <v>93</v>
      </c>
      <c r="ZR76" s="49" t="s">
        <v>94</v>
      </c>
      <c r="ZS76" s="49" t="s">
        <v>93</v>
      </c>
      <c r="ZT76" s="49" t="s">
        <v>94</v>
      </c>
      <c r="ZU76" s="49" t="s">
        <v>93</v>
      </c>
      <c r="ZV76" s="49" t="s">
        <v>94</v>
      </c>
      <c r="ZW76" s="49" t="s">
        <v>93</v>
      </c>
      <c r="ZX76" s="49" t="s">
        <v>94</v>
      </c>
      <c r="ZY76" s="49" t="s">
        <v>93</v>
      </c>
      <c r="ZZ76" s="49" t="s">
        <v>94</v>
      </c>
      <c r="AAA76" s="49" t="s">
        <v>93</v>
      </c>
      <c r="AAB76" s="49" t="s">
        <v>94</v>
      </c>
      <c r="AAC76" s="49" t="s">
        <v>93</v>
      </c>
      <c r="AAD76" s="49" t="s">
        <v>94</v>
      </c>
      <c r="AAE76" s="49" t="s">
        <v>93</v>
      </c>
      <c r="AAF76" s="49" t="s">
        <v>94</v>
      </c>
      <c r="AAG76" s="49" t="s">
        <v>93</v>
      </c>
      <c r="AAH76" s="49" t="s">
        <v>94</v>
      </c>
      <c r="AAI76" s="49" t="s">
        <v>93</v>
      </c>
      <c r="AAJ76" s="49" t="s">
        <v>94</v>
      </c>
      <c r="AAK76" s="49" t="s">
        <v>93</v>
      </c>
      <c r="AAL76" s="49" t="s">
        <v>94</v>
      </c>
      <c r="AAM76" s="49" t="s">
        <v>93</v>
      </c>
      <c r="AAN76" s="49" t="s">
        <v>94</v>
      </c>
      <c r="AAO76" s="49" t="s">
        <v>93</v>
      </c>
      <c r="AAP76" s="49" t="s">
        <v>94</v>
      </c>
      <c r="AAQ76" s="49" t="s">
        <v>93</v>
      </c>
      <c r="AAR76" s="49" t="s">
        <v>94</v>
      </c>
      <c r="AAS76" s="49" t="s">
        <v>93</v>
      </c>
      <c r="AAT76" s="49" t="s">
        <v>94</v>
      </c>
      <c r="AAU76" s="49" t="s">
        <v>93</v>
      </c>
      <c r="AAV76" s="49" t="s">
        <v>94</v>
      </c>
      <c r="AAW76" s="49" t="s">
        <v>93</v>
      </c>
      <c r="AAX76" s="49" t="s">
        <v>94</v>
      </c>
      <c r="AAY76" s="49" t="s">
        <v>93</v>
      </c>
      <c r="AAZ76" s="49" t="s">
        <v>94</v>
      </c>
      <c r="ABA76" s="49" t="s">
        <v>93</v>
      </c>
      <c r="ABB76" s="49" t="s">
        <v>94</v>
      </c>
      <c r="ABC76" s="49" t="s">
        <v>93</v>
      </c>
      <c r="ABD76" s="49" t="s">
        <v>94</v>
      </c>
      <c r="ABE76" s="49" t="s">
        <v>93</v>
      </c>
      <c r="ABF76" s="49" t="s">
        <v>94</v>
      </c>
      <c r="ABG76" s="49" t="s">
        <v>93</v>
      </c>
      <c r="ABH76" s="49" t="s">
        <v>94</v>
      </c>
      <c r="ABI76" s="49" t="s">
        <v>93</v>
      </c>
      <c r="ABJ76" s="49" t="s">
        <v>94</v>
      </c>
      <c r="ABK76" s="49" t="s">
        <v>93</v>
      </c>
      <c r="ABL76" s="49" t="s">
        <v>94</v>
      </c>
      <c r="ABM76" s="49" t="s">
        <v>93</v>
      </c>
      <c r="ABN76" s="49" t="s">
        <v>94</v>
      </c>
      <c r="ABO76" s="49" t="s">
        <v>93</v>
      </c>
      <c r="ABP76" s="49" t="s">
        <v>94</v>
      </c>
      <c r="ABQ76" s="49" t="s">
        <v>93</v>
      </c>
      <c r="ABR76" s="49" t="s">
        <v>94</v>
      </c>
      <c r="ABS76" s="49" t="s">
        <v>93</v>
      </c>
      <c r="ABT76" s="49" t="s">
        <v>94</v>
      </c>
      <c r="ABU76" s="49" t="s">
        <v>93</v>
      </c>
      <c r="ABV76" s="49" t="s">
        <v>94</v>
      </c>
      <c r="ABW76" s="49" t="s">
        <v>93</v>
      </c>
      <c r="ABX76" s="49" t="s">
        <v>94</v>
      </c>
      <c r="ABY76" s="49" t="s">
        <v>93</v>
      </c>
      <c r="ABZ76" s="49" t="s">
        <v>94</v>
      </c>
      <c r="ACA76" s="49" t="s">
        <v>93</v>
      </c>
      <c r="ACB76" s="49" t="s">
        <v>94</v>
      </c>
      <c r="ACC76" s="49" t="s">
        <v>93</v>
      </c>
      <c r="ACD76" s="49" t="s">
        <v>94</v>
      </c>
      <c r="ACE76" s="49" t="s">
        <v>93</v>
      </c>
      <c r="ACF76" s="49" t="s">
        <v>94</v>
      </c>
      <c r="ACG76" s="49" t="s">
        <v>93</v>
      </c>
      <c r="ACH76" s="49" t="s">
        <v>94</v>
      </c>
      <c r="ACI76" s="49" t="s">
        <v>93</v>
      </c>
      <c r="ACJ76" s="49" t="s">
        <v>94</v>
      </c>
      <c r="ACK76" s="49" t="s">
        <v>93</v>
      </c>
      <c r="ACL76" s="49" t="s">
        <v>94</v>
      </c>
      <c r="ACM76" s="49" t="s">
        <v>93</v>
      </c>
      <c r="ACN76" s="49" t="s">
        <v>94</v>
      </c>
      <c r="ACO76" s="49" t="s">
        <v>93</v>
      </c>
      <c r="ACP76" s="49" t="s">
        <v>94</v>
      </c>
      <c r="ACQ76" s="49" t="s">
        <v>93</v>
      </c>
      <c r="ACR76" s="49" t="s">
        <v>94</v>
      </c>
      <c r="ACS76" s="49" t="s">
        <v>93</v>
      </c>
      <c r="ACT76" s="49" t="s">
        <v>94</v>
      </c>
      <c r="ACU76" s="49" t="s">
        <v>93</v>
      </c>
      <c r="ACV76" s="49" t="s">
        <v>94</v>
      </c>
      <c r="ACW76" s="49" t="s">
        <v>93</v>
      </c>
      <c r="ACX76" s="49" t="s">
        <v>94</v>
      </c>
      <c r="ACY76" s="49" t="s">
        <v>93</v>
      </c>
      <c r="ACZ76" s="49" t="s">
        <v>94</v>
      </c>
      <c r="ADA76" s="49" t="s">
        <v>93</v>
      </c>
      <c r="ADB76" s="49" t="s">
        <v>94</v>
      </c>
      <c r="ADC76" s="49" t="s">
        <v>93</v>
      </c>
      <c r="ADD76" s="49" t="s">
        <v>94</v>
      </c>
      <c r="ADE76" s="49" t="s">
        <v>93</v>
      </c>
      <c r="ADF76" s="49" t="s">
        <v>94</v>
      </c>
      <c r="ADG76" s="49" t="s">
        <v>93</v>
      </c>
      <c r="ADH76" s="49" t="s">
        <v>94</v>
      </c>
      <c r="ADI76" s="49" t="s">
        <v>93</v>
      </c>
      <c r="ADJ76" s="49" t="s">
        <v>94</v>
      </c>
      <c r="ADK76" s="49" t="s">
        <v>93</v>
      </c>
      <c r="ADL76" s="49" t="s">
        <v>94</v>
      </c>
      <c r="ADM76" s="49" t="s">
        <v>93</v>
      </c>
      <c r="ADN76" s="49" t="s">
        <v>94</v>
      </c>
      <c r="ADO76" s="49" t="s">
        <v>93</v>
      </c>
      <c r="ADP76" s="49" t="s">
        <v>94</v>
      </c>
      <c r="ADQ76" s="49" t="s">
        <v>93</v>
      </c>
      <c r="ADR76" s="49" t="s">
        <v>94</v>
      </c>
      <c r="ADS76" s="49" t="s">
        <v>93</v>
      </c>
      <c r="ADT76" s="49" t="s">
        <v>94</v>
      </c>
      <c r="ADU76" s="49" t="s">
        <v>93</v>
      </c>
      <c r="ADV76" s="49" t="s">
        <v>94</v>
      </c>
      <c r="ADW76" s="49" t="s">
        <v>93</v>
      </c>
      <c r="ADX76" s="49" t="s">
        <v>94</v>
      </c>
      <c r="ADY76" s="49" t="s">
        <v>93</v>
      </c>
      <c r="ADZ76" s="49" t="s">
        <v>94</v>
      </c>
      <c r="AEA76" s="49" t="s">
        <v>93</v>
      </c>
      <c r="AEB76" s="49" t="s">
        <v>94</v>
      </c>
      <c r="AEC76" s="49" t="s">
        <v>93</v>
      </c>
      <c r="AED76" s="49" t="s">
        <v>94</v>
      </c>
      <c r="AEE76" s="49" t="s">
        <v>93</v>
      </c>
      <c r="AEF76" s="49" t="s">
        <v>94</v>
      </c>
      <c r="AEG76" s="49" t="s">
        <v>93</v>
      </c>
      <c r="AEH76" s="49" t="s">
        <v>94</v>
      </c>
      <c r="AEI76" s="49" t="s">
        <v>93</v>
      </c>
      <c r="AEJ76" s="49" t="s">
        <v>94</v>
      </c>
      <c r="AEK76" s="49" t="s">
        <v>93</v>
      </c>
      <c r="AEL76" s="49" t="s">
        <v>94</v>
      </c>
      <c r="AEM76" s="49" t="s">
        <v>93</v>
      </c>
      <c r="AEN76" s="49" t="s">
        <v>94</v>
      </c>
      <c r="AEO76" s="49" t="s">
        <v>93</v>
      </c>
      <c r="AEP76" s="49" t="s">
        <v>94</v>
      </c>
      <c r="AEQ76" s="49" t="s">
        <v>93</v>
      </c>
      <c r="AER76" s="49" t="s">
        <v>94</v>
      </c>
      <c r="AES76" s="49" t="s">
        <v>93</v>
      </c>
      <c r="AET76" s="49" t="s">
        <v>94</v>
      </c>
      <c r="AEU76" s="49" t="s">
        <v>93</v>
      </c>
      <c r="AEV76" s="49" t="s">
        <v>94</v>
      </c>
      <c r="AEW76" s="49" t="s">
        <v>93</v>
      </c>
      <c r="AEX76" s="49" t="s">
        <v>94</v>
      </c>
      <c r="AEY76" s="49" t="s">
        <v>93</v>
      </c>
      <c r="AEZ76" s="49" t="s">
        <v>94</v>
      </c>
      <c r="AFA76" s="49" t="s">
        <v>93</v>
      </c>
      <c r="AFB76" s="49" t="s">
        <v>94</v>
      </c>
      <c r="AFC76" s="49" t="s">
        <v>93</v>
      </c>
      <c r="AFD76" s="49" t="s">
        <v>94</v>
      </c>
      <c r="AFE76" s="49" t="s">
        <v>93</v>
      </c>
      <c r="AFF76" s="49" t="s">
        <v>94</v>
      </c>
      <c r="AFG76" s="49" t="s">
        <v>93</v>
      </c>
      <c r="AFH76" s="49" t="s">
        <v>94</v>
      </c>
      <c r="AFI76" s="49" t="s">
        <v>93</v>
      </c>
      <c r="AFJ76" s="49" t="s">
        <v>94</v>
      </c>
      <c r="AFK76" s="49" t="s">
        <v>93</v>
      </c>
      <c r="AFL76" s="49" t="s">
        <v>94</v>
      </c>
      <c r="AFM76" s="49" t="s">
        <v>93</v>
      </c>
      <c r="AFN76" s="49" t="s">
        <v>94</v>
      </c>
      <c r="AFO76" s="49" t="s">
        <v>93</v>
      </c>
      <c r="AFP76" s="49" t="s">
        <v>94</v>
      </c>
      <c r="AFQ76" s="49" t="s">
        <v>93</v>
      </c>
      <c r="AFR76" s="49" t="s">
        <v>94</v>
      </c>
      <c r="AFS76" s="49" t="s">
        <v>93</v>
      </c>
      <c r="AFT76" s="49" t="s">
        <v>94</v>
      </c>
      <c r="AFU76" s="49" t="s">
        <v>93</v>
      </c>
      <c r="AFV76" s="49" t="s">
        <v>94</v>
      </c>
      <c r="AFW76" s="49" t="s">
        <v>93</v>
      </c>
      <c r="AFX76" s="49" t="s">
        <v>94</v>
      </c>
      <c r="AFY76" s="49" t="s">
        <v>93</v>
      </c>
      <c r="AFZ76" s="49" t="s">
        <v>94</v>
      </c>
      <c r="AGA76" s="49" t="s">
        <v>93</v>
      </c>
      <c r="AGB76" s="49" t="s">
        <v>94</v>
      </c>
      <c r="AGC76" s="49" t="s">
        <v>93</v>
      </c>
      <c r="AGD76" s="49" t="s">
        <v>94</v>
      </c>
      <c r="AGE76" s="49" t="s">
        <v>93</v>
      </c>
      <c r="AGF76" s="49" t="s">
        <v>94</v>
      </c>
      <c r="AGG76" s="49" t="s">
        <v>93</v>
      </c>
      <c r="AGH76" s="49" t="s">
        <v>94</v>
      </c>
      <c r="AGI76" s="49" t="s">
        <v>93</v>
      </c>
      <c r="AGJ76" s="49" t="s">
        <v>94</v>
      </c>
      <c r="AGK76" s="49" t="s">
        <v>93</v>
      </c>
      <c r="AGL76" s="49" t="s">
        <v>94</v>
      </c>
      <c r="AGM76" s="49" t="s">
        <v>93</v>
      </c>
      <c r="AGN76" s="49" t="s">
        <v>94</v>
      </c>
      <c r="AGO76" s="49" t="s">
        <v>93</v>
      </c>
      <c r="AGP76" s="49" t="s">
        <v>94</v>
      </c>
      <c r="AGQ76" s="49" t="s">
        <v>93</v>
      </c>
      <c r="AGR76" s="49" t="s">
        <v>94</v>
      </c>
      <c r="AGS76" s="49" t="s">
        <v>93</v>
      </c>
      <c r="AGT76" s="49" t="s">
        <v>94</v>
      </c>
      <c r="AGU76" s="49" t="s">
        <v>93</v>
      </c>
      <c r="AGV76" s="49" t="s">
        <v>94</v>
      </c>
      <c r="AGW76" s="49" t="s">
        <v>93</v>
      </c>
      <c r="AGX76" s="49" t="s">
        <v>94</v>
      </c>
      <c r="AGY76" s="49" t="s">
        <v>93</v>
      </c>
      <c r="AGZ76" s="49" t="s">
        <v>94</v>
      </c>
      <c r="AHA76" s="49" t="s">
        <v>93</v>
      </c>
      <c r="AHB76" s="49" t="s">
        <v>94</v>
      </c>
      <c r="AHC76" s="49" t="s">
        <v>93</v>
      </c>
      <c r="AHD76" s="49" t="s">
        <v>94</v>
      </c>
      <c r="AHE76" s="49" t="s">
        <v>93</v>
      </c>
      <c r="AHF76" s="49" t="s">
        <v>94</v>
      </c>
      <c r="AHG76" s="49" t="s">
        <v>93</v>
      </c>
      <c r="AHH76" s="49" t="s">
        <v>94</v>
      </c>
      <c r="AHI76" s="49" t="s">
        <v>93</v>
      </c>
      <c r="AHJ76" s="49" t="s">
        <v>94</v>
      </c>
      <c r="AHK76" s="49" t="s">
        <v>93</v>
      </c>
      <c r="AHL76" s="49" t="s">
        <v>94</v>
      </c>
      <c r="AHM76" s="49" t="s">
        <v>93</v>
      </c>
      <c r="AHN76" s="49" t="s">
        <v>94</v>
      </c>
      <c r="AHO76" s="49" t="s">
        <v>93</v>
      </c>
      <c r="AHP76" s="49" t="s">
        <v>94</v>
      </c>
      <c r="AHQ76" s="49" t="s">
        <v>93</v>
      </c>
      <c r="AHR76" s="49" t="s">
        <v>94</v>
      </c>
      <c r="AHS76" s="49" t="s">
        <v>93</v>
      </c>
      <c r="AHT76" s="49" t="s">
        <v>94</v>
      </c>
      <c r="AHU76" s="49" t="s">
        <v>93</v>
      </c>
      <c r="AHV76" s="49" t="s">
        <v>94</v>
      </c>
      <c r="AHW76" s="49" t="s">
        <v>93</v>
      </c>
      <c r="AHX76" s="49" t="s">
        <v>94</v>
      </c>
      <c r="AHY76" s="49" t="s">
        <v>93</v>
      </c>
      <c r="AHZ76" s="49" t="s">
        <v>94</v>
      </c>
      <c r="AIA76" s="49" t="s">
        <v>93</v>
      </c>
      <c r="AIB76" s="49" t="s">
        <v>94</v>
      </c>
      <c r="AIC76" s="49" t="s">
        <v>93</v>
      </c>
      <c r="AID76" s="49" t="s">
        <v>94</v>
      </c>
      <c r="AIE76" s="49" t="s">
        <v>93</v>
      </c>
      <c r="AIF76" s="49" t="s">
        <v>94</v>
      </c>
      <c r="AIG76" s="49" t="s">
        <v>93</v>
      </c>
      <c r="AIH76" s="49" t="s">
        <v>94</v>
      </c>
      <c r="AII76" s="49" t="s">
        <v>93</v>
      </c>
      <c r="AIJ76" s="49" t="s">
        <v>94</v>
      </c>
      <c r="AIK76" s="49" t="s">
        <v>93</v>
      </c>
      <c r="AIL76" s="49" t="s">
        <v>94</v>
      </c>
      <c r="AIM76" s="49" t="s">
        <v>93</v>
      </c>
      <c r="AIN76" s="49" t="s">
        <v>94</v>
      </c>
      <c r="AIO76" s="49" t="s">
        <v>93</v>
      </c>
      <c r="AIP76" s="49" t="s">
        <v>94</v>
      </c>
      <c r="AIQ76" s="49" t="s">
        <v>93</v>
      </c>
      <c r="AIR76" s="49" t="s">
        <v>94</v>
      </c>
      <c r="AIS76" s="49" t="s">
        <v>93</v>
      </c>
      <c r="AIT76" s="49" t="s">
        <v>94</v>
      </c>
      <c r="AIU76" s="49" t="s">
        <v>93</v>
      </c>
      <c r="AIV76" s="49" t="s">
        <v>94</v>
      </c>
      <c r="AIW76" s="49" t="s">
        <v>93</v>
      </c>
      <c r="AIX76" s="49" t="s">
        <v>94</v>
      </c>
      <c r="AIY76" s="49" t="s">
        <v>93</v>
      </c>
      <c r="AIZ76" s="49" t="s">
        <v>94</v>
      </c>
      <c r="AJA76" s="49" t="s">
        <v>93</v>
      </c>
      <c r="AJB76" s="49" t="s">
        <v>94</v>
      </c>
      <c r="AJC76" s="49" t="s">
        <v>93</v>
      </c>
      <c r="AJD76" s="49" t="s">
        <v>94</v>
      </c>
      <c r="AJE76" s="49" t="s">
        <v>93</v>
      </c>
      <c r="AJF76" s="49" t="s">
        <v>94</v>
      </c>
      <c r="AJG76" s="49" t="s">
        <v>93</v>
      </c>
      <c r="AJH76" s="49" t="s">
        <v>94</v>
      </c>
      <c r="AJI76" s="49" t="s">
        <v>93</v>
      </c>
      <c r="AJJ76" s="49" t="s">
        <v>94</v>
      </c>
      <c r="AJK76" s="49" t="s">
        <v>93</v>
      </c>
      <c r="AJL76" s="49" t="s">
        <v>94</v>
      </c>
      <c r="AJM76" s="49" t="s">
        <v>93</v>
      </c>
      <c r="AJN76" s="49" t="s">
        <v>94</v>
      </c>
      <c r="AJO76" s="49" t="s">
        <v>93</v>
      </c>
      <c r="AJP76" s="49" t="s">
        <v>94</v>
      </c>
      <c r="AJQ76" s="49" t="s">
        <v>93</v>
      </c>
      <c r="AJR76" s="49" t="s">
        <v>94</v>
      </c>
      <c r="AJS76" s="49" t="s">
        <v>93</v>
      </c>
      <c r="AJT76" s="49" t="s">
        <v>94</v>
      </c>
      <c r="AJU76" s="49" t="s">
        <v>93</v>
      </c>
      <c r="AJV76" s="49" t="s">
        <v>94</v>
      </c>
      <c r="AJW76" s="49" t="s">
        <v>93</v>
      </c>
      <c r="AJX76" s="49" t="s">
        <v>94</v>
      </c>
      <c r="AJY76" s="49" t="s">
        <v>93</v>
      </c>
      <c r="AJZ76" s="49" t="s">
        <v>94</v>
      </c>
      <c r="AKA76" s="49" t="s">
        <v>93</v>
      </c>
      <c r="AKB76" s="49" t="s">
        <v>94</v>
      </c>
      <c r="AKC76" s="49" t="s">
        <v>93</v>
      </c>
      <c r="AKD76" s="49" t="s">
        <v>94</v>
      </c>
      <c r="AKE76" s="49" t="s">
        <v>93</v>
      </c>
      <c r="AKF76" s="49" t="s">
        <v>94</v>
      </c>
      <c r="AKG76" s="49" t="s">
        <v>93</v>
      </c>
      <c r="AKH76" s="49" t="s">
        <v>94</v>
      </c>
      <c r="AKI76" s="49" t="s">
        <v>93</v>
      </c>
      <c r="AKJ76" s="49" t="s">
        <v>94</v>
      </c>
      <c r="AKK76" s="49" t="s">
        <v>93</v>
      </c>
      <c r="AKL76" s="49" t="s">
        <v>94</v>
      </c>
      <c r="AKM76" s="49" t="s">
        <v>93</v>
      </c>
      <c r="AKN76" s="49" t="s">
        <v>94</v>
      </c>
      <c r="AKO76" s="49" t="s">
        <v>93</v>
      </c>
      <c r="AKP76" s="49" t="s">
        <v>94</v>
      </c>
      <c r="AKQ76" s="49" t="s">
        <v>93</v>
      </c>
      <c r="AKR76" s="49" t="s">
        <v>94</v>
      </c>
      <c r="AKS76" s="49" t="s">
        <v>93</v>
      </c>
      <c r="AKT76" s="49" t="s">
        <v>94</v>
      </c>
      <c r="AKU76" s="49" t="s">
        <v>93</v>
      </c>
      <c r="AKV76" s="49" t="s">
        <v>94</v>
      </c>
      <c r="AKW76" s="49" t="s">
        <v>93</v>
      </c>
      <c r="AKX76" s="49" t="s">
        <v>94</v>
      </c>
      <c r="AKY76" s="49" t="s">
        <v>93</v>
      </c>
      <c r="AKZ76" s="49" t="s">
        <v>94</v>
      </c>
      <c r="ALA76" s="49" t="s">
        <v>93</v>
      </c>
      <c r="ALB76" s="49" t="s">
        <v>94</v>
      </c>
      <c r="ALC76" s="49" t="s">
        <v>93</v>
      </c>
      <c r="ALD76" s="49" t="s">
        <v>94</v>
      </c>
      <c r="ALE76" s="49" t="s">
        <v>93</v>
      </c>
      <c r="ALF76" s="49" t="s">
        <v>94</v>
      </c>
      <c r="ALG76" s="49" t="s">
        <v>93</v>
      </c>
      <c r="ALH76" s="49" t="s">
        <v>94</v>
      </c>
      <c r="ALI76" s="49" t="s">
        <v>93</v>
      </c>
      <c r="ALJ76" s="49" t="s">
        <v>94</v>
      </c>
      <c r="ALK76" s="49" t="s">
        <v>93</v>
      </c>
      <c r="ALL76" s="49" t="s">
        <v>94</v>
      </c>
      <c r="ALM76" s="49" t="s">
        <v>93</v>
      </c>
      <c r="ALN76" s="49" t="s">
        <v>94</v>
      </c>
      <c r="ALO76" s="49" t="s">
        <v>93</v>
      </c>
      <c r="ALP76" s="49" t="s">
        <v>94</v>
      </c>
      <c r="ALQ76" s="49" t="s">
        <v>93</v>
      </c>
      <c r="ALR76" s="49" t="s">
        <v>94</v>
      </c>
      <c r="ALS76" s="49" t="s">
        <v>93</v>
      </c>
      <c r="ALT76" s="49" t="s">
        <v>94</v>
      </c>
      <c r="ALU76" s="49" t="s">
        <v>93</v>
      </c>
      <c r="ALV76" s="49" t="s">
        <v>94</v>
      </c>
      <c r="ALW76" s="49" t="s">
        <v>93</v>
      </c>
      <c r="ALX76" s="49" t="s">
        <v>94</v>
      </c>
      <c r="ALY76" s="49" t="s">
        <v>93</v>
      </c>
      <c r="ALZ76" s="49" t="s">
        <v>94</v>
      </c>
      <c r="AMA76" s="49" t="s">
        <v>93</v>
      </c>
      <c r="AMB76" s="49" t="s">
        <v>94</v>
      </c>
      <c r="AMC76" s="49" t="s">
        <v>93</v>
      </c>
      <c r="AMD76" s="49" t="s">
        <v>94</v>
      </c>
      <c r="AME76" s="49" t="s">
        <v>93</v>
      </c>
      <c r="AMF76" s="49" t="s">
        <v>94</v>
      </c>
      <c r="AMG76" s="49" t="s">
        <v>93</v>
      </c>
      <c r="AMH76" s="49" t="s">
        <v>94</v>
      </c>
      <c r="AMI76" s="49" t="s">
        <v>93</v>
      </c>
      <c r="AMJ76" s="49" t="s">
        <v>94</v>
      </c>
      <c r="AMK76" s="49" t="s">
        <v>93</v>
      </c>
      <c r="AML76" s="49" t="s">
        <v>94</v>
      </c>
      <c r="AMM76" s="49" t="s">
        <v>93</v>
      </c>
      <c r="AMN76" s="49" t="s">
        <v>94</v>
      </c>
      <c r="AMO76" s="49" t="s">
        <v>93</v>
      </c>
      <c r="AMP76" s="49" t="s">
        <v>94</v>
      </c>
      <c r="AMQ76" s="49" t="s">
        <v>93</v>
      </c>
      <c r="AMR76" s="49" t="s">
        <v>94</v>
      </c>
      <c r="AMS76" s="49" t="s">
        <v>93</v>
      </c>
      <c r="AMT76" s="49" t="s">
        <v>94</v>
      </c>
      <c r="AMU76" s="49" t="s">
        <v>93</v>
      </c>
      <c r="AMV76" s="49" t="s">
        <v>94</v>
      </c>
      <c r="AMW76" s="49" t="s">
        <v>93</v>
      </c>
      <c r="AMX76" s="49" t="s">
        <v>94</v>
      </c>
      <c r="AMY76" s="49" t="s">
        <v>93</v>
      </c>
      <c r="AMZ76" s="49" t="s">
        <v>94</v>
      </c>
      <c r="ANA76" s="49" t="s">
        <v>93</v>
      </c>
      <c r="ANB76" s="49" t="s">
        <v>94</v>
      </c>
      <c r="ANC76" s="49" t="s">
        <v>93</v>
      </c>
      <c r="AND76" s="49" t="s">
        <v>94</v>
      </c>
      <c r="ANE76" s="49" t="s">
        <v>93</v>
      </c>
      <c r="ANF76" s="49" t="s">
        <v>94</v>
      </c>
      <c r="ANG76" s="49" t="s">
        <v>93</v>
      </c>
      <c r="ANH76" s="49" t="s">
        <v>94</v>
      </c>
      <c r="ANI76" s="49" t="s">
        <v>93</v>
      </c>
      <c r="ANJ76" s="49" t="s">
        <v>94</v>
      </c>
      <c r="ANK76" s="49" t="s">
        <v>93</v>
      </c>
      <c r="ANL76" s="49" t="s">
        <v>94</v>
      </c>
      <c r="ANM76" s="49" t="s">
        <v>93</v>
      </c>
      <c r="ANN76" s="49" t="s">
        <v>94</v>
      </c>
      <c r="ANO76" s="49" t="s">
        <v>93</v>
      </c>
      <c r="ANP76" s="49" t="s">
        <v>94</v>
      </c>
      <c r="ANQ76" s="49" t="s">
        <v>93</v>
      </c>
      <c r="ANR76" s="49" t="s">
        <v>94</v>
      </c>
      <c r="ANS76" s="49" t="s">
        <v>93</v>
      </c>
      <c r="ANT76" s="49" t="s">
        <v>94</v>
      </c>
      <c r="ANU76" s="49" t="s">
        <v>93</v>
      </c>
      <c r="ANV76" s="49" t="s">
        <v>94</v>
      </c>
      <c r="ANW76" s="49" t="s">
        <v>93</v>
      </c>
      <c r="ANX76" s="49" t="s">
        <v>94</v>
      </c>
      <c r="ANY76" s="49" t="s">
        <v>93</v>
      </c>
      <c r="ANZ76" s="49" t="s">
        <v>94</v>
      </c>
      <c r="AOA76" s="49" t="s">
        <v>93</v>
      </c>
      <c r="AOB76" s="49" t="s">
        <v>94</v>
      </c>
      <c r="AOC76" s="49" t="s">
        <v>93</v>
      </c>
      <c r="AOD76" s="49" t="s">
        <v>94</v>
      </c>
      <c r="AOE76" s="49" t="s">
        <v>93</v>
      </c>
      <c r="AOF76" s="49" t="s">
        <v>94</v>
      </c>
      <c r="AOG76" s="49" t="s">
        <v>93</v>
      </c>
      <c r="AOH76" s="49" t="s">
        <v>94</v>
      </c>
      <c r="AOI76" s="49" t="s">
        <v>93</v>
      </c>
      <c r="AOJ76" s="49" t="s">
        <v>94</v>
      </c>
      <c r="AOK76" s="49" t="s">
        <v>93</v>
      </c>
      <c r="AOL76" s="49" t="s">
        <v>94</v>
      </c>
      <c r="AOM76" s="49" t="s">
        <v>93</v>
      </c>
      <c r="AON76" s="49" t="s">
        <v>94</v>
      </c>
      <c r="AOO76" s="49" t="s">
        <v>93</v>
      </c>
      <c r="AOP76" s="49" t="s">
        <v>94</v>
      </c>
      <c r="AOQ76" s="49" t="s">
        <v>93</v>
      </c>
      <c r="AOR76" s="49" t="s">
        <v>94</v>
      </c>
      <c r="AOS76" s="49" t="s">
        <v>93</v>
      </c>
      <c r="AOT76" s="49" t="s">
        <v>94</v>
      </c>
      <c r="AOU76" s="49" t="s">
        <v>93</v>
      </c>
      <c r="AOV76" s="49" t="s">
        <v>94</v>
      </c>
      <c r="AOW76" s="49" t="s">
        <v>93</v>
      </c>
      <c r="AOX76" s="49" t="s">
        <v>94</v>
      </c>
      <c r="AOY76" s="49" t="s">
        <v>93</v>
      </c>
      <c r="AOZ76" s="49" t="s">
        <v>94</v>
      </c>
      <c r="APA76" s="49" t="s">
        <v>93</v>
      </c>
      <c r="APB76" s="49" t="s">
        <v>94</v>
      </c>
      <c r="APC76" s="49" t="s">
        <v>93</v>
      </c>
      <c r="APD76" s="49" t="s">
        <v>94</v>
      </c>
      <c r="APE76" s="49" t="s">
        <v>93</v>
      </c>
      <c r="APF76" s="49" t="s">
        <v>94</v>
      </c>
      <c r="APG76" s="49" t="s">
        <v>93</v>
      </c>
      <c r="APH76" s="49" t="s">
        <v>94</v>
      </c>
      <c r="API76" s="49" t="s">
        <v>93</v>
      </c>
      <c r="APJ76" s="49" t="s">
        <v>94</v>
      </c>
      <c r="APK76" s="49" t="s">
        <v>93</v>
      </c>
      <c r="APL76" s="49" t="s">
        <v>94</v>
      </c>
      <c r="APM76" s="49" t="s">
        <v>93</v>
      </c>
      <c r="APN76" s="49" t="s">
        <v>94</v>
      </c>
      <c r="APO76" s="49" t="s">
        <v>93</v>
      </c>
      <c r="APP76" s="49" t="s">
        <v>94</v>
      </c>
      <c r="APQ76" s="49" t="s">
        <v>93</v>
      </c>
      <c r="APR76" s="49" t="s">
        <v>94</v>
      </c>
      <c r="APS76" s="49" t="s">
        <v>93</v>
      </c>
      <c r="APT76" s="49" t="s">
        <v>94</v>
      </c>
      <c r="APU76" s="49" t="s">
        <v>93</v>
      </c>
      <c r="APV76" s="49" t="s">
        <v>94</v>
      </c>
      <c r="APW76" s="49" t="s">
        <v>93</v>
      </c>
      <c r="APX76" s="49" t="s">
        <v>94</v>
      </c>
      <c r="APY76" s="49" t="s">
        <v>93</v>
      </c>
      <c r="APZ76" s="49" t="s">
        <v>94</v>
      </c>
      <c r="AQA76" s="49" t="s">
        <v>93</v>
      </c>
      <c r="AQB76" s="49" t="s">
        <v>94</v>
      </c>
      <c r="AQC76" s="49" t="s">
        <v>93</v>
      </c>
      <c r="AQD76" s="49" t="s">
        <v>94</v>
      </c>
      <c r="AQE76" s="49" t="s">
        <v>93</v>
      </c>
      <c r="AQF76" s="49" t="s">
        <v>94</v>
      </c>
      <c r="AQG76" s="49" t="s">
        <v>93</v>
      </c>
      <c r="AQH76" s="49" t="s">
        <v>94</v>
      </c>
      <c r="AQI76" s="49" t="s">
        <v>93</v>
      </c>
      <c r="AQJ76" s="49" t="s">
        <v>94</v>
      </c>
      <c r="AQK76" s="49" t="s">
        <v>93</v>
      </c>
      <c r="AQL76" s="49" t="s">
        <v>94</v>
      </c>
      <c r="AQM76" s="49" t="s">
        <v>93</v>
      </c>
      <c r="AQN76" s="49" t="s">
        <v>94</v>
      </c>
      <c r="AQO76" s="49" t="s">
        <v>93</v>
      </c>
      <c r="AQP76" s="49" t="s">
        <v>94</v>
      </c>
      <c r="AQQ76" s="49" t="s">
        <v>93</v>
      </c>
      <c r="AQR76" s="49" t="s">
        <v>94</v>
      </c>
      <c r="AQS76" s="49" t="s">
        <v>93</v>
      </c>
      <c r="AQT76" s="49" t="s">
        <v>94</v>
      </c>
      <c r="AQU76" s="49" t="s">
        <v>93</v>
      </c>
      <c r="AQV76" s="49" t="s">
        <v>94</v>
      </c>
      <c r="AQW76" s="49" t="s">
        <v>93</v>
      </c>
      <c r="AQX76" s="49" t="s">
        <v>94</v>
      </c>
      <c r="AQY76" s="49" t="s">
        <v>93</v>
      </c>
      <c r="AQZ76" s="49" t="s">
        <v>94</v>
      </c>
      <c r="ARA76" s="49" t="s">
        <v>93</v>
      </c>
      <c r="ARB76" s="49" t="s">
        <v>94</v>
      </c>
      <c r="ARC76" s="49" t="s">
        <v>93</v>
      </c>
      <c r="ARD76" s="49" t="s">
        <v>94</v>
      </c>
      <c r="ARE76" s="49" t="s">
        <v>93</v>
      </c>
      <c r="ARF76" s="49" t="s">
        <v>94</v>
      </c>
      <c r="ARG76" s="49" t="s">
        <v>93</v>
      </c>
      <c r="ARH76" s="49" t="s">
        <v>94</v>
      </c>
      <c r="ARI76" s="49" t="s">
        <v>93</v>
      </c>
      <c r="ARJ76" s="49" t="s">
        <v>94</v>
      </c>
      <c r="ARK76" s="49" t="s">
        <v>93</v>
      </c>
      <c r="ARL76" s="49" t="s">
        <v>94</v>
      </c>
      <c r="ARM76" s="49" t="s">
        <v>93</v>
      </c>
      <c r="ARN76" s="49" t="s">
        <v>94</v>
      </c>
      <c r="ARO76" s="49" t="s">
        <v>93</v>
      </c>
      <c r="ARP76" s="49" t="s">
        <v>94</v>
      </c>
      <c r="ARQ76" s="49" t="s">
        <v>93</v>
      </c>
      <c r="ARR76" s="49" t="s">
        <v>94</v>
      </c>
      <c r="ARS76" s="49" t="s">
        <v>93</v>
      </c>
      <c r="ART76" s="49" t="s">
        <v>94</v>
      </c>
      <c r="ARU76" s="49" t="s">
        <v>93</v>
      </c>
      <c r="ARV76" s="49" t="s">
        <v>94</v>
      </c>
      <c r="ARW76" s="49" t="s">
        <v>93</v>
      </c>
      <c r="ARX76" s="49" t="s">
        <v>94</v>
      </c>
      <c r="ARY76" s="49" t="s">
        <v>93</v>
      </c>
      <c r="ARZ76" s="49" t="s">
        <v>94</v>
      </c>
      <c r="ASA76" s="49" t="s">
        <v>93</v>
      </c>
      <c r="ASB76" s="49" t="s">
        <v>94</v>
      </c>
      <c r="ASC76" s="49" t="s">
        <v>93</v>
      </c>
      <c r="ASD76" s="49" t="s">
        <v>94</v>
      </c>
      <c r="ASE76" s="49" t="s">
        <v>93</v>
      </c>
      <c r="ASF76" s="49" t="s">
        <v>94</v>
      </c>
      <c r="ASG76" s="49" t="s">
        <v>93</v>
      </c>
      <c r="ASH76" s="49" t="s">
        <v>94</v>
      </c>
      <c r="ASI76" s="49" t="s">
        <v>93</v>
      </c>
      <c r="ASJ76" s="49" t="s">
        <v>94</v>
      </c>
      <c r="ASK76" s="49" t="s">
        <v>93</v>
      </c>
      <c r="ASL76" s="49" t="s">
        <v>94</v>
      </c>
      <c r="ASM76" s="49" t="s">
        <v>93</v>
      </c>
      <c r="ASN76" s="49" t="s">
        <v>94</v>
      </c>
      <c r="ASO76" s="49" t="s">
        <v>93</v>
      </c>
      <c r="ASP76" s="49" t="s">
        <v>94</v>
      </c>
      <c r="ASQ76" s="49" t="s">
        <v>93</v>
      </c>
      <c r="ASR76" s="49" t="s">
        <v>94</v>
      </c>
      <c r="ASS76" s="49" t="s">
        <v>93</v>
      </c>
      <c r="AST76" s="49" t="s">
        <v>94</v>
      </c>
      <c r="ASU76" s="49" t="s">
        <v>93</v>
      </c>
      <c r="ASV76" s="49" t="s">
        <v>94</v>
      </c>
      <c r="ASW76" s="49" t="s">
        <v>93</v>
      </c>
      <c r="ASX76" s="49" t="s">
        <v>94</v>
      </c>
      <c r="ASY76" s="49" t="s">
        <v>93</v>
      </c>
      <c r="ASZ76" s="49" t="s">
        <v>94</v>
      </c>
      <c r="ATA76" s="49" t="s">
        <v>93</v>
      </c>
      <c r="ATB76" s="49" t="s">
        <v>94</v>
      </c>
      <c r="ATC76" s="49" t="s">
        <v>93</v>
      </c>
      <c r="ATD76" s="49" t="s">
        <v>94</v>
      </c>
      <c r="ATE76" s="49" t="s">
        <v>93</v>
      </c>
      <c r="ATF76" s="49" t="s">
        <v>94</v>
      </c>
      <c r="ATG76" s="49" t="s">
        <v>93</v>
      </c>
      <c r="ATH76" s="49" t="s">
        <v>94</v>
      </c>
      <c r="ATI76" s="49" t="s">
        <v>93</v>
      </c>
      <c r="ATJ76" s="49" t="s">
        <v>94</v>
      </c>
      <c r="ATK76" s="49" t="s">
        <v>93</v>
      </c>
      <c r="ATL76" s="49" t="s">
        <v>94</v>
      </c>
      <c r="ATM76" s="49" t="s">
        <v>93</v>
      </c>
      <c r="ATN76" s="49" t="s">
        <v>94</v>
      </c>
      <c r="ATO76" s="49" t="s">
        <v>93</v>
      </c>
      <c r="ATP76" s="49" t="s">
        <v>94</v>
      </c>
      <c r="ATQ76" s="49" t="s">
        <v>93</v>
      </c>
      <c r="ATR76" s="49" t="s">
        <v>94</v>
      </c>
      <c r="ATS76" s="49" t="s">
        <v>93</v>
      </c>
      <c r="ATT76" s="49" t="s">
        <v>94</v>
      </c>
      <c r="ATU76" s="49" t="s">
        <v>93</v>
      </c>
      <c r="ATV76" s="49" t="s">
        <v>94</v>
      </c>
      <c r="ATW76" s="49" t="s">
        <v>93</v>
      </c>
      <c r="ATX76" s="49" t="s">
        <v>94</v>
      </c>
      <c r="ATY76" s="49" t="s">
        <v>93</v>
      </c>
      <c r="ATZ76" s="49" t="s">
        <v>94</v>
      </c>
      <c r="AUA76" s="49" t="s">
        <v>93</v>
      </c>
      <c r="AUB76" s="49" t="s">
        <v>94</v>
      </c>
      <c r="AUC76" s="49" t="s">
        <v>93</v>
      </c>
      <c r="AUD76" s="49" t="s">
        <v>94</v>
      </c>
      <c r="AUE76" s="49" t="s">
        <v>93</v>
      </c>
      <c r="AUF76" s="49" t="s">
        <v>94</v>
      </c>
      <c r="AUG76" s="49" t="s">
        <v>93</v>
      </c>
      <c r="AUH76" s="49" t="s">
        <v>94</v>
      </c>
      <c r="AUI76" s="49" t="s">
        <v>93</v>
      </c>
      <c r="AUJ76" s="49" t="s">
        <v>94</v>
      </c>
      <c r="AUK76" s="49" t="s">
        <v>93</v>
      </c>
      <c r="AUL76" s="49" t="s">
        <v>94</v>
      </c>
      <c r="AUM76" s="49" t="s">
        <v>93</v>
      </c>
      <c r="AUN76" s="49" t="s">
        <v>94</v>
      </c>
      <c r="AUO76" s="49" t="s">
        <v>93</v>
      </c>
      <c r="AUP76" s="49" t="s">
        <v>94</v>
      </c>
      <c r="AUQ76" s="49" t="s">
        <v>93</v>
      </c>
      <c r="AUR76" s="49" t="s">
        <v>94</v>
      </c>
      <c r="AUS76" s="49" t="s">
        <v>93</v>
      </c>
      <c r="AUT76" s="49" t="s">
        <v>94</v>
      </c>
      <c r="AUU76" s="49" t="s">
        <v>93</v>
      </c>
      <c r="AUV76" s="49" t="s">
        <v>94</v>
      </c>
      <c r="AUW76" s="49" t="s">
        <v>93</v>
      </c>
      <c r="AUX76" s="49" t="s">
        <v>94</v>
      </c>
      <c r="AUY76" s="49" t="s">
        <v>93</v>
      </c>
      <c r="AUZ76" s="49" t="s">
        <v>94</v>
      </c>
      <c r="AVA76" s="49" t="s">
        <v>93</v>
      </c>
      <c r="AVB76" s="49" t="s">
        <v>94</v>
      </c>
      <c r="AVC76" s="49" t="s">
        <v>93</v>
      </c>
      <c r="AVD76" s="49" t="s">
        <v>94</v>
      </c>
      <c r="AVE76" s="49" t="s">
        <v>93</v>
      </c>
      <c r="AVF76" s="49" t="s">
        <v>94</v>
      </c>
      <c r="AVG76" s="49" t="s">
        <v>93</v>
      </c>
      <c r="AVH76" s="49" t="s">
        <v>94</v>
      </c>
      <c r="AVI76" s="49" t="s">
        <v>93</v>
      </c>
      <c r="AVJ76" s="49" t="s">
        <v>94</v>
      </c>
      <c r="AVK76" s="49" t="s">
        <v>93</v>
      </c>
      <c r="AVL76" s="49" t="s">
        <v>94</v>
      </c>
      <c r="AVM76" s="49" t="s">
        <v>93</v>
      </c>
      <c r="AVN76" s="49" t="s">
        <v>94</v>
      </c>
      <c r="AVO76" s="49" t="s">
        <v>93</v>
      </c>
      <c r="AVP76" s="49" t="s">
        <v>94</v>
      </c>
      <c r="AVQ76" s="49" t="s">
        <v>93</v>
      </c>
      <c r="AVR76" s="49" t="s">
        <v>94</v>
      </c>
      <c r="AVS76" s="49" t="s">
        <v>93</v>
      </c>
      <c r="AVT76" s="49" t="s">
        <v>94</v>
      </c>
      <c r="AVU76" s="49" t="s">
        <v>93</v>
      </c>
      <c r="AVV76" s="49" t="s">
        <v>94</v>
      </c>
      <c r="AVW76" s="49" t="s">
        <v>93</v>
      </c>
      <c r="AVX76" s="49" t="s">
        <v>94</v>
      </c>
      <c r="AVY76" s="49" t="s">
        <v>93</v>
      </c>
      <c r="AVZ76" s="49" t="s">
        <v>94</v>
      </c>
      <c r="AWA76" s="49" t="s">
        <v>93</v>
      </c>
      <c r="AWB76" s="49" t="s">
        <v>94</v>
      </c>
      <c r="AWC76" s="49" t="s">
        <v>93</v>
      </c>
      <c r="AWD76" s="49" t="s">
        <v>94</v>
      </c>
      <c r="AWE76" s="49" t="s">
        <v>93</v>
      </c>
      <c r="AWF76" s="49" t="s">
        <v>94</v>
      </c>
      <c r="AWG76" s="49" t="s">
        <v>93</v>
      </c>
      <c r="AWH76" s="49" t="s">
        <v>94</v>
      </c>
      <c r="AWI76" s="49" t="s">
        <v>93</v>
      </c>
      <c r="AWJ76" s="49" t="s">
        <v>94</v>
      </c>
      <c r="AWK76" s="49" t="s">
        <v>93</v>
      </c>
      <c r="AWL76" s="49" t="s">
        <v>94</v>
      </c>
      <c r="AWM76" s="49" t="s">
        <v>93</v>
      </c>
      <c r="AWN76" s="49" t="s">
        <v>94</v>
      </c>
      <c r="AWO76" s="49" t="s">
        <v>93</v>
      </c>
      <c r="AWP76" s="49" t="s">
        <v>94</v>
      </c>
      <c r="AWQ76" s="49" t="s">
        <v>93</v>
      </c>
      <c r="AWR76" s="49" t="s">
        <v>94</v>
      </c>
      <c r="AWS76" s="49" t="s">
        <v>93</v>
      </c>
      <c r="AWT76" s="49" t="s">
        <v>94</v>
      </c>
      <c r="AWU76" s="49" t="s">
        <v>93</v>
      </c>
      <c r="AWV76" s="49" t="s">
        <v>94</v>
      </c>
      <c r="AWW76" s="49" t="s">
        <v>93</v>
      </c>
      <c r="AWX76" s="49" t="s">
        <v>94</v>
      </c>
      <c r="AWY76" s="49" t="s">
        <v>93</v>
      </c>
      <c r="AWZ76" s="49" t="s">
        <v>94</v>
      </c>
      <c r="AXA76" s="49" t="s">
        <v>93</v>
      </c>
      <c r="AXB76" s="49" t="s">
        <v>94</v>
      </c>
      <c r="AXC76" s="49" t="s">
        <v>93</v>
      </c>
      <c r="AXD76" s="49" t="s">
        <v>94</v>
      </c>
      <c r="AXE76" s="49" t="s">
        <v>93</v>
      </c>
      <c r="AXF76" s="49" t="s">
        <v>94</v>
      </c>
      <c r="AXG76" s="49" t="s">
        <v>93</v>
      </c>
      <c r="AXH76" s="49" t="s">
        <v>94</v>
      </c>
      <c r="AXI76" s="49" t="s">
        <v>93</v>
      </c>
      <c r="AXJ76" s="49" t="s">
        <v>94</v>
      </c>
      <c r="AXK76" s="49" t="s">
        <v>93</v>
      </c>
      <c r="AXL76" s="49" t="s">
        <v>94</v>
      </c>
      <c r="AXM76" s="49" t="s">
        <v>93</v>
      </c>
      <c r="AXN76" s="49" t="s">
        <v>94</v>
      </c>
      <c r="AXO76" s="49" t="s">
        <v>93</v>
      </c>
      <c r="AXP76" s="49" t="s">
        <v>94</v>
      </c>
      <c r="AXQ76" s="49" t="s">
        <v>93</v>
      </c>
      <c r="AXR76" s="49" t="s">
        <v>94</v>
      </c>
      <c r="AXS76" s="49" t="s">
        <v>93</v>
      </c>
      <c r="AXT76" s="49" t="s">
        <v>94</v>
      </c>
      <c r="AXU76" s="49" t="s">
        <v>93</v>
      </c>
      <c r="AXV76" s="49" t="s">
        <v>94</v>
      </c>
      <c r="AXW76" s="49" t="s">
        <v>93</v>
      </c>
      <c r="AXX76" s="49" t="s">
        <v>94</v>
      </c>
      <c r="AXY76" s="49" t="s">
        <v>93</v>
      </c>
      <c r="AXZ76" s="49" t="s">
        <v>94</v>
      </c>
      <c r="AYA76" s="49" t="s">
        <v>93</v>
      </c>
      <c r="AYB76" s="49" t="s">
        <v>94</v>
      </c>
      <c r="AYC76" s="49" t="s">
        <v>93</v>
      </c>
      <c r="AYD76" s="49" t="s">
        <v>94</v>
      </c>
      <c r="AYE76" s="49" t="s">
        <v>93</v>
      </c>
      <c r="AYF76" s="49" t="s">
        <v>94</v>
      </c>
      <c r="AYG76" s="49" t="s">
        <v>93</v>
      </c>
      <c r="AYH76" s="49" t="s">
        <v>94</v>
      </c>
      <c r="AYI76" s="49" t="s">
        <v>93</v>
      </c>
      <c r="AYJ76" s="49" t="s">
        <v>94</v>
      </c>
      <c r="AYK76" s="49" t="s">
        <v>93</v>
      </c>
      <c r="AYL76" s="49" t="s">
        <v>94</v>
      </c>
      <c r="AYM76" s="49" t="s">
        <v>93</v>
      </c>
      <c r="AYN76" s="49" t="s">
        <v>94</v>
      </c>
      <c r="AYO76" s="49" t="s">
        <v>93</v>
      </c>
      <c r="AYP76" s="49" t="s">
        <v>94</v>
      </c>
      <c r="AYQ76" s="49" t="s">
        <v>93</v>
      </c>
      <c r="AYR76" s="49" t="s">
        <v>94</v>
      </c>
      <c r="AYS76" s="49" t="s">
        <v>93</v>
      </c>
      <c r="AYT76" s="49" t="s">
        <v>94</v>
      </c>
      <c r="AYU76" s="49" t="s">
        <v>93</v>
      </c>
      <c r="AYV76" s="49" t="s">
        <v>94</v>
      </c>
      <c r="AYW76" s="49" t="s">
        <v>93</v>
      </c>
      <c r="AYX76" s="49" t="s">
        <v>94</v>
      </c>
      <c r="AYY76" s="49" t="s">
        <v>93</v>
      </c>
      <c r="AYZ76" s="49" t="s">
        <v>94</v>
      </c>
      <c r="AZA76" s="49" t="s">
        <v>93</v>
      </c>
      <c r="AZB76" s="49" t="s">
        <v>94</v>
      </c>
      <c r="AZC76" s="49" t="s">
        <v>93</v>
      </c>
      <c r="AZD76" s="49" t="s">
        <v>94</v>
      </c>
      <c r="AZE76" s="49" t="s">
        <v>93</v>
      </c>
      <c r="AZF76" s="49" t="s">
        <v>94</v>
      </c>
      <c r="AZG76" s="49" t="s">
        <v>93</v>
      </c>
      <c r="AZH76" s="49" t="s">
        <v>94</v>
      </c>
      <c r="AZI76" s="49" t="s">
        <v>93</v>
      </c>
      <c r="AZJ76" s="49" t="s">
        <v>94</v>
      </c>
      <c r="AZK76" s="49" t="s">
        <v>93</v>
      </c>
      <c r="AZL76" s="49" t="s">
        <v>94</v>
      </c>
      <c r="AZM76" s="49" t="s">
        <v>93</v>
      </c>
      <c r="AZN76" s="49" t="s">
        <v>94</v>
      </c>
      <c r="AZO76" s="49" t="s">
        <v>93</v>
      </c>
      <c r="AZP76" s="49" t="s">
        <v>94</v>
      </c>
      <c r="AZQ76" s="49" t="s">
        <v>93</v>
      </c>
      <c r="AZR76" s="49" t="s">
        <v>94</v>
      </c>
      <c r="AZS76" s="49" t="s">
        <v>93</v>
      </c>
      <c r="AZT76" s="49" t="s">
        <v>94</v>
      </c>
      <c r="AZU76" s="49" t="s">
        <v>93</v>
      </c>
      <c r="AZV76" s="49" t="s">
        <v>94</v>
      </c>
      <c r="AZW76" s="49" t="s">
        <v>93</v>
      </c>
      <c r="AZX76" s="49" t="s">
        <v>94</v>
      </c>
      <c r="AZY76" s="49" t="s">
        <v>93</v>
      </c>
      <c r="AZZ76" s="49" t="s">
        <v>94</v>
      </c>
      <c r="BAA76" s="49" t="s">
        <v>93</v>
      </c>
      <c r="BAB76" s="49" t="s">
        <v>94</v>
      </c>
      <c r="BAC76" s="49" t="s">
        <v>93</v>
      </c>
      <c r="BAD76" s="49" t="s">
        <v>94</v>
      </c>
      <c r="BAE76" s="49" t="s">
        <v>93</v>
      </c>
      <c r="BAF76" s="49" t="s">
        <v>94</v>
      </c>
      <c r="BAG76" s="49" t="s">
        <v>93</v>
      </c>
      <c r="BAH76" s="49" t="s">
        <v>94</v>
      </c>
      <c r="BAI76" s="49" t="s">
        <v>93</v>
      </c>
      <c r="BAJ76" s="49" t="s">
        <v>94</v>
      </c>
      <c r="BAK76" s="49" t="s">
        <v>93</v>
      </c>
      <c r="BAL76" s="49" t="s">
        <v>94</v>
      </c>
      <c r="BAM76" s="49" t="s">
        <v>93</v>
      </c>
      <c r="BAN76" s="49" t="s">
        <v>94</v>
      </c>
      <c r="BAO76" s="49" t="s">
        <v>93</v>
      </c>
      <c r="BAP76" s="49" t="s">
        <v>94</v>
      </c>
      <c r="BAQ76" s="49" t="s">
        <v>93</v>
      </c>
      <c r="BAR76" s="49" t="s">
        <v>94</v>
      </c>
      <c r="BAS76" s="49" t="s">
        <v>93</v>
      </c>
      <c r="BAT76" s="49" t="s">
        <v>94</v>
      </c>
      <c r="BAU76" s="49" t="s">
        <v>93</v>
      </c>
      <c r="BAV76" s="49" t="s">
        <v>94</v>
      </c>
      <c r="BAW76" s="49" t="s">
        <v>93</v>
      </c>
      <c r="BAX76" s="49" t="s">
        <v>94</v>
      </c>
      <c r="BAY76" s="49" t="s">
        <v>93</v>
      </c>
      <c r="BAZ76" s="49" t="s">
        <v>94</v>
      </c>
      <c r="BBA76" s="49" t="s">
        <v>93</v>
      </c>
      <c r="BBB76" s="49" t="s">
        <v>94</v>
      </c>
      <c r="BBC76" s="49" t="s">
        <v>93</v>
      </c>
      <c r="BBD76" s="49" t="s">
        <v>94</v>
      </c>
      <c r="BBE76" s="49" t="s">
        <v>93</v>
      </c>
      <c r="BBF76" s="49" t="s">
        <v>94</v>
      </c>
      <c r="BBG76" s="49" t="s">
        <v>93</v>
      </c>
      <c r="BBH76" s="49" t="s">
        <v>94</v>
      </c>
      <c r="BBI76" s="49" t="s">
        <v>93</v>
      </c>
      <c r="BBJ76" s="49" t="s">
        <v>94</v>
      </c>
      <c r="BBK76" s="49" t="s">
        <v>93</v>
      </c>
      <c r="BBL76" s="49" t="s">
        <v>94</v>
      </c>
      <c r="BBM76" s="49" t="s">
        <v>93</v>
      </c>
      <c r="BBN76" s="49" t="s">
        <v>94</v>
      </c>
      <c r="BBO76" s="49" t="s">
        <v>93</v>
      </c>
      <c r="BBP76" s="49" t="s">
        <v>94</v>
      </c>
      <c r="BBQ76" s="49" t="s">
        <v>93</v>
      </c>
      <c r="BBR76" s="49" t="s">
        <v>94</v>
      </c>
      <c r="BBS76" s="49" t="s">
        <v>93</v>
      </c>
      <c r="BBT76" s="49" t="s">
        <v>94</v>
      </c>
      <c r="BBU76" s="49" t="s">
        <v>93</v>
      </c>
      <c r="BBV76" s="49" t="s">
        <v>94</v>
      </c>
      <c r="BBW76" s="49" t="s">
        <v>93</v>
      </c>
      <c r="BBX76" s="49" t="s">
        <v>94</v>
      </c>
      <c r="BBY76" s="49" t="s">
        <v>93</v>
      </c>
      <c r="BBZ76" s="49" t="s">
        <v>94</v>
      </c>
      <c r="BCA76" s="49" t="s">
        <v>93</v>
      </c>
      <c r="BCB76" s="49" t="s">
        <v>94</v>
      </c>
      <c r="BCC76" s="49" t="s">
        <v>93</v>
      </c>
      <c r="BCD76" s="49" t="s">
        <v>94</v>
      </c>
      <c r="BCE76" s="49" t="s">
        <v>93</v>
      </c>
      <c r="BCF76" s="49" t="s">
        <v>94</v>
      </c>
      <c r="BCG76" s="49" t="s">
        <v>93</v>
      </c>
      <c r="BCH76" s="49" t="s">
        <v>94</v>
      </c>
      <c r="BCI76" s="49" t="s">
        <v>93</v>
      </c>
      <c r="BCJ76" s="49" t="s">
        <v>94</v>
      </c>
      <c r="BCK76" s="49" t="s">
        <v>93</v>
      </c>
      <c r="BCL76" s="49" t="s">
        <v>94</v>
      </c>
      <c r="BCM76" s="49" t="s">
        <v>93</v>
      </c>
      <c r="BCN76" s="49" t="s">
        <v>94</v>
      </c>
      <c r="BCO76" s="49" t="s">
        <v>93</v>
      </c>
      <c r="BCP76" s="49" t="s">
        <v>94</v>
      </c>
      <c r="BCQ76" s="49" t="s">
        <v>93</v>
      </c>
      <c r="BCR76" s="49" t="s">
        <v>94</v>
      </c>
      <c r="BCS76" s="49" t="s">
        <v>93</v>
      </c>
      <c r="BCT76" s="49" t="s">
        <v>94</v>
      </c>
      <c r="BCU76" s="49" t="s">
        <v>93</v>
      </c>
      <c r="BCV76" s="49" t="s">
        <v>94</v>
      </c>
      <c r="BCW76" s="49" t="s">
        <v>93</v>
      </c>
      <c r="BCX76" s="49" t="s">
        <v>94</v>
      </c>
      <c r="BCY76" s="49" t="s">
        <v>93</v>
      </c>
      <c r="BCZ76" s="49" t="s">
        <v>94</v>
      </c>
      <c r="BDA76" s="49" t="s">
        <v>93</v>
      </c>
      <c r="BDB76" s="49" t="s">
        <v>94</v>
      </c>
      <c r="BDC76" s="49" t="s">
        <v>93</v>
      </c>
      <c r="BDD76" s="49" t="s">
        <v>94</v>
      </c>
      <c r="BDE76" s="49" t="s">
        <v>93</v>
      </c>
      <c r="BDF76" s="49" t="s">
        <v>94</v>
      </c>
      <c r="BDG76" s="49" t="s">
        <v>93</v>
      </c>
      <c r="BDH76" s="49" t="s">
        <v>94</v>
      </c>
      <c r="BDI76" s="49" t="s">
        <v>93</v>
      </c>
      <c r="BDJ76" s="49" t="s">
        <v>94</v>
      </c>
      <c r="BDK76" s="49" t="s">
        <v>93</v>
      </c>
      <c r="BDL76" s="49" t="s">
        <v>94</v>
      </c>
      <c r="BDM76" s="49" t="s">
        <v>93</v>
      </c>
      <c r="BDN76" s="49" t="s">
        <v>94</v>
      </c>
      <c r="BDO76" s="49" t="s">
        <v>93</v>
      </c>
      <c r="BDP76" s="49" t="s">
        <v>94</v>
      </c>
      <c r="BDQ76" s="49" t="s">
        <v>93</v>
      </c>
      <c r="BDR76" s="49" t="s">
        <v>94</v>
      </c>
      <c r="BDS76" s="49" t="s">
        <v>93</v>
      </c>
      <c r="BDT76" s="49" t="s">
        <v>94</v>
      </c>
      <c r="BDU76" s="49" t="s">
        <v>93</v>
      </c>
      <c r="BDV76" s="49" t="s">
        <v>94</v>
      </c>
      <c r="BDW76" s="49" t="s">
        <v>93</v>
      </c>
      <c r="BDX76" s="49" t="s">
        <v>94</v>
      </c>
      <c r="BDY76" s="49" t="s">
        <v>93</v>
      </c>
      <c r="BDZ76" s="49" t="s">
        <v>94</v>
      </c>
      <c r="BEA76" s="49" t="s">
        <v>93</v>
      </c>
      <c r="BEB76" s="49" t="s">
        <v>94</v>
      </c>
      <c r="BEC76" s="49" t="s">
        <v>93</v>
      </c>
      <c r="BED76" s="49" t="s">
        <v>94</v>
      </c>
      <c r="BEE76" s="49" t="s">
        <v>93</v>
      </c>
      <c r="BEF76" s="49" t="s">
        <v>94</v>
      </c>
      <c r="BEG76" s="49" t="s">
        <v>93</v>
      </c>
      <c r="BEH76" s="49" t="s">
        <v>94</v>
      </c>
      <c r="BEI76" s="49" t="s">
        <v>93</v>
      </c>
      <c r="BEJ76" s="49" t="s">
        <v>94</v>
      </c>
      <c r="BEK76" s="49" t="s">
        <v>93</v>
      </c>
      <c r="BEL76" s="49" t="s">
        <v>94</v>
      </c>
      <c r="BEM76" s="49" t="s">
        <v>93</v>
      </c>
      <c r="BEN76" s="49" t="s">
        <v>94</v>
      </c>
      <c r="BEO76" s="49" t="s">
        <v>93</v>
      </c>
      <c r="BEP76" s="49" t="s">
        <v>94</v>
      </c>
      <c r="BEQ76" s="49" t="s">
        <v>93</v>
      </c>
      <c r="BER76" s="49" t="s">
        <v>94</v>
      </c>
      <c r="BES76" s="49" t="s">
        <v>93</v>
      </c>
      <c r="BET76" s="49" t="s">
        <v>94</v>
      </c>
      <c r="BEU76" s="49" t="s">
        <v>93</v>
      </c>
      <c r="BEV76" s="49" t="s">
        <v>94</v>
      </c>
      <c r="BEW76" s="49" t="s">
        <v>93</v>
      </c>
      <c r="BEX76" s="49" t="s">
        <v>94</v>
      </c>
      <c r="BEY76" s="49" t="s">
        <v>93</v>
      </c>
      <c r="BEZ76" s="49" t="s">
        <v>94</v>
      </c>
      <c r="BFA76" s="49" t="s">
        <v>93</v>
      </c>
      <c r="BFB76" s="49" t="s">
        <v>94</v>
      </c>
      <c r="BFC76" s="49" t="s">
        <v>93</v>
      </c>
      <c r="BFD76" s="49" t="s">
        <v>94</v>
      </c>
      <c r="BFE76" s="49" t="s">
        <v>93</v>
      </c>
      <c r="BFF76" s="49" t="s">
        <v>94</v>
      </c>
      <c r="BFG76" s="49" t="s">
        <v>93</v>
      </c>
      <c r="BFH76" s="49" t="s">
        <v>94</v>
      </c>
      <c r="BFI76" s="49" t="s">
        <v>93</v>
      </c>
      <c r="BFJ76" s="49" t="s">
        <v>94</v>
      </c>
      <c r="BFK76" s="49" t="s">
        <v>93</v>
      </c>
      <c r="BFL76" s="49" t="s">
        <v>94</v>
      </c>
      <c r="BFM76" s="49" t="s">
        <v>93</v>
      </c>
      <c r="BFN76" s="49" t="s">
        <v>94</v>
      </c>
      <c r="BFO76" s="49" t="s">
        <v>93</v>
      </c>
      <c r="BFP76" s="49" t="s">
        <v>94</v>
      </c>
      <c r="BFQ76" s="49" t="s">
        <v>93</v>
      </c>
      <c r="BFR76" s="49" t="s">
        <v>94</v>
      </c>
      <c r="BFS76" s="49" t="s">
        <v>93</v>
      </c>
      <c r="BFT76" s="49" t="s">
        <v>94</v>
      </c>
      <c r="BFU76" s="49" t="s">
        <v>93</v>
      </c>
      <c r="BFV76" s="49" t="s">
        <v>94</v>
      </c>
      <c r="BFW76" s="49" t="s">
        <v>93</v>
      </c>
      <c r="BFX76" s="49" t="s">
        <v>94</v>
      </c>
      <c r="BFY76" s="49" t="s">
        <v>93</v>
      </c>
      <c r="BFZ76" s="49" t="s">
        <v>94</v>
      </c>
      <c r="BGA76" s="49" t="s">
        <v>93</v>
      </c>
      <c r="BGB76" s="49" t="s">
        <v>94</v>
      </c>
      <c r="BGC76" s="49" t="s">
        <v>93</v>
      </c>
      <c r="BGD76" s="49" t="s">
        <v>94</v>
      </c>
      <c r="BGE76" s="49" t="s">
        <v>93</v>
      </c>
      <c r="BGF76" s="49" t="s">
        <v>94</v>
      </c>
      <c r="BGG76" s="49" t="s">
        <v>93</v>
      </c>
      <c r="BGH76" s="49" t="s">
        <v>94</v>
      </c>
      <c r="BGI76" s="49" t="s">
        <v>93</v>
      </c>
      <c r="BGJ76" s="49" t="s">
        <v>94</v>
      </c>
      <c r="BGK76" s="49" t="s">
        <v>93</v>
      </c>
      <c r="BGL76" s="49" t="s">
        <v>94</v>
      </c>
      <c r="BGM76" s="49" t="s">
        <v>93</v>
      </c>
      <c r="BGN76" s="49" t="s">
        <v>94</v>
      </c>
      <c r="BGO76" s="49" t="s">
        <v>93</v>
      </c>
      <c r="BGP76" s="49" t="s">
        <v>94</v>
      </c>
      <c r="BGQ76" s="49" t="s">
        <v>93</v>
      </c>
      <c r="BGR76" s="49" t="s">
        <v>94</v>
      </c>
      <c r="BGS76" s="49" t="s">
        <v>93</v>
      </c>
      <c r="BGT76" s="49" t="s">
        <v>94</v>
      </c>
      <c r="BGU76" s="49" t="s">
        <v>93</v>
      </c>
      <c r="BGV76" s="49" t="s">
        <v>94</v>
      </c>
      <c r="BGW76" s="49" t="s">
        <v>93</v>
      </c>
      <c r="BGX76" s="49" t="s">
        <v>94</v>
      </c>
      <c r="BGY76" s="49" t="s">
        <v>93</v>
      </c>
      <c r="BGZ76" s="49" t="s">
        <v>94</v>
      </c>
      <c r="BHA76" s="49" t="s">
        <v>93</v>
      </c>
      <c r="BHB76" s="49" t="s">
        <v>94</v>
      </c>
      <c r="BHC76" s="49" t="s">
        <v>93</v>
      </c>
      <c r="BHD76" s="49" t="s">
        <v>94</v>
      </c>
      <c r="BHE76" s="49" t="s">
        <v>93</v>
      </c>
      <c r="BHF76" s="49" t="s">
        <v>94</v>
      </c>
      <c r="BHG76" s="49" t="s">
        <v>93</v>
      </c>
      <c r="BHH76" s="49" t="s">
        <v>94</v>
      </c>
      <c r="BHI76" s="49" t="s">
        <v>93</v>
      </c>
      <c r="BHJ76" s="49" t="s">
        <v>94</v>
      </c>
      <c r="BHK76" s="49" t="s">
        <v>93</v>
      </c>
      <c r="BHL76" s="49" t="s">
        <v>94</v>
      </c>
      <c r="BHM76" s="49" t="s">
        <v>93</v>
      </c>
      <c r="BHN76" s="49" t="s">
        <v>94</v>
      </c>
      <c r="BHO76" s="49" t="s">
        <v>93</v>
      </c>
      <c r="BHP76" s="49" t="s">
        <v>94</v>
      </c>
      <c r="BHQ76" s="49" t="s">
        <v>93</v>
      </c>
      <c r="BHR76" s="49" t="s">
        <v>94</v>
      </c>
      <c r="BHS76" s="49" t="s">
        <v>93</v>
      </c>
      <c r="BHT76" s="49" t="s">
        <v>94</v>
      </c>
      <c r="BHU76" s="49" t="s">
        <v>93</v>
      </c>
      <c r="BHV76" s="49" t="s">
        <v>94</v>
      </c>
      <c r="BHW76" s="49" t="s">
        <v>93</v>
      </c>
      <c r="BHX76" s="49" t="s">
        <v>94</v>
      </c>
      <c r="BHY76" s="49" t="s">
        <v>93</v>
      </c>
      <c r="BHZ76" s="49" t="s">
        <v>94</v>
      </c>
      <c r="BIA76" s="49" t="s">
        <v>93</v>
      </c>
      <c r="BIB76" s="49" t="s">
        <v>94</v>
      </c>
      <c r="BIC76" s="49" t="s">
        <v>93</v>
      </c>
      <c r="BID76" s="49" t="s">
        <v>94</v>
      </c>
      <c r="BIE76" s="49" t="s">
        <v>93</v>
      </c>
      <c r="BIF76" s="49" t="s">
        <v>94</v>
      </c>
      <c r="BIG76" s="49" t="s">
        <v>93</v>
      </c>
      <c r="BIH76" s="49" t="s">
        <v>94</v>
      </c>
      <c r="BII76" s="49" t="s">
        <v>93</v>
      </c>
      <c r="BIJ76" s="49" t="s">
        <v>94</v>
      </c>
      <c r="BIK76" s="49" t="s">
        <v>93</v>
      </c>
      <c r="BIL76" s="49" t="s">
        <v>94</v>
      </c>
      <c r="BIM76" s="49" t="s">
        <v>93</v>
      </c>
      <c r="BIN76" s="49" t="s">
        <v>94</v>
      </c>
      <c r="BIO76" s="49" t="s">
        <v>93</v>
      </c>
      <c r="BIP76" s="49" t="s">
        <v>94</v>
      </c>
      <c r="BIQ76" s="49" t="s">
        <v>93</v>
      </c>
      <c r="BIR76" s="49" t="s">
        <v>94</v>
      </c>
      <c r="BIS76" s="49" t="s">
        <v>93</v>
      </c>
      <c r="BIT76" s="49" t="s">
        <v>94</v>
      </c>
      <c r="BIU76" s="49" t="s">
        <v>93</v>
      </c>
      <c r="BIV76" s="49" t="s">
        <v>94</v>
      </c>
      <c r="BIW76" s="49" t="s">
        <v>93</v>
      </c>
      <c r="BIX76" s="49" t="s">
        <v>94</v>
      </c>
      <c r="BIY76" s="49" t="s">
        <v>93</v>
      </c>
      <c r="BIZ76" s="49" t="s">
        <v>94</v>
      </c>
      <c r="BJA76" s="49" t="s">
        <v>93</v>
      </c>
      <c r="BJB76" s="49" t="s">
        <v>94</v>
      </c>
      <c r="BJC76" s="49" t="s">
        <v>93</v>
      </c>
      <c r="BJD76" s="49" t="s">
        <v>94</v>
      </c>
      <c r="BJE76" s="49" t="s">
        <v>93</v>
      </c>
      <c r="BJF76" s="49" t="s">
        <v>94</v>
      </c>
      <c r="BJG76" s="49" t="s">
        <v>93</v>
      </c>
      <c r="BJH76" s="49" t="s">
        <v>94</v>
      </c>
      <c r="BJI76" s="49" t="s">
        <v>93</v>
      </c>
      <c r="BJJ76" s="49" t="s">
        <v>94</v>
      </c>
      <c r="BJK76" s="49" t="s">
        <v>93</v>
      </c>
      <c r="BJL76" s="49" t="s">
        <v>94</v>
      </c>
      <c r="BJM76" s="49" t="s">
        <v>93</v>
      </c>
      <c r="BJN76" s="49" t="s">
        <v>94</v>
      </c>
      <c r="BJO76" s="49" t="s">
        <v>93</v>
      </c>
      <c r="BJP76" s="49" t="s">
        <v>94</v>
      </c>
      <c r="BJQ76" s="49" t="s">
        <v>93</v>
      </c>
      <c r="BJR76" s="49" t="s">
        <v>94</v>
      </c>
      <c r="BJS76" s="49" t="s">
        <v>93</v>
      </c>
      <c r="BJT76" s="49" t="s">
        <v>94</v>
      </c>
      <c r="BJU76" s="49" t="s">
        <v>93</v>
      </c>
      <c r="BJV76" s="49" t="s">
        <v>94</v>
      </c>
      <c r="BJW76" s="49" t="s">
        <v>93</v>
      </c>
      <c r="BJX76" s="49" t="s">
        <v>94</v>
      </c>
      <c r="BJY76" s="49" t="s">
        <v>93</v>
      </c>
      <c r="BJZ76" s="49" t="s">
        <v>94</v>
      </c>
      <c r="BKA76" s="49" t="s">
        <v>93</v>
      </c>
      <c r="BKB76" s="49" t="s">
        <v>94</v>
      </c>
      <c r="BKC76" s="49" t="s">
        <v>93</v>
      </c>
      <c r="BKD76" s="49" t="s">
        <v>94</v>
      </c>
      <c r="BKE76" s="49" t="s">
        <v>93</v>
      </c>
      <c r="BKF76" s="49" t="s">
        <v>94</v>
      </c>
      <c r="BKG76" s="49" t="s">
        <v>93</v>
      </c>
      <c r="BKH76" s="49" t="s">
        <v>94</v>
      </c>
      <c r="BKI76" s="49" t="s">
        <v>93</v>
      </c>
      <c r="BKJ76" s="49" t="s">
        <v>94</v>
      </c>
      <c r="BKK76" s="49" t="s">
        <v>93</v>
      </c>
      <c r="BKL76" s="49" t="s">
        <v>94</v>
      </c>
      <c r="BKM76" s="49" t="s">
        <v>93</v>
      </c>
      <c r="BKN76" s="49" t="s">
        <v>94</v>
      </c>
      <c r="BKO76" s="49" t="s">
        <v>93</v>
      </c>
      <c r="BKP76" s="49" t="s">
        <v>94</v>
      </c>
      <c r="BKQ76" s="49" t="s">
        <v>93</v>
      </c>
      <c r="BKR76" s="49" t="s">
        <v>94</v>
      </c>
      <c r="BKS76" s="49" t="s">
        <v>93</v>
      </c>
      <c r="BKT76" s="49" t="s">
        <v>94</v>
      </c>
      <c r="BKU76" s="49" t="s">
        <v>93</v>
      </c>
      <c r="BKV76" s="49" t="s">
        <v>94</v>
      </c>
      <c r="BKW76" s="49" t="s">
        <v>93</v>
      </c>
      <c r="BKX76" s="49" t="s">
        <v>94</v>
      </c>
      <c r="BKY76" s="49" t="s">
        <v>93</v>
      </c>
      <c r="BKZ76" s="49" t="s">
        <v>94</v>
      </c>
      <c r="BLA76" s="49" t="s">
        <v>93</v>
      </c>
      <c r="BLB76" s="49" t="s">
        <v>94</v>
      </c>
      <c r="BLC76" s="49" t="s">
        <v>93</v>
      </c>
      <c r="BLD76" s="49" t="s">
        <v>94</v>
      </c>
      <c r="BLE76" s="49" t="s">
        <v>93</v>
      </c>
      <c r="BLF76" s="49" t="s">
        <v>94</v>
      </c>
      <c r="BLG76" s="49" t="s">
        <v>93</v>
      </c>
      <c r="BLH76" s="49" t="s">
        <v>94</v>
      </c>
      <c r="BLI76" s="49" t="s">
        <v>93</v>
      </c>
      <c r="BLJ76" s="49" t="s">
        <v>94</v>
      </c>
      <c r="BLK76" s="49" t="s">
        <v>93</v>
      </c>
      <c r="BLL76" s="49" t="s">
        <v>94</v>
      </c>
      <c r="BLM76" s="49" t="s">
        <v>93</v>
      </c>
      <c r="BLN76" s="49" t="s">
        <v>94</v>
      </c>
      <c r="BLO76" s="49" t="s">
        <v>93</v>
      </c>
      <c r="BLP76" s="49" t="s">
        <v>94</v>
      </c>
      <c r="BLQ76" s="49" t="s">
        <v>93</v>
      </c>
      <c r="BLR76" s="49" t="s">
        <v>94</v>
      </c>
      <c r="BLS76" s="49" t="s">
        <v>93</v>
      </c>
      <c r="BLT76" s="49" t="s">
        <v>94</v>
      </c>
      <c r="BLU76" s="49" t="s">
        <v>93</v>
      </c>
      <c r="BLV76" s="49" t="s">
        <v>94</v>
      </c>
      <c r="BLW76" s="49" t="s">
        <v>93</v>
      </c>
      <c r="BLX76" s="49" t="s">
        <v>94</v>
      </c>
      <c r="BLY76" s="49" t="s">
        <v>93</v>
      </c>
      <c r="BLZ76" s="49" t="s">
        <v>94</v>
      </c>
      <c r="BMA76" s="49" t="s">
        <v>93</v>
      </c>
      <c r="BMB76" s="49" t="s">
        <v>94</v>
      </c>
      <c r="BMC76" s="49" t="s">
        <v>93</v>
      </c>
      <c r="BMD76" s="49" t="s">
        <v>94</v>
      </c>
      <c r="BME76" s="49" t="s">
        <v>93</v>
      </c>
      <c r="BMF76" s="49" t="s">
        <v>94</v>
      </c>
      <c r="BMG76" s="49" t="s">
        <v>93</v>
      </c>
      <c r="BMH76" s="49" t="s">
        <v>94</v>
      </c>
      <c r="BMI76" s="49" t="s">
        <v>93</v>
      </c>
      <c r="BMJ76" s="49" t="s">
        <v>94</v>
      </c>
      <c r="BMK76" s="49" t="s">
        <v>93</v>
      </c>
      <c r="BML76" s="49" t="s">
        <v>94</v>
      </c>
      <c r="BMM76" s="49" t="s">
        <v>93</v>
      </c>
      <c r="BMN76" s="49" t="s">
        <v>94</v>
      </c>
      <c r="BMO76" s="49" t="s">
        <v>93</v>
      </c>
      <c r="BMP76" s="49" t="s">
        <v>94</v>
      </c>
      <c r="BMQ76" s="49" t="s">
        <v>93</v>
      </c>
      <c r="BMR76" s="49" t="s">
        <v>94</v>
      </c>
      <c r="BMS76" s="49" t="s">
        <v>93</v>
      </c>
      <c r="BMT76" s="49" t="s">
        <v>94</v>
      </c>
      <c r="BMU76" s="49" t="s">
        <v>93</v>
      </c>
      <c r="BMV76" s="49" t="s">
        <v>94</v>
      </c>
      <c r="BMW76" s="49" t="s">
        <v>93</v>
      </c>
      <c r="BMX76" s="49" t="s">
        <v>94</v>
      </c>
      <c r="BMY76" s="49" t="s">
        <v>93</v>
      </c>
      <c r="BMZ76" s="49" t="s">
        <v>94</v>
      </c>
      <c r="BNA76" s="49" t="s">
        <v>93</v>
      </c>
      <c r="BNB76" s="49" t="s">
        <v>94</v>
      </c>
      <c r="BNC76" s="49" t="s">
        <v>93</v>
      </c>
      <c r="BND76" s="49" t="s">
        <v>94</v>
      </c>
      <c r="BNE76" s="49" t="s">
        <v>93</v>
      </c>
      <c r="BNF76" s="49" t="s">
        <v>94</v>
      </c>
      <c r="BNG76" s="49" t="s">
        <v>93</v>
      </c>
      <c r="BNH76" s="49" t="s">
        <v>94</v>
      </c>
      <c r="BNI76" s="49" t="s">
        <v>93</v>
      </c>
      <c r="BNJ76" s="49" t="s">
        <v>94</v>
      </c>
      <c r="BNK76" s="49" t="s">
        <v>93</v>
      </c>
      <c r="BNL76" s="49" t="s">
        <v>94</v>
      </c>
      <c r="BNM76" s="49" t="s">
        <v>93</v>
      </c>
      <c r="BNN76" s="49" t="s">
        <v>94</v>
      </c>
      <c r="BNO76" s="49" t="s">
        <v>93</v>
      </c>
      <c r="BNP76" s="49" t="s">
        <v>94</v>
      </c>
      <c r="BNQ76" s="49" t="s">
        <v>93</v>
      </c>
      <c r="BNR76" s="49" t="s">
        <v>94</v>
      </c>
      <c r="BNS76" s="49" t="s">
        <v>93</v>
      </c>
      <c r="BNT76" s="49" t="s">
        <v>94</v>
      </c>
      <c r="BNU76" s="49" t="s">
        <v>93</v>
      </c>
      <c r="BNV76" s="49" t="s">
        <v>94</v>
      </c>
      <c r="BNW76" s="49" t="s">
        <v>93</v>
      </c>
      <c r="BNX76" s="49" t="s">
        <v>94</v>
      </c>
      <c r="BNY76" s="49" t="s">
        <v>93</v>
      </c>
      <c r="BNZ76" s="49" t="s">
        <v>94</v>
      </c>
      <c r="BOA76" s="49" t="s">
        <v>93</v>
      </c>
      <c r="BOB76" s="49" t="s">
        <v>94</v>
      </c>
      <c r="BOC76" s="49" t="s">
        <v>93</v>
      </c>
      <c r="BOD76" s="49" t="s">
        <v>94</v>
      </c>
      <c r="BOE76" s="49" t="s">
        <v>93</v>
      </c>
      <c r="BOF76" s="49" t="s">
        <v>94</v>
      </c>
      <c r="BOG76" s="49" t="s">
        <v>93</v>
      </c>
      <c r="BOH76" s="49" t="s">
        <v>94</v>
      </c>
      <c r="BOI76" s="49" t="s">
        <v>93</v>
      </c>
      <c r="BOJ76" s="49" t="s">
        <v>94</v>
      </c>
      <c r="BOK76" s="49" t="s">
        <v>93</v>
      </c>
      <c r="BOL76" s="49" t="s">
        <v>94</v>
      </c>
      <c r="BOM76" s="49" t="s">
        <v>93</v>
      </c>
      <c r="BON76" s="49" t="s">
        <v>94</v>
      </c>
      <c r="BOO76" s="49" t="s">
        <v>93</v>
      </c>
      <c r="BOP76" s="49" t="s">
        <v>94</v>
      </c>
      <c r="BOQ76" s="49" t="s">
        <v>93</v>
      </c>
      <c r="BOR76" s="49" t="s">
        <v>94</v>
      </c>
      <c r="BOS76" s="49" t="s">
        <v>93</v>
      </c>
      <c r="BOT76" s="49" t="s">
        <v>94</v>
      </c>
      <c r="BOU76" s="49" t="s">
        <v>93</v>
      </c>
      <c r="BOV76" s="49" t="s">
        <v>94</v>
      </c>
      <c r="BOW76" s="49" t="s">
        <v>93</v>
      </c>
      <c r="BOX76" s="49" t="s">
        <v>94</v>
      </c>
      <c r="BOY76" s="49" t="s">
        <v>93</v>
      </c>
      <c r="BOZ76" s="49" t="s">
        <v>94</v>
      </c>
      <c r="BPA76" s="49" t="s">
        <v>93</v>
      </c>
      <c r="BPB76" s="49" t="s">
        <v>94</v>
      </c>
      <c r="BPC76" s="49" t="s">
        <v>93</v>
      </c>
      <c r="BPD76" s="49" t="s">
        <v>94</v>
      </c>
      <c r="BPE76" s="49" t="s">
        <v>93</v>
      </c>
      <c r="BPF76" s="49" t="s">
        <v>94</v>
      </c>
      <c r="BPG76" s="49" t="s">
        <v>93</v>
      </c>
      <c r="BPH76" s="49" t="s">
        <v>94</v>
      </c>
      <c r="BPI76" s="49" t="s">
        <v>93</v>
      </c>
      <c r="BPJ76" s="49" t="s">
        <v>94</v>
      </c>
      <c r="BPK76" s="49" t="s">
        <v>93</v>
      </c>
      <c r="BPL76" s="49" t="s">
        <v>94</v>
      </c>
      <c r="BPM76" s="49" t="s">
        <v>93</v>
      </c>
      <c r="BPN76" s="49" t="s">
        <v>94</v>
      </c>
      <c r="BPO76" s="49" t="s">
        <v>93</v>
      </c>
      <c r="BPP76" s="49" t="s">
        <v>94</v>
      </c>
      <c r="BPQ76" s="49" t="s">
        <v>93</v>
      </c>
      <c r="BPR76" s="49" t="s">
        <v>94</v>
      </c>
      <c r="BPS76" s="49" t="s">
        <v>93</v>
      </c>
      <c r="BPT76" s="49" t="s">
        <v>94</v>
      </c>
      <c r="BPU76" s="49" t="s">
        <v>93</v>
      </c>
      <c r="BPV76" s="49" t="s">
        <v>94</v>
      </c>
      <c r="BPW76" s="49" t="s">
        <v>93</v>
      </c>
      <c r="BPX76" s="49" t="s">
        <v>94</v>
      </c>
      <c r="BPY76" s="49" t="s">
        <v>93</v>
      </c>
      <c r="BPZ76" s="49" t="s">
        <v>94</v>
      </c>
      <c r="BQA76" s="49" t="s">
        <v>93</v>
      </c>
      <c r="BQB76" s="49" t="s">
        <v>94</v>
      </c>
      <c r="BQC76" s="49" t="s">
        <v>93</v>
      </c>
      <c r="BQD76" s="49" t="s">
        <v>94</v>
      </c>
      <c r="BQE76" s="49" t="s">
        <v>93</v>
      </c>
      <c r="BQF76" s="49" t="s">
        <v>94</v>
      </c>
      <c r="BQG76" s="49" t="s">
        <v>93</v>
      </c>
      <c r="BQH76" s="49" t="s">
        <v>94</v>
      </c>
      <c r="BQI76" s="49" t="s">
        <v>93</v>
      </c>
      <c r="BQJ76" s="49" t="s">
        <v>94</v>
      </c>
      <c r="BQK76" s="49" t="s">
        <v>93</v>
      </c>
      <c r="BQL76" s="49" t="s">
        <v>94</v>
      </c>
      <c r="BQM76" s="49" t="s">
        <v>93</v>
      </c>
      <c r="BQN76" s="49" t="s">
        <v>94</v>
      </c>
      <c r="BQO76" s="49" t="s">
        <v>93</v>
      </c>
      <c r="BQP76" s="49" t="s">
        <v>94</v>
      </c>
      <c r="BQQ76" s="49" t="s">
        <v>93</v>
      </c>
      <c r="BQR76" s="49" t="s">
        <v>94</v>
      </c>
      <c r="BQS76" s="49" t="s">
        <v>93</v>
      </c>
      <c r="BQT76" s="49" t="s">
        <v>94</v>
      </c>
      <c r="BQU76" s="49" t="s">
        <v>93</v>
      </c>
      <c r="BQV76" s="49" t="s">
        <v>94</v>
      </c>
      <c r="BQW76" s="49" t="s">
        <v>93</v>
      </c>
      <c r="BQX76" s="49" t="s">
        <v>94</v>
      </c>
      <c r="BQY76" s="49" t="s">
        <v>93</v>
      </c>
      <c r="BQZ76" s="49" t="s">
        <v>94</v>
      </c>
      <c r="BRA76" s="49" t="s">
        <v>93</v>
      </c>
      <c r="BRB76" s="49" t="s">
        <v>94</v>
      </c>
      <c r="BRC76" s="49" t="s">
        <v>93</v>
      </c>
      <c r="BRD76" s="49" t="s">
        <v>94</v>
      </c>
      <c r="BRE76" s="49" t="s">
        <v>93</v>
      </c>
      <c r="BRF76" s="49" t="s">
        <v>94</v>
      </c>
      <c r="BRG76" s="49" t="s">
        <v>93</v>
      </c>
      <c r="BRH76" s="49" t="s">
        <v>94</v>
      </c>
      <c r="BRI76" s="49" t="s">
        <v>93</v>
      </c>
      <c r="BRJ76" s="49" t="s">
        <v>94</v>
      </c>
      <c r="BRK76" s="49" t="s">
        <v>93</v>
      </c>
      <c r="BRL76" s="49" t="s">
        <v>94</v>
      </c>
      <c r="BRM76" s="49" t="s">
        <v>93</v>
      </c>
      <c r="BRN76" s="49" t="s">
        <v>94</v>
      </c>
      <c r="BRO76" s="49" t="s">
        <v>93</v>
      </c>
      <c r="BRP76" s="49" t="s">
        <v>94</v>
      </c>
      <c r="BRQ76" s="49" t="s">
        <v>93</v>
      </c>
      <c r="BRR76" s="49" t="s">
        <v>94</v>
      </c>
      <c r="BRS76" s="49" t="s">
        <v>93</v>
      </c>
      <c r="BRT76" s="49" t="s">
        <v>94</v>
      </c>
      <c r="BRU76" s="49" t="s">
        <v>93</v>
      </c>
      <c r="BRV76" s="49" t="s">
        <v>94</v>
      </c>
      <c r="BRW76" s="49" t="s">
        <v>93</v>
      </c>
      <c r="BRX76" s="49" t="s">
        <v>94</v>
      </c>
      <c r="BRY76" s="49" t="s">
        <v>93</v>
      </c>
      <c r="BRZ76" s="49" t="s">
        <v>94</v>
      </c>
      <c r="BSA76" s="49" t="s">
        <v>93</v>
      </c>
      <c r="BSB76" s="49" t="s">
        <v>94</v>
      </c>
      <c r="BSC76" s="49" t="s">
        <v>93</v>
      </c>
      <c r="BSD76" s="49" t="s">
        <v>94</v>
      </c>
      <c r="BSE76" s="49" t="s">
        <v>93</v>
      </c>
      <c r="BSF76" s="49" t="s">
        <v>94</v>
      </c>
      <c r="BSG76" s="49" t="s">
        <v>93</v>
      </c>
      <c r="BSH76" s="49" t="s">
        <v>94</v>
      </c>
      <c r="BSI76" s="49" t="s">
        <v>93</v>
      </c>
      <c r="BSJ76" s="49" t="s">
        <v>94</v>
      </c>
      <c r="BSK76" s="49" t="s">
        <v>93</v>
      </c>
      <c r="BSL76" s="49" t="s">
        <v>94</v>
      </c>
      <c r="BSM76" s="49" t="s">
        <v>93</v>
      </c>
      <c r="BSN76" s="49" t="s">
        <v>94</v>
      </c>
      <c r="BSO76" s="49" t="s">
        <v>93</v>
      </c>
      <c r="BSP76" s="49" t="s">
        <v>94</v>
      </c>
      <c r="BSQ76" s="49" t="s">
        <v>93</v>
      </c>
      <c r="BSR76" s="49" t="s">
        <v>94</v>
      </c>
      <c r="BSS76" s="49" t="s">
        <v>93</v>
      </c>
      <c r="BST76" s="49" t="s">
        <v>94</v>
      </c>
      <c r="BSU76" s="49" t="s">
        <v>93</v>
      </c>
      <c r="BSV76" s="49" t="s">
        <v>94</v>
      </c>
      <c r="BSW76" s="49" t="s">
        <v>93</v>
      </c>
      <c r="BSX76" s="49" t="s">
        <v>94</v>
      </c>
      <c r="BSY76" s="49" t="s">
        <v>93</v>
      </c>
      <c r="BSZ76" s="49" t="s">
        <v>94</v>
      </c>
      <c r="BTA76" s="49" t="s">
        <v>93</v>
      </c>
      <c r="BTB76" s="49" t="s">
        <v>94</v>
      </c>
      <c r="BTC76" s="49" t="s">
        <v>93</v>
      </c>
      <c r="BTD76" s="49" t="s">
        <v>94</v>
      </c>
      <c r="BTE76" s="49" t="s">
        <v>93</v>
      </c>
      <c r="BTF76" s="49" t="s">
        <v>94</v>
      </c>
      <c r="BTG76" s="49" t="s">
        <v>93</v>
      </c>
      <c r="BTH76" s="49" t="s">
        <v>94</v>
      </c>
      <c r="BTI76" s="49" t="s">
        <v>93</v>
      </c>
      <c r="BTJ76" s="49" t="s">
        <v>94</v>
      </c>
      <c r="BTK76" s="49" t="s">
        <v>93</v>
      </c>
      <c r="BTL76" s="49" t="s">
        <v>94</v>
      </c>
      <c r="BTM76" s="49" t="s">
        <v>93</v>
      </c>
      <c r="BTN76" s="49" t="s">
        <v>94</v>
      </c>
      <c r="BTO76" s="49" t="s">
        <v>93</v>
      </c>
      <c r="BTP76" s="49" t="s">
        <v>94</v>
      </c>
      <c r="BTQ76" s="49" t="s">
        <v>93</v>
      </c>
      <c r="BTR76" s="49" t="s">
        <v>94</v>
      </c>
      <c r="BTS76" s="49" t="s">
        <v>93</v>
      </c>
      <c r="BTT76" s="49" t="s">
        <v>94</v>
      </c>
      <c r="BTU76" s="49" t="s">
        <v>93</v>
      </c>
      <c r="BTV76" s="49" t="s">
        <v>94</v>
      </c>
      <c r="BTW76" s="49" t="s">
        <v>93</v>
      </c>
      <c r="BTX76" s="49" t="s">
        <v>94</v>
      </c>
      <c r="BTY76" s="49" t="s">
        <v>93</v>
      </c>
      <c r="BTZ76" s="49" t="s">
        <v>94</v>
      </c>
      <c r="BUA76" s="49" t="s">
        <v>93</v>
      </c>
      <c r="BUB76" s="49" t="s">
        <v>94</v>
      </c>
      <c r="BUC76" s="49" t="s">
        <v>93</v>
      </c>
      <c r="BUD76" s="49" t="s">
        <v>94</v>
      </c>
      <c r="BUE76" s="49" t="s">
        <v>93</v>
      </c>
      <c r="BUF76" s="49" t="s">
        <v>94</v>
      </c>
      <c r="BUG76" s="49" t="s">
        <v>93</v>
      </c>
      <c r="BUH76" s="49" t="s">
        <v>94</v>
      </c>
      <c r="BUI76" s="49" t="s">
        <v>93</v>
      </c>
      <c r="BUJ76" s="49" t="s">
        <v>94</v>
      </c>
      <c r="BUK76" s="49" t="s">
        <v>93</v>
      </c>
      <c r="BUL76" s="49" t="s">
        <v>94</v>
      </c>
      <c r="BUM76" s="49" t="s">
        <v>93</v>
      </c>
      <c r="BUN76" s="49" t="s">
        <v>94</v>
      </c>
      <c r="BUO76" s="49" t="s">
        <v>93</v>
      </c>
      <c r="BUP76" s="49" t="s">
        <v>94</v>
      </c>
      <c r="BUQ76" s="49" t="s">
        <v>93</v>
      </c>
      <c r="BUR76" s="49" t="s">
        <v>94</v>
      </c>
      <c r="BUS76" s="49" t="s">
        <v>93</v>
      </c>
      <c r="BUT76" s="49" t="s">
        <v>94</v>
      </c>
      <c r="BUU76" s="49" t="s">
        <v>93</v>
      </c>
      <c r="BUV76" s="49" t="s">
        <v>94</v>
      </c>
      <c r="BUW76" s="49" t="s">
        <v>93</v>
      </c>
      <c r="BUX76" s="49" t="s">
        <v>94</v>
      </c>
      <c r="BUY76" s="49" t="s">
        <v>93</v>
      </c>
      <c r="BUZ76" s="49" t="s">
        <v>94</v>
      </c>
      <c r="BVA76" s="49" t="s">
        <v>93</v>
      </c>
      <c r="BVB76" s="49" t="s">
        <v>94</v>
      </c>
      <c r="BVC76" s="49" t="s">
        <v>93</v>
      </c>
      <c r="BVD76" s="49" t="s">
        <v>94</v>
      </c>
      <c r="BVE76" s="49" t="s">
        <v>93</v>
      </c>
      <c r="BVF76" s="49" t="s">
        <v>94</v>
      </c>
      <c r="BVG76" s="49" t="s">
        <v>93</v>
      </c>
      <c r="BVH76" s="49" t="s">
        <v>94</v>
      </c>
      <c r="BVI76" s="49" t="s">
        <v>93</v>
      </c>
      <c r="BVJ76" s="49" t="s">
        <v>94</v>
      </c>
      <c r="BVK76" s="49" t="s">
        <v>93</v>
      </c>
      <c r="BVL76" s="49" t="s">
        <v>94</v>
      </c>
      <c r="BVM76" s="49" t="s">
        <v>93</v>
      </c>
      <c r="BVN76" s="49" t="s">
        <v>94</v>
      </c>
      <c r="BVO76" s="49" t="s">
        <v>93</v>
      </c>
      <c r="BVP76" s="49" t="s">
        <v>94</v>
      </c>
      <c r="BVQ76" s="49" t="s">
        <v>93</v>
      </c>
      <c r="BVR76" s="49" t="s">
        <v>94</v>
      </c>
      <c r="BVS76" s="49" t="s">
        <v>93</v>
      </c>
      <c r="BVT76" s="49" t="s">
        <v>94</v>
      </c>
      <c r="BVU76" s="49" t="s">
        <v>93</v>
      </c>
      <c r="BVV76" s="49" t="s">
        <v>94</v>
      </c>
      <c r="BVW76" s="49" t="s">
        <v>93</v>
      </c>
      <c r="BVX76" s="49" t="s">
        <v>94</v>
      </c>
      <c r="BVY76" s="49" t="s">
        <v>93</v>
      </c>
      <c r="BVZ76" s="49" t="s">
        <v>94</v>
      </c>
      <c r="BWA76" s="49" t="s">
        <v>93</v>
      </c>
      <c r="BWB76" s="49" t="s">
        <v>94</v>
      </c>
      <c r="BWC76" s="49" t="s">
        <v>93</v>
      </c>
      <c r="BWD76" s="49" t="s">
        <v>94</v>
      </c>
      <c r="BWE76" s="49" t="s">
        <v>93</v>
      </c>
      <c r="BWF76" s="49" t="s">
        <v>94</v>
      </c>
      <c r="BWG76" s="49" t="s">
        <v>93</v>
      </c>
      <c r="BWH76" s="49" t="s">
        <v>94</v>
      </c>
      <c r="BWI76" s="49" t="s">
        <v>93</v>
      </c>
      <c r="BWJ76" s="49" t="s">
        <v>94</v>
      </c>
      <c r="BWK76" s="49" t="s">
        <v>93</v>
      </c>
      <c r="BWL76" s="49" t="s">
        <v>94</v>
      </c>
      <c r="BWM76" s="49" t="s">
        <v>93</v>
      </c>
      <c r="BWN76" s="49" t="s">
        <v>94</v>
      </c>
      <c r="BWO76" s="49" t="s">
        <v>93</v>
      </c>
      <c r="BWP76" s="49" t="s">
        <v>94</v>
      </c>
      <c r="BWQ76" s="49" t="s">
        <v>93</v>
      </c>
      <c r="BWR76" s="49" t="s">
        <v>94</v>
      </c>
      <c r="BWS76" s="49" t="s">
        <v>93</v>
      </c>
      <c r="BWT76" s="49" t="s">
        <v>94</v>
      </c>
      <c r="BWU76" s="49" t="s">
        <v>93</v>
      </c>
      <c r="BWV76" s="49" t="s">
        <v>94</v>
      </c>
      <c r="BWW76" s="49" t="s">
        <v>93</v>
      </c>
      <c r="BWX76" s="49" t="s">
        <v>94</v>
      </c>
      <c r="BWY76" s="49" t="s">
        <v>93</v>
      </c>
      <c r="BWZ76" s="49" t="s">
        <v>94</v>
      </c>
      <c r="BXA76" s="49" t="s">
        <v>93</v>
      </c>
      <c r="BXB76" s="49" t="s">
        <v>94</v>
      </c>
      <c r="BXC76" s="49" t="s">
        <v>93</v>
      </c>
      <c r="BXD76" s="49" t="s">
        <v>94</v>
      </c>
      <c r="BXE76" s="49" t="s">
        <v>93</v>
      </c>
      <c r="BXF76" s="49" t="s">
        <v>94</v>
      </c>
      <c r="BXG76" s="49" t="s">
        <v>93</v>
      </c>
      <c r="BXH76" s="49" t="s">
        <v>94</v>
      </c>
      <c r="BXI76" s="49" t="s">
        <v>93</v>
      </c>
      <c r="BXJ76" s="49" t="s">
        <v>94</v>
      </c>
      <c r="BXK76" s="49" t="s">
        <v>93</v>
      </c>
      <c r="BXL76" s="49" t="s">
        <v>94</v>
      </c>
      <c r="BXM76" s="49" t="s">
        <v>93</v>
      </c>
      <c r="BXN76" s="49" t="s">
        <v>94</v>
      </c>
      <c r="BXO76" s="49" t="s">
        <v>93</v>
      </c>
      <c r="BXP76" s="49" t="s">
        <v>94</v>
      </c>
      <c r="BXQ76" s="49" t="s">
        <v>93</v>
      </c>
      <c r="BXR76" s="49" t="s">
        <v>94</v>
      </c>
      <c r="BXS76" s="49" t="s">
        <v>93</v>
      </c>
      <c r="BXT76" s="49" t="s">
        <v>94</v>
      </c>
      <c r="BXU76" s="49" t="s">
        <v>93</v>
      </c>
      <c r="BXV76" s="49" t="s">
        <v>94</v>
      </c>
      <c r="BXW76" s="49" t="s">
        <v>93</v>
      </c>
      <c r="BXX76" s="49" t="s">
        <v>94</v>
      </c>
      <c r="BXY76" s="49" t="s">
        <v>93</v>
      </c>
      <c r="BXZ76" s="49" t="s">
        <v>94</v>
      </c>
      <c r="BYA76" s="49" t="s">
        <v>93</v>
      </c>
      <c r="BYB76" s="49" t="s">
        <v>94</v>
      </c>
      <c r="BYC76" s="49" t="s">
        <v>93</v>
      </c>
      <c r="BYD76" s="49" t="s">
        <v>94</v>
      </c>
      <c r="BYE76" s="49" t="s">
        <v>93</v>
      </c>
      <c r="BYF76" s="49" t="s">
        <v>94</v>
      </c>
      <c r="BYG76" s="49" t="s">
        <v>93</v>
      </c>
      <c r="BYH76" s="49" t="s">
        <v>94</v>
      </c>
      <c r="BYI76" s="49" t="s">
        <v>93</v>
      </c>
      <c r="BYJ76" s="49" t="s">
        <v>94</v>
      </c>
      <c r="BYK76" s="49" t="s">
        <v>93</v>
      </c>
      <c r="BYL76" s="49" t="s">
        <v>94</v>
      </c>
      <c r="BYM76" s="49" t="s">
        <v>93</v>
      </c>
      <c r="BYN76" s="49" t="s">
        <v>94</v>
      </c>
      <c r="BYO76" s="49" t="s">
        <v>93</v>
      </c>
      <c r="BYP76" s="49" t="s">
        <v>94</v>
      </c>
      <c r="BYQ76" s="49" t="s">
        <v>93</v>
      </c>
      <c r="BYR76" s="49" t="s">
        <v>94</v>
      </c>
      <c r="BYS76" s="49" t="s">
        <v>93</v>
      </c>
      <c r="BYT76" s="49" t="s">
        <v>94</v>
      </c>
      <c r="BYU76" s="49" t="s">
        <v>93</v>
      </c>
      <c r="BYV76" s="49" t="s">
        <v>94</v>
      </c>
      <c r="BYW76" s="49" t="s">
        <v>93</v>
      </c>
      <c r="BYX76" s="49" t="s">
        <v>94</v>
      </c>
      <c r="BYY76" s="49" t="s">
        <v>93</v>
      </c>
      <c r="BYZ76" s="49" t="s">
        <v>94</v>
      </c>
      <c r="BZA76" s="49" t="s">
        <v>93</v>
      </c>
      <c r="BZB76" s="49" t="s">
        <v>94</v>
      </c>
      <c r="BZC76" s="49" t="s">
        <v>93</v>
      </c>
      <c r="BZD76" s="49" t="s">
        <v>94</v>
      </c>
      <c r="BZE76" s="49" t="s">
        <v>93</v>
      </c>
      <c r="BZF76" s="49" t="s">
        <v>94</v>
      </c>
      <c r="BZG76" s="49" t="s">
        <v>93</v>
      </c>
      <c r="BZH76" s="49" t="s">
        <v>94</v>
      </c>
      <c r="BZI76" s="49" t="s">
        <v>93</v>
      </c>
      <c r="BZJ76" s="49" t="s">
        <v>94</v>
      </c>
      <c r="BZK76" s="49" t="s">
        <v>93</v>
      </c>
      <c r="BZL76" s="49" t="s">
        <v>94</v>
      </c>
      <c r="BZM76" s="49" t="s">
        <v>93</v>
      </c>
      <c r="BZN76" s="49" t="s">
        <v>94</v>
      </c>
      <c r="BZO76" s="49" t="s">
        <v>93</v>
      </c>
      <c r="BZP76" s="49" t="s">
        <v>94</v>
      </c>
      <c r="BZQ76" s="49" t="s">
        <v>93</v>
      </c>
      <c r="BZR76" s="49" t="s">
        <v>94</v>
      </c>
      <c r="BZS76" s="49" t="s">
        <v>93</v>
      </c>
      <c r="BZT76" s="49" t="s">
        <v>94</v>
      </c>
      <c r="BZU76" s="49" t="s">
        <v>93</v>
      </c>
      <c r="BZV76" s="49" t="s">
        <v>94</v>
      </c>
      <c r="BZW76" s="49" t="s">
        <v>93</v>
      </c>
      <c r="BZX76" s="49" t="s">
        <v>94</v>
      </c>
      <c r="BZY76" s="49" t="s">
        <v>93</v>
      </c>
      <c r="BZZ76" s="49" t="s">
        <v>94</v>
      </c>
      <c r="CAA76" s="49" t="s">
        <v>93</v>
      </c>
      <c r="CAB76" s="49" t="s">
        <v>94</v>
      </c>
      <c r="CAC76" s="49" t="s">
        <v>93</v>
      </c>
      <c r="CAD76" s="49" t="s">
        <v>94</v>
      </c>
      <c r="CAE76" s="49" t="s">
        <v>93</v>
      </c>
      <c r="CAF76" s="49" t="s">
        <v>94</v>
      </c>
      <c r="CAG76" s="49" t="s">
        <v>93</v>
      </c>
      <c r="CAH76" s="49" t="s">
        <v>94</v>
      </c>
      <c r="CAI76" s="49" t="s">
        <v>93</v>
      </c>
      <c r="CAJ76" s="49" t="s">
        <v>94</v>
      </c>
      <c r="CAK76" s="49" t="s">
        <v>93</v>
      </c>
      <c r="CAL76" s="49" t="s">
        <v>94</v>
      </c>
      <c r="CAM76" s="49" t="s">
        <v>93</v>
      </c>
      <c r="CAN76" s="49" t="s">
        <v>94</v>
      </c>
      <c r="CAO76" s="49" t="s">
        <v>93</v>
      </c>
      <c r="CAP76" s="49" t="s">
        <v>94</v>
      </c>
      <c r="CAQ76" s="49" t="s">
        <v>93</v>
      </c>
      <c r="CAR76" s="49" t="s">
        <v>94</v>
      </c>
      <c r="CAS76" s="49" t="s">
        <v>93</v>
      </c>
      <c r="CAT76" s="49" t="s">
        <v>94</v>
      </c>
      <c r="CAU76" s="49" t="s">
        <v>93</v>
      </c>
      <c r="CAV76" s="49" t="s">
        <v>94</v>
      </c>
      <c r="CAW76" s="49" t="s">
        <v>93</v>
      </c>
      <c r="CAX76" s="49" t="s">
        <v>94</v>
      </c>
      <c r="CAY76" s="49" t="s">
        <v>93</v>
      </c>
      <c r="CAZ76" s="49" t="s">
        <v>94</v>
      </c>
      <c r="CBA76" s="49" t="s">
        <v>93</v>
      </c>
      <c r="CBB76" s="49" t="s">
        <v>94</v>
      </c>
      <c r="CBC76" s="49" t="s">
        <v>93</v>
      </c>
      <c r="CBD76" s="49" t="s">
        <v>94</v>
      </c>
      <c r="CBE76" s="49" t="s">
        <v>93</v>
      </c>
      <c r="CBF76" s="49" t="s">
        <v>94</v>
      </c>
      <c r="CBG76" s="49" t="s">
        <v>93</v>
      </c>
      <c r="CBH76" s="49" t="s">
        <v>94</v>
      </c>
      <c r="CBI76" s="49" t="s">
        <v>93</v>
      </c>
      <c r="CBJ76" s="49" t="s">
        <v>94</v>
      </c>
      <c r="CBK76" s="49" t="s">
        <v>93</v>
      </c>
      <c r="CBL76" s="49" t="s">
        <v>94</v>
      </c>
      <c r="CBM76" s="49" t="s">
        <v>93</v>
      </c>
      <c r="CBN76" s="49" t="s">
        <v>94</v>
      </c>
      <c r="CBO76" s="49" t="s">
        <v>93</v>
      </c>
      <c r="CBP76" s="49" t="s">
        <v>94</v>
      </c>
      <c r="CBQ76" s="49" t="s">
        <v>93</v>
      </c>
      <c r="CBR76" s="49" t="s">
        <v>94</v>
      </c>
      <c r="CBS76" s="49" t="s">
        <v>93</v>
      </c>
      <c r="CBT76" s="49" t="s">
        <v>94</v>
      </c>
      <c r="CBU76" s="49" t="s">
        <v>93</v>
      </c>
      <c r="CBV76" s="49" t="s">
        <v>94</v>
      </c>
      <c r="CBW76" s="49" t="s">
        <v>93</v>
      </c>
      <c r="CBX76" s="49" t="s">
        <v>94</v>
      </c>
      <c r="CBY76" s="49" t="s">
        <v>93</v>
      </c>
      <c r="CBZ76" s="49" t="s">
        <v>94</v>
      </c>
      <c r="CCA76" s="49" t="s">
        <v>93</v>
      </c>
      <c r="CCB76" s="49" t="s">
        <v>94</v>
      </c>
      <c r="CCC76" s="49" t="s">
        <v>93</v>
      </c>
      <c r="CCD76" s="49" t="s">
        <v>94</v>
      </c>
      <c r="CCE76" s="49" t="s">
        <v>93</v>
      </c>
      <c r="CCF76" s="49" t="s">
        <v>94</v>
      </c>
      <c r="CCG76" s="49" t="s">
        <v>93</v>
      </c>
      <c r="CCH76" s="49" t="s">
        <v>94</v>
      </c>
      <c r="CCI76" s="49" t="s">
        <v>93</v>
      </c>
      <c r="CCJ76" s="49" t="s">
        <v>94</v>
      </c>
      <c r="CCK76" s="49" t="s">
        <v>93</v>
      </c>
      <c r="CCL76" s="49" t="s">
        <v>94</v>
      </c>
      <c r="CCM76" s="49" t="s">
        <v>93</v>
      </c>
      <c r="CCN76" s="49" t="s">
        <v>94</v>
      </c>
      <c r="CCO76" s="49" t="s">
        <v>93</v>
      </c>
      <c r="CCP76" s="49" t="s">
        <v>94</v>
      </c>
      <c r="CCQ76" s="49" t="s">
        <v>93</v>
      </c>
      <c r="CCR76" s="49" t="s">
        <v>94</v>
      </c>
      <c r="CCS76" s="49" t="s">
        <v>93</v>
      </c>
      <c r="CCT76" s="49" t="s">
        <v>94</v>
      </c>
      <c r="CCU76" s="49" t="s">
        <v>93</v>
      </c>
      <c r="CCV76" s="49" t="s">
        <v>94</v>
      </c>
      <c r="CCW76" s="49" t="s">
        <v>93</v>
      </c>
      <c r="CCX76" s="49" t="s">
        <v>94</v>
      </c>
      <c r="CCY76" s="49" t="s">
        <v>93</v>
      </c>
      <c r="CCZ76" s="49" t="s">
        <v>94</v>
      </c>
      <c r="CDA76" s="49" t="s">
        <v>93</v>
      </c>
      <c r="CDB76" s="49" t="s">
        <v>94</v>
      </c>
      <c r="CDC76" s="49" t="s">
        <v>93</v>
      </c>
      <c r="CDD76" s="49" t="s">
        <v>94</v>
      </c>
      <c r="CDE76" s="49" t="s">
        <v>93</v>
      </c>
      <c r="CDF76" s="49" t="s">
        <v>94</v>
      </c>
      <c r="CDG76" s="49" t="s">
        <v>93</v>
      </c>
      <c r="CDH76" s="49" t="s">
        <v>94</v>
      </c>
      <c r="CDI76" s="49" t="s">
        <v>93</v>
      </c>
      <c r="CDJ76" s="49" t="s">
        <v>94</v>
      </c>
      <c r="CDK76" s="49" t="s">
        <v>93</v>
      </c>
      <c r="CDL76" s="49" t="s">
        <v>94</v>
      </c>
      <c r="CDM76" s="49" t="s">
        <v>93</v>
      </c>
      <c r="CDN76" s="49" t="s">
        <v>94</v>
      </c>
      <c r="CDO76" s="49" t="s">
        <v>93</v>
      </c>
      <c r="CDP76" s="49" t="s">
        <v>94</v>
      </c>
      <c r="CDQ76" s="49" t="s">
        <v>93</v>
      </c>
      <c r="CDR76" s="49" t="s">
        <v>94</v>
      </c>
      <c r="CDS76" s="49" t="s">
        <v>93</v>
      </c>
      <c r="CDT76" s="49" t="s">
        <v>94</v>
      </c>
      <c r="CDU76" s="49" t="s">
        <v>93</v>
      </c>
      <c r="CDV76" s="49" t="s">
        <v>94</v>
      </c>
      <c r="CDW76" s="49" t="s">
        <v>93</v>
      </c>
      <c r="CDX76" s="49" t="s">
        <v>94</v>
      </c>
      <c r="CDY76" s="49" t="s">
        <v>93</v>
      </c>
      <c r="CDZ76" s="49" t="s">
        <v>94</v>
      </c>
      <c r="CEA76" s="49" t="s">
        <v>93</v>
      </c>
      <c r="CEB76" s="49" t="s">
        <v>94</v>
      </c>
      <c r="CEC76" s="49" t="s">
        <v>93</v>
      </c>
      <c r="CED76" s="49" t="s">
        <v>94</v>
      </c>
      <c r="CEE76" s="49" t="s">
        <v>93</v>
      </c>
      <c r="CEF76" s="49" t="s">
        <v>94</v>
      </c>
      <c r="CEG76" s="49" t="s">
        <v>93</v>
      </c>
      <c r="CEH76" s="49" t="s">
        <v>94</v>
      </c>
      <c r="CEI76" s="49" t="s">
        <v>93</v>
      </c>
      <c r="CEJ76" s="49" t="s">
        <v>94</v>
      </c>
      <c r="CEK76" s="49" t="s">
        <v>93</v>
      </c>
      <c r="CEL76" s="49" t="s">
        <v>94</v>
      </c>
      <c r="CEM76" s="49" t="s">
        <v>93</v>
      </c>
      <c r="CEN76" s="49" t="s">
        <v>94</v>
      </c>
      <c r="CEO76" s="49" t="s">
        <v>93</v>
      </c>
      <c r="CEP76" s="49" t="s">
        <v>94</v>
      </c>
      <c r="CEQ76" s="49" t="s">
        <v>93</v>
      </c>
      <c r="CER76" s="49" t="s">
        <v>94</v>
      </c>
      <c r="CES76" s="49" t="s">
        <v>93</v>
      </c>
      <c r="CET76" s="49" t="s">
        <v>94</v>
      </c>
      <c r="CEU76" s="49" t="s">
        <v>93</v>
      </c>
      <c r="CEV76" s="49" t="s">
        <v>94</v>
      </c>
      <c r="CEW76" s="49" t="s">
        <v>93</v>
      </c>
      <c r="CEX76" s="49" t="s">
        <v>94</v>
      </c>
      <c r="CEY76" s="49" t="s">
        <v>93</v>
      </c>
      <c r="CEZ76" s="49" t="s">
        <v>94</v>
      </c>
      <c r="CFA76" s="49" t="s">
        <v>93</v>
      </c>
      <c r="CFB76" s="49" t="s">
        <v>94</v>
      </c>
      <c r="CFC76" s="49" t="s">
        <v>93</v>
      </c>
      <c r="CFD76" s="49" t="s">
        <v>94</v>
      </c>
      <c r="CFE76" s="49" t="s">
        <v>93</v>
      </c>
      <c r="CFF76" s="49" t="s">
        <v>94</v>
      </c>
      <c r="CFG76" s="49" t="s">
        <v>93</v>
      </c>
      <c r="CFH76" s="49" t="s">
        <v>94</v>
      </c>
      <c r="CFI76" s="49" t="s">
        <v>93</v>
      </c>
      <c r="CFJ76" s="49" t="s">
        <v>94</v>
      </c>
      <c r="CFK76" s="49" t="s">
        <v>93</v>
      </c>
      <c r="CFL76" s="49" t="s">
        <v>94</v>
      </c>
      <c r="CFM76" s="49" t="s">
        <v>93</v>
      </c>
      <c r="CFN76" s="49" t="s">
        <v>94</v>
      </c>
      <c r="CFO76" s="49" t="s">
        <v>93</v>
      </c>
      <c r="CFP76" s="49" t="s">
        <v>94</v>
      </c>
      <c r="CFQ76" s="49" t="s">
        <v>93</v>
      </c>
      <c r="CFR76" s="49" t="s">
        <v>94</v>
      </c>
      <c r="CFS76" s="49" t="s">
        <v>93</v>
      </c>
      <c r="CFT76" s="49" t="s">
        <v>94</v>
      </c>
      <c r="CFU76" s="49" t="s">
        <v>93</v>
      </c>
      <c r="CFV76" s="49" t="s">
        <v>94</v>
      </c>
      <c r="CFW76" s="49" t="s">
        <v>93</v>
      </c>
      <c r="CFX76" s="49" t="s">
        <v>94</v>
      </c>
      <c r="CFY76" s="49" t="s">
        <v>93</v>
      </c>
      <c r="CFZ76" s="49" t="s">
        <v>94</v>
      </c>
      <c r="CGA76" s="49" t="s">
        <v>93</v>
      </c>
      <c r="CGB76" s="49" t="s">
        <v>94</v>
      </c>
      <c r="CGC76" s="49" t="s">
        <v>93</v>
      </c>
      <c r="CGD76" s="49" t="s">
        <v>94</v>
      </c>
      <c r="CGE76" s="49" t="s">
        <v>93</v>
      </c>
      <c r="CGF76" s="49" t="s">
        <v>94</v>
      </c>
      <c r="CGG76" s="49" t="s">
        <v>93</v>
      </c>
      <c r="CGH76" s="49" t="s">
        <v>94</v>
      </c>
      <c r="CGI76" s="49" t="s">
        <v>93</v>
      </c>
      <c r="CGJ76" s="49" t="s">
        <v>94</v>
      </c>
      <c r="CGK76" s="49" t="s">
        <v>93</v>
      </c>
      <c r="CGL76" s="49" t="s">
        <v>94</v>
      </c>
      <c r="CGM76" s="49" t="s">
        <v>93</v>
      </c>
      <c r="CGN76" s="49" t="s">
        <v>94</v>
      </c>
      <c r="CGO76" s="49" t="s">
        <v>93</v>
      </c>
      <c r="CGP76" s="49" t="s">
        <v>94</v>
      </c>
      <c r="CGQ76" s="49" t="s">
        <v>93</v>
      </c>
      <c r="CGR76" s="49" t="s">
        <v>94</v>
      </c>
      <c r="CGS76" s="49" t="s">
        <v>93</v>
      </c>
      <c r="CGT76" s="49" t="s">
        <v>94</v>
      </c>
      <c r="CGU76" s="49" t="s">
        <v>93</v>
      </c>
      <c r="CGV76" s="49" t="s">
        <v>94</v>
      </c>
      <c r="CGW76" s="49" t="s">
        <v>93</v>
      </c>
      <c r="CGX76" s="49" t="s">
        <v>94</v>
      </c>
      <c r="CGY76" s="49" t="s">
        <v>93</v>
      </c>
      <c r="CGZ76" s="49" t="s">
        <v>94</v>
      </c>
      <c r="CHA76" s="49" t="s">
        <v>93</v>
      </c>
      <c r="CHB76" s="49" t="s">
        <v>94</v>
      </c>
      <c r="CHC76" s="49" t="s">
        <v>93</v>
      </c>
      <c r="CHD76" s="49" t="s">
        <v>94</v>
      </c>
      <c r="CHE76" s="49" t="s">
        <v>93</v>
      </c>
      <c r="CHF76" s="49" t="s">
        <v>94</v>
      </c>
      <c r="CHG76" s="49" t="s">
        <v>93</v>
      </c>
      <c r="CHH76" s="49" t="s">
        <v>94</v>
      </c>
      <c r="CHI76" s="49" t="s">
        <v>93</v>
      </c>
      <c r="CHJ76" s="49" t="s">
        <v>94</v>
      </c>
      <c r="CHK76" s="49" t="s">
        <v>93</v>
      </c>
      <c r="CHL76" s="49" t="s">
        <v>94</v>
      </c>
      <c r="CHM76" s="49" t="s">
        <v>93</v>
      </c>
      <c r="CHN76" s="49" t="s">
        <v>94</v>
      </c>
      <c r="CHO76" s="49" t="s">
        <v>93</v>
      </c>
      <c r="CHP76" s="49" t="s">
        <v>94</v>
      </c>
      <c r="CHQ76" s="49" t="s">
        <v>93</v>
      </c>
      <c r="CHR76" s="49" t="s">
        <v>94</v>
      </c>
      <c r="CHS76" s="49" t="s">
        <v>93</v>
      </c>
      <c r="CHT76" s="49" t="s">
        <v>94</v>
      </c>
      <c r="CHU76" s="49" t="s">
        <v>93</v>
      </c>
      <c r="CHV76" s="49" t="s">
        <v>94</v>
      </c>
      <c r="CHW76" s="49" t="s">
        <v>93</v>
      </c>
      <c r="CHX76" s="49" t="s">
        <v>94</v>
      </c>
      <c r="CHY76" s="49" t="s">
        <v>93</v>
      </c>
      <c r="CHZ76" s="49" t="s">
        <v>94</v>
      </c>
      <c r="CIA76" s="49" t="s">
        <v>93</v>
      </c>
      <c r="CIB76" s="49" t="s">
        <v>94</v>
      </c>
      <c r="CIC76" s="49" t="s">
        <v>93</v>
      </c>
      <c r="CID76" s="49" t="s">
        <v>94</v>
      </c>
      <c r="CIE76" s="49" t="s">
        <v>93</v>
      </c>
      <c r="CIF76" s="49" t="s">
        <v>94</v>
      </c>
      <c r="CIG76" s="49" t="s">
        <v>93</v>
      </c>
      <c r="CIH76" s="49" t="s">
        <v>94</v>
      </c>
      <c r="CII76" s="49" t="s">
        <v>93</v>
      </c>
      <c r="CIJ76" s="49" t="s">
        <v>94</v>
      </c>
      <c r="CIK76" s="49" t="s">
        <v>93</v>
      </c>
      <c r="CIL76" s="49" t="s">
        <v>94</v>
      </c>
      <c r="CIM76" s="49" t="s">
        <v>93</v>
      </c>
      <c r="CIN76" s="49" t="s">
        <v>94</v>
      </c>
      <c r="CIO76" s="49" t="s">
        <v>93</v>
      </c>
      <c r="CIP76" s="49" t="s">
        <v>94</v>
      </c>
      <c r="CIQ76" s="49" t="s">
        <v>93</v>
      </c>
      <c r="CIR76" s="49" t="s">
        <v>94</v>
      </c>
      <c r="CIS76" s="49" t="s">
        <v>93</v>
      </c>
      <c r="CIT76" s="49" t="s">
        <v>94</v>
      </c>
      <c r="CIU76" s="49" t="s">
        <v>93</v>
      </c>
      <c r="CIV76" s="49" t="s">
        <v>94</v>
      </c>
      <c r="CIW76" s="49" t="s">
        <v>93</v>
      </c>
      <c r="CIX76" s="49" t="s">
        <v>94</v>
      </c>
      <c r="CIY76" s="49" t="s">
        <v>93</v>
      </c>
      <c r="CIZ76" s="49" t="s">
        <v>94</v>
      </c>
      <c r="CJA76" s="49" t="s">
        <v>93</v>
      </c>
      <c r="CJB76" s="49" t="s">
        <v>94</v>
      </c>
      <c r="CJC76" s="49" t="s">
        <v>93</v>
      </c>
      <c r="CJD76" s="49" t="s">
        <v>94</v>
      </c>
      <c r="CJE76" s="49" t="s">
        <v>93</v>
      </c>
      <c r="CJF76" s="49" t="s">
        <v>94</v>
      </c>
      <c r="CJG76" s="49" t="s">
        <v>93</v>
      </c>
      <c r="CJH76" s="49" t="s">
        <v>94</v>
      </c>
      <c r="CJI76" s="49" t="s">
        <v>93</v>
      </c>
      <c r="CJJ76" s="49" t="s">
        <v>94</v>
      </c>
      <c r="CJK76" s="49" t="s">
        <v>93</v>
      </c>
      <c r="CJL76" s="49" t="s">
        <v>94</v>
      </c>
      <c r="CJM76" s="49" t="s">
        <v>93</v>
      </c>
      <c r="CJN76" s="49" t="s">
        <v>94</v>
      </c>
      <c r="CJO76" s="49" t="s">
        <v>93</v>
      </c>
      <c r="CJP76" s="49" t="s">
        <v>94</v>
      </c>
      <c r="CJQ76" s="49" t="s">
        <v>93</v>
      </c>
      <c r="CJR76" s="49" t="s">
        <v>94</v>
      </c>
      <c r="CJS76" s="49" t="s">
        <v>93</v>
      </c>
      <c r="CJT76" s="49" t="s">
        <v>94</v>
      </c>
      <c r="CJU76" s="49" t="s">
        <v>93</v>
      </c>
      <c r="CJV76" s="49" t="s">
        <v>94</v>
      </c>
      <c r="CJW76" s="49" t="s">
        <v>93</v>
      </c>
      <c r="CJX76" s="49" t="s">
        <v>94</v>
      </c>
      <c r="CJY76" s="49" t="s">
        <v>93</v>
      </c>
      <c r="CJZ76" s="49" t="s">
        <v>94</v>
      </c>
      <c r="CKA76" s="49" t="s">
        <v>93</v>
      </c>
      <c r="CKB76" s="49" t="s">
        <v>94</v>
      </c>
      <c r="CKC76" s="49" t="s">
        <v>93</v>
      </c>
      <c r="CKD76" s="49" t="s">
        <v>94</v>
      </c>
      <c r="CKE76" s="49" t="s">
        <v>93</v>
      </c>
      <c r="CKF76" s="49" t="s">
        <v>94</v>
      </c>
      <c r="CKG76" s="49" t="s">
        <v>93</v>
      </c>
      <c r="CKH76" s="49" t="s">
        <v>94</v>
      </c>
      <c r="CKI76" s="49" t="s">
        <v>93</v>
      </c>
      <c r="CKJ76" s="49" t="s">
        <v>94</v>
      </c>
      <c r="CKK76" s="49" t="s">
        <v>93</v>
      </c>
      <c r="CKL76" s="49" t="s">
        <v>94</v>
      </c>
      <c r="CKM76" s="49" t="s">
        <v>93</v>
      </c>
      <c r="CKN76" s="49" t="s">
        <v>94</v>
      </c>
      <c r="CKO76" s="49" t="s">
        <v>93</v>
      </c>
      <c r="CKP76" s="49" t="s">
        <v>94</v>
      </c>
      <c r="CKQ76" s="49" t="s">
        <v>93</v>
      </c>
      <c r="CKR76" s="49" t="s">
        <v>94</v>
      </c>
      <c r="CKS76" s="49" t="s">
        <v>93</v>
      </c>
      <c r="CKT76" s="49" t="s">
        <v>94</v>
      </c>
      <c r="CKU76" s="49" t="s">
        <v>93</v>
      </c>
      <c r="CKV76" s="49" t="s">
        <v>94</v>
      </c>
      <c r="CKW76" s="49" t="s">
        <v>93</v>
      </c>
      <c r="CKX76" s="49" t="s">
        <v>94</v>
      </c>
      <c r="CKY76" s="49" t="s">
        <v>93</v>
      </c>
      <c r="CKZ76" s="49" t="s">
        <v>94</v>
      </c>
      <c r="CLA76" s="49" t="s">
        <v>93</v>
      </c>
      <c r="CLB76" s="49" t="s">
        <v>94</v>
      </c>
      <c r="CLC76" s="49" t="s">
        <v>93</v>
      </c>
      <c r="CLD76" s="49" t="s">
        <v>94</v>
      </c>
      <c r="CLE76" s="49" t="s">
        <v>93</v>
      </c>
      <c r="CLF76" s="49" t="s">
        <v>94</v>
      </c>
      <c r="CLG76" s="49" t="s">
        <v>93</v>
      </c>
      <c r="CLH76" s="49" t="s">
        <v>94</v>
      </c>
      <c r="CLI76" s="49" t="s">
        <v>93</v>
      </c>
      <c r="CLJ76" s="49" t="s">
        <v>94</v>
      </c>
      <c r="CLK76" s="49" t="s">
        <v>93</v>
      </c>
      <c r="CLL76" s="49" t="s">
        <v>94</v>
      </c>
      <c r="CLM76" s="49" t="s">
        <v>93</v>
      </c>
      <c r="CLN76" s="49" t="s">
        <v>94</v>
      </c>
      <c r="CLO76" s="49" t="s">
        <v>93</v>
      </c>
      <c r="CLP76" s="49" t="s">
        <v>94</v>
      </c>
      <c r="CLQ76" s="49" t="s">
        <v>93</v>
      </c>
      <c r="CLR76" s="49" t="s">
        <v>94</v>
      </c>
      <c r="CLS76" s="49" t="s">
        <v>93</v>
      </c>
      <c r="CLT76" s="49" t="s">
        <v>94</v>
      </c>
      <c r="CLU76" s="49" t="s">
        <v>93</v>
      </c>
      <c r="CLV76" s="49" t="s">
        <v>94</v>
      </c>
      <c r="CLW76" s="49" t="s">
        <v>93</v>
      </c>
      <c r="CLX76" s="49" t="s">
        <v>94</v>
      </c>
      <c r="CLY76" s="49" t="s">
        <v>93</v>
      </c>
      <c r="CLZ76" s="49" t="s">
        <v>94</v>
      </c>
      <c r="CMA76" s="49" t="s">
        <v>93</v>
      </c>
      <c r="CMB76" s="49" t="s">
        <v>94</v>
      </c>
      <c r="CMC76" s="49" t="s">
        <v>93</v>
      </c>
      <c r="CMD76" s="49" t="s">
        <v>94</v>
      </c>
      <c r="CME76" s="49" t="s">
        <v>93</v>
      </c>
      <c r="CMF76" s="49" t="s">
        <v>94</v>
      </c>
      <c r="CMG76" s="49" t="s">
        <v>93</v>
      </c>
      <c r="CMH76" s="49" t="s">
        <v>94</v>
      </c>
      <c r="CMI76" s="49" t="s">
        <v>93</v>
      </c>
      <c r="CMJ76" s="49" t="s">
        <v>94</v>
      </c>
      <c r="CMK76" s="49" t="s">
        <v>93</v>
      </c>
      <c r="CML76" s="49" t="s">
        <v>94</v>
      </c>
      <c r="CMM76" s="49" t="s">
        <v>93</v>
      </c>
      <c r="CMN76" s="49" t="s">
        <v>94</v>
      </c>
      <c r="CMO76" s="49" t="s">
        <v>93</v>
      </c>
      <c r="CMP76" s="49" t="s">
        <v>94</v>
      </c>
      <c r="CMQ76" s="49" t="s">
        <v>93</v>
      </c>
      <c r="CMR76" s="49" t="s">
        <v>94</v>
      </c>
      <c r="CMS76" s="49" t="s">
        <v>93</v>
      </c>
      <c r="CMT76" s="49" t="s">
        <v>94</v>
      </c>
      <c r="CMU76" s="49" t="s">
        <v>93</v>
      </c>
      <c r="CMV76" s="49" t="s">
        <v>94</v>
      </c>
      <c r="CMW76" s="49" t="s">
        <v>93</v>
      </c>
      <c r="CMX76" s="49" t="s">
        <v>94</v>
      </c>
      <c r="CMY76" s="49" t="s">
        <v>93</v>
      </c>
      <c r="CMZ76" s="49" t="s">
        <v>94</v>
      </c>
      <c r="CNA76" s="49" t="s">
        <v>93</v>
      </c>
      <c r="CNB76" s="49" t="s">
        <v>94</v>
      </c>
      <c r="CNC76" s="49" t="s">
        <v>93</v>
      </c>
      <c r="CND76" s="49" t="s">
        <v>94</v>
      </c>
      <c r="CNE76" s="49" t="s">
        <v>93</v>
      </c>
      <c r="CNF76" s="49" t="s">
        <v>94</v>
      </c>
      <c r="CNG76" s="49" t="s">
        <v>93</v>
      </c>
      <c r="CNH76" s="49" t="s">
        <v>94</v>
      </c>
      <c r="CNI76" s="49" t="s">
        <v>93</v>
      </c>
      <c r="CNJ76" s="49" t="s">
        <v>94</v>
      </c>
      <c r="CNK76" s="49" t="s">
        <v>93</v>
      </c>
      <c r="CNL76" s="49" t="s">
        <v>94</v>
      </c>
      <c r="CNM76" s="49" t="s">
        <v>93</v>
      </c>
      <c r="CNN76" s="49" t="s">
        <v>94</v>
      </c>
      <c r="CNO76" s="49" t="s">
        <v>93</v>
      </c>
      <c r="CNP76" s="49" t="s">
        <v>94</v>
      </c>
      <c r="CNQ76" s="49" t="s">
        <v>93</v>
      </c>
      <c r="CNR76" s="49" t="s">
        <v>94</v>
      </c>
      <c r="CNS76" s="49" t="s">
        <v>93</v>
      </c>
      <c r="CNT76" s="49" t="s">
        <v>94</v>
      </c>
      <c r="CNU76" s="49" t="s">
        <v>93</v>
      </c>
      <c r="CNV76" s="49" t="s">
        <v>94</v>
      </c>
      <c r="CNW76" s="49" t="s">
        <v>93</v>
      </c>
      <c r="CNX76" s="49" t="s">
        <v>94</v>
      </c>
      <c r="CNY76" s="49" t="s">
        <v>93</v>
      </c>
      <c r="CNZ76" s="49" t="s">
        <v>94</v>
      </c>
      <c r="COA76" s="49" t="s">
        <v>93</v>
      </c>
      <c r="COB76" s="49" t="s">
        <v>94</v>
      </c>
      <c r="COC76" s="49" t="s">
        <v>93</v>
      </c>
      <c r="COD76" s="49" t="s">
        <v>94</v>
      </c>
      <c r="COE76" s="49" t="s">
        <v>93</v>
      </c>
      <c r="COF76" s="49" t="s">
        <v>94</v>
      </c>
      <c r="COG76" s="49" t="s">
        <v>93</v>
      </c>
      <c r="COH76" s="49" t="s">
        <v>94</v>
      </c>
      <c r="COI76" s="49" t="s">
        <v>93</v>
      </c>
      <c r="COJ76" s="49" t="s">
        <v>94</v>
      </c>
      <c r="COK76" s="49" t="s">
        <v>93</v>
      </c>
      <c r="COL76" s="49" t="s">
        <v>94</v>
      </c>
      <c r="COM76" s="49" t="s">
        <v>93</v>
      </c>
      <c r="CON76" s="49" t="s">
        <v>94</v>
      </c>
      <c r="COO76" s="49" t="s">
        <v>93</v>
      </c>
      <c r="COP76" s="49" t="s">
        <v>94</v>
      </c>
      <c r="COQ76" s="49" t="s">
        <v>93</v>
      </c>
      <c r="COR76" s="49" t="s">
        <v>94</v>
      </c>
      <c r="COS76" s="49" t="s">
        <v>93</v>
      </c>
      <c r="COT76" s="49" t="s">
        <v>94</v>
      </c>
      <c r="COU76" s="49" t="s">
        <v>93</v>
      </c>
      <c r="COV76" s="49" t="s">
        <v>94</v>
      </c>
      <c r="COW76" s="49" t="s">
        <v>93</v>
      </c>
      <c r="COX76" s="49" t="s">
        <v>94</v>
      </c>
      <c r="COY76" s="49" t="s">
        <v>93</v>
      </c>
      <c r="COZ76" s="49" t="s">
        <v>94</v>
      </c>
      <c r="CPA76" s="49" t="s">
        <v>93</v>
      </c>
      <c r="CPB76" s="49" t="s">
        <v>94</v>
      </c>
      <c r="CPC76" s="49" t="s">
        <v>93</v>
      </c>
      <c r="CPD76" s="49" t="s">
        <v>94</v>
      </c>
      <c r="CPE76" s="49" t="s">
        <v>93</v>
      </c>
      <c r="CPF76" s="49" t="s">
        <v>94</v>
      </c>
      <c r="CPG76" s="49" t="s">
        <v>93</v>
      </c>
      <c r="CPH76" s="49" t="s">
        <v>94</v>
      </c>
      <c r="CPI76" s="49" t="s">
        <v>93</v>
      </c>
      <c r="CPJ76" s="49" t="s">
        <v>94</v>
      </c>
      <c r="CPK76" s="49" t="s">
        <v>93</v>
      </c>
      <c r="CPL76" s="49" t="s">
        <v>94</v>
      </c>
      <c r="CPM76" s="49" t="s">
        <v>93</v>
      </c>
      <c r="CPN76" s="49" t="s">
        <v>94</v>
      </c>
      <c r="CPO76" s="49" t="s">
        <v>93</v>
      </c>
      <c r="CPP76" s="49" t="s">
        <v>94</v>
      </c>
      <c r="CPQ76" s="49" t="s">
        <v>93</v>
      </c>
      <c r="CPR76" s="49" t="s">
        <v>94</v>
      </c>
      <c r="CPS76" s="49" t="s">
        <v>93</v>
      </c>
      <c r="CPT76" s="49" t="s">
        <v>94</v>
      </c>
      <c r="CPU76" s="49" t="s">
        <v>93</v>
      </c>
      <c r="CPV76" s="49" t="s">
        <v>94</v>
      </c>
      <c r="CPW76" s="49" t="s">
        <v>93</v>
      </c>
      <c r="CPX76" s="49" t="s">
        <v>94</v>
      </c>
      <c r="CPY76" s="49" t="s">
        <v>93</v>
      </c>
      <c r="CPZ76" s="49" t="s">
        <v>94</v>
      </c>
      <c r="CQA76" s="49" t="s">
        <v>93</v>
      </c>
      <c r="CQB76" s="49" t="s">
        <v>94</v>
      </c>
      <c r="CQC76" s="49" t="s">
        <v>93</v>
      </c>
      <c r="CQD76" s="49" t="s">
        <v>94</v>
      </c>
      <c r="CQE76" s="49" t="s">
        <v>93</v>
      </c>
      <c r="CQF76" s="49" t="s">
        <v>94</v>
      </c>
      <c r="CQG76" s="49" t="s">
        <v>93</v>
      </c>
      <c r="CQH76" s="49" t="s">
        <v>94</v>
      </c>
      <c r="CQI76" s="49" t="s">
        <v>93</v>
      </c>
      <c r="CQJ76" s="49" t="s">
        <v>94</v>
      </c>
      <c r="CQK76" s="49" t="s">
        <v>93</v>
      </c>
      <c r="CQL76" s="49" t="s">
        <v>94</v>
      </c>
      <c r="CQM76" s="49" t="s">
        <v>93</v>
      </c>
      <c r="CQN76" s="49" t="s">
        <v>94</v>
      </c>
      <c r="CQO76" s="49" t="s">
        <v>93</v>
      </c>
      <c r="CQP76" s="49" t="s">
        <v>94</v>
      </c>
      <c r="CQQ76" s="49" t="s">
        <v>93</v>
      </c>
      <c r="CQR76" s="49" t="s">
        <v>94</v>
      </c>
      <c r="CQS76" s="49" t="s">
        <v>93</v>
      </c>
      <c r="CQT76" s="49" t="s">
        <v>94</v>
      </c>
      <c r="CQU76" s="49" t="s">
        <v>93</v>
      </c>
      <c r="CQV76" s="49" t="s">
        <v>94</v>
      </c>
      <c r="CQW76" s="49" t="s">
        <v>93</v>
      </c>
      <c r="CQX76" s="49" t="s">
        <v>94</v>
      </c>
      <c r="CQY76" s="49" t="s">
        <v>93</v>
      </c>
      <c r="CQZ76" s="49" t="s">
        <v>94</v>
      </c>
      <c r="CRA76" s="49" t="s">
        <v>93</v>
      </c>
      <c r="CRB76" s="49" t="s">
        <v>94</v>
      </c>
      <c r="CRC76" s="49" t="s">
        <v>93</v>
      </c>
      <c r="CRD76" s="49" t="s">
        <v>94</v>
      </c>
      <c r="CRE76" s="49" t="s">
        <v>93</v>
      </c>
      <c r="CRF76" s="49" t="s">
        <v>94</v>
      </c>
      <c r="CRG76" s="49" t="s">
        <v>93</v>
      </c>
      <c r="CRH76" s="49" t="s">
        <v>94</v>
      </c>
      <c r="CRI76" s="49" t="s">
        <v>93</v>
      </c>
      <c r="CRJ76" s="49" t="s">
        <v>94</v>
      </c>
      <c r="CRK76" s="49" t="s">
        <v>93</v>
      </c>
      <c r="CRL76" s="49" t="s">
        <v>94</v>
      </c>
      <c r="CRM76" s="49" t="s">
        <v>93</v>
      </c>
      <c r="CRN76" s="49" t="s">
        <v>94</v>
      </c>
      <c r="CRO76" s="49" t="s">
        <v>93</v>
      </c>
      <c r="CRP76" s="49" t="s">
        <v>94</v>
      </c>
      <c r="CRQ76" s="49" t="s">
        <v>93</v>
      </c>
      <c r="CRR76" s="49" t="s">
        <v>94</v>
      </c>
      <c r="CRS76" s="49" t="s">
        <v>93</v>
      </c>
      <c r="CRT76" s="49" t="s">
        <v>94</v>
      </c>
      <c r="CRU76" s="49" t="s">
        <v>93</v>
      </c>
      <c r="CRV76" s="49" t="s">
        <v>94</v>
      </c>
      <c r="CRW76" s="49" t="s">
        <v>93</v>
      </c>
      <c r="CRX76" s="49" t="s">
        <v>94</v>
      </c>
      <c r="CRY76" s="49" t="s">
        <v>93</v>
      </c>
      <c r="CRZ76" s="49" t="s">
        <v>94</v>
      </c>
      <c r="CSA76" s="49" t="s">
        <v>93</v>
      </c>
      <c r="CSB76" s="49" t="s">
        <v>94</v>
      </c>
      <c r="CSC76" s="49" t="s">
        <v>93</v>
      </c>
      <c r="CSD76" s="49" t="s">
        <v>94</v>
      </c>
      <c r="CSE76" s="49" t="s">
        <v>93</v>
      </c>
      <c r="CSF76" s="49" t="s">
        <v>94</v>
      </c>
      <c r="CSG76" s="49" t="s">
        <v>93</v>
      </c>
      <c r="CSH76" s="49" t="s">
        <v>94</v>
      </c>
      <c r="CSI76" s="49" t="s">
        <v>93</v>
      </c>
      <c r="CSJ76" s="49" t="s">
        <v>94</v>
      </c>
      <c r="CSK76" s="49" t="s">
        <v>93</v>
      </c>
      <c r="CSL76" s="49" t="s">
        <v>94</v>
      </c>
      <c r="CSM76" s="49" t="s">
        <v>93</v>
      </c>
      <c r="CSN76" s="49" t="s">
        <v>94</v>
      </c>
      <c r="CSO76" s="49" t="s">
        <v>93</v>
      </c>
      <c r="CSP76" s="49" t="s">
        <v>94</v>
      </c>
      <c r="CSQ76" s="49" t="s">
        <v>93</v>
      </c>
      <c r="CSR76" s="49" t="s">
        <v>94</v>
      </c>
      <c r="CSS76" s="49" t="s">
        <v>93</v>
      </c>
      <c r="CST76" s="49" t="s">
        <v>94</v>
      </c>
      <c r="CSU76" s="49" t="s">
        <v>93</v>
      </c>
      <c r="CSV76" s="49" t="s">
        <v>94</v>
      </c>
      <c r="CSW76" s="49" t="s">
        <v>93</v>
      </c>
      <c r="CSX76" s="49" t="s">
        <v>94</v>
      </c>
      <c r="CSY76" s="49" t="s">
        <v>93</v>
      </c>
      <c r="CSZ76" s="49" t="s">
        <v>94</v>
      </c>
      <c r="CTA76" s="49" t="s">
        <v>93</v>
      </c>
      <c r="CTB76" s="49" t="s">
        <v>94</v>
      </c>
      <c r="CTC76" s="49" t="s">
        <v>93</v>
      </c>
      <c r="CTD76" s="49" t="s">
        <v>94</v>
      </c>
      <c r="CTE76" s="49" t="s">
        <v>93</v>
      </c>
      <c r="CTF76" s="49" t="s">
        <v>94</v>
      </c>
      <c r="CTG76" s="49" t="s">
        <v>93</v>
      </c>
      <c r="CTH76" s="49" t="s">
        <v>94</v>
      </c>
      <c r="CTI76" s="49" t="s">
        <v>93</v>
      </c>
      <c r="CTJ76" s="49" t="s">
        <v>94</v>
      </c>
      <c r="CTK76" s="49" t="s">
        <v>93</v>
      </c>
      <c r="CTL76" s="49" t="s">
        <v>94</v>
      </c>
      <c r="CTM76" s="49" t="s">
        <v>93</v>
      </c>
      <c r="CTN76" s="49" t="s">
        <v>94</v>
      </c>
      <c r="CTO76" s="49" t="s">
        <v>93</v>
      </c>
      <c r="CTP76" s="49" t="s">
        <v>94</v>
      </c>
      <c r="CTQ76" s="49" t="s">
        <v>93</v>
      </c>
      <c r="CTR76" s="49" t="s">
        <v>94</v>
      </c>
      <c r="CTS76" s="49" t="s">
        <v>93</v>
      </c>
      <c r="CTT76" s="49" t="s">
        <v>94</v>
      </c>
      <c r="CTU76" s="49" t="s">
        <v>93</v>
      </c>
      <c r="CTV76" s="49" t="s">
        <v>94</v>
      </c>
      <c r="CTW76" s="49" t="s">
        <v>93</v>
      </c>
      <c r="CTX76" s="49" t="s">
        <v>94</v>
      </c>
      <c r="CTY76" s="49" t="s">
        <v>93</v>
      </c>
      <c r="CTZ76" s="49" t="s">
        <v>94</v>
      </c>
      <c r="CUA76" s="49" t="s">
        <v>93</v>
      </c>
      <c r="CUB76" s="49" t="s">
        <v>94</v>
      </c>
      <c r="CUC76" s="49" t="s">
        <v>93</v>
      </c>
      <c r="CUD76" s="49" t="s">
        <v>94</v>
      </c>
      <c r="CUE76" s="49" t="s">
        <v>93</v>
      </c>
      <c r="CUF76" s="49" t="s">
        <v>94</v>
      </c>
      <c r="CUG76" s="49" t="s">
        <v>93</v>
      </c>
      <c r="CUH76" s="49" t="s">
        <v>94</v>
      </c>
      <c r="CUI76" s="49" t="s">
        <v>93</v>
      </c>
      <c r="CUJ76" s="49" t="s">
        <v>94</v>
      </c>
      <c r="CUK76" s="49" t="s">
        <v>93</v>
      </c>
      <c r="CUL76" s="49" t="s">
        <v>94</v>
      </c>
      <c r="CUM76" s="49" t="s">
        <v>93</v>
      </c>
      <c r="CUN76" s="49" t="s">
        <v>94</v>
      </c>
      <c r="CUO76" s="49" t="s">
        <v>93</v>
      </c>
      <c r="CUP76" s="49" t="s">
        <v>94</v>
      </c>
      <c r="CUQ76" s="49" t="s">
        <v>93</v>
      </c>
      <c r="CUR76" s="49" t="s">
        <v>94</v>
      </c>
      <c r="CUS76" s="49" t="s">
        <v>93</v>
      </c>
      <c r="CUT76" s="49" t="s">
        <v>94</v>
      </c>
      <c r="CUU76" s="49" t="s">
        <v>93</v>
      </c>
      <c r="CUV76" s="49" t="s">
        <v>94</v>
      </c>
      <c r="CUW76" s="49" t="s">
        <v>93</v>
      </c>
      <c r="CUX76" s="49" t="s">
        <v>94</v>
      </c>
      <c r="CUY76" s="49" t="s">
        <v>93</v>
      </c>
      <c r="CUZ76" s="49" t="s">
        <v>94</v>
      </c>
      <c r="CVA76" s="49" t="s">
        <v>93</v>
      </c>
      <c r="CVB76" s="49" t="s">
        <v>94</v>
      </c>
      <c r="CVC76" s="49" t="s">
        <v>93</v>
      </c>
      <c r="CVD76" s="49" t="s">
        <v>94</v>
      </c>
      <c r="CVE76" s="49" t="s">
        <v>93</v>
      </c>
      <c r="CVF76" s="49" t="s">
        <v>94</v>
      </c>
      <c r="CVG76" s="49" t="s">
        <v>93</v>
      </c>
      <c r="CVH76" s="49" t="s">
        <v>94</v>
      </c>
      <c r="CVI76" s="49" t="s">
        <v>93</v>
      </c>
      <c r="CVJ76" s="49" t="s">
        <v>94</v>
      </c>
      <c r="CVK76" s="49" t="s">
        <v>93</v>
      </c>
      <c r="CVL76" s="49" t="s">
        <v>94</v>
      </c>
      <c r="CVM76" s="49" t="s">
        <v>93</v>
      </c>
      <c r="CVN76" s="49" t="s">
        <v>94</v>
      </c>
      <c r="CVO76" s="49" t="s">
        <v>93</v>
      </c>
      <c r="CVP76" s="49" t="s">
        <v>94</v>
      </c>
      <c r="CVQ76" s="49" t="s">
        <v>93</v>
      </c>
      <c r="CVR76" s="49" t="s">
        <v>94</v>
      </c>
      <c r="CVS76" s="49" t="s">
        <v>93</v>
      </c>
      <c r="CVT76" s="49" t="s">
        <v>94</v>
      </c>
      <c r="CVU76" s="49" t="s">
        <v>93</v>
      </c>
      <c r="CVV76" s="49" t="s">
        <v>94</v>
      </c>
      <c r="CVW76" s="49" t="s">
        <v>93</v>
      </c>
      <c r="CVX76" s="49" t="s">
        <v>94</v>
      </c>
      <c r="CVY76" s="49" t="s">
        <v>93</v>
      </c>
      <c r="CVZ76" s="49" t="s">
        <v>94</v>
      </c>
      <c r="CWA76" s="49" t="s">
        <v>93</v>
      </c>
      <c r="CWB76" s="49" t="s">
        <v>94</v>
      </c>
      <c r="CWC76" s="49" t="s">
        <v>93</v>
      </c>
      <c r="CWD76" s="49" t="s">
        <v>94</v>
      </c>
      <c r="CWE76" s="49" t="s">
        <v>93</v>
      </c>
      <c r="CWF76" s="49" t="s">
        <v>94</v>
      </c>
      <c r="CWG76" s="49" t="s">
        <v>93</v>
      </c>
      <c r="CWH76" s="49" t="s">
        <v>94</v>
      </c>
      <c r="CWI76" s="49" t="s">
        <v>93</v>
      </c>
      <c r="CWJ76" s="49" t="s">
        <v>94</v>
      </c>
      <c r="CWK76" s="49" t="s">
        <v>93</v>
      </c>
      <c r="CWL76" s="49" t="s">
        <v>94</v>
      </c>
      <c r="CWM76" s="49" t="s">
        <v>93</v>
      </c>
      <c r="CWN76" s="49" t="s">
        <v>94</v>
      </c>
      <c r="CWO76" s="49" t="s">
        <v>93</v>
      </c>
      <c r="CWP76" s="49" t="s">
        <v>94</v>
      </c>
      <c r="CWQ76" s="49" t="s">
        <v>93</v>
      </c>
      <c r="CWR76" s="49" t="s">
        <v>94</v>
      </c>
      <c r="CWS76" s="49" t="s">
        <v>93</v>
      </c>
      <c r="CWT76" s="49" t="s">
        <v>94</v>
      </c>
      <c r="CWU76" s="49" t="s">
        <v>93</v>
      </c>
      <c r="CWV76" s="49" t="s">
        <v>94</v>
      </c>
      <c r="CWW76" s="49" t="s">
        <v>93</v>
      </c>
      <c r="CWX76" s="49" t="s">
        <v>94</v>
      </c>
      <c r="CWY76" s="49" t="s">
        <v>93</v>
      </c>
      <c r="CWZ76" s="49" t="s">
        <v>94</v>
      </c>
      <c r="CXA76" s="49" t="s">
        <v>93</v>
      </c>
      <c r="CXB76" s="49" t="s">
        <v>94</v>
      </c>
      <c r="CXC76" s="49" t="s">
        <v>93</v>
      </c>
      <c r="CXD76" s="49" t="s">
        <v>94</v>
      </c>
      <c r="CXE76" s="49" t="s">
        <v>93</v>
      </c>
      <c r="CXF76" s="49" t="s">
        <v>94</v>
      </c>
      <c r="CXG76" s="49" t="s">
        <v>93</v>
      </c>
      <c r="CXH76" s="49" t="s">
        <v>94</v>
      </c>
      <c r="CXI76" s="49" t="s">
        <v>93</v>
      </c>
      <c r="CXJ76" s="49" t="s">
        <v>94</v>
      </c>
      <c r="CXK76" s="49" t="s">
        <v>93</v>
      </c>
      <c r="CXL76" s="49" t="s">
        <v>94</v>
      </c>
      <c r="CXM76" s="49" t="s">
        <v>93</v>
      </c>
      <c r="CXN76" s="49" t="s">
        <v>94</v>
      </c>
      <c r="CXO76" s="49" t="s">
        <v>93</v>
      </c>
      <c r="CXP76" s="49" t="s">
        <v>94</v>
      </c>
      <c r="CXQ76" s="49" t="s">
        <v>93</v>
      </c>
      <c r="CXR76" s="49" t="s">
        <v>94</v>
      </c>
      <c r="CXS76" s="49" t="s">
        <v>93</v>
      </c>
      <c r="CXT76" s="49" t="s">
        <v>94</v>
      </c>
      <c r="CXU76" s="49" t="s">
        <v>93</v>
      </c>
      <c r="CXV76" s="49" t="s">
        <v>94</v>
      </c>
      <c r="CXW76" s="49" t="s">
        <v>93</v>
      </c>
      <c r="CXX76" s="49" t="s">
        <v>94</v>
      </c>
      <c r="CXY76" s="49" t="s">
        <v>93</v>
      </c>
      <c r="CXZ76" s="49" t="s">
        <v>94</v>
      </c>
      <c r="CYA76" s="49" t="s">
        <v>93</v>
      </c>
      <c r="CYB76" s="49" t="s">
        <v>94</v>
      </c>
      <c r="CYC76" s="49" t="s">
        <v>93</v>
      </c>
      <c r="CYD76" s="49" t="s">
        <v>94</v>
      </c>
      <c r="CYE76" s="49" t="s">
        <v>93</v>
      </c>
      <c r="CYF76" s="49" t="s">
        <v>94</v>
      </c>
      <c r="CYG76" s="49" t="s">
        <v>93</v>
      </c>
      <c r="CYH76" s="49" t="s">
        <v>94</v>
      </c>
      <c r="CYI76" s="49" t="s">
        <v>93</v>
      </c>
      <c r="CYJ76" s="49" t="s">
        <v>94</v>
      </c>
      <c r="CYK76" s="49" t="s">
        <v>93</v>
      </c>
      <c r="CYL76" s="49" t="s">
        <v>94</v>
      </c>
      <c r="CYM76" s="49" t="s">
        <v>93</v>
      </c>
      <c r="CYN76" s="49" t="s">
        <v>94</v>
      </c>
      <c r="CYO76" s="49" t="s">
        <v>93</v>
      </c>
      <c r="CYP76" s="49" t="s">
        <v>94</v>
      </c>
      <c r="CYQ76" s="49" t="s">
        <v>93</v>
      </c>
      <c r="CYR76" s="49" t="s">
        <v>94</v>
      </c>
      <c r="CYS76" s="49" t="s">
        <v>93</v>
      </c>
      <c r="CYT76" s="49" t="s">
        <v>94</v>
      </c>
      <c r="CYU76" s="49" t="s">
        <v>93</v>
      </c>
      <c r="CYV76" s="49" t="s">
        <v>94</v>
      </c>
      <c r="CYW76" s="49" t="s">
        <v>93</v>
      </c>
      <c r="CYX76" s="49" t="s">
        <v>94</v>
      </c>
      <c r="CYY76" s="49" t="s">
        <v>93</v>
      </c>
      <c r="CYZ76" s="49" t="s">
        <v>94</v>
      </c>
      <c r="CZA76" s="49" t="s">
        <v>93</v>
      </c>
      <c r="CZB76" s="49" t="s">
        <v>94</v>
      </c>
      <c r="CZC76" s="49" t="s">
        <v>93</v>
      </c>
      <c r="CZD76" s="49" t="s">
        <v>94</v>
      </c>
      <c r="CZE76" s="49" t="s">
        <v>93</v>
      </c>
      <c r="CZF76" s="49" t="s">
        <v>94</v>
      </c>
      <c r="CZG76" s="49" t="s">
        <v>93</v>
      </c>
      <c r="CZH76" s="49" t="s">
        <v>94</v>
      </c>
      <c r="CZI76" s="49" t="s">
        <v>93</v>
      </c>
      <c r="CZJ76" s="49" t="s">
        <v>94</v>
      </c>
      <c r="CZK76" s="49" t="s">
        <v>93</v>
      </c>
      <c r="CZL76" s="49" t="s">
        <v>94</v>
      </c>
      <c r="CZM76" s="49" t="s">
        <v>93</v>
      </c>
      <c r="CZN76" s="49" t="s">
        <v>94</v>
      </c>
      <c r="CZO76" s="49" t="s">
        <v>93</v>
      </c>
      <c r="CZP76" s="49" t="s">
        <v>94</v>
      </c>
      <c r="CZQ76" s="49" t="s">
        <v>93</v>
      </c>
      <c r="CZR76" s="49" t="s">
        <v>94</v>
      </c>
      <c r="CZS76" s="49" t="s">
        <v>93</v>
      </c>
      <c r="CZT76" s="49" t="s">
        <v>94</v>
      </c>
      <c r="CZU76" s="49" t="s">
        <v>93</v>
      </c>
      <c r="CZV76" s="49" t="s">
        <v>94</v>
      </c>
      <c r="CZW76" s="49" t="s">
        <v>93</v>
      </c>
      <c r="CZX76" s="49" t="s">
        <v>94</v>
      </c>
      <c r="CZY76" s="49" t="s">
        <v>93</v>
      </c>
      <c r="CZZ76" s="49" t="s">
        <v>94</v>
      </c>
      <c r="DAA76" s="49" t="s">
        <v>93</v>
      </c>
      <c r="DAB76" s="49" t="s">
        <v>94</v>
      </c>
      <c r="DAC76" s="49" t="s">
        <v>93</v>
      </c>
      <c r="DAD76" s="49" t="s">
        <v>94</v>
      </c>
      <c r="DAE76" s="49" t="s">
        <v>93</v>
      </c>
      <c r="DAF76" s="49" t="s">
        <v>94</v>
      </c>
      <c r="DAG76" s="49" t="s">
        <v>93</v>
      </c>
      <c r="DAH76" s="49" t="s">
        <v>94</v>
      </c>
      <c r="DAI76" s="49" t="s">
        <v>93</v>
      </c>
      <c r="DAJ76" s="49" t="s">
        <v>94</v>
      </c>
      <c r="DAK76" s="49" t="s">
        <v>93</v>
      </c>
      <c r="DAL76" s="49" t="s">
        <v>94</v>
      </c>
      <c r="DAM76" s="49" t="s">
        <v>93</v>
      </c>
      <c r="DAN76" s="49" t="s">
        <v>94</v>
      </c>
      <c r="DAO76" s="49" t="s">
        <v>93</v>
      </c>
      <c r="DAP76" s="49" t="s">
        <v>94</v>
      </c>
      <c r="DAQ76" s="49" t="s">
        <v>93</v>
      </c>
      <c r="DAR76" s="49" t="s">
        <v>94</v>
      </c>
      <c r="DAS76" s="49" t="s">
        <v>93</v>
      </c>
      <c r="DAT76" s="49" t="s">
        <v>94</v>
      </c>
      <c r="DAU76" s="49" t="s">
        <v>93</v>
      </c>
      <c r="DAV76" s="49" t="s">
        <v>94</v>
      </c>
      <c r="DAW76" s="49" t="s">
        <v>93</v>
      </c>
      <c r="DAX76" s="49" t="s">
        <v>94</v>
      </c>
      <c r="DAY76" s="49" t="s">
        <v>93</v>
      </c>
      <c r="DAZ76" s="49" t="s">
        <v>94</v>
      </c>
      <c r="DBA76" s="49" t="s">
        <v>93</v>
      </c>
      <c r="DBB76" s="49" t="s">
        <v>94</v>
      </c>
      <c r="DBC76" s="49" t="s">
        <v>93</v>
      </c>
      <c r="DBD76" s="49" t="s">
        <v>94</v>
      </c>
      <c r="DBE76" s="49" t="s">
        <v>93</v>
      </c>
      <c r="DBF76" s="49" t="s">
        <v>94</v>
      </c>
      <c r="DBG76" s="49" t="s">
        <v>93</v>
      </c>
      <c r="DBH76" s="49" t="s">
        <v>94</v>
      </c>
      <c r="DBI76" s="49" t="s">
        <v>93</v>
      </c>
      <c r="DBJ76" s="49" t="s">
        <v>94</v>
      </c>
      <c r="DBK76" s="49" t="s">
        <v>93</v>
      </c>
      <c r="DBL76" s="49" t="s">
        <v>94</v>
      </c>
      <c r="DBM76" s="49" t="s">
        <v>93</v>
      </c>
      <c r="DBN76" s="49" t="s">
        <v>94</v>
      </c>
      <c r="DBO76" s="49" t="s">
        <v>93</v>
      </c>
      <c r="DBP76" s="49" t="s">
        <v>94</v>
      </c>
      <c r="DBQ76" s="49" t="s">
        <v>93</v>
      </c>
      <c r="DBR76" s="49" t="s">
        <v>94</v>
      </c>
      <c r="DBS76" s="49" t="s">
        <v>93</v>
      </c>
      <c r="DBT76" s="49" t="s">
        <v>94</v>
      </c>
      <c r="DBU76" s="49" t="s">
        <v>93</v>
      </c>
      <c r="DBV76" s="49" t="s">
        <v>94</v>
      </c>
      <c r="DBW76" s="49" t="s">
        <v>93</v>
      </c>
      <c r="DBX76" s="49" t="s">
        <v>94</v>
      </c>
      <c r="DBY76" s="49" t="s">
        <v>93</v>
      </c>
      <c r="DBZ76" s="49" t="s">
        <v>94</v>
      </c>
      <c r="DCA76" s="49" t="s">
        <v>93</v>
      </c>
      <c r="DCB76" s="49" t="s">
        <v>94</v>
      </c>
      <c r="DCC76" s="49" t="s">
        <v>93</v>
      </c>
      <c r="DCD76" s="49" t="s">
        <v>94</v>
      </c>
      <c r="DCE76" s="49" t="s">
        <v>93</v>
      </c>
      <c r="DCF76" s="49" t="s">
        <v>94</v>
      </c>
      <c r="DCG76" s="49" t="s">
        <v>93</v>
      </c>
      <c r="DCH76" s="49" t="s">
        <v>94</v>
      </c>
      <c r="DCI76" s="49" t="s">
        <v>93</v>
      </c>
      <c r="DCJ76" s="49" t="s">
        <v>94</v>
      </c>
      <c r="DCK76" s="49" t="s">
        <v>93</v>
      </c>
      <c r="DCL76" s="49" t="s">
        <v>94</v>
      </c>
      <c r="DCM76" s="49" t="s">
        <v>93</v>
      </c>
      <c r="DCN76" s="49" t="s">
        <v>94</v>
      </c>
      <c r="DCO76" s="49" t="s">
        <v>93</v>
      </c>
      <c r="DCP76" s="49" t="s">
        <v>94</v>
      </c>
      <c r="DCQ76" s="49" t="s">
        <v>93</v>
      </c>
      <c r="DCR76" s="49" t="s">
        <v>94</v>
      </c>
      <c r="DCS76" s="49" t="s">
        <v>93</v>
      </c>
      <c r="DCT76" s="49" t="s">
        <v>94</v>
      </c>
      <c r="DCU76" s="49" t="s">
        <v>93</v>
      </c>
      <c r="DCV76" s="49" t="s">
        <v>94</v>
      </c>
      <c r="DCW76" s="49" t="s">
        <v>93</v>
      </c>
      <c r="DCX76" s="49" t="s">
        <v>94</v>
      </c>
      <c r="DCY76" s="49" t="s">
        <v>93</v>
      </c>
      <c r="DCZ76" s="49" t="s">
        <v>94</v>
      </c>
      <c r="DDA76" s="49" t="s">
        <v>93</v>
      </c>
      <c r="DDB76" s="49" t="s">
        <v>94</v>
      </c>
      <c r="DDC76" s="49" t="s">
        <v>93</v>
      </c>
      <c r="DDD76" s="49" t="s">
        <v>94</v>
      </c>
      <c r="DDE76" s="49" t="s">
        <v>93</v>
      </c>
      <c r="DDF76" s="49" t="s">
        <v>94</v>
      </c>
      <c r="DDG76" s="49" t="s">
        <v>93</v>
      </c>
      <c r="DDH76" s="49" t="s">
        <v>94</v>
      </c>
      <c r="DDI76" s="49" t="s">
        <v>93</v>
      </c>
      <c r="DDJ76" s="49" t="s">
        <v>94</v>
      </c>
      <c r="DDK76" s="49" t="s">
        <v>93</v>
      </c>
      <c r="DDL76" s="49" t="s">
        <v>94</v>
      </c>
      <c r="DDM76" s="49" t="s">
        <v>93</v>
      </c>
      <c r="DDN76" s="49" t="s">
        <v>94</v>
      </c>
      <c r="DDO76" s="49" t="s">
        <v>93</v>
      </c>
      <c r="DDP76" s="49" t="s">
        <v>94</v>
      </c>
      <c r="DDQ76" s="49" t="s">
        <v>93</v>
      </c>
      <c r="DDR76" s="49" t="s">
        <v>94</v>
      </c>
      <c r="DDS76" s="49" t="s">
        <v>93</v>
      </c>
      <c r="DDT76" s="49" t="s">
        <v>94</v>
      </c>
      <c r="DDU76" s="49" t="s">
        <v>93</v>
      </c>
      <c r="DDV76" s="49" t="s">
        <v>94</v>
      </c>
      <c r="DDW76" s="49" t="s">
        <v>93</v>
      </c>
      <c r="DDX76" s="49" t="s">
        <v>94</v>
      </c>
      <c r="DDY76" s="49" t="s">
        <v>93</v>
      </c>
      <c r="DDZ76" s="49" t="s">
        <v>94</v>
      </c>
      <c r="DEA76" s="49" t="s">
        <v>93</v>
      </c>
      <c r="DEB76" s="49" t="s">
        <v>94</v>
      </c>
      <c r="DEC76" s="49" t="s">
        <v>93</v>
      </c>
      <c r="DED76" s="49" t="s">
        <v>94</v>
      </c>
      <c r="DEE76" s="49" t="s">
        <v>93</v>
      </c>
      <c r="DEF76" s="49" t="s">
        <v>94</v>
      </c>
      <c r="DEG76" s="49" t="s">
        <v>93</v>
      </c>
      <c r="DEH76" s="49" t="s">
        <v>94</v>
      </c>
      <c r="DEI76" s="49" t="s">
        <v>93</v>
      </c>
      <c r="DEJ76" s="49" t="s">
        <v>94</v>
      </c>
      <c r="DEK76" s="49" t="s">
        <v>93</v>
      </c>
      <c r="DEL76" s="49" t="s">
        <v>94</v>
      </c>
      <c r="DEM76" s="49" t="s">
        <v>93</v>
      </c>
      <c r="DEN76" s="49" t="s">
        <v>94</v>
      </c>
      <c r="DEO76" s="49" t="s">
        <v>93</v>
      </c>
      <c r="DEP76" s="49" t="s">
        <v>94</v>
      </c>
      <c r="DEQ76" s="49" t="s">
        <v>93</v>
      </c>
      <c r="DER76" s="49" t="s">
        <v>94</v>
      </c>
      <c r="DES76" s="49" t="s">
        <v>93</v>
      </c>
      <c r="DET76" s="49" t="s">
        <v>94</v>
      </c>
      <c r="DEU76" s="49" t="s">
        <v>93</v>
      </c>
      <c r="DEV76" s="49" t="s">
        <v>94</v>
      </c>
      <c r="DEW76" s="49" t="s">
        <v>93</v>
      </c>
      <c r="DEX76" s="49" t="s">
        <v>94</v>
      </c>
      <c r="DEY76" s="49" t="s">
        <v>93</v>
      </c>
      <c r="DEZ76" s="49" t="s">
        <v>94</v>
      </c>
      <c r="DFA76" s="49" t="s">
        <v>93</v>
      </c>
      <c r="DFB76" s="49" t="s">
        <v>94</v>
      </c>
      <c r="DFC76" s="49" t="s">
        <v>93</v>
      </c>
      <c r="DFD76" s="49" t="s">
        <v>94</v>
      </c>
      <c r="DFE76" s="49" t="s">
        <v>93</v>
      </c>
      <c r="DFF76" s="49" t="s">
        <v>94</v>
      </c>
      <c r="DFG76" s="49" t="s">
        <v>93</v>
      </c>
      <c r="DFH76" s="49" t="s">
        <v>94</v>
      </c>
      <c r="DFI76" s="49" t="s">
        <v>93</v>
      </c>
      <c r="DFJ76" s="49" t="s">
        <v>94</v>
      </c>
      <c r="DFK76" s="49" t="s">
        <v>93</v>
      </c>
      <c r="DFL76" s="49" t="s">
        <v>94</v>
      </c>
      <c r="DFM76" s="49" t="s">
        <v>93</v>
      </c>
      <c r="DFN76" s="49" t="s">
        <v>94</v>
      </c>
      <c r="DFO76" s="49" t="s">
        <v>93</v>
      </c>
      <c r="DFP76" s="49" t="s">
        <v>94</v>
      </c>
      <c r="DFQ76" s="49" t="s">
        <v>93</v>
      </c>
      <c r="DFR76" s="49" t="s">
        <v>94</v>
      </c>
      <c r="DFS76" s="49" t="s">
        <v>93</v>
      </c>
      <c r="DFT76" s="49" t="s">
        <v>94</v>
      </c>
      <c r="DFU76" s="49" t="s">
        <v>93</v>
      </c>
      <c r="DFV76" s="49" t="s">
        <v>94</v>
      </c>
      <c r="DFW76" s="49" t="s">
        <v>93</v>
      </c>
      <c r="DFX76" s="49" t="s">
        <v>94</v>
      </c>
      <c r="DFY76" s="49" t="s">
        <v>93</v>
      </c>
      <c r="DFZ76" s="49" t="s">
        <v>94</v>
      </c>
      <c r="DGA76" s="49" t="s">
        <v>93</v>
      </c>
      <c r="DGB76" s="49" t="s">
        <v>94</v>
      </c>
      <c r="DGC76" s="49" t="s">
        <v>93</v>
      </c>
      <c r="DGD76" s="49" t="s">
        <v>94</v>
      </c>
      <c r="DGE76" s="49" t="s">
        <v>93</v>
      </c>
      <c r="DGF76" s="49" t="s">
        <v>94</v>
      </c>
      <c r="DGG76" s="49" t="s">
        <v>93</v>
      </c>
      <c r="DGH76" s="49" t="s">
        <v>94</v>
      </c>
      <c r="DGI76" s="49" t="s">
        <v>93</v>
      </c>
      <c r="DGJ76" s="49" t="s">
        <v>94</v>
      </c>
      <c r="DGK76" s="49" t="s">
        <v>93</v>
      </c>
      <c r="DGL76" s="49" t="s">
        <v>94</v>
      </c>
      <c r="DGM76" s="49" t="s">
        <v>93</v>
      </c>
      <c r="DGN76" s="49" t="s">
        <v>94</v>
      </c>
      <c r="DGO76" s="49" t="s">
        <v>93</v>
      </c>
      <c r="DGP76" s="49" t="s">
        <v>94</v>
      </c>
      <c r="DGQ76" s="49" t="s">
        <v>93</v>
      </c>
      <c r="DGR76" s="49" t="s">
        <v>94</v>
      </c>
      <c r="DGS76" s="49" t="s">
        <v>93</v>
      </c>
      <c r="DGT76" s="49" t="s">
        <v>94</v>
      </c>
      <c r="DGU76" s="49" t="s">
        <v>93</v>
      </c>
      <c r="DGV76" s="49" t="s">
        <v>94</v>
      </c>
      <c r="DGW76" s="49" t="s">
        <v>93</v>
      </c>
      <c r="DGX76" s="49" t="s">
        <v>94</v>
      </c>
      <c r="DGY76" s="49" t="s">
        <v>93</v>
      </c>
      <c r="DGZ76" s="49" t="s">
        <v>94</v>
      </c>
      <c r="DHA76" s="49" t="s">
        <v>93</v>
      </c>
      <c r="DHB76" s="49" t="s">
        <v>94</v>
      </c>
      <c r="DHC76" s="49" t="s">
        <v>93</v>
      </c>
      <c r="DHD76" s="49" t="s">
        <v>94</v>
      </c>
      <c r="DHE76" s="49" t="s">
        <v>93</v>
      </c>
      <c r="DHF76" s="49" t="s">
        <v>94</v>
      </c>
      <c r="DHG76" s="49" t="s">
        <v>93</v>
      </c>
      <c r="DHH76" s="49" t="s">
        <v>94</v>
      </c>
      <c r="DHI76" s="49" t="s">
        <v>93</v>
      </c>
      <c r="DHJ76" s="49" t="s">
        <v>94</v>
      </c>
      <c r="DHK76" s="49" t="s">
        <v>93</v>
      </c>
      <c r="DHL76" s="49" t="s">
        <v>94</v>
      </c>
      <c r="DHM76" s="49" t="s">
        <v>93</v>
      </c>
      <c r="DHN76" s="49" t="s">
        <v>94</v>
      </c>
      <c r="DHO76" s="49" t="s">
        <v>93</v>
      </c>
      <c r="DHP76" s="49" t="s">
        <v>94</v>
      </c>
      <c r="DHQ76" s="49" t="s">
        <v>93</v>
      </c>
      <c r="DHR76" s="49" t="s">
        <v>94</v>
      </c>
      <c r="DHS76" s="49" t="s">
        <v>93</v>
      </c>
      <c r="DHT76" s="49" t="s">
        <v>94</v>
      </c>
      <c r="DHU76" s="49" t="s">
        <v>93</v>
      </c>
      <c r="DHV76" s="49" t="s">
        <v>94</v>
      </c>
      <c r="DHW76" s="49" t="s">
        <v>93</v>
      </c>
      <c r="DHX76" s="49" t="s">
        <v>94</v>
      </c>
      <c r="DHY76" s="49" t="s">
        <v>93</v>
      </c>
      <c r="DHZ76" s="49" t="s">
        <v>94</v>
      </c>
      <c r="DIA76" s="49" t="s">
        <v>93</v>
      </c>
      <c r="DIB76" s="49" t="s">
        <v>94</v>
      </c>
      <c r="DIC76" s="49" t="s">
        <v>93</v>
      </c>
      <c r="DID76" s="49" t="s">
        <v>94</v>
      </c>
      <c r="DIE76" s="49" t="s">
        <v>93</v>
      </c>
      <c r="DIF76" s="49" t="s">
        <v>94</v>
      </c>
      <c r="DIG76" s="49" t="s">
        <v>93</v>
      </c>
      <c r="DIH76" s="49" t="s">
        <v>94</v>
      </c>
      <c r="DII76" s="49" t="s">
        <v>93</v>
      </c>
      <c r="DIJ76" s="49" t="s">
        <v>94</v>
      </c>
      <c r="DIK76" s="49" t="s">
        <v>93</v>
      </c>
      <c r="DIL76" s="49" t="s">
        <v>94</v>
      </c>
      <c r="DIM76" s="49" t="s">
        <v>93</v>
      </c>
      <c r="DIN76" s="49" t="s">
        <v>94</v>
      </c>
      <c r="DIO76" s="49" t="s">
        <v>93</v>
      </c>
      <c r="DIP76" s="49" t="s">
        <v>94</v>
      </c>
      <c r="DIQ76" s="49" t="s">
        <v>93</v>
      </c>
      <c r="DIR76" s="49" t="s">
        <v>94</v>
      </c>
      <c r="DIS76" s="49" t="s">
        <v>93</v>
      </c>
      <c r="DIT76" s="49" t="s">
        <v>94</v>
      </c>
      <c r="DIU76" s="49" t="s">
        <v>93</v>
      </c>
      <c r="DIV76" s="49" t="s">
        <v>94</v>
      </c>
      <c r="DIW76" s="49" t="s">
        <v>93</v>
      </c>
      <c r="DIX76" s="49" t="s">
        <v>94</v>
      </c>
      <c r="DIY76" s="49" t="s">
        <v>93</v>
      </c>
      <c r="DIZ76" s="49" t="s">
        <v>94</v>
      </c>
      <c r="DJA76" s="49" t="s">
        <v>93</v>
      </c>
      <c r="DJB76" s="49" t="s">
        <v>94</v>
      </c>
      <c r="DJC76" s="49" t="s">
        <v>93</v>
      </c>
      <c r="DJD76" s="49" t="s">
        <v>94</v>
      </c>
      <c r="DJE76" s="49" t="s">
        <v>93</v>
      </c>
      <c r="DJF76" s="49" t="s">
        <v>94</v>
      </c>
      <c r="DJG76" s="49" t="s">
        <v>93</v>
      </c>
      <c r="DJH76" s="49" t="s">
        <v>94</v>
      </c>
      <c r="DJI76" s="49" t="s">
        <v>93</v>
      </c>
      <c r="DJJ76" s="49" t="s">
        <v>94</v>
      </c>
      <c r="DJK76" s="49" t="s">
        <v>93</v>
      </c>
      <c r="DJL76" s="49" t="s">
        <v>94</v>
      </c>
      <c r="DJM76" s="49" t="s">
        <v>93</v>
      </c>
      <c r="DJN76" s="49" t="s">
        <v>94</v>
      </c>
      <c r="DJO76" s="49" t="s">
        <v>93</v>
      </c>
      <c r="DJP76" s="49" t="s">
        <v>94</v>
      </c>
      <c r="DJQ76" s="49" t="s">
        <v>93</v>
      </c>
      <c r="DJR76" s="49" t="s">
        <v>94</v>
      </c>
      <c r="DJS76" s="49" t="s">
        <v>93</v>
      </c>
      <c r="DJT76" s="49" t="s">
        <v>94</v>
      </c>
      <c r="DJU76" s="49" t="s">
        <v>93</v>
      </c>
      <c r="DJV76" s="49" t="s">
        <v>94</v>
      </c>
      <c r="DJW76" s="49" t="s">
        <v>93</v>
      </c>
      <c r="DJX76" s="49" t="s">
        <v>94</v>
      </c>
      <c r="DJY76" s="49" t="s">
        <v>93</v>
      </c>
      <c r="DJZ76" s="49" t="s">
        <v>94</v>
      </c>
      <c r="DKA76" s="49" t="s">
        <v>93</v>
      </c>
      <c r="DKB76" s="49" t="s">
        <v>94</v>
      </c>
      <c r="DKC76" s="49" t="s">
        <v>93</v>
      </c>
      <c r="DKD76" s="49" t="s">
        <v>94</v>
      </c>
      <c r="DKE76" s="49" t="s">
        <v>93</v>
      </c>
      <c r="DKF76" s="49" t="s">
        <v>94</v>
      </c>
      <c r="DKG76" s="49" t="s">
        <v>93</v>
      </c>
      <c r="DKH76" s="49" t="s">
        <v>94</v>
      </c>
      <c r="DKI76" s="49" t="s">
        <v>93</v>
      </c>
      <c r="DKJ76" s="49" t="s">
        <v>94</v>
      </c>
      <c r="DKK76" s="49" t="s">
        <v>93</v>
      </c>
      <c r="DKL76" s="49" t="s">
        <v>94</v>
      </c>
      <c r="DKM76" s="49" t="s">
        <v>93</v>
      </c>
      <c r="DKN76" s="49" t="s">
        <v>94</v>
      </c>
      <c r="DKO76" s="49" t="s">
        <v>93</v>
      </c>
      <c r="DKP76" s="49" t="s">
        <v>94</v>
      </c>
      <c r="DKQ76" s="49" t="s">
        <v>93</v>
      </c>
      <c r="DKR76" s="49" t="s">
        <v>94</v>
      </c>
      <c r="DKS76" s="49" t="s">
        <v>93</v>
      </c>
      <c r="DKT76" s="49" t="s">
        <v>94</v>
      </c>
      <c r="DKU76" s="49" t="s">
        <v>93</v>
      </c>
      <c r="DKV76" s="49" t="s">
        <v>94</v>
      </c>
      <c r="DKW76" s="49" t="s">
        <v>93</v>
      </c>
      <c r="DKX76" s="49" t="s">
        <v>94</v>
      </c>
      <c r="DKY76" s="49" t="s">
        <v>93</v>
      </c>
      <c r="DKZ76" s="49" t="s">
        <v>94</v>
      </c>
      <c r="DLA76" s="49" t="s">
        <v>93</v>
      </c>
      <c r="DLB76" s="49" t="s">
        <v>94</v>
      </c>
      <c r="DLC76" s="49" t="s">
        <v>93</v>
      </c>
      <c r="DLD76" s="49" t="s">
        <v>94</v>
      </c>
      <c r="DLE76" s="49" t="s">
        <v>93</v>
      </c>
      <c r="DLF76" s="49" t="s">
        <v>94</v>
      </c>
      <c r="DLG76" s="49" t="s">
        <v>93</v>
      </c>
      <c r="DLH76" s="49" t="s">
        <v>94</v>
      </c>
      <c r="DLI76" s="49" t="s">
        <v>93</v>
      </c>
      <c r="DLJ76" s="49" t="s">
        <v>94</v>
      </c>
      <c r="DLK76" s="49" t="s">
        <v>93</v>
      </c>
      <c r="DLL76" s="49" t="s">
        <v>94</v>
      </c>
      <c r="DLM76" s="49" t="s">
        <v>93</v>
      </c>
      <c r="DLN76" s="49" t="s">
        <v>94</v>
      </c>
      <c r="DLO76" s="49" t="s">
        <v>93</v>
      </c>
      <c r="DLP76" s="49" t="s">
        <v>94</v>
      </c>
      <c r="DLQ76" s="49" t="s">
        <v>93</v>
      </c>
      <c r="DLR76" s="49" t="s">
        <v>94</v>
      </c>
      <c r="DLS76" s="49" t="s">
        <v>93</v>
      </c>
      <c r="DLT76" s="49" t="s">
        <v>94</v>
      </c>
      <c r="DLU76" s="49" t="s">
        <v>93</v>
      </c>
      <c r="DLV76" s="49" t="s">
        <v>94</v>
      </c>
      <c r="DLW76" s="49" t="s">
        <v>93</v>
      </c>
      <c r="DLX76" s="49" t="s">
        <v>94</v>
      </c>
      <c r="DLY76" s="49" t="s">
        <v>93</v>
      </c>
      <c r="DLZ76" s="49" t="s">
        <v>94</v>
      </c>
      <c r="DMA76" s="49" t="s">
        <v>93</v>
      </c>
      <c r="DMB76" s="49" t="s">
        <v>94</v>
      </c>
      <c r="DMC76" s="49" t="s">
        <v>93</v>
      </c>
      <c r="DMD76" s="49" t="s">
        <v>94</v>
      </c>
      <c r="DME76" s="49" t="s">
        <v>93</v>
      </c>
      <c r="DMF76" s="49" t="s">
        <v>94</v>
      </c>
      <c r="DMG76" s="49" t="s">
        <v>93</v>
      </c>
      <c r="DMH76" s="49" t="s">
        <v>94</v>
      </c>
      <c r="DMI76" s="49" t="s">
        <v>93</v>
      </c>
      <c r="DMJ76" s="49" t="s">
        <v>94</v>
      </c>
      <c r="DMK76" s="49" t="s">
        <v>93</v>
      </c>
      <c r="DML76" s="49" t="s">
        <v>94</v>
      </c>
      <c r="DMM76" s="49" t="s">
        <v>93</v>
      </c>
      <c r="DMN76" s="49" t="s">
        <v>94</v>
      </c>
      <c r="DMO76" s="49" t="s">
        <v>93</v>
      </c>
      <c r="DMP76" s="49" t="s">
        <v>94</v>
      </c>
      <c r="DMQ76" s="49" t="s">
        <v>93</v>
      </c>
      <c r="DMR76" s="49" t="s">
        <v>94</v>
      </c>
      <c r="DMS76" s="49" t="s">
        <v>93</v>
      </c>
      <c r="DMT76" s="49" t="s">
        <v>94</v>
      </c>
      <c r="DMU76" s="49" t="s">
        <v>93</v>
      </c>
      <c r="DMV76" s="49" t="s">
        <v>94</v>
      </c>
      <c r="DMW76" s="49" t="s">
        <v>93</v>
      </c>
      <c r="DMX76" s="49" t="s">
        <v>94</v>
      </c>
      <c r="DMY76" s="49" t="s">
        <v>93</v>
      </c>
      <c r="DMZ76" s="49" t="s">
        <v>94</v>
      </c>
      <c r="DNA76" s="49" t="s">
        <v>93</v>
      </c>
      <c r="DNB76" s="49" t="s">
        <v>94</v>
      </c>
      <c r="DNC76" s="49" t="s">
        <v>93</v>
      </c>
      <c r="DND76" s="49" t="s">
        <v>94</v>
      </c>
      <c r="DNE76" s="49" t="s">
        <v>93</v>
      </c>
      <c r="DNF76" s="49" t="s">
        <v>94</v>
      </c>
      <c r="DNG76" s="49" t="s">
        <v>93</v>
      </c>
      <c r="DNH76" s="49" t="s">
        <v>94</v>
      </c>
      <c r="DNI76" s="49" t="s">
        <v>93</v>
      </c>
      <c r="DNJ76" s="49" t="s">
        <v>94</v>
      </c>
      <c r="DNK76" s="49" t="s">
        <v>93</v>
      </c>
      <c r="DNL76" s="49" t="s">
        <v>94</v>
      </c>
      <c r="DNM76" s="49" t="s">
        <v>93</v>
      </c>
      <c r="DNN76" s="49" t="s">
        <v>94</v>
      </c>
      <c r="DNO76" s="49" t="s">
        <v>93</v>
      </c>
      <c r="DNP76" s="49" t="s">
        <v>94</v>
      </c>
      <c r="DNQ76" s="49" t="s">
        <v>93</v>
      </c>
      <c r="DNR76" s="49" t="s">
        <v>94</v>
      </c>
      <c r="DNS76" s="49" t="s">
        <v>93</v>
      </c>
      <c r="DNT76" s="49" t="s">
        <v>94</v>
      </c>
      <c r="DNU76" s="49" t="s">
        <v>93</v>
      </c>
      <c r="DNV76" s="49" t="s">
        <v>94</v>
      </c>
      <c r="DNW76" s="49" t="s">
        <v>93</v>
      </c>
      <c r="DNX76" s="49" t="s">
        <v>94</v>
      </c>
      <c r="DNY76" s="49" t="s">
        <v>93</v>
      </c>
      <c r="DNZ76" s="49" t="s">
        <v>94</v>
      </c>
      <c r="DOA76" s="49" t="s">
        <v>93</v>
      </c>
      <c r="DOB76" s="49" t="s">
        <v>94</v>
      </c>
      <c r="DOC76" s="49" t="s">
        <v>93</v>
      </c>
      <c r="DOD76" s="49" t="s">
        <v>94</v>
      </c>
      <c r="DOE76" s="49" t="s">
        <v>93</v>
      </c>
      <c r="DOF76" s="49" t="s">
        <v>94</v>
      </c>
      <c r="DOG76" s="49" t="s">
        <v>93</v>
      </c>
      <c r="DOH76" s="49" t="s">
        <v>94</v>
      </c>
      <c r="DOI76" s="49" t="s">
        <v>93</v>
      </c>
      <c r="DOJ76" s="49" t="s">
        <v>94</v>
      </c>
      <c r="DOK76" s="49" t="s">
        <v>93</v>
      </c>
      <c r="DOL76" s="49" t="s">
        <v>94</v>
      </c>
      <c r="DOM76" s="49" t="s">
        <v>93</v>
      </c>
      <c r="DON76" s="49" t="s">
        <v>94</v>
      </c>
      <c r="DOO76" s="49" t="s">
        <v>93</v>
      </c>
      <c r="DOP76" s="49" t="s">
        <v>94</v>
      </c>
      <c r="DOQ76" s="49" t="s">
        <v>93</v>
      </c>
      <c r="DOR76" s="49" t="s">
        <v>94</v>
      </c>
      <c r="DOS76" s="49" t="s">
        <v>93</v>
      </c>
      <c r="DOT76" s="49" t="s">
        <v>94</v>
      </c>
      <c r="DOU76" s="49" t="s">
        <v>93</v>
      </c>
      <c r="DOV76" s="49" t="s">
        <v>94</v>
      </c>
      <c r="DOW76" s="49" t="s">
        <v>93</v>
      </c>
      <c r="DOX76" s="49" t="s">
        <v>94</v>
      </c>
      <c r="DOY76" s="49" t="s">
        <v>93</v>
      </c>
      <c r="DOZ76" s="49" t="s">
        <v>94</v>
      </c>
      <c r="DPA76" s="49" t="s">
        <v>93</v>
      </c>
      <c r="DPB76" s="49" t="s">
        <v>94</v>
      </c>
      <c r="DPC76" s="49" t="s">
        <v>93</v>
      </c>
      <c r="DPD76" s="49" t="s">
        <v>94</v>
      </c>
      <c r="DPE76" s="49" t="s">
        <v>93</v>
      </c>
      <c r="DPF76" s="49" t="s">
        <v>94</v>
      </c>
      <c r="DPG76" s="49" t="s">
        <v>93</v>
      </c>
      <c r="DPH76" s="49" t="s">
        <v>94</v>
      </c>
      <c r="DPI76" s="49" t="s">
        <v>93</v>
      </c>
      <c r="DPJ76" s="49" t="s">
        <v>94</v>
      </c>
      <c r="DPK76" s="49" t="s">
        <v>93</v>
      </c>
      <c r="DPL76" s="49" t="s">
        <v>94</v>
      </c>
      <c r="DPM76" s="49" t="s">
        <v>93</v>
      </c>
      <c r="DPN76" s="49" t="s">
        <v>94</v>
      </c>
      <c r="DPO76" s="49" t="s">
        <v>93</v>
      </c>
      <c r="DPP76" s="49" t="s">
        <v>94</v>
      </c>
      <c r="DPQ76" s="49" t="s">
        <v>93</v>
      </c>
      <c r="DPR76" s="49" t="s">
        <v>94</v>
      </c>
      <c r="DPS76" s="49" t="s">
        <v>93</v>
      </c>
      <c r="DPT76" s="49" t="s">
        <v>94</v>
      </c>
      <c r="DPU76" s="49" t="s">
        <v>93</v>
      </c>
      <c r="DPV76" s="49" t="s">
        <v>94</v>
      </c>
      <c r="DPW76" s="49" t="s">
        <v>93</v>
      </c>
      <c r="DPX76" s="49" t="s">
        <v>94</v>
      </c>
      <c r="DPY76" s="49" t="s">
        <v>93</v>
      </c>
      <c r="DPZ76" s="49" t="s">
        <v>94</v>
      </c>
      <c r="DQA76" s="49" t="s">
        <v>93</v>
      </c>
      <c r="DQB76" s="49" t="s">
        <v>94</v>
      </c>
      <c r="DQC76" s="49" t="s">
        <v>93</v>
      </c>
      <c r="DQD76" s="49" t="s">
        <v>94</v>
      </c>
      <c r="DQE76" s="49" t="s">
        <v>93</v>
      </c>
      <c r="DQF76" s="49" t="s">
        <v>94</v>
      </c>
      <c r="DQG76" s="49" t="s">
        <v>93</v>
      </c>
      <c r="DQH76" s="49" t="s">
        <v>94</v>
      </c>
      <c r="DQI76" s="49" t="s">
        <v>93</v>
      </c>
      <c r="DQJ76" s="49" t="s">
        <v>94</v>
      </c>
      <c r="DQK76" s="49" t="s">
        <v>93</v>
      </c>
      <c r="DQL76" s="49" t="s">
        <v>94</v>
      </c>
      <c r="DQM76" s="49" t="s">
        <v>93</v>
      </c>
      <c r="DQN76" s="49" t="s">
        <v>94</v>
      </c>
      <c r="DQO76" s="49" t="s">
        <v>93</v>
      </c>
      <c r="DQP76" s="49" t="s">
        <v>94</v>
      </c>
      <c r="DQQ76" s="49" t="s">
        <v>93</v>
      </c>
      <c r="DQR76" s="49" t="s">
        <v>94</v>
      </c>
      <c r="DQS76" s="49" t="s">
        <v>93</v>
      </c>
      <c r="DQT76" s="49" t="s">
        <v>94</v>
      </c>
      <c r="DQU76" s="49" t="s">
        <v>93</v>
      </c>
      <c r="DQV76" s="49" t="s">
        <v>94</v>
      </c>
      <c r="DQW76" s="49" t="s">
        <v>93</v>
      </c>
      <c r="DQX76" s="49" t="s">
        <v>94</v>
      </c>
      <c r="DQY76" s="49" t="s">
        <v>93</v>
      </c>
      <c r="DQZ76" s="49" t="s">
        <v>94</v>
      </c>
      <c r="DRA76" s="49" t="s">
        <v>93</v>
      </c>
      <c r="DRB76" s="49" t="s">
        <v>94</v>
      </c>
      <c r="DRC76" s="49" t="s">
        <v>93</v>
      </c>
      <c r="DRD76" s="49" t="s">
        <v>94</v>
      </c>
      <c r="DRE76" s="49" t="s">
        <v>93</v>
      </c>
      <c r="DRF76" s="49" t="s">
        <v>94</v>
      </c>
      <c r="DRG76" s="49" t="s">
        <v>93</v>
      </c>
      <c r="DRH76" s="49" t="s">
        <v>94</v>
      </c>
      <c r="DRI76" s="49" t="s">
        <v>93</v>
      </c>
      <c r="DRJ76" s="49" t="s">
        <v>94</v>
      </c>
      <c r="DRK76" s="49" t="s">
        <v>93</v>
      </c>
      <c r="DRL76" s="49" t="s">
        <v>94</v>
      </c>
      <c r="DRM76" s="49" t="s">
        <v>93</v>
      </c>
      <c r="DRN76" s="49" t="s">
        <v>94</v>
      </c>
      <c r="DRO76" s="49" t="s">
        <v>93</v>
      </c>
      <c r="DRP76" s="49" t="s">
        <v>94</v>
      </c>
      <c r="DRQ76" s="49" t="s">
        <v>93</v>
      </c>
      <c r="DRR76" s="49" t="s">
        <v>94</v>
      </c>
      <c r="DRS76" s="49" t="s">
        <v>93</v>
      </c>
      <c r="DRT76" s="49" t="s">
        <v>94</v>
      </c>
      <c r="DRU76" s="49" t="s">
        <v>93</v>
      </c>
      <c r="DRV76" s="49" t="s">
        <v>94</v>
      </c>
      <c r="DRW76" s="49" t="s">
        <v>93</v>
      </c>
      <c r="DRX76" s="49" t="s">
        <v>94</v>
      </c>
      <c r="DRY76" s="49" t="s">
        <v>93</v>
      </c>
      <c r="DRZ76" s="49" t="s">
        <v>94</v>
      </c>
      <c r="DSA76" s="49" t="s">
        <v>93</v>
      </c>
      <c r="DSB76" s="49" t="s">
        <v>94</v>
      </c>
      <c r="DSC76" s="49" t="s">
        <v>93</v>
      </c>
      <c r="DSD76" s="49" t="s">
        <v>94</v>
      </c>
      <c r="DSE76" s="49" t="s">
        <v>93</v>
      </c>
      <c r="DSF76" s="49" t="s">
        <v>94</v>
      </c>
      <c r="DSG76" s="49" t="s">
        <v>93</v>
      </c>
      <c r="DSH76" s="49" t="s">
        <v>94</v>
      </c>
      <c r="DSI76" s="49" t="s">
        <v>93</v>
      </c>
      <c r="DSJ76" s="49" t="s">
        <v>94</v>
      </c>
      <c r="DSK76" s="49" t="s">
        <v>93</v>
      </c>
      <c r="DSL76" s="49" t="s">
        <v>94</v>
      </c>
      <c r="DSM76" s="49" t="s">
        <v>93</v>
      </c>
      <c r="DSN76" s="49" t="s">
        <v>94</v>
      </c>
      <c r="DSO76" s="49" t="s">
        <v>93</v>
      </c>
      <c r="DSP76" s="49" t="s">
        <v>94</v>
      </c>
      <c r="DSQ76" s="49" t="s">
        <v>93</v>
      </c>
      <c r="DSR76" s="49" t="s">
        <v>94</v>
      </c>
      <c r="DSS76" s="49" t="s">
        <v>93</v>
      </c>
      <c r="DST76" s="49" t="s">
        <v>94</v>
      </c>
      <c r="DSU76" s="49" t="s">
        <v>93</v>
      </c>
      <c r="DSV76" s="49" t="s">
        <v>94</v>
      </c>
      <c r="DSW76" s="49" t="s">
        <v>93</v>
      </c>
      <c r="DSX76" s="49" t="s">
        <v>94</v>
      </c>
      <c r="DSY76" s="49" t="s">
        <v>93</v>
      </c>
      <c r="DSZ76" s="49" t="s">
        <v>94</v>
      </c>
      <c r="DTA76" s="49" t="s">
        <v>93</v>
      </c>
      <c r="DTB76" s="49" t="s">
        <v>94</v>
      </c>
      <c r="DTC76" s="49" t="s">
        <v>93</v>
      </c>
      <c r="DTD76" s="49" t="s">
        <v>94</v>
      </c>
      <c r="DTE76" s="49" t="s">
        <v>93</v>
      </c>
      <c r="DTF76" s="49" t="s">
        <v>94</v>
      </c>
      <c r="DTG76" s="49" t="s">
        <v>93</v>
      </c>
      <c r="DTH76" s="49" t="s">
        <v>94</v>
      </c>
      <c r="DTI76" s="49" t="s">
        <v>93</v>
      </c>
      <c r="DTJ76" s="49" t="s">
        <v>94</v>
      </c>
      <c r="DTK76" s="49" t="s">
        <v>93</v>
      </c>
      <c r="DTL76" s="49" t="s">
        <v>94</v>
      </c>
      <c r="DTM76" s="49" t="s">
        <v>93</v>
      </c>
      <c r="DTN76" s="49" t="s">
        <v>94</v>
      </c>
      <c r="DTO76" s="49" t="s">
        <v>93</v>
      </c>
      <c r="DTP76" s="49" t="s">
        <v>94</v>
      </c>
      <c r="DTQ76" s="49" t="s">
        <v>93</v>
      </c>
      <c r="DTR76" s="49" t="s">
        <v>94</v>
      </c>
      <c r="DTS76" s="49" t="s">
        <v>93</v>
      </c>
      <c r="DTT76" s="49" t="s">
        <v>94</v>
      </c>
      <c r="DTU76" s="49" t="s">
        <v>93</v>
      </c>
      <c r="DTV76" s="49" t="s">
        <v>94</v>
      </c>
      <c r="DTW76" s="49" t="s">
        <v>93</v>
      </c>
      <c r="DTX76" s="49" t="s">
        <v>94</v>
      </c>
      <c r="DTY76" s="49" t="s">
        <v>93</v>
      </c>
      <c r="DTZ76" s="49" t="s">
        <v>94</v>
      </c>
      <c r="DUA76" s="49" t="s">
        <v>93</v>
      </c>
      <c r="DUB76" s="49" t="s">
        <v>94</v>
      </c>
      <c r="DUC76" s="49" t="s">
        <v>93</v>
      </c>
      <c r="DUD76" s="49" t="s">
        <v>94</v>
      </c>
      <c r="DUE76" s="49" t="s">
        <v>93</v>
      </c>
      <c r="DUF76" s="49" t="s">
        <v>94</v>
      </c>
      <c r="DUG76" s="49" t="s">
        <v>93</v>
      </c>
      <c r="DUH76" s="49" t="s">
        <v>94</v>
      </c>
      <c r="DUI76" s="49" t="s">
        <v>93</v>
      </c>
      <c r="DUJ76" s="49" t="s">
        <v>94</v>
      </c>
      <c r="DUK76" s="49" t="s">
        <v>93</v>
      </c>
      <c r="DUL76" s="49" t="s">
        <v>94</v>
      </c>
      <c r="DUM76" s="49" t="s">
        <v>93</v>
      </c>
      <c r="DUN76" s="49" t="s">
        <v>94</v>
      </c>
      <c r="DUO76" s="49" t="s">
        <v>93</v>
      </c>
      <c r="DUP76" s="49" t="s">
        <v>94</v>
      </c>
      <c r="DUQ76" s="49" t="s">
        <v>93</v>
      </c>
      <c r="DUR76" s="49" t="s">
        <v>94</v>
      </c>
      <c r="DUS76" s="49" t="s">
        <v>93</v>
      </c>
      <c r="DUT76" s="49" t="s">
        <v>94</v>
      </c>
      <c r="DUU76" s="49" t="s">
        <v>93</v>
      </c>
      <c r="DUV76" s="49" t="s">
        <v>94</v>
      </c>
      <c r="DUW76" s="49" t="s">
        <v>93</v>
      </c>
      <c r="DUX76" s="49" t="s">
        <v>94</v>
      </c>
      <c r="DUY76" s="49" t="s">
        <v>93</v>
      </c>
      <c r="DUZ76" s="49" t="s">
        <v>94</v>
      </c>
      <c r="DVA76" s="49" t="s">
        <v>93</v>
      </c>
      <c r="DVB76" s="49" t="s">
        <v>94</v>
      </c>
      <c r="DVC76" s="49" t="s">
        <v>93</v>
      </c>
      <c r="DVD76" s="49" t="s">
        <v>94</v>
      </c>
      <c r="DVE76" s="49" t="s">
        <v>93</v>
      </c>
      <c r="DVF76" s="49" t="s">
        <v>94</v>
      </c>
      <c r="DVG76" s="49" t="s">
        <v>93</v>
      </c>
      <c r="DVH76" s="49" t="s">
        <v>94</v>
      </c>
      <c r="DVI76" s="49" t="s">
        <v>93</v>
      </c>
      <c r="DVJ76" s="49" t="s">
        <v>94</v>
      </c>
      <c r="DVK76" s="49" t="s">
        <v>93</v>
      </c>
      <c r="DVL76" s="49" t="s">
        <v>94</v>
      </c>
      <c r="DVM76" s="49" t="s">
        <v>93</v>
      </c>
      <c r="DVN76" s="49" t="s">
        <v>94</v>
      </c>
      <c r="DVO76" s="49" t="s">
        <v>93</v>
      </c>
      <c r="DVP76" s="49" t="s">
        <v>94</v>
      </c>
      <c r="DVQ76" s="49" t="s">
        <v>93</v>
      </c>
      <c r="DVR76" s="49" t="s">
        <v>94</v>
      </c>
      <c r="DVS76" s="49" t="s">
        <v>93</v>
      </c>
      <c r="DVT76" s="49" t="s">
        <v>94</v>
      </c>
      <c r="DVU76" s="49" t="s">
        <v>93</v>
      </c>
      <c r="DVV76" s="49" t="s">
        <v>94</v>
      </c>
      <c r="DVW76" s="49" t="s">
        <v>93</v>
      </c>
      <c r="DVX76" s="49" t="s">
        <v>94</v>
      </c>
      <c r="DVY76" s="49" t="s">
        <v>93</v>
      </c>
      <c r="DVZ76" s="49" t="s">
        <v>94</v>
      </c>
      <c r="DWA76" s="49" t="s">
        <v>93</v>
      </c>
      <c r="DWB76" s="49" t="s">
        <v>94</v>
      </c>
      <c r="DWC76" s="49" t="s">
        <v>93</v>
      </c>
      <c r="DWD76" s="49" t="s">
        <v>94</v>
      </c>
      <c r="DWE76" s="49" t="s">
        <v>93</v>
      </c>
      <c r="DWF76" s="49" t="s">
        <v>94</v>
      </c>
      <c r="DWG76" s="49" t="s">
        <v>93</v>
      </c>
      <c r="DWH76" s="49" t="s">
        <v>94</v>
      </c>
      <c r="DWI76" s="49" t="s">
        <v>93</v>
      </c>
      <c r="DWJ76" s="49" t="s">
        <v>94</v>
      </c>
      <c r="DWK76" s="49" t="s">
        <v>93</v>
      </c>
      <c r="DWL76" s="49" t="s">
        <v>94</v>
      </c>
      <c r="DWM76" s="49" t="s">
        <v>93</v>
      </c>
      <c r="DWN76" s="49" t="s">
        <v>94</v>
      </c>
      <c r="DWO76" s="49" t="s">
        <v>93</v>
      </c>
      <c r="DWP76" s="49" t="s">
        <v>94</v>
      </c>
      <c r="DWQ76" s="49" t="s">
        <v>93</v>
      </c>
      <c r="DWR76" s="49" t="s">
        <v>94</v>
      </c>
      <c r="DWS76" s="49" t="s">
        <v>93</v>
      </c>
      <c r="DWT76" s="49" t="s">
        <v>94</v>
      </c>
      <c r="DWU76" s="49" t="s">
        <v>93</v>
      </c>
      <c r="DWV76" s="49" t="s">
        <v>94</v>
      </c>
      <c r="DWW76" s="49" t="s">
        <v>93</v>
      </c>
      <c r="DWX76" s="49" t="s">
        <v>94</v>
      </c>
      <c r="DWY76" s="49" t="s">
        <v>93</v>
      </c>
      <c r="DWZ76" s="49" t="s">
        <v>94</v>
      </c>
      <c r="DXA76" s="49" t="s">
        <v>93</v>
      </c>
      <c r="DXB76" s="49" t="s">
        <v>94</v>
      </c>
      <c r="DXC76" s="49" t="s">
        <v>93</v>
      </c>
      <c r="DXD76" s="49" t="s">
        <v>94</v>
      </c>
      <c r="DXE76" s="49" t="s">
        <v>93</v>
      </c>
      <c r="DXF76" s="49" t="s">
        <v>94</v>
      </c>
      <c r="DXG76" s="49" t="s">
        <v>93</v>
      </c>
      <c r="DXH76" s="49" t="s">
        <v>94</v>
      </c>
      <c r="DXI76" s="49" t="s">
        <v>93</v>
      </c>
      <c r="DXJ76" s="49" t="s">
        <v>94</v>
      </c>
      <c r="DXK76" s="49" t="s">
        <v>93</v>
      </c>
      <c r="DXL76" s="49" t="s">
        <v>94</v>
      </c>
      <c r="DXM76" s="49" t="s">
        <v>93</v>
      </c>
      <c r="DXN76" s="49" t="s">
        <v>94</v>
      </c>
      <c r="DXO76" s="49" t="s">
        <v>93</v>
      </c>
      <c r="DXP76" s="49" t="s">
        <v>94</v>
      </c>
      <c r="DXQ76" s="49" t="s">
        <v>93</v>
      </c>
      <c r="DXR76" s="49" t="s">
        <v>94</v>
      </c>
      <c r="DXS76" s="49" t="s">
        <v>93</v>
      </c>
      <c r="DXT76" s="49" t="s">
        <v>94</v>
      </c>
      <c r="DXU76" s="49" t="s">
        <v>93</v>
      </c>
      <c r="DXV76" s="49" t="s">
        <v>94</v>
      </c>
      <c r="DXW76" s="49" t="s">
        <v>93</v>
      </c>
      <c r="DXX76" s="49" t="s">
        <v>94</v>
      </c>
      <c r="DXY76" s="49" t="s">
        <v>93</v>
      </c>
      <c r="DXZ76" s="49" t="s">
        <v>94</v>
      </c>
      <c r="DYA76" s="49" t="s">
        <v>93</v>
      </c>
      <c r="DYB76" s="49" t="s">
        <v>94</v>
      </c>
      <c r="DYC76" s="49" t="s">
        <v>93</v>
      </c>
      <c r="DYD76" s="49" t="s">
        <v>94</v>
      </c>
      <c r="DYE76" s="49" t="s">
        <v>93</v>
      </c>
      <c r="DYF76" s="49" t="s">
        <v>94</v>
      </c>
      <c r="DYG76" s="49" t="s">
        <v>93</v>
      </c>
      <c r="DYH76" s="49" t="s">
        <v>94</v>
      </c>
      <c r="DYI76" s="49" t="s">
        <v>93</v>
      </c>
      <c r="DYJ76" s="49" t="s">
        <v>94</v>
      </c>
      <c r="DYK76" s="49" t="s">
        <v>93</v>
      </c>
      <c r="DYL76" s="49" t="s">
        <v>94</v>
      </c>
      <c r="DYM76" s="49" t="s">
        <v>93</v>
      </c>
      <c r="DYN76" s="49" t="s">
        <v>94</v>
      </c>
      <c r="DYO76" s="49" t="s">
        <v>93</v>
      </c>
      <c r="DYP76" s="49" t="s">
        <v>94</v>
      </c>
      <c r="DYQ76" s="49" t="s">
        <v>93</v>
      </c>
      <c r="DYR76" s="49" t="s">
        <v>94</v>
      </c>
      <c r="DYS76" s="49" t="s">
        <v>93</v>
      </c>
      <c r="DYT76" s="49" t="s">
        <v>94</v>
      </c>
      <c r="DYU76" s="49" t="s">
        <v>93</v>
      </c>
      <c r="DYV76" s="49" t="s">
        <v>94</v>
      </c>
      <c r="DYW76" s="49" t="s">
        <v>93</v>
      </c>
      <c r="DYX76" s="49" t="s">
        <v>94</v>
      </c>
      <c r="DYY76" s="49" t="s">
        <v>93</v>
      </c>
      <c r="DYZ76" s="49" t="s">
        <v>94</v>
      </c>
      <c r="DZA76" s="49" t="s">
        <v>93</v>
      </c>
      <c r="DZB76" s="49" t="s">
        <v>94</v>
      </c>
      <c r="DZC76" s="49" t="s">
        <v>93</v>
      </c>
      <c r="DZD76" s="49" t="s">
        <v>94</v>
      </c>
      <c r="DZE76" s="49" t="s">
        <v>93</v>
      </c>
      <c r="DZF76" s="49" t="s">
        <v>94</v>
      </c>
      <c r="DZG76" s="49" t="s">
        <v>93</v>
      </c>
      <c r="DZH76" s="49" t="s">
        <v>94</v>
      </c>
      <c r="DZI76" s="49" t="s">
        <v>93</v>
      </c>
      <c r="DZJ76" s="49" t="s">
        <v>94</v>
      </c>
      <c r="DZK76" s="49" t="s">
        <v>93</v>
      </c>
      <c r="DZL76" s="49" t="s">
        <v>94</v>
      </c>
      <c r="DZM76" s="49" t="s">
        <v>93</v>
      </c>
      <c r="DZN76" s="49" t="s">
        <v>94</v>
      </c>
      <c r="DZO76" s="49" t="s">
        <v>93</v>
      </c>
      <c r="DZP76" s="49" t="s">
        <v>94</v>
      </c>
      <c r="DZQ76" s="49" t="s">
        <v>93</v>
      </c>
      <c r="DZR76" s="49" t="s">
        <v>94</v>
      </c>
      <c r="DZS76" s="49" t="s">
        <v>93</v>
      </c>
      <c r="DZT76" s="49" t="s">
        <v>94</v>
      </c>
      <c r="DZU76" s="49" t="s">
        <v>93</v>
      </c>
      <c r="DZV76" s="49" t="s">
        <v>94</v>
      </c>
      <c r="DZW76" s="49" t="s">
        <v>93</v>
      </c>
      <c r="DZX76" s="49" t="s">
        <v>94</v>
      </c>
      <c r="DZY76" s="49" t="s">
        <v>93</v>
      </c>
      <c r="DZZ76" s="49" t="s">
        <v>94</v>
      </c>
      <c r="EAA76" s="49" t="s">
        <v>93</v>
      </c>
      <c r="EAB76" s="49" t="s">
        <v>94</v>
      </c>
      <c r="EAC76" s="49" t="s">
        <v>93</v>
      </c>
      <c r="EAD76" s="49" t="s">
        <v>94</v>
      </c>
      <c r="EAE76" s="49" t="s">
        <v>93</v>
      </c>
      <c r="EAF76" s="49" t="s">
        <v>94</v>
      </c>
      <c r="EAG76" s="49" t="s">
        <v>93</v>
      </c>
      <c r="EAH76" s="49" t="s">
        <v>94</v>
      </c>
      <c r="EAI76" s="49" t="s">
        <v>93</v>
      </c>
      <c r="EAJ76" s="49" t="s">
        <v>94</v>
      </c>
      <c r="EAK76" s="49" t="s">
        <v>93</v>
      </c>
      <c r="EAL76" s="49" t="s">
        <v>94</v>
      </c>
      <c r="EAM76" s="49" t="s">
        <v>93</v>
      </c>
      <c r="EAN76" s="49" t="s">
        <v>94</v>
      </c>
      <c r="EAO76" s="49" t="s">
        <v>93</v>
      </c>
      <c r="EAP76" s="49" t="s">
        <v>94</v>
      </c>
      <c r="EAQ76" s="49" t="s">
        <v>93</v>
      </c>
      <c r="EAR76" s="49" t="s">
        <v>94</v>
      </c>
      <c r="EAS76" s="49" t="s">
        <v>93</v>
      </c>
      <c r="EAT76" s="49" t="s">
        <v>94</v>
      </c>
      <c r="EAU76" s="49" t="s">
        <v>93</v>
      </c>
      <c r="EAV76" s="49" t="s">
        <v>94</v>
      </c>
      <c r="EAW76" s="49" t="s">
        <v>93</v>
      </c>
      <c r="EAX76" s="49" t="s">
        <v>94</v>
      </c>
      <c r="EAY76" s="49" t="s">
        <v>93</v>
      </c>
      <c r="EAZ76" s="49" t="s">
        <v>94</v>
      </c>
      <c r="EBA76" s="49" t="s">
        <v>93</v>
      </c>
      <c r="EBB76" s="49" t="s">
        <v>94</v>
      </c>
      <c r="EBC76" s="49" t="s">
        <v>93</v>
      </c>
      <c r="EBD76" s="49" t="s">
        <v>94</v>
      </c>
      <c r="EBE76" s="49" t="s">
        <v>93</v>
      </c>
      <c r="EBF76" s="49" t="s">
        <v>94</v>
      </c>
      <c r="EBG76" s="49" t="s">
        <v>93</v>
      </c>
      <c r="EBH76" s="49" t="s">
        <v>94</v>
      </c>
      <c r="EBI76" s="49" t="s">
        <v>93</v>
      </c>
      <c r="EBJ76" s="49" t="s">
        <v>94</v>
      </c>
      <c r="EBK76" s="49" t="s">
        <v>93</v>
      </c>
      <c r="EBL76" s="49" t="s">
        <v>94</v>
      </c>
      <c r="EBM76" s="49" t="s">
        <v>93</v>
      </c>
      <c r="EBN76" s="49" t="s">
        <v>94</v>
      </c>
      <c r="EBO76" s="49" t="s">
        <v>93</v>
      </c>
      <c r="EBP76" s="49" t="s">
        <v>94</v>
      </c>
      <c r="EBQ76" s="49" t="s">
        <v>93</v>
      </c>
      <c r="EBR76" s="49" t="s">
        <v>94</v>
      </c>
      <c r="EBS76" s="49" t="s">
        <v>93</v>
      </c>
      <c r="EBT76" s="49" t="s">
        <v>94</v>
      </c>
      <c r="EBU76" s="49" t="s">
        <v>93</v>
      </c>
      <c r="EBV76" s="49" t="s">
        <v>94</v>
      </c>
      <c r="EBW76" s="49" t="s">
        <v>93</v>
      </c>
      <c r="EBX76" s="49" t="s">
        <v>94</v>
      </c>
      <c r="EBY76" s="49" t="s">
        <v>93</v>
      </c>
      <c r="EBZ76" s="49" t="s">
        <v>94</v>
      </c>
      <c r="ECA76" s="49" t="s">
        <v>93</v>
      </c>
      <c r="ECB76" s="49" t="s">
        <v>94</v>
      </c>
      <c r="ECC76" s="49" t="s">
        <v>93</v>
      </c>
      <c r="ECD76" s="49" t="s">
        <v>94</v>
      </c>
      <c r="ECE76" s="49" t="s">
        <v>93</v>
      </c>
      <c r="ECF76" s="49" t="s">
        <v>94</v>
      </c>
      <c r="ECG76" s="49" t="s">
        <v>93</v>
      </c>
      <c r="ECH76" s="49" t="s">
        <v>94</v>
      </c>
      <c r="ECI76" s="49" t="s">
        <v>93</v>
      </c>
      <c r="ECJ76" s="49" t="s">
        <v>94</v>
      </c>
      <c r="ECK76" s="49" t="s">
        <v>93</v>
      </c>
      <c r="ECL76" s="49" t="s">
        <v>94</v>
      </c>
      <c r="ECM76" s="49" t="s">
        <v>93</v>
      </c>
      <c r="ECN76" s="49" t="s">
        <v>94</v>
      </c>
      <c r="ECO76" s="49" t="s">
        <v>93</v>
      </c>
      <c r="ECP76" s="49" t="s">
        <v>94</v>
      </c>
      <c r="ECQ76" s="49" t="s">
        <v>93</v>
      </c>
      <c r="ECR76" s="49" t="s">
        <v>94</v>
      </c>
      <c r="ECS76" s="49" t="s">
        <v>93</v>
      </c>
      <c r="ECT76" s="49" t="s">
        <v>94</v>
      </c>
      <c r="ECU76" s="49" t="s">
        <v>93</v>
      </c>
      <c r="ECV76" s="49" t="s">
        <v>94</v>
      </c>
      <c r="ECW76" s="49" t="s">
        <v>93</v>
      </c>
      <c r="ECX76" s="49" t="s">
        <v>94</v>
      </c>
      <c r="ECY76" s="49" t="s">
        <v>93</v>
      </c>
      <c r="ECZ76" s="49" t="s">
        <v>94</v>
      </c>
      <c r="EDA76" s="49" t="s">
        <v>93</v>
      </c>
      <c r="EDB76" s="49" t="s">
        <v>94</v>
      </c>
      <c r="EDC76" s="49" t="s">
        <v>93</v>
      </c>
      <c r="EDD76" s="49" t="s">
        <v>94</v>
      </c>
      <c r="EDE76" s="49" t="s">
        <v>93</v>
      </c>
      <c r="EDF76" s="49" t="s">
        <v>94</v>
      </c>
      <c r="EDG76" s="49" t="s">
        <v>93</v>
      </c>
      <c r="EDH76" s="49" t="s">
        <v>94</v>
      </c>
      <c r="EDI76" s="49" t="s">
        <v>93</v>
      </c>
      <c r="EDJ76" s="49" t="s">
        <v>94</v>
      </c>
      <c r="EDK76" s="49" t="s">
        <v>93</v>
      </c>
      <c r="EDL76" s="49" t="s">
        <v>94</v>
      </c>
      <c r="EDM76" s="49" t="s">
        <v>93</v>
      </c>
      <c r="EDN76" s="49" t="s">
        <v>94</v>
      </c>
      <c r="EDO76" s="49" t="s">
        <v>93</v>
      </c>
      <c r="EDP76" s="49" t="s">
        <v>94</v>
      </c>
      <c r="EDQ76" s="49" t="s">
        <v>93</v>
      </c>
      <c r="EDR76" s="49" t="s">
        <v>94</v>
      </c>
      <c r="EDS76" s="49" t="s">
        <v>93</v>
      </c>
      <c r="EDT76" s="49" t="s">
        <v>94</v>
      </c>
      <c r="EDU76" s="49" t="s">
        <v>93</v>
      </c>
      <c r="EDV76" s="49" t="s">
        <v>94</v>
      </c>
      <c r="EDW76" s="49" t="s">
        <v>93</v>
      </c>
      <c r="EDX76" s="49" t="s">
        <v>94</v>
      </c>
      <c r="EDY76" s="49" t="s">
        <v>93</v>
      </c>
      <c r="EDZ76" s="49" t="s">
        <v>94</v>
      </c>
      <c r="EEA76" s="49" t="s">
        <v>93</v>
      </c>
      <c r="EEB76" s="49" t="s">
        <v>94</v>
      </c>
      <c r="EEC76" s="49" t="s">
        <v>93</v>
      </c>
      <c r="EED76" s="49" t="s">
        <v>94</v>
      </c>
      <c r="EEE76" s="49" t="s">
        <v>93</v>
      </c>
      <c r="EEF76" s="49" t="s">
        <v>94</v>
      </c>
      <c r="EEG76" s="49" t="s">
        <v>93</v>
      </c>
      <c r="EEH76" s="49" t="s">
        <v>94</v>
      </c>
      <c r="EEI76" s="49" t="s">
        <v>93</v>
      </c>
      <c r="EEJ76" s="49" t="s">
        <v>94</v>
      </c>
      <c r="EEK76" s="49" t="s">
        <v>93</v>
      </c>
      <c r="EEL76" s="49" t="s">
        <v>94</v>
      </c>
      <c r="EEM76" s="49" t="s">
        <v>93</v>
      </c>
      <c r="EEN76" s="49" t="s">
        <v>94</v>
      </c>
      <c r="EEO76" s="49" t="s">
        <v>93</v>
      </c>
      <c r="EEP76" s="49" t="s">
        <v>94</v>
      </c>
      <c r="EEQ76" s="49" t="s">
        <v>93</v>
      </c>
      <c r="EER76" s="49" t="s">
        <v>94</v>
      </c>
      <c r="EES76" s="49" t="s">
        <v>93</v>
      </c>
      <c r="EET76" s="49" t="s">
        <v>94</v>
      </c>
      <c r="EEU76" s="49" t="s">
        <v>93</v>
      </c>
      <c r="EEV76" s="49" t="s">
        <v>94</v>
      </c>
      <c r="EEW76" s="49" t="s">
        <v>93</v>
      </c>
      <c r="EEX76" s="49" t="s">
        <v>94</v>
      </c>
      <c r="EEY76" s="49" t="s">
        <v>93</v>
      </c>
      <c r="EEZ76" s="49" t="s">
        <v>94</v>
      </c>
      <c r="EFA76" s="49" t="s">
        <v>93</v>
      </c>
      <c r="EFB76" s="49" t="s">
        <v>94</v>
      </c>
      <c r="EFC76" s="49" t="s">
        <v>93</v>
      </c>
      <c r="EFD76" s="49" t="s">
        <v>94</v>
      </c>
      <c r="EFE76" s="49" t="s">
        <v>93</v>
      </c>
      <c r="EFF76" s="49" t="s">
        <v>94</v>
      </c>
      <c r="EFG76" s="49" t="s">
        <v>93</v>
      </c>
      <c r="EFH76" s="49" t="s">
        <v>94</v>
      </c>
      <c r="EFI76" s="49" t="s">
        <v>93</v>
      </c>
      <c r="EFJ76" s="49" t="s">
        <v>94</v>
      </c>
      <c r="EFK76" s="49" t="s">
        <v>93</v>
      </c>
      <c r="EFL76" s="49" t="s">
        <v>94</v>
      </c>
      <c r="EFM76" s="49" t="s">
        <v>93</v>
      </c>
      <c r="EFN76" s="49" t="s">
        <v>94</v>
      </c>
      <c r="EFO76" s="49" t="s">
        <v>93</v>
      </c>
      <c r="EFP76" s="49" t="s">
        <v>94</v>
      </c>
      <c r="EFQ76" s="49" t="s">
        <v>93</v>
      </c>
      <c r="EFR76" s="49" t="s">
        <v>94</v>
      </c>
      <c r="EFS76" s="49" t="s">
        <v>93</v>
      </c>
      <c r="EFT76" s="49" t="s">
        <v>94</v>
      </c>
      <c r="EFU76" s="49" t="s">
        <v>93</v>
      </c>
      <c r="EFV76" s="49" t="s">
        <v>94</v>
      </c>
      <c r="EFW76" s="49" t="s">
        <v>93</v>
      </c>
      <c r="EFX76" s="49" t="s">
        <v>94</v>
      </c>
      <c r="EFY76" s="49" t="s">
        <v>93</v>
      </c>
      <c r="EFZ76" s="49" t="s">
        <v>94</v>
      </c>
      <c r="EGA76" s="49" t="s">
        <v>93</v>
      </c>
      <c r="EGB76" s="49" t="s">
        <v>94</v>
      </c>
      <c r="EGC76" s="49" t="s">
        <v>93</v>
      </c>
      <c r="EGD76" s="49" t="s">
        <v>94</v>
      </c>
      <c r="EGE76" s="49" t="s">
        <v>93</v>
      </c>
      <c r="EGF76" s="49" t="s">
        <v>94</v>
      </c>
      <c r="EGG76" s="49" t="s">
        <v>93</v>
      </c>
      <c r="EGH76" s="49" t="s">
        <v>94</v>
      </c>
      <c r="EGI76" s="49" t="s">
        <v>93</v>
      </c>
      <c r="EGJ76" s="49" t="s">
        <v>94</v>
      </c>
      <c r="EGK76" s="49" t="s">
        <v>93</v>
      </c>
      <c r="EGL76" s="49" t="s">
        <v>94</v>
      </c>
      <c r="EGM76" s="49" t="s">
        <v>93</v>
      </c>
      <c r="EGN76" s="49" t="s">
        <v>94</v>
      </c>
      <c r="EGO76" s="49" t="s">
        <v>93</v>
      </c>
      <c r="EGP76" s="49" t="s">
        <v>94</v>
      </c>
      <c r="EGQ76" s="49" t="s">
        <v>93</v>
      </c>
      <c r="EGR76" s="49" t="s">
        <v>94</v>
      </c>
      <c r="EGS76" s="49" t="s">
        <v>93</v>
      </c>
      <c r="EGT76" s="49" t="s">
        <v>94</v>
      </c>
      <c r="EGU76" s="49" t="s">
        <v>93</v>
      </c>
      <c r="EGV76" s="49" t="s">
        <v>94</v>
      </c>
      <c r="EGW76" s="49" t="s">
        <v>93</v>
      </c>
      <c r="EGX76" s="49" t="s">
        <v>94</v>
      </c>
      <c r="EGY76" s="49" t="s">
        <v>93</v>
      </c>
      <c r="EGZ76" s="49" t="s">
        <v>94</v>
      </c>
      <c r="EHA76" s="49" t="s">
        <v>93</v>
      </c>
      <c r="EHB76" s="49" t="s">
        <v>94</v>
      </c>
      <c r="EHC76" s="49" t="s">
        <v>93</v>
      </c>
      <c r="EHD76" s="49" t="s">
        <v>94</v>
      </c>
      <c r="EHE76" s="49" t="s">
        <v>93</v>
      </c>
      <c r="EHF76" s="49" t="s">
        <v>94</v>
      </c>
      <c r="EHG76" s="49" t="s">
        <v>93</v>
      </c>
      <c r="EHH76" s="49" t="s">
        <v>94</v>
      </c>
      <c r="EHI76" s="49" t="s">
        <v>93</v>
      </c>
      <c r="EHJ76" s="49" t="s">
        <v>94</v>
      </c>
      <c r="EHK76" s="49" t="s">
        <v>93</v>
      </c>
      <c r="EHL76" s="49" t="s">
        <v>94</v>
      </c>
      <c r="EHM76" s="49" t="s">
        <v>93</v>
      </c>
      <c r="EHN76" s="49" t="s">
        <v>94</v>
      </c>
      <c r="EHO76" s="49" t="s">
        <v>93</v>
      </c>
      <c r="EHP76" s="49" t="s">
        <v>94</v>
      </c>
      <c r="EHQ76" s="49" t="s">
        <v>93</v>
      </c>
      <c r="EHR76" s="49" t="s">
        <v>94</v>
      </c>
      <c r="EHS76" s="49" t="s">
        <v>93</v>
      </c>
      <c r="EHT76" s="49" t="s">
        <v>94</v>
      </c>
      <c r="EHU76" s="49" t="s">
        <v>93</v>
      </c>
      <c r="EHV76" s="49" t="s">
        <v>94</v>
      </c>
      <c r="EHW76" s="49" t="s">
        <v>93</v>
      </c>
      <c r="EHX76" s="49" t="s">
        <v>94</v>
      </c>
      <c r="EHY76" s="49" t="s">
        <v>93</v>
      </c>
      <c r="EHZ76" s="49" t="s">
        <v>94</v>
      </c>
      <c r="EIA76" s="49" t="s">
        <v>93</v>
      </c>
      <c r="EIB76" s="49" t="s">
        <v>94</v>
      </c>
      <c r="EIC76" s="49" t="s">
        <v>93</v>
      </c>
      <c r="EID76" s="49" t="s">
        <v>94</v>
      </c>
      <c r="EIE76" s="49" t="s">
        <v>93</v>
      </c>
      <c r="EIF76" s="49" t="s">
        <v>94</v>
      </c>
      <c r="EIG76" s="49" t="s">
        <v>93</v>
      </c>
      <c r="EIH76" s="49" t="s">
        <v>94</v>
      </c>
      <c r="EII76" s="49" t="s">
        <v>93</v>
      </c>
      <c r="EIJ76" s="49" t="s">
        <v>94</v>
      </c>
      <c r="EIK76" s="49" t="s">
        <v>93</v>
      </c>
      <c r="EIL76" s="49" t="s">
        <v>94</v>
      </c>
      <c r="EIM76" s="49" t="s">
        <v>93</v>
      </c>
      <c r="EIN76" s="49" t="s">
        <v>94</v>
      </c>
      <c r="EIO76" s="49" t="s">
        <v>93</v>
      </c>
      <c r="EIP76" s="49" t="s">
        <v>94</v>
      </c>
      <c r="EIQ76" s="49" t="s">
        <v>93</v>
      </c>
      <c r="EIR76" s="49" t="s">
        <v>94</v>
      </c>
      <c r="EIS76" s="49" t="s">
        <v>93</v>
      </c>
      <c r="EIT76" s="49" t="s">
        <v>94</v>
      </c>
      <c r="EIU76" s="49" t="s">
        <v>93</v>
      </c>
      <c r="EIV76" s="49" t="s">
        <v>94</v>
      </c>
      <c r="EIW76" s="49" t="s">
        <v>93</v>
      </c>
      <c r="EIX76" s="49" t="s">
        <v>94</v>
      </c>
      <c r="EIY76" s="49" t="s">
        <v>93</v>
      </c>
      <c r="EIZ76" s="49" t="s">
        <v>94</v>
      </c>
      <c r="EJA76" s="49" t="s">
        <v>93</v>
      </c>
      <c r="EJB76" s="49" t="s">
        <v>94</v>
      </c>
      <c r="EJC76" s="49" t="s">
        <v>93</v>
      </c>
      <c r="EJD76" s="49" t="s">
        <v>94</v>
      </c>
      <c r="EJE76" s="49" t="s">
        <v>93</v>
      </c>
      <c r="EJF76" s="49" t="s">
        <v>94</v>
      </c>
      <c r="EJG76" s="49" t="s">
        <v>93</v>
      </c>
      <c r="EJH76" s="49" t="s">
        <v>94</v>
      </c>
      <c r="EJI76" s="49" t="s">
        <v>93</v>
      </c>
      <c r="EJJ76" s="49" t="s">
        <v>94</v>
      </c>
      <c r="EJK76" s="49" t="s">
        <v>93</v>
      </c>
      <c r="EJL76" s="49" t="s">
        <v>94</v>
      </c>
      <c r="EJM76" s="49" t="s">
        <v>93</v>
      </c>
      <c r="EJN76" s="49" t="s">
        <v>94</v>
      </c>
      <c r="EJO76" s="49" t="s">
        <v>93</v>
      </c>
      <c r="EJP76" s="49" t="s">
        <v>94</v>
      </c>
      <c r="EJQ76" s="49" t="s">
        <v>93</v>
      </c>
      <c r="EJR76" s="49" t="s">
        <v>94</v>
      </c>
      <c r="EJS76" s="49" t="s">
        <v>93</v>
      </c>
      <c r="EJT76" s="49" t="s">
        <v>94</v>
      </c>
      <c r="EJU76" s="49" t="s">
        <v>93</v>
      </c>
      <c r="EJV76" s="49" t="s">
        <v>94</v>
      </c>
      <c r="EJW76" s="49" t="s">
        <v>93</v>
      </c>
      <c r="EJX76" s="49" t="s">
        <v>94</v>
      </c>
      <c r="EJY76" s="49" t="s">
        <v>93</v>
      </c>
      <c r="EJZ76" s="49" t="s">
        <v>94</v>
      </c>
      <c r="EKA76" s="49" t="s">
        <v>93</v>
      </c>
      <c r="EKB76" s="49" t="s">
        <v>94</v>
      </c>
      <c r="EKC76" s="49" t="s">
        <v>93</v>
      </c>
      <c r="EKD76" s="49" t="s">
        <v>94</v>
      </c>
      <c r="EKE76" s="49" t="s">
        <v>93</v>
      </c>
      <c r="EKF76" s="49" t="s">
        <v>94</v>
      </c>
      <c r="EKG76" s="49" t="s">
        <v>93</v>
      </c>
      <c r="EKH76" s="49" t="s">
        <v>94</v>
      </c>
      <c r="EKI76" s="49" t="s">
        <v>93</v>
      </c>
      <c r="EKJ76" s="49" t="s">
        <v>94</v>
      </c>
      <c r="EKK76" s="49" t="s">
        <v>93</v>
      </c>
      <c r="EKL76" s="49" t="s">
        <v>94</v>
      </c>
      <c r="EKM76" s="49" t="s">
        <v>93</v>
      </c>
      <c r="EKN76" s="49" t="s">
        <v>94</v>
      </c>
      <c r="EKO76" s="49" t="s">
        <v>93</v>
      </c>
      <c r="EKP76" s="49" t="s">
        <v>94</v>
      </c>
      <c r="EKQ76" s="49" t="s">
        <v>93</v>
      </c>
      <c r="EKR76" s="49" t="s">
        <v>94</v>
      </c>
      <c r="EKS76" s="49" t="s">
        <v>93</v>
      </c>
      <c r="EKT76" s="49" t="s">
        <v>94</v>
      </c>
      <c r="EKU76" s="49" t="s">
        <v>93</v>
      </c>
      <c r="EKV76" s="49" t="s">
        <v>94</v>
      </c>
      <c r="EKW76" s="49" t="s">
        <v>93</v>
      </c>
      <c r="EKX76" s="49" t="s">
        <v>94</v>
      </c>
      <c r="EKY76" s="49" t="s">
        <v>93</v>
      </c>
      <c r="EKZ76" s="49" t="s">
        <v>94</v>
      </c>
      <c r="ELA76" s="49" t="s">
        <v>93</v>
      </c>
      <c r="ELB76" s="49" t="s">
        <v>94</v>
      </c>
      <c r="ELC76" s="49" t="s">
        <v>93</v>
      </c>
      <c r="ELD76" s="49" t="s">
        <v>94</v>
      </c>
      <c r="ELE76" s="49" t="s">
        <v>93</v>
      </c>
      <c r="ELF76" s="49" t="s">
        <v>94</v>
      </c>
      <c r="ELG76" s="49" t="s">
        <v>93</v>
      </c>
      <c r="ELH76" s="49" t="s">
        <v>94</v>
      </c>
      <c r="ELI76" s="49" t="s">
        <v>93</v>
      </c>
      <c r="ELJ76" s="49" t="s">
        <v>94</v>
      </c>
      <c r="ELK76" s="49" t="s">
        <v>93</v>
      </c>
      <c r="ELL76" s="49" t="s">
        <v>94</v>
      </c>
      <c r="ELM76" s="49" t="s">
        <v>93</v>
      </c>
      <c r="ELN76" s="49" t="s">
        <v>94</v>
      </c>
      <c r="ELO76" s="49" t="s">
        <v>93</v>
      </c>
      <c r="ELP76" s="49" t="s">
        <v>94</v>
      </c>
      <c r="ELQ76" s="49" t="s">
        <v>93</v>
      </c>
      <c r="ELR76" s="49" t="s">
        <v>94</v>
      </c>
      <c r="ELS76" s="49" t="s">
        <v>93</v>
      </c>
      <c r="ELT76" s="49" t="s">
        <v>94</v>
      </c>
      <c r="ELU76" s="49" t="s">
        <v>93</v>
      </c>
      <c r="ELV76" s="49" t="s">
        <v>94</v>
      </c>
      <c r="ELW76" s="49" t="s">
        <v>93</v>
      </c>
      <c r="ELX76" s="49" t="s">
        <v>94</v>
      </c>
      <c r="ELY76" s="49" t="s">
        <v>93</v>
      </c>
      <c r="ELZ76" s="49" t="s">
        <v>94</v>
      </c>
      <c r="EMA76" s="49" t="s">
        <v>93</v>
      </c>
      <c r="EMB76" s="49" t="s">
        <v>94</v>
      </c>
      <c r="EMC76" s="49" t="s">
        <v>93</v>
      </c>
      <c r="EMD76" s="49" t="s">
        <v>94</v>
      </c>
      <c r="EME76" s="49" t="s">
        <v>93</v>
      </c>
      <c r="EMF76" s="49" t="s">
        <v>94</v>
      </c>
      <c r="EMG76" s="49" t="s">
        <v>93</v>
      </c>
      <c r="EMH76" s="49" t="s">
        <v>94</v>
      </c>
      <c r="EMI76" s="49" t="s">
        <v>93</v>
      </c>
      <c r="EMJ76" s="49" t="s">
        <v>94</v>
      </c>
      <c r="EMK76" s="49" t="s">
        <v>93</v>
      </c>
      <c r="EML76" s="49" t="s">
        <v>94</v>
      </c>
      <c r="EMM76" s="49" t="s">
        <v>93</v>
      </c>
      <c r="EMN76" s="49" t="s">
        <v>94</v>
      </c>
      <c r="EMO76" s="49" t="s">
        <v>93</v>
      </c>
      <c r="EMP76" s="49" t="s">
        <v>94</v>
      </c>
      <c r="EMQ76" s="49" t="s">
        <v>93</v>
      </c>
      <c r="EMR76" s="49" t="s">
        <v>94</v>
      </c>
      <c r="EMS76" s="49" t="s">
        <v>93</v>
      </c>
      <c r="EMT76" s="49" t="s">
        <v>94</v>
      </c>
      <c r="EMU76" s="49" t="s">
        <v>93</v>
      </c>
      <c r="EMV76" s="49" t="s">
        <v>94</v>
      </c>
      <c r="EMW76" s="49" t="s">
        <v>93</v>
      </c>
      <c r="EMX76" s="49" t="s">
        <v>94</v>
      </c>
      <c r="EMY76" s="49" t="s">
        <v>93</v>
      </c>
      <c r="EMZ76" s="49" t="s">
        <v>94</v>
      </c>
      <c r="ENA76" s="49" t="s">
        <v>93</v>
      </c>
      <c r="ENB76" s="49" t="s">
        <v>94</v>
      </c>
      <c r="ENC76" s="49" t="s">
        <v>93</v>
      </c>
      <c r="END76" s="49" t="s">
        <v>94</v>
      </c>
      <c r="ENE76" s="49" t="s">
        <v>93</v>
      </c>
      <c r="ENF76" s="49" t="s">
        <v>94</v>
      </c>
      <c r="ENG76" s="49" t="s">
        <v>93</v>
      </c>
      <c r="ENH76" s="49" t="s">
        <v>94</v>
      </c>
      <c r="ENI76" s="49" t="s">
        <v>93</v>
      </c>
      <c r="ENJ76" s="49" t="s">
        <v>94</v>
      </c>
      <c r="ENK76" s="49" t="s">
        <v>93</v>
      </c>
      <c r="ENL76" s="49" t="s">
        <v>94</v>
      </c>
      <c r="ENM76" s="49" t="s">
        <v>93</v>
      </c>
      <c r="ENN76" s="49" t="s">
        <v>94</v>
      </c>
      <c r="ENO76" s="49" t="s">
        <v>93</v>
      </c>
      <c r="ENP76" s="49" t="s">
        <v>94</v>
      </c>
      <c r="ENQ76" s="49" t="s">
        <v>93</v>
      </c>
      <c r="ENR76" s="49" t="s">
        <v>94</v>
      </c>
      <c r="ENS76" s="49" t="s">
        <v>93</v>
      </c>
      <c r="ENT76" s="49" t="s">
        <v>94</v>
      </c>
      <c r="ENU76" s="49" t="s">
        <v>93</v>
      </c>
      <c r="ENV76" s="49" t="s">
        <v>94</v>
      </c>
      <c r="ENW76" s="49" t="s">
        <v>93</v>
      </c>
      <c r="ENX76" s="49" t="s">
        <v>94</v>
      </c>
      <c r="ENY76" s="49" t="s">
        <v>93</v>
      </c>
      <c r="ENZ76" s="49" t="s">
        <v>94</v>
      </c>
      <c r="EOA76" s="49" t="s">
        <v>93</v>
      </c>
      <c r="EOB76" s="49" t="s">
        <v>94</v>
      </c>
      <c r="EOC76" s="49" t="s">
        <v>93</v>
      </c>
      <c r="EOD76" s="49" t="s">
        <v>94</v>
      </c>
      <c r="EOE76" s="49" t="s">
        <v>93</v>
      </c>
      <c r="EOF76" s="49" t="s">
        <v>94</v>
      </c>
      <c r="EOG76" s="49" t="s">
        <v>93</v>
      </c>
      <c r="EOH76" s="49" t="s">
        <v>94</v>
      </c>
      <c r="EOI76" s="49" t="s">
        <v>93</v>
      </c>
      <c r="EOJ76" s="49" t="s">
        <v>94</v>
      </c>
      <c r="EOK76" s="49" t="s">
        <v>93</v>
      </c>
      <c r="EOL76" s="49" t="s">
        <v>94</v>
      </c>
      <c r="EOM76" s="49" t="s">
        <v>93</v>
      </c>
      <c r="EON76" s="49" t="s">
        <v>94</v>
      </c>
      <c r="EOO76" s="49" t="s">
        <v>93</v>
      </c>
      <c r="EOP76" s="49" t="s">
        <v>94</v>
      </c>
      <c r="EOQ76" s="49" t="s">
        <v>93</v>
      </c>
      <c r="EOR76" s="49" t="s">
        <v>94</v>
      </c>
      <c r="EOS76" s="49" t="s">
        <v>93</v>
      </c>
      <c r="EOT76" s="49" t="s">
        <v>94</v>
      </c>
      <c r="EOU76" s="49" t="s">
        <v>93</v>
      </c>
      <c r="EOV76" s="49" t="s">
        <v>94</v>
      </c>
      <c r="EOW76" s="49" t="s">
        <v>93</v>
      </c>
      <c r="EOX76" s="49" t="s">
        <v>94</v>
      </c>
      <c r="EOY76" s="49" t="s">
        <v>93</v>
      </c>
      <c r="EOZ76" s="49" t="s">
        <v>94</v>
      </c>
      <c r="EPA76" s="49" t="s">
        <v>93</v>
      </c>
      <c r="EPB76" s="49" t="s">
        <v>94</v>
      </c>
      <c r="EPC76" s="49" t="s">
        <v>93</v>
      </c>
      <c r="EPD76" s="49" t="s">
        <v>94</v>
      </c>
      <c r="EPE76" s="49" t="s">
        <v>93</v>
      </c>
      <c r="EPF76" s="49" t="s">
        <v>94</v>
      </c>
      <c r="EPG76" s="49" t="s">
        <v>93</v>
      </c>
      <c r="EPH76" s="49" t="s">
        <v>94</v>
      </c>
      <c r="EPI76" s="49" t="s">
        <v>93</v>
      </c>
      <c r="EPJ76" s="49" t="s">
        <v>94</v>
      </c>
      <c r="EPK76" s="49" t="s">
        <v>93</v>
      </c>
      <c r="EPL76" s="49" t="s">
        <v>94</v>
      </c>
      <c r="EPM76" s="49" t="s">
        <v>93</v>
      </c>
      <c r="EPN76" s="49" t="s">
        <v>94</v>
      </c>
      <c r="EPO76" s="49" t="s">
        <v>93</v>
      </c>
      <c r="EPP76" s="49" t="s">
        <v>94</v>
      </c>
      <c r="EPQ76" s="49" t="s">
        <v>93</v>
      </c>
      <c r="EPR76" s="49" t="s">
        <v>94</v>
      </c>
      <c r="EPS76" s="49" t="s">
        <v>93</v>
      </c>
      <c r="EPT76" s="49" t="s">
        <v>94</v>
      </c>
      <c r="EPU76" s="49" t="s">
        <v>93</v>
      </c>
      <c r="EPV76" s="49" t="s">
        <v>94</v>
      </c>
      <c r="EPW76" s="49" t="s">
        <v>93</v>
      </c>
      <c r="EPX76" s="49" t="s">
        <v>94</v>
      </c>
      <c r="EPY76" s="49" t="s">
        <v>93</v>
      </c>
      <c r="EPZ76" s="49" t="s">
        <v>94</v>
      </c>
      <c r="EQA76" s="49" t="s">
        <v>93</v>
      </c>
      <c r="EQB76" s="49" t="s">
        <v>94</v>
      </c>
      <c r="EQC76" s="49" t="s">
        <v>93</v>
      </c>
      <c r="EQD76" s="49" t="s">
        <v>94</v>
      </c>
      <c r="EQE76" s="49" t="s">
        <v>93</v>
      </c>
      <c r="EQF76" s="49" t="s">
        <v>94</v>
      </c>
      <c r="EQG76" s="49" t="s">
        <v>93</v>
      </c>
      <c r="EQH76" s="49" t="s">
        <v>94</v>
      </c>
      <c r="EQI76" s="49" t="s">
        <v>93</v>
      </c>
      <c r="EQJ76" s="49" t="s">
        <v>94</v>
      </c>
      <c r="EQK76" s="49" t="s">
        <v>93</v>
      </c>
      <c r="EQL76" s="49" t="s">
        <v>94</v>
      </c>
      <c r="EQM76" s="49" t="s">
        <v>93</v>
      </c>
      <c r="EQN76" s="49" t="s">
        <v>94</v>
      </c>
      <c r="EQO76" s="49" t="s">
        <v>93</v>
      </c>
      <c r="EQP76" s="49" t="s">
        <v>94</v>
      </c>
      <c r="EQQ76" s="49" t="s">
        <v>93</v>
      </c>
      <c r="EQR76" s="49" t="s">
        <v>94</v>
      </c>
      <c r="EQS76" s="49" t="s">
        <v>93</v>
      </c>
      <c r="EQT76" s="49" t="s">
        <v>94</v>
      </c>
      <c r="EQU76" s="49" t="s">
        <v>93</v>
      </c>
      <c r="EQV76" s="49" t="s">
        <v>94</v>
      </c>
      <c r="EQW76" s="49" t="s">
        <v>93</v>
      </c>
      <c r="EQX76" s="49" t="s">
        <v>94</v>
      </c>
      <c r="EQY76" s="49" t="s">
        <v>93</v>
      </c>
      <c r="EQZ76" s="49" t="s">
        <v>94</v>
      </c>
      <c r="ERA76" s="49" t="s">
        <v>93</v>
      </c>
      <c r="ERB76" s="49" t="s">
        <v>94</v>
      </c>
      <c r="ERC76" s="49" t="s">
        <v>93</v>
      </c>
      <c r="ERD76" s="49" t="s">
        <v>94</v>
      </c>
      <c r="ERE76" s="49" t="s">
        <v>93</v>
      </c>
      <c r="ERF76" s="49" t="s">
        <v>94</v>
      </c>
      <c r="ERG76" s="49" t="s">
        <v>93</v>
      </c>
      <c r="ERH76" s="49" t="s">
        <v>94</v>
      </c>
      <c r="ERI76" s="49" t="s">
        <v>93</v>
      </c>
      <c r="ERJ76" s="49" t="s">
        <v>94</v>
      </c>
      <c r="ERK76" s="49" t="s">
        <v>93</v>
      </c>
      <c r="ERL76" s="49" t="s">
        <v>94</v>
      </c>
      <c r="ERM76" s="49" t="s">
        <v>93</v>
      </c>
      <c r="ERN76" s="49" t="s">
        <v>94</v>
      </c>
      <c r="ERO76" s="49" t="s">
        <v>93</v>
      </c>
      <c r="ERP76" s="49" t="s">
        <v>94</v>
      </c>
      <c r="ERQ76" s="49" t="s">
        <v>93</v>
      </c>
      <c r="ERR76" s="49" t="s">
        <v>94</v>
      </c>
      <c r="ERS76" s="49" t="s">
        <v>93</v>
      </c>
      <c r="ERT76" s="49" t="s">
        <v>94</v>
      </c>
      <c r="ERU76" s="49" t="s">
        <v>93</v>
      </c>
      <c r="ERV76" s="49" t="s">
        <v>94</v>
      </c>
      <c r="ERW76" s="49" t="s">
        <v>93</v>
      </c>
      <c r="ERX76" s="49" t="s">
        <v>94</v>
      </c>
      <c r="ERY76" s="49" t="s">
        <v>93</v>
      </c>
      <c r="ERZ76" s="49" t="s">
        <v>94</v>
      </c>
      <c r="ESA76" s="49" t="s">
        <v>93</v>
      </c>
      <c r="ESB76" s="49" t="s">
        <v>94</v>
      </c>
      <c r="ESC76" s="49" t="s">
        <v>93</v>
      </c>
      <c r="ESD76" s="49" t="s">
        <v>94</v>
      </c>
      <c r="ESE76" s="49" t="s">
        <v>93</v>
      </c>
      <c r="ESF76" s="49" t="s">
        <v>94</v>
      </c>
      <c r="ESG76" s="49" t="s">
        <v>93</v>
      </c>
      <c r="ESH76" s="49" t="s">
        <v>94</v>
      </c>
      <c r="ESI76" s="49" t="s">
        <v>93</v>
      </c>
      <c r="ESJ76" s="49" t="s">
        <v>94</v>
      </c>
      <c r="ESK76" s="49" t="s">
        <v>93</v>
      </c>
      <c r="ESL76" s="49" t="s">
        <v>94</v>
      </c>
      <c r="ESM76" s="49" t="s">
        <v>93</v>
      </c>
      <c r="ESN76" s="49" t="s">
        <v>94</v>
      </c>
      <c r="ESO76" s="49" t="s">
        <v>93</v>
      </c>
      <c r="ESP76" s="49" t="s">
        <v>94</v>
      </c>
      <c r="ESQ76" s="49" t="s">
        <v>93</v>
      </c>
      <c r="ESR76" s="49" t="s">
        <v>94</v>
      </c>
      <c r="ESS76" s="49" t="s">
        <v>93</v>
      </c>
      <c r="EST76" s="49" t="s">
        <v>94</v>
      </c>
      <c r="ESU76" s="49" t="s">
        <v>93</v>
      </c>
      <c r="ESV76" s="49" t="s">
        <v>94</v>
      </c>
      <c r="ESW76" s="49" t="s">
        <v>93</v>
      </c>
      <c r="ESX76" s="49" t="s">
        <v>94</v>
      </c>
      <c r="ESY76" s="49" t="s">
        <v>93</v>
      </c>
      <c r="ESZ76" s="49" t="s">
        <v>94</v>
      </c>
      <c r="ETA76" s="49" t="s">
        <v>93</v>
      </c>
      <c r="ETB76" s="49" t="s">
        <v>94</v>
      </c>
      <c r="ETC76" s="49" t="s">
        <v>93</v>
      </c>
      <c r="ETD76" s="49" t="s">
        <v>94</v>
      </c>
      <c r="ETE76" s="49" t="s">
        <v>93</v>
      </c>
      <c r="ETF76" s="49" t="s">
        <v>94</v>
      </c>
      <c r="ETG76" s="49" t="s">
        <v>93</v>
      </c>
      <c r="ETH76" s="49" t="s">
        <v>94</v>
      </c>
      <c r="ETI76" s="49" t="s">
        <v>93</v>
      </c>
      <c r="ETJ76" s="49" t="s">
        <v>94</v>
      </c>
      <c r="ETK76" s="49" t="s">
        <v>93</v>
      </c>
      <c r="ETL76" s="49" t="s">
        <v>94</v>
      </c>
      <c r="ETM76" s="49" t="s">
        <v>93</v>
      </c>
      <c r="ETN76" s="49" t="s">
        <v>94</v>
      </c>
      <c r="ETO76" s="49" t="s">
        <v>93</v>
      </c>
      <c r="ETP76" s="49" t="s">
        <v>94</v>
      </c>
      <c r="ETQ76" s="49" t="s">
        <v>93</v>
      </c>
      <c r="ETR76" s="49" t="s">
        <v>94</v>
      </c>
      <c r="ETS76" s="49" t="s">
        <v>93</v>
      </c>
      <c r="ETT76" s="49" t="s">
        <v>94</v>
      </c>
      <c r="ETU76" s="49" t="s">
        <v>93</v>
      </c>
      <c r="ETV76" s="49" t="s">
        <v>94</v>
      </c>
      <c r="ETW76" s="49" t="s">
        <v>93</v>
      </c>
      <c r="ETX76" s="49" t="s">
        <v>94</v>
      </c>
      <c r="ETY76" s="49" t="s">
        <v>93</v>
      </c>
      <c r="ETZ76" s="49" t="s">
        <v>94</v>
      </c>
      <c r="EUA76" s="49" t="s">
        <v>93</v>
      </c>
      <c r="EUB76" s="49" t="s">
        <v>94</v>
      </c>
      <c r="EUC76" s="49" t="s">
        <v>93</v>
      </c>
      <c r="EUD76" s="49" t="s">
        <v>94</v>
      </c>
      <c r="EUE76" s="49" t="s">
        <v>93</v>
      </c>
      <c r="EUF76" s="49" t="s">
        <v>94</v>
      </c>
      <c r="EUG76" s="49" t="s">
        <v>93</v>
      </c>
      <c r="EUH76" s="49" t="s">
        <v>94</v>
      </c>
      <c r="EUI76" s="49" t="s">
        <v>93</v>
      </c>
      <c r="EUJ76" s="49" t="s">
        <v>94</v>
      </c>
      <c r="EUK76" s="49" t="s">
        <v>93</v>
      </c>
      <c r="EUL76" s="49" t="s">
        <v>94</v>
      </c>
      <c r="EUM76" s="49" t="s">
        <v>93</v>
      </c>
      <c r="EUN76" s="49" t="s">
        <v>94</v>
      </c>
      <c r="EUO76" s="49" t="s">
        <v>93</v>
      </c>
      <c r="EUP76" s="49" t="s">
        <v>94</v>
      </c>
      <c r="EUQ76" s="49" t="s">
        <v>93</v>
      </c>
      <c r="EUR76" s="49" t="s">
        <v>94</v>
      </c>
      <c r="EUS76" s="49" t="s">
        <v>93</v>
      </c>
      <c r="EUT76" s="49" t="s">
        <v>94</v>
      </c>
      <c r="EUU76" s="49" t="s">
        <v>93</v>
      </c>
      <c r="EUV76" s="49" t="s">
        <v>94</v>
      </c>
      <c r="EUW76" s="49" t="s">
        <v>93</v>
      </c>
      <c r="EUX76" s="49" t="s">
        <v>94</v>
      </c>
      <c r="EUY76" s="49" t="s">
        <v>93</v>
      </c>
      <c r="EUZ76" s="49" t="s">
        <v>94</v>
      </c>
      <c r="EVA76" s="49" t="s">
        <v>93</v>
      </c>
      <c r="EVB76" s="49" t="s">
        <v>94</v>
      </c>
      <c r="EVC76" s="49" t="s">
        <v>93</v>
      </c>
      <c r="EVD76" s="49" t="s">
        <v>94</v>
      </c>
      <c r="EVE76" s="49" t="s">
        <v>93</v>
      </c>
      <c r="EVF76" s="49" t="s">
        <v>94</v>
      </c>
      <c r="EVG76" s="49" t="s">
        <v>93</v>
      </c>
      <c r="EVH76" s="49" t="s">
        <v>94</v>
      </c>
      <c r="EVI76" s="49" t="s">
        <v>93</v>
      </c>
      <c r="EVJ76" s="49" t="s">
        <v>94</v>
      </c>
      <c r="EVK76" s="49" t="s">
        <v>93</v>
      </c>
      <c r="EVL76" s="49" t="s">
        <v>94</v>
      </c>
      <c r="EVM76" s="49" t="s">
        <v>93</v>
      </c>
      <c r="EVN76" s="49" t="s">
        <v>94</v>
      </c>
      <c r="EVO76" s="49" t="s">
        <v>93</v>
      </c>
      <c r="EVP76" s="49" t="s">
        <v>94</v>
      </c>
      <c r="EVQ76" s="49" t="s">
        <v>93</v>
      </c>
      <c r="EVR76" s="49" t="s">
        <v>94</v>
      </c>
      <c r="EVS76" s="49" t="s">
        <v>93</v>
      </c>
      <c r="EVT76" s="49" t="s">
        <v>94</v>
      </c>
      <c r="EVU76" s="49" t="s">
        <v>93</v>
      </c>
      <c r="EVV76" s="49" t="s">
        <v>94</v>
      </c>
      <c r="EVW76" s="49" t="s">
        <v>93</v>
      </c>
      <c r="EVX76" s="49" t="s">
        <v>94</v>
      </c>
      <c r="EVY76" s="49" t="s">
        <v>93</v>
      </c>
      <c r="EVZ76" s="49" t="s">
        <v>94</v>
      </c>
      <c r="EWA76" s="49" t="s">
        <v>93</v>
      </c>
      <c r="EWB76" s="49" t="s">
        <v>94</v>
      </c>
      <c r="EWC76" s="49" t="s">
        <v>93</v>
      </c>
      <c r="EWD76" s="49" t="s">
        <v>94</v>
      </c>
      <c r="EWE76" s="49" t="s">
        <v>93</v>
      </c>
      <c r="EWF76" s="49" t="s">
        <v>94</v>
      </c>
      <c r="EWG76" s="49" t="s">
        <v>93</v>
      </c>
      <c r="EWH76" s="49" t="s">
        <v>94</v>
      </c>
      <c r="EWI76" s="49" t="s">
        <v>93</v>
      </c>
      <c r="EWJ76" s="49" t="s">
        <v>94</v>
      </c>
      <c r="EWK76" s="49" t="s">
        <v>93</v>
      </c>
      <c r="EWL76" s="49" t="s">
        <v>94</v>
      </c>
      <c r="EWM76" s="49" t="s">
        <v>93</v>
      </c>
      <c r="EWN76" s="49" t="s">
        <v>94</v>
      </c>
      <c r="EWO76" s="49" t="s">
        <v>93</v>
      </c>
      <c r="EWP76" s="49" t="s">
        <v>94</v>
      </c>
      <c r="EWQ76" s="49" t="s">
        <v>93</v>
      </c>
      <c r="EWR76" s="49" t="s">
        <v>94</v>
      </c>
      <c r="EWS76" s="49" t="s">
        <v>93</v>
      </c>
      <c r="EWT76" s="49" t="s">
        <v>94</v>
      </c>
      <c r="EWU76" s="49" t="s">
        <v>93</v>
      </c>
      <c r="EWV76" s="49" t="s">
        <v>94</v>
      </c>
      <c r="EWW76" s="49" t="s">
        <v>93</v>
      </c>
      <c r="EWX76" s="49" t="s">
        <v>94</v>
      </c>
      <c r="EWY76" s="49" t="s">
        <v>93</v>
      </c>
      <c r="EWZ76" s="49" t="s">
        <v>94</v>
      </c>
      <c r="EXA76" s="49" t="s">
        <v>93</v>
      </c>
      <c r="EXB76" s="49" t="s">
        <v>94</v>
      </c>
      <c r="EXC76" s="49" t="s">
        <v>93</v>
      </c>
      <c r="EXD76" s="49" t="s">
        <v>94</v>
      </c>
      <c r="EXE76" s="49" t="s">
        <v>93</v>
      </c>
      <c r="EXF76" s="49" t="s">
        <v>94</v>
      </c>
      <c r="EXG76" s="49" t="s">
        <v>93</v>
      </c>
      <c r="EXH76" s="49" t="s">
        <v>94</v>
      </c>
      <c r="EXI76" s="49" t="s">
        <v>93</v>
      </c>
      <c r="EXJ76" s="49" t="s">
        <v>94</v>
      </c>
      <c r="EXK76" s="49" t="s">
        <v>93</v>
      </c>
      <c r="EXL76" s="49" t="s">
        <v>94</v>
      </c>
      <c r="EXM76" s="49" t="s">
        <v>93</v>
      </c>
      <c r="EXN76" s="49" t="s">
        <v>94</v>
      </c>
      <c r="EXO76" s="49" t="s">
        <v>93</v>
      </c>
      <c r="EXP76" s="49" t="s">
        <v>94</v>
      </c>
      <c r="EXQ76" s="49" t="s">
        <v>93</v>
      </c>
      <c r="EXR76" s="49" t="s">
        <v>94</v>
      </c>
      <c r="EXS76" s="49" t="s">
        <v>93</v>
      </c>
      <c r="EXT76" s="49" t="s">
        <v>94</v>
      </c>
      <c r="EXU76" s="49" t="s">
        <v>93</v>
      </c>
      <c r="EXV76" s="49" t="s">
        <v>94</v>
      </c>
      <c r="EXW76" s="49" t="s">
        <v>93</v>
      </c>
      <c r="EXX76" s="49" t="s">
        <v>94</v>
      </c>
      <c r="EXY76" s="49" t="s">
        <v>93</v>
      </c>
      <c r="EXZ76" s="49" t="s">
        <v>94</v>
      </c>
      <c r="EYA76" s="49" t="s">
        <v>93</v>
      </c>
      <c r="EYB76" s="49" t="s">
        <v>94</v>
      </c>
      <c r="EYC76" s="49" t="s">
        <v>93</v>
      </c>
      <c r="EYD76" s="49" t="s">
        <v>94</v>
      </c>
      <c r="EYE76" s="49" t="s">
        <v>93</v>
      </c>
      <c r="EYF76" s="49" t="s">
        <v>94</v>
      </c>
      <c r="EYG76" s="49" t="s">
        <v>93</v>
      </c>
      <c r="EYH76" s="49" t="s">
        <v>94</v>
      </c>
      <c r="EYI76" s="49" t="s">
        <v>93</v>
      </c>
      <c r="EYJ76" s="49" t="s">
        <v>94</v>
      </c>
      <c r="EYK76" s="49" t="s">
        <v>93</v>
      </c>
      <c r="EYL76" s="49" t="s">
        <v>94</v>
      </c>
      <c r="EYM76" s="49" t="s">
        <v>93</v>
      </c>
      <c r="EYN76" s="49" t="s">
        <v>94</v>
      </c>
      <c r="EYO76" s="49" t="s">
        <v>93</v>
      </c>
      <c r="EYP76" s="49" t="s">
        <v>94</v>
      </c>
      <c r="EYQ76" s="49" t="s">
        <v>93</v>
      </c>
      <c r="EYR76" s="49" t="s">
        <v>94</v>
      </c>
      <c r="EYS76" s="49" t="s">
        <v>93</v>
      </c>
      <c r="EYT76" s="49" t="s">
        <v>94</v>
      </c>
      <c r="EYU76" s="49" t="s">
        <v>93</v>
      </c>
      <c r="EYV76" s="49" t="s">
        <v>94</v>
      </c>
      <c r="EYW76" s="49" t="s">
        <v>93</v>
      </c>
      <c r="EYX76" s="49" t="s">
        <v>94</v>
      </c>
      <c r="EYY76" s="49" t="s">
        <v>93</v>
      </c>
      <c r="EYZ76" s="49" t="s">
        <v>94</v>
      </c>
      <c r="EZA76" s="49" t="s">
        <v>93</v>
      </c>
      <c r="EZB76" s="49" t="s">
        <v>94</v>
      </c>
      <c r="EZC76" s="49" t="s">
        <v>93</v>
      </c>
      <c r="EZD76" s="49" t="s">
        <v>94</v>
      </c>
      <c r="EZE76" s="49" t="s">
        <v>93</v>
      </c>
      <c r="EZF76" s="49" t="s">
        <v>94</v>
      </c>
      <c r="EZG76" s="49" t="s">
        <v>93</v>
      </c>
      <c r="EZH76" s="49" t="s">
        <v>94</v>
      </c>
      <c r="EZI76" s="49" t="s">
        <v>93</v>
      </c>
      <c r="EZJ76" s="49" t="s">
        <v>94</v>
      </c>
      <c r="EZK76" s="49" t="s">
        <v>93</v>
      </c>
      <c r="EZL76" s="49" t="s">
        <v>94</v>
      </c>
      <c r="EZM76" s="49" t="s">
        <v>93</v>
      </c>
      <c r="EZN76" s="49" t="s">
        <v>94</v>
      </c>
      <c r="EZO76" s="49" t="s">
        <v>93</v>
      </c>
      <c r="EZP76" s="49" t="s">
        <v>94</v>
      </c>
      <c r="EZQ76" s="49" t="s">
        <v>93</v>
      </c>
      <c r="EZR76" s="49" t="s">
        <v>94</v>
      </c>
      <c r="EZS76" s="49" t="s">
        <v>93</v>
      </c>
      <c r="EZT76" s="49" t="s">
        <v>94</v>
      </c>
      <c r="EZU76" s="49" t="s">
        <v>93</v>
      </c>
      <c r="EZV76" s="49" t="s">
        <v>94</v>
      </c>
      <c r="EZW76" s="49" t="s">
        <v>93</v>
      </c>
      <c r="EZX76" s="49" t="s">
        <v>94</v>
      </c>
      <c r="EZY76" s="49" t="s">
        <v>93</v>
      </c>
      <c r="EZZ76" s="49" t="s">
        <v>94</v>
      </c>
      <c r="FAA76" s="49" t="s">
        <v>93</v>
      </c>
      <c r="FAB76" s="49" t="s">
        <v>94</v>
      </c>
      <c r="FAC76" s="49" t="s">
        <v>93</v>
      </c>
      <c r="FAD76" s="49" t="s">
        <v>94</v>
      </c>
      <c r="FAE76" s="49" t="s">
        <v>93</v>
      </c>
      <c r="FAF76" s="49" t="s">
        <v>94</v>
      </c>
      <c r="FAG76" s="49" t="s">
        <v>93</v>
      </c>
      <c r="FAH76" s="49" t="s">
        <v>94</v>
      </c>
      <c r="FAI76" s="49" t="s">
        <v>93</v>
      </c>
      <c r="FAJ76" s="49" t="s">
        <v>94</v>
      </c>
      <c r="FAK76" s="49" t="s">
        <v>93</v>
      </c>
      <c r="FAL76" s="49" t="s">
        <v>94</v>
      </c>
      <c r="FAM76" s="49" t="s">
        <v>93</v>
      </c>
      <c r="FAN76" s="49" t="s">
        <v>94</v>
      </c>
      <c r="FAO76" s="49" t="s">
        <v>93</v>
      </c>
      <c r="FAP76" s="49" t="s">
        <v>94</v>
      </c>
      <c r="FAQ76" s="49" t="s">
        <v>93</v>
      </c>
      <c r="FAR76" s="49" t="s">
        <v>94</v>
      </c>
      <c r="FAS76" s="49" t="s">
        <v>93</v>
      </c>
      <c r="FAT76" s="49" t="s">
        <v>94</v>
      </c>
      <c r="FAU76" s="49" t="s">
        <v>93</v>
      </c>
      <c r="FAV76" s="49" t="s">
        <v>94</v>
      </c>
      <c r="FAW76" s="49" t="s">
        <v>93</v>
      </c>
      <c r="FAX76" s="49" t="s">
        <v>94</v>
      </c>
      <c r="FAY76" s="49" t="s">
        <v>93</v>
      </c>
      <c r="FAZ76" s="49" t="s">
        <v>94</v>
      </c>
      <c r="FBA76" s="49" t="s">
        <v>93</v>
      </c>
      <c r="FBB76" s="49" t="s">
        <v>94</v>
      </c>
      <c r="FBC76" s="49" t="s">
        <v>93</v>
      </c>
      <c r="FBD76" s="49" t="s">
        <v>94</v>
      </c>
      <c r="FBE76" s="49" t="s">
        <v>93</v>
      </c>
      <c r="FBF76" s="49" t="s">
        <v>94</v>
      </c>
      <c r="FBG76" s="49" t="s">
        <v>93</v>
      </c>
      <c r="FBH76" s="49" t="s">
        <v>94</v>
      </c>
      <c r="FBI76" s="49" t="s">
        <v>93</v>
      </c>
      <c r="FBJ76" s="49" t="s">
        <v>94</v>
      </c>
      <c r="FBK76" s="49" t="s">
        <v>93</v>
      </c>
      <c r="FBL76" s="49" t="s">
        <v>94</v>
      </c>
      <c r="FBM76" s="49" t="s">
        <v>93</v>
      </c>
      <c r="FBN76" s="49" t="s">
        <v>94</v>
      </c>
      <c r="FBO76" s="49" t="s">
        <v>93</v>
      </c>
      <c r="FBP76" s="49" t="s">
        <v>94</v>
      </c>
      <c r="FBQ76" s="49" t="s">
        <v>93</v>
      </c>
      <c r="FBR76" s="49" t="s">
        <v>94</v>
      </c>
      <c r="FBS76" s="49" t="s">
        <v>93</v>
      </c>
      <c r="FBT76" s="49" t="s">
        <v>94</v>
      </c>
      <c r="FBU76" s="49" t="s">
        <v>93</v>
      </c>
      <c r="FBV76" s="49" t="s">
        <v>94</v>
      </c>
      <c r="FBW76" s="49" t="s">
        <v>93</v>
      </c>
      <c r="FBX76" s="49" t="s">
        <v>94</v>
      </c>
      <c r="FBY76" s="49" t="s">
        <v>93</v>
      </c>
      <c r="FBZ76" s="49" t="s">
        <v>94</v>
      </c>
      <c r="FCA76" s="49" t="s">
        <v>93</v>
      </c>
      <c r="FCB76" s="49" t="s">
        <v>94</v>
      </c>
      <c r="FCC76" s="49" t="s">
        <v>93</v>
      </c>
      <c r="FCD76" s="49" t="s">
        <v>94</v>
      </c>
      <c r="FCE76" s="49" t="s">
        <v>93</v>
      </c>
      <c r="FCF76" s="49" t="s">
        <v>94</v>
      </c>
      <c r="FCG76" s="49" t="s">
        <v>93</v>
      </c>
      <c r="FCH76" s="49" t="s">
        <v>94</v>
      </c>
      <c r="FCI76" s="49" t="s">
        <v>93</v>
      </c>
      <c r="FCJ76" s="49" t="s">
        <v>94</v>
      </c>
      <c r="FCK76" s="49" t="s">
        <v>93</v>
      </c>
      <c r="FCL76" s="49" t="s">
        <v>94</v>
      </c>
      <c r="FCM76" s="49" t="s">
        <v>93</v>
      </c>
      <c r="FCN76" s="49" t="s">
        <v>94</v>
      </c>
      <c r="FCO76" s="49" t="s">
        <v>93</v>
      </c>
      <c r="FCP76" s="49" t="s">
        <v>94</v>
      </c>
      <c r="FCQ76" s="49" t="s">
        <v>93</v>
      </c>
      <c r="FCR76" s="49" t="s">
        <v>94</v>
      </c>
      <c r="FCS76" s="49" t="s">
        <v>93</v>
      </c>
      <c r="FCT76" s="49" t="s">
        <v>94</v>
      </c>
      <c r="FCU76" s="49" t="s">
        <v>93</v>
      </c>
      <c r="FCV76" s="49" t="s">
        <v>94</v>
      </c>
      <c r="FCW76" s="49" t="s">
        <v>93</v>
      </c>
      <c r="FCX76" s="49" t="s">
        <v>94</v>
      </c>
      <c r="FCY76" s="49" t="s">
        <v>93</v>
      </c>
      <c r="FCZ76" s="49" t="s">
        <v>94</v>
      </c>
      <c r="FDA76" s="49" t="s">
        <v>93</v>
      </c>
      <c r="FDB76" s="49" t="s">
        <v>94</v>
      </c>
      <c r="FDC76" s="49" t="s">
        <v>93</v>
      </c>
      <c r="FDD76" s="49" t="s">
        <v>94</v>
      </c>
      <c r="FDE76" s="49" t="s">
        <v>93</v>
      </c>
      <c r="FDF76" s="49" t="s">
        <v>94</v>
      </c>
      <c r="FDG76" s="49" t="s">
        <v>93</v>
      </c>
      <c r="FDH76" s="49" t="s">
        <v>94</v>
      </c>
      <c r="FDI76" s="49" t="s">
        <v>93</v>
      </c>
      <c r="FDJ76" s="49" t="s">
        <v>94</v>
      </c>
      <c r="FDK76" s="49" t="s">
        <v>93</v>
      </c>
      <c r="FDL76" s="49" t="s">
        <v>94</v>
      </c>
      <c r="FDM76" s="49" t="s">
        <v>93</v>
      </c>
      <c r="FDN76" s="49" t="s">
        <v>94</v>
      </c>
      <c r="FDO76" s="49" t="s">
        <v>93</v>
      </c>
      <c r="FDP76" s="49" t="s">
        <v>94</v>
      </c>
      <c r="FDQ76" s="49" t="s">
        <v>93</v>
      </c>
      <c r="FDR76" s="49" t="s">
        <v>94</v>
      </c>
      <c r="FDS76" s="49" t="s">
        <v>93</v>
      </c>
      <c r="FDT76" s="49" t="s">
        <v>94</v>
      </c>
      <c r="FDU76" s="49" t="s">
        <v>93</v>
      </c>
      <c r="FDV76" s="49" t="s">
        <v>94</v>
      </c>
      <c r="FDW76" s="49" t="s">
        <v>93</v>
      </c>
      <c r="FDX76" s="49" t="s">
        <v>94</v>
      </c>
      <c r="FDY76" s="49" t="s">
        <v>93</v>
      </c>
      <c r="FDZ76" s="49" t="s">
        <v>94</v>
      </c>
      <c r="FEA76" s="49" t="s">
        <v>93</v>
      </c>
      <c r="FEB76" s="49" t="s">
        <v>94</v>
      </c>
      <c r="FEC76" s="49" t="s">
        <v>93</v>
      </c>
      <c r="FED76" s="49" t="s">
        <v>94</v>
      </c>
      <c r="FEE76" s="49" t="s">
        <v>93</v>
      </c>
      <c r="FEF76" s="49" t="s">
        <v>94</v>
      </c>
      <c r="FEG76" s="49" t="s">
        <v>93</v>
      </c>
      <c r="FEH76" s="49" t="s">
        <v>94</v>
      </c>
      <c r="FEI76" s="49" t="s">
        <v>93</v>
      </c>
      <c r="FEJ76" s="49" t="s">
        <v>94</v>
      </c>
      <c r="FEK76" s="49" t="s">
        <v>93</v>
      </c>
      <c r="FEL76" s="49" t="s">
        <v>94</v>
      </c>
      <c r="FEM76" s="49" t="s">
        <v>93</v>
      </c>
      <c r="FEN76" s="49" t="s">
        <v>94</v>
      </c>
      <c r="FEO76" s="49" t="s">
        <v>93</v>
      </c>
      <c r="FEP76" s="49" t="s">
        <v>94</v>
      </c>
      <c r="FEQ76" s="49" t="s">
        <v>93</v>
      </c>
      <c r="FER76" s="49" t="s">
        <v>94</v>
      </c>
      <c r="FES76" s="49" t="s">
        <v>93</v>
      </c>
      <c r="FET76" s="49" t="s">
        <v>94</v>
      </c>
      <c r="FEU76" s="49" t="s">
        <v>93</v>
      </c>
      <c r="FEV76" s="49" t="s">
        <v>94</v>
      </c>
      <c r="FEW76" s="49" t="s">
        <v>93</v>
      </c>
      <c r="FEX76" s="49" t="s">
        <v>94</v>
      </c>
      <c r="FEY76" s="49" t="s">
        <v>93</v>
      </c>
      <c r="FEZ76" s="49" t="s">
        <v>94</v>
      </c>
      <c r="FFA76" s="49" t="s">
        <v>93</v>
      </c>
      <c r="FFB76" s="49" t="s">
        <v>94</v>
      </c>
      <c r="FFC76" s="49" t="s">
        <v>93</v>
      </c>
      <c r="FFD76" s="49" t="s">
        <v>94</v>
      </c>
      <c r="FFE76" s="49" t="s">
        <v>93</v>
      </c>
      <c r="FFF76" s="49" t="s">
        <v>94</v>
      </c>
      <c r="FFG76" s="49" t="s">
        <v>93</v>
      </c>
      <c r="FFH76" s="49" t="s">
        <v>94</v>
      </c>
      <c r="FFI76" s="49" t="s">
        <v>93</v>
      </c>
      <c r="FFJ76" s="49" t="s">
        <v>94</v>
      </c>
      <c r="FFK76" s="49" t="s">
        <v>93</v>
      </c>
      <c r="FFL76" s="49" t="s">
        <v>94</v>
      </c>
      <c r="FFM76" s="49" t="s">
        <v>93</v>
      </c>
      <c r="FFN76" s="49" t="s">
        <v>94</v>
      </c>
      <c r="FFO76" s="49" t="s">
        <v>93</v>
      </c>
      <c r="FFP76" s="49" t="s">
        <v>94</v>
      </c>
      <c r="FFQ76" s="49" t="s">
        <v>93</v>
      </c>
      <c r="FFR76" s="49" t="s">
        <v>94</v>
      </c>
      <c r="FFS76" s="49" t="s">
        <v>93</v>
      </c>
      <c r="FFT76" s="49" t="s">
        <v>94</v>
      </c>
      <c r="FFU76" s="49" t="s">
        <v>93</v>
      </c>
      <c r="FFV76" s="49" t="s">
        <v>94</v>
      </c>
      <c r="FFW76" s="49" t="s">
        <v>93</v>
      </c>
      <c r="FFX76" s="49" t="s">
        <v>94</v>
      </c>
      <c r="FFY76" s="49" t="s">
        <v>93</v>
      </c>
      <c r="FFZ76" s="49" t="s">
        <v>94</v>
      </c>
      <c r="FGA76" s="49" t="s">
        <v>93</v>
      </c>
      <c r="FGB76" s="49" t="s">
        <v>94</v>
      </c>
      <c r="FGC76" s="49" t="s">
        <v>93</v>
      </c>
      <c r="FGD76" s="49" t="s">
        <v>94</v>
      </c>
      <c r="FGE76" s="49" t="s">
        <v>93</v>
      </c>
      <c r="FGF76" s="49" t="s">
        <v>94</v>
      </c>
      <c r="FGG76" s="49" t="s">
        <v>93</v>
      </c>
      <c r="FGH76" s="49" t="s">
        <v>94</v>
      </c>
      <c r="FGI76" s="49" t="s">
        <v>93</v>
      </c>
      <c r="FGJ76" s="49" t="s">
        <v>94</v>
      </c>
      <c r="FGK76" s="49" t="s">
        <v>93</v>
      </c>
      <c r="FGL76" s="49" t="s">
        <v>94</v>
      </c>
      <c r="FGM76" s="49" t="s">
        <v>93</v>
      </c>
      <c r="FGN76" s="49" t="s">
        <v>94</v>
      </c>
      <c r="FGO76" s="49" t="s">
        <v>93</v>
      </c>
      <c r="FGP76" s="49" t="s">
        <v>94</v>
      </c>
      <c r="FGQ76" s="49" t="s">
        <v>93</v>
      </c>
      <c r="FGR76" s="49" t="s">
        <v>94</v>
      </c>
      <c r="FGS76" s="49" t="s">
        <v>93</v>
      </c>
      <c r="FGT76" s="49" t="s">
        <v>94</v>
      </c>
      <c r="FGU76" s="49" t="s">
        <v>93</v>
      </c>
      <c r="FGV76" s="49" t="s">
        <v>94</v>
      </c>
      <c r="FGW76" s="49" t="s">
        <v>93</v>
      </c>
      <c r="FGX76" s="49" t="s">
        <v>94</v>
      </c>
      <c r="FGY76" s="49" t="s">
        <v>93</v>
      </c>
      <c r="FGZ76" s="49" t="s">
        <v>94</v>
      </c>
      <c r="FHA76" s="49" t="s">
        <v>93</v>
      </c>
      <c r="FHB76" s="49" t="s">
        <v>94</v>
      </c>
      <c r="FHC76" s="49" t="s">
        <v>93</v>
      </c>
      <c r="FHD76" s="49" t="s">
        <v>94</v>
      </c>
      <c r="FHE76" s="49" t="s">
        <v>93</v>
      </c>
      <c r="FHF76" s="49" t="s">
        <v>94</v>
      </c>
      <c r="FHG76" s="49" t="s">
        <v>93</v>
      </c>
      <c r="FHH76" s="49" t="s">
        <v>94</v>
      </c>
      <c r="FHI76" s="49" t="s">
        <v>93</v>
      </c>
      <c r="FHJ76" s="49" t="s">
        <v>94</v>
      </c>
      <c r="FHK76" s="49" t="s">
        <v>93</v>
      </c>
      <c r="FHL76" s="49" t="s">
        <v>94</v>
      </c>
      <c r="FHM76" s="49" t="s">
        <v>93</v>
      </c>
      <c r="FHN76" s="49" t="s">
        <v>94</v>
      </c>
      <c r="FHO76" s="49" t="s">
        <v>93</v>
      </c>
      <c r="FHP76" s="49" t="s">
        <v>94</v>
      </c>
      <c r="FHQ76" s="49" t="s">
        <v>93</v>
      </c>
      <c r="FHR76" s="49" t="s">
        <v>94</v>
      </c>
      <c r="FHS76" s="49" t="s">
        <v>93</v>
      </c>
      <c r="FHT76" s="49" t="s">
        <v>94</v>
      </c>
      <c r="FHU76" s="49" t="s">
        <v>93</v>
      </c>
      <c r="FHV76" s="49" t="s">
        <v>94</v>
      </c>
      <c r="FHW76" s="49" t="s">
        <v>93</v>
      </c>
      <c r="FHX76" s="49" t="s">
        <v>94</v>
      </c>
      <c r="FHY76" s="49" t="s">
        <v>93</v>
      </c>
      <c r="FHZ76" s="49" t="s">
        <v>94</v>
      </c>
      <c r="FIA76" s="49" t="s">
        <v>93</v>
      </c>
      <c r="FIB76" s="49" t="s">
        <v>94</v>
      </c>
      <c r="FIC76" s="49" t="s">
        <v>93</v>
      </c>
      <c r="FID76" s="49" t="s">
        <v>94</v>
      </c>
      <c r="FIE76" s="49" t="s">
        <v>93</v>
      </c>
      <c r="FIF76" s="49" t="s">
        <v>94</v>
      </c>
      <c r="FIG76" s="49" t="s">
        <v>93</v>
      </c>
      <c r="FIH76" s="49" t="s">
        <v>94</v>
      </c>
      <c r="FII76" s="49" t="s">
        <v>93</v>
      </c>
      <c r="FIJ76" s="49" t="s">
        <v>94</v>
      </c>
      <c r="FIK76" s="49" t="s">
        <v>93</v>
      </c>
      <c r="FIL76" s="49" t="s">
        <v>94</v>
      </c>
      <c r="FIM76" s="49" t="s">
        <v>93</v>
      </c>
      <c r="FIN76" s="49" t="s">
        <v>94</v>
      </c>
      <c r="FIO76" s="49" t="s">
        <v>93</v>
      </c>
      <c r="FIP76" s="49" t="s">
        <v>94</v>
      </c>
      <c r="FIQ76" s="49" t="s">
        <v>93</v>
      </c>
      <c r="FIR76" s="49" t="s">
        <v>94</v>
      </c>
      <c r="FIS76" s="49" t="s">
        <v>93</v>
      </c>
      <c r="FIT76" s="49" t="s">
        <v>94</v>
      </c>
      <c r="FIU76" s="49" t="s">
        <v>93</v>
      </c>
      <c r="FIV76" s="49" t="s">
        <v>94</v>
      </c>
      <c r="FIW76" s="49" t="s">
        <v>93</v>
      </c>
      <c r="FIX76" s="49" t="s">
        <v>94</v>
      </c>
      <c r="FIY76" s="49" t="s">
        <v>93</v>
      </c>
      <c r="FIZ76" s="49" t="s">
        <v>94</v>
      </c>
      <c r="FJA76" s="49" t="s">
        <v>93</v>
      </c>
      <c r="FJB76" s="49" t="s">
        <v>94</v>
      </c>
      <c r="FJC76" s="49" t="s">
        <v>93</v>
      </c>
      <c r="FJD76" s="49" t="s">
        <v>94</v>
      </c>
      <c r="FJE76" s="49" t="s">
        <v>93</v>
      </c>
      <c r="FJF76" s="49" t="s">
        <v>94</v>
      </c>
      <c r="FJG76" s="49" t="s">
        <v>93</v>
      </c>
      <c r="FJH76" s="49" t="s">
        <v>94</v>
      </c>
      <c r="FJI76" s="49" t="s">
        <v>93</v>
      </c>
      <c r="FJJ76" s="49" t="s">
        <v>94</v>
      </c>
      <c r="FJK76" s="49" t="s">
        <v>93</v>
      </c>
      <c r="FJL76" s="49" t="s">
        <v>94</v>
      </c>
      <c r="FJM76" s="49" t="s">
        <v>93</v>
      </c>
      <c r="FJN76" s="49" t="s">
        <v>94</v>
      </c>
      <c r="FJO76" s="49" t="s">
        <v>93</v>
      </c>
      <c r="FJP76" s="49" t="s">
        <v>94</v>
      </c>
      <c r="FJQ76" s="49" t="s">
        <v>93</v>
      </c>
      <c r="FJR76" s="49" t="s">
        <v>94</v>
      </c>
      <c r="FJS76" s="49" t="s">
        <v>93</v>
      </c>
      <c r="FJT76" s="49" t="s">
        <v>94</v>
      </c>
      <c r="FJU76" s="49" t="s">
        <v>93</v>
      </c>
      <c r="FJV76" s="49" t="s">
        <v>94</v>
      </c>
      <c r="FJW76" s="49" t="s">
        <v>93</v>
      </c>
      <c r="FJX76" s="49" t="s">
        <v>94</v>
      </c>
      <c r="FJY76" s="49" t="s">
        <v>93</v>
      </c>
      <c r="FJZ76" s="49" t="s">
        <v>94</v>
      </c>
      <c r="FKA76" s="49" t="s">
        <v>93</v>
      </c>
      <c r="FKB76" s="49" t="s">
        <v>94</v>
      </c>
      <c r="FKC76" s="49" t="s">
        <v>93</v>
      </c>
      <c r="FKD76" s="49" t="s">
        <v>94</v>
      </c>
      <c r="FKE76" s="49" t="s">
        <v>93</v>
      </c>
      <c r="FKF76" s="49" t="s">
        <v>94</v>
      </c>
      <c r="FKG76" s="49" t="s">
        <v>93</v>
      </c>
      <c r="FKH76" s="49" t="s">
        <v>94</v>
      </c>
      <c r="FKI76" s="49" t="s">
        <v>93</v>
      </c>
      <c r="FKJ76" s="49" t="s">
        <v>94</v>
      </c>
      <c r="FKK76" s="49" t="s">
        <v>93</v>
      </c>
      <c r="FKL76" s="49" t="s">
        <v>94</v>
      </c>
      <c r="FKM76" s="49" t="s">
        <v>93</v>
      </c>
      <c r="FKN76" s="49" t="s">
        <v>94</v>
      </c>
      <c r="FKO76" s="49" t="s">
        <v>93</v>
      </c>
      <c r="FKP76" s="49" t="s">
        <v>94</v>
      </c>
      <c r="FKQ76" s="49" t="s">
        <v>93</v>
      </c>
      <c r="FKR76" s="49" t="s">
        <v>94</v>
      </c>
      <c r="FKS76" s="49" t="s">
        <v>93</v>
      </c>
      <c r="FKT76" s="49" t="s">
        <v>94</v>
      </c>
      <c r="FKU76" s="49" t="s">
        <v>93</v>
      </c>
      <c r="FKV76" s="49" t="s">
        <v>94</v>
      </c>
      <c r="FKW76" s="49" t="s">
        <v>93</v>
      </c>
      <c r="FKX76" s="49" t="s">
        <v>94</v>
      </c>
      <c r="FKY76" s="49" t="s">
        <v>93</v>
      </c>
      <c r="FKZ76" s="49" t="s">
        <v>94</v>
      </c>
      <c r="FLA76" s="49" t="s">
        <v>93</v>
      </c>
      <c r="FLB76" s="49" t="s">
        <v>94</v>
      </c>
      <c r="FLC76" s="49" t="s">
        <v>93</v>
      </c>
      <c r="FLD76" s="49" t="s">
        <v>94</v>
      </c>
      <c r="FLE76" s="49" t="s">
        <v>93</v>
      </c>
      <c r="FLF76" s="49" t="s">
        <v>94</v>
      </c>
      <c r="FLG76" s="49" t="s">
        <v>93</v>
      </c>
      <c r="FLH76" s="49" t="s">
        <v>94</v>
      </c>
      <c r="FLI76" s="49" t="s">
        <v>93</v>
      </c>
      <c r="FLJ76" s="49" t="s">
        <v>94</v>
      </c>
      <c r="FLK76" s="49" t="s">
        <v>93</v>
      </c>
      <c r="FLL76" s="49" t="s">
        <v>94</v>
      </c>
      <c r="FLM76" s="49" t="s">
        <v>93</v>
      </c>
      <c r="FLN76" s="49" t="s">
        <v>94</v>
      </c>
      <c r="FLO76" s="49" t="s">
        <v>93</v>
      </c>
      <c r="FLP76" s="49" t="s">
        <v>94</v>
      </c>
      <c r="FLQ76" s="49" t="s">
        <v>93</v>
      </c>
      <c r="FLR76" s="49" t="s">
        <v>94</v>
      </c>
      <c r="FLS76" s="49" t="s">
        <v>93</v>
      </c>
      <c r="FLT76" s="49" t="s">
        <v>94</v>
      </c>
      <c r="FLU76" s="49" t="s">
        <v>93</v>
      </c>
      <c r="FLV76" s="49" t="s">
        <v>94</v>
      </c>
      <c r="FLW76" s="49" t="s">
        <v>93</v>
      </c>
      <c r="FLX76" s="49" t="s">
        <v>94</v>
      </c>
      <c r="FLY76" s="49" t="s">
        <v>93</v>
      </c>
      <c r="FLZ76" s="49" t="s">
        <v>94</v>
      </c>
      <c r="FMA76" s="49" t="s">
        <v>93</v>
      </c>
      <c r="FMB76" s="49" t="s">
        <v>94</v>
      </c>
      <c r="FMC76" s="49" t="s">
        <v>93</v>
      </c>
      <c r="FMD76" s="49" t="s">
        <v>94</v>
      </c>
      <c r="FME76" s="49" t="s">
        <v>93</v>
      </c>
      <c r="FMF76" s="49" t="s">
        <v>94</v>
      </c>
      <c r="FMG76" s="49" t="s">
        <v>93</v>
      </c>
      <c r="FMH76" s="49" t="s">
        <v>94</v>
      </c>
      <c r="FMI76" s="49" t="s">
        <v>93</v>
      </c>
      <c r="FMJ76" s="49" t="s">
        <v>94</v>
      </c>
      <c r="FMK76" s="49" t="s">
        <v>93</v>
      </c>
      <c r="FML76" s="49" t="s">
        <v>94</v>
      </c>
      <c r="FMM76" s="49" t="s">
        <v>93</v>
      </c>
      <c r="FMN76" s="49" t="s">
        <v>94</v>
      </c>
      <c r="FMO76" s="49" t="s">
        <v>93</v>
      </c>
      <c r="FMP76" s="49" t="s">
        <v>94</v>
      </c>
      <c r="FMQ76" s="49" t="s">
        <v>93</v>
      </c>
      <c r="FMR76" s="49" t="s">
        <v>94</v>
      </c>
      <c r="FMS76" s="49" t="s">
        <v>93</v>
      </c>
      <c r="FMT76" s="49" t="s">
        <v>94</v>
      </c>
      <c r="FMU76" s="49" t="s">
        <v>93</v>
      </c>
      <c r="FMV76" s="49" t="s">
        <v>94</v>
      </c>
      <c r="FMW76" s="49" t="s">
        <v>93</v>
      </c>
      <c r="FMX76" s="49" t="s">
        <v>94</v>
      </c>
      <c r="FMY76" s="49" t="s">
        <v>93</v>
      </c>
      <c r="FMZ76" s="49" t="s">
        <v>94</v>
      </c>
      <c r="FNA76" s="49" t="s">
        <v>93</v>
      </c>
      <c r="FNB76" s="49" t="s">
        <v>94</v>
      </c>
      <c r="FNC76" s="49" t="s">
        <v>93</v>
      </c>
      <c r="FND76" s="49" t="s">
        <v>94</v>
      </c>
      <c r="FNE76" s="49" t="s">
        <v>93</v>
      </c>
      <c r="FNF76" s="49" t="s">
        <v>94</v>
      </c>
      <c r="FNG76" s="49" t="s">
        <v>93</v>
      </c>
      <c r="FNH76" s="49" t="s">
        <v>94</v>
      </c>
      <c r="FNI76" s="49" t="s">
        <v>93</v>
      </c>
      <c r="FNJ76" s="49" t="s">
        <v>94</v>
      </c>
      <c r="FNK76" s="49" t="s">
        <v>93</v>
      </c>
      <c r="FNL76" s="49" t="s">
        <v>94</v>
      </c>
      <c r="FNM76" s="49" t="s">
        <v>93</v>
      </c>
      <c r="FNN76" s="49" t="s">
        <v>94</v>
      </c>
      <c r="FNO76" s="49" t="s">
        <v>93</v>
      </c>
      <c r="FNP76" s="49" t="s">
        <v>94</v>
      </c>
      <c r="FNQ76" s="49" t="s">
        <v>93</v>
      </c>
      <c r="FNR76" s="49" t="s">
        <v>94</v>
      </c>
      <c r="FNS76" s="49" t="s">
        <v>93</v>
      </c>
      <c r="FNT76" s="49" t="s">
        <v>94</v>
      </c>
      <c r="FNU76" s="49" t="s">
        <v>93</v>
      </c>
      <c r="FNV76" s="49" t="s">
        <v>94</v>
      </c>
      <c r="FNW76" s="49" t="s">
        <v>93</v>
      </c>
      <c r="FNX76" s="49" t="s">
        <v>94</v>
      </c>
      <c r="FNY76" s="49" t="s">
        <v>93</v>
      </c>
      <c r="FNZ76" s="49" t="s">
        <v>94</v>
      </c>
      <c r="FOA76" s="49" t="s">
        <v>93</v>
      </c>
      <c r="FOB76" s="49" t="s">
        <v>94</v>
      </c>
      <c r="FOC76" s="49" t="s">
        <v>93</v>
      </c>
      <c r="FOD76" s="49" t="s">
        <v>94</v>
      </c>
      <c r="FOE76" s="49" t="s">
        <v>93</v>
      </c>
      <c r="FOF76" s="49" t="s">
        <v>94</v>
      </c>
      <c r="FOG76" s="49" t="s">
        <v>93</v>
      </c>
      <c r="FOH76" s="49" t="s">
        <v>94</v>
      </c>
      <c r="FOI76" s="49" t="s">
        <v>93</v>
      </c>
      <c r="FOJ76" s="49" t="s">
        <v>94</v>
      </c>
      <c r="FOK76" s="49" t="s">
        <v>93</v>
      </c>
      <c r="FOL76" s="49" t="s">
        <v>94</v>
      </c>
      <c r="FOM76" s="49" t="s">
        <v>93</v>
      </c>
      <c r="FON76" s="49" t="s">
        <v>94</v>
      </c>
      <c r="FOO76" s="49" t="s">
        <v>93</v>
      </c>
      <c r="FOP76" s="49" t="s">
        <v>94</v>
      </c>
      <c r="FOQ76" s="49" t="s">
        <v>93</v>
      </c>
      <c r="FOR76" s="49" t="s">
        <v>94</v>
      </c>
      <c r="FOS76" s="49" t="s">
        <v>93</v>
      </c>
      <c r="FOT76" s="49" t="s">
        <v>94</v>
      </c>
      <c r="FOU76" s="49" t="s">
        <v>93</v>
      </c>
      <c r="FOV76" s="49" t="s">
        <v>94</v>
      </c>
      <c r="FOW76" s="49" t="s">
        <v>93</v>
      </c>
      <c r="FOX76" s="49" t="s">
        <v>94</v>
      </c>
      <c r="FOY76" s="49" t="s">
        <v>93</v>
      </c>
      <c r="FOZ76" s="49" t="s">
        <v>94</v>
      </c>
      <c r="FPA76" s="49" t="s">
        <v>93</v>
      </c>
      <c r="FPB76" s="49" t="s">
        <v>94</v>
      </c>
      <c r="FPC76" s="49" t="s">
        <v>93</v>
      </c>
      <c r="FPD76" s="49" t="s">
        <v>94</v>
      </c>
      <c r="FPE76" s="49" t="s">
        <v>93</v>
      </c>
      <c r="FPF76" s="49" t="s">
        <v>94</v>
      </c>
      <c r="FPG76" s="49" t="s">
        <v>93</v>
      </c>
      <c r="FPH76" s="49" t="s">
        <v>94</v>
      </c>
      <c r="FPI76" s="49" t="s">
        <v>93</v>
      </c>
      <c r="FPJ76" s="49" t="s">
        <v>94</v>
      </c>
      <c r="FPK76" s="49" t="s">
        <v>93</v>
      </c>
      <c r="FPL76" s="49" t="s">
        <v>94</v>
      </c>
      <c r="FPM76" s="49" t="s">
        <v>93</v>
      </c>
      <c r="FPN76" s="49" t="s">
        <v>94</v>
      </c>
      <c r="FPO76" s="49" t="s">
        <v>93</v>
      </c>
      <c r="FPP76" s="49" t="s">
        <v>94</v>
      </c>
      <c r="FPQ76" s="49" t="s">
        <v>93</v>
      </c>
      <c r="FPR76" s="49" t="s">
        <v>94</v>
      </c>
      <c r="FPS76" s="49" t="s">
        <v>93</v>
      </c>
      <c r="FPT76" s="49" t="s">
        <v>94</v>
      </c>
      <c r="FPU76" s="49" t="s">
        <v>93</v>
      </c>
      <c r="FPV76" s="49" t="s">
        <v>94</v>
      </c>
      <c r="FPW76" s="49" t="s">
        <v>93</v>
      </c>
      <c r="FPX76" s="49" t="s">
        <v>94</v>
      </c>
      <c r="FPY76" s="49" t="s">
        <v>93</v>
      </c>
      <c r="FPZ76" s="49" t="s">
        <v>94</v>
      </c>
      <c r="FQA76" s="49" t="s">
        <v>93</v>
      </c>
      <c r="FQB76" s="49" t="s">
        <v>94</v>
      </c>
      <c r="FQC76" s="49" t="s">
        <v>93</v>
      </c>
      <c r="FQD76" s="49" t="s">
        <v>94</v>
      </c>
      <c r="FQE76" s="49" t="s">
        <v>93</v>
      </c>
      <c r="FQF76" s="49" t="s">
        <v>94</v>
      </c>
      <c r="FQG76" s="49" t="s">
        <v>93</v>
      </c>
      <c r="FQH76" s="49" t="s">
        <v>94</v>
      </c>
      <c r="FQI76" s="49" t="s">
        <v>93</v>
      </c>
      <c r="FQJ76" s="49" t="s">
        <v>94</v>
      </c>
      <c r="FQK76" s="49" t="s">
        <v>93</v>
      </c>
      <c r="FQL76" s="49" t="s">
        <v>94</v>
      </c>
      <c r="FQM76" s="49" t="s">
        <v>93</v>
      </c>
      <c r="FQN76" s="49" t="s">
        <v>94</v>
      </c>
      <c r="FQO76" s="49" t="s">
        <v>93</v>
      </c>
      <c r="FQP76" s="49" t="s">
        <v>94</v>
      </c>
      <c r="FQQ76" s="49" t="s">
        <v>93</v>
      </c>
      <c r="FQR76" s="49" t="s">
        <v>94</v>
      </c>
      <c r="FQS76" s="49" t="s">
        <v>93</v>
      </c>
      <c r="FQT76" s="49" t="s">
        <v>94</v>
      </c>
      <c r="FQU76" s="49" t="s">
        <v>93</v>
      </c>
      <c r="FQV76" s="49" t="s">
        <v>94</v>
      </c>
      <c r="FQW76" s="49" t="s">
        <v>93</v>
      </c>
      <c r="FQX76" s="49" t="s">
        <v>94</v>
      </c>
      <c r="FQY76" s="49" t="s">
        <v>93</v>
      </c>
      <c r="FQZ76" s="49" t="s">
        <v>94</v>
      </c>
      <c r="FRA76" s="49" t="s">
        <v>93</v>
      </c>
      <c r="FRB76" s="49" t="s">
        <v>94</v>
      </c>
      <c r="FRC76" s="49" t="s">
        <v>93</v>
      </c>
      <c r="FRD76" s="49" t="s">
        <v>94</v>
      </c>
      <c r="FRE76" s="49" t="s">
        <v>93</v>
      </c>
      <c r="FRF76" s="49" t="s">
        <v>94</v>
      </c>
      <c r="FRG76" s="49" t="s">
        <v>93</v>
      </c>
      <c r="FRH76" s="49" t="s">
        <v>94</v>
      </c>
      <c r="FRI76" s="49" t="s">
        <v>93</v>
      </c>
      <c r="FRJ76" s="49" t="s">
        <v>94</v>
      </c>
      <c r="FRK76" s="49" t="s">
        <v>93</v>
      </c>
      <c r="FRL76" s="49" t="s">
        <v>94</v>
      </c>
      <c r="FRM76" s="49" t="s">
        <v>93</v>
      </c>
      <c r="FRN76" s="49" t="s">
        <v>94</v>
      </c>
      <c r="FRO76" s="49" t="s">
        <v>93</v>
      </c>
      <c r="FRP76" s="49" t="s">
        <v>94</v>
      </c>
      <c r="FRQ76" s="49" t="s">
        <v>93</v>
      </c>
      <c r="FRR76" s="49" t="s">
        <v>94</v>
      </c>
      <c r="FRS76" s="49" t="s">
        <v>93</v>
      </c>
      <c r="FRT76" s="49" t="s">
        <v>94</v>
      </c>
      <c r="FRU76" s="49" t="s">
        <v>93</v>
      </c>
      <c r="FRV76" s="49" t="s">
        <v>94</v>
      </c>
      <c r="FRW76" s="49" t="s">
        <v>93</v>
      </c>
      <c r="FRX76" s="49" t="s">
        <v>94</v>
      </c>
      <c r="FRY76" s="49" t="s">
        <v>93</v>
      </c>
      <c r="FRZ76" s="49" t="s">
        <v>94</v>
      </c>
      <c r="FSA76" s="49" t="s">
        <v>93</v>
      </c>
      <c r="FSB76" s="49" t="s">
        <v>94</v>
      </c>
      <c r="FSC76" s="49" t="s">
        <v>93</v>
      </c>
      <c r="FSD76" s="49" t="s">
        <v>94</v>
      </c>
      <c r="FSE76" s="49" t="s">
        <v>93</v>
      </c>
      <c r="FSF76" s="49" t="s">
        <v>94</v>
      </c>
      <c r="FSG76" s="49" t="s">
        <v>93</v>
      </c>
      <c r="FSH76" s="49" t="s">
        <v>94</v>
      </c>
      <c r="FSI76" s="49" t="s">
        <v>93</v>
      </c>
      <c r="FSJ76" s="49" t="s">
        <v>94</v>
      </c>
      <c r="FSK76" s="49" t="s">
        <v>93</v>
      </c>
      <c r="FSL76" s="49" t="s">
        <v>94</v>
      </c>
      <c r="FSM76" s="49" t="s">
        <v>93</v>
      </c>
      <c r="FSN76" s="49" t="s">
        <v>94</v>
      </c>
      <c r="FSO76" s="49" t="s">
        <v>93</v>
      </c>
      <c r="FSP76" s="49" t="s">
        <v>94</v>
      </c>
      <c r="FSQ76" s="49" t="s">
        <v>93</v>
      </c>
      <c r="FSR76" s="49" t="s">
        <v>94</v>
      </c>
      <c r="FSS76" s="49" t="s">
        <v>93</v>
      </c>
      <c r="FST76" s="49" t="s">
        <v>94</v>
      </c>
      <c r="FSU76" s="49" t="s">
        <v>93</v>
      </c>
      <c r="FSV76" s="49" t="s">
        <v>94</v>
      </c>
      <c r="FSW76" s="49" t="s">
        <v>93</v>
      </c>
      <c r="FSX76" s="49" t="s">
        <v>94</v>
      </c>
      <c r="FSY76" s="49" t="s">
        <v>93</v>
      </c>
      <c r="FSZ76" s="49" t="s">
        <v>94</v>
      </c>
      <c r="FTA76" s="49" t="s">
        <v>93</v>
      </c>
      <c r="FTB76" s="49" t="s">
        <v>94</v>
      </c>
      <c r="FTC76" s="49" t="s">
        <v>93</v>
      </c>
      <c r="FTD76" s="49" t="s">
        <v>94</v>
      </c>
      <c r="FTE76" s="49" t="s">
        <v>93</v>
      </c>
      <c r="FTF76" s="49" t="s">
        <v>94</v>
      </c>
      <c r="FTG76" s="49" t="s">
        <v>93</v>
      </c>
      <c r="FTH76" s="49" t="s">
        <v>94</v>
      </c>
      <c r="FTI76" s="49" t="s">
        <v>93</v>
      </c>
      <c r="FTJ76" s="49" t="s">
        <v>94</v>
      </c>
      <c r="FTK76" s="49" t="s">
        <v>93</v>
      </c>
      <c r="FTL76" s="49" t="s">
        <v>94</v>
      </c>
      <c r="FTM76" s="49" t="s">
        <v>93</v>
      </c>
      <c r="FTN76" s="49" t="s">
        <v>94</v>
      </c>
      <c r="FTO76" s="49" t="s">
        <v>93</v>
      </c>
      <c r="FTP76" s="49" t="s">
        <v>94</v>
      </c>
      <c r="FTQ76" s="49" t="s">
        <v>93</v>
      </c>
      <c r="FTR76" s="49" t="s">
        <v>94</v>
      </c>
      <c r="FTS76" s="49" t="s">
        <v>93</v>
      </c>
      <c r="FTT76" s="49" t="s">
        <v>94</v>
      </c>
      <c r="FTU76" s="49" t="s">
        <v>93</v>
      </c>
      <c r="FTV76" s="49" t="s">
        <v>94</v>
      </c>
      <c r="FTW76" s="49" t="s">
        <v>93</v>
      </c>
      <c r="FTX76" s="49" t="s">
        <v>94</v>
      </c>
      <c r="FTY76" s="49" t="s">
        <v>93</v>
      </c>
      <c r="FTZ76" s="49" t="s">
        <v>94</v>
      </c>
      <c r="FUA76" s="49" t="s">
        <v>93</v>
      </c>
      <c r="FUB76" s="49" t="s">
        <v>94</v>
      </c>
      <c r="FUC76" s="49" t="s">
        <v>93</v>
      </c>
      <c r="FUD76" s="49" t="s">
        <v>94</v>
      </c>
      <c r="FUE76" s="49" t="s">
        <v>93</v>
      </c>
      <c r="FUF76" s="49" t="s">
        <v>94</v>
      </c>
      <c r="FUG76" s="49" t="s">
        <v>93</v>
      </c>
      <c r="FUH76" s="49" t="s">
        <v>94</v>
      </c>
      <c r="FUI76" s="49" t="s">
        <v>93</v>
      </c>
      <c r="FUJ76" s="49" t="s">
        <v>94</v>
      </c>
      <c r="FUK76" s="49" t="s">
        <v>93</v>
      </c>
      <c r="FUL76" s="49" t="s">
        <v>94</v>
      </c>
      <c r="FUM76" s="49" t="s">
        <v>93</v>
      </c>
      <c r="FUN76" s="49" t="s">
        <v>94</v>
      </c>
      <c r="FUO76" s="49" t="s">
        <v>93</v>
      </c>
      <c r="FUP76" s="49" t="s">
        <v>94</v>
      </c>
      <c r="FUQ76" s="49" t="s">
        <v>93</v>
      </c>
      <c r="FUR76" s="49" t="s">
        <v>94</v>
      </c>
      <c r="FUS76" s="49" t="s">
        <v>93</v>
      </c>
      <c r="FUT76" s="49" t="s">
        <v>94</v>
      </c>
      <c r="FUU76" s="49" t="s">
        <v>93</v>
      </c>
      <c r="FUV76" s="49" t="s">
        <v>94</v>
      </c>
      <c r="FUW76" s="49" t="s">
        <v>93</v>
      </c>
      <c r="FUX76" s="49" t="s">
        <v>94</v>
      </c>
      <c r="FUY76" s="49" t="s">
        <v>93</v>
      </c>
      <c r="FUZ76" s="49" t="s">
        <v>94</v>
      </c>
      <c r="FVA76" s="49" t="s">
        <v>93</v>
      </c>
      <c r="FVB76" s="49" t="s">
        <v>94</v>
      </c>
      <c r="FVC76" s="49" t="s">
        <v>93</v>
      </c>
      <c r="FVD76" s="49" t="s">
        <v>94</v>
      </c>
      <c r="FVE76" s="49" t="s">
        <v>93</v>
      </c>
      <c r="FVF76" s="49" t="s">
        <v>94</v>
      </c>
      <c r="FVG76" s="49" t="s">
        <v>93</v>
      </c>
      <c r="FVH76" s="49" t="s">
        <v>94</v>
      </c>
      <c r="FVI76" s="49" t="s">
        <v>93</v>
      </c>
      <c r="FVJ76" s="49" t="s">
        <v>94</v>
      </c>
      <c r="FVK76" s="49" t="s">
        <v>93</v>
      </c>
      <c r="FVL76" s="49" t="s">
        <v>94</v>
      </c>
      <c r="FVM76" s="49" t="s">
        <v>93</v>
      </c>
      <c r="FVN76" s="49" t="s">
        <v>94</v>
      </c>
      <c r="FVO76" s="49" t="s">
        <v>93</v>
      </c>
      <c r="FVP76" s="49" t="s">
        <v>94</v>
      </c>
      <c r="FVQ76" s="49" t="s">
        <v>93</v>
      </c>
      <c r="FVR76" s="49" t="s">
        <v>94</v>
      </c>
      <c r="FVS76" s="49" t="s">
        <v>93</v>
      </c>
      <c r="FVT76" s="49" t="s">
        <v>94</v>
      </c>
      <c r="FVU76" s="49" t="s">
        <v>93</v>
      </c>
      <c r="FVV76" s="49" t="s">
        <v>94</v>
      </c>
      <c r="FVW76" s="49" t="s">
        <v>93</v>
      </c>
      <c r="FVX76" s="49" t="s">
        <v>94</v>
      </c>
      <c r="FVY76" s="49" t="s">
        <v>93</v>
      </c>
      <c r="FVZ76" s="49" t="s">
        <v>94</v>
      </c>
      <c r="FWA76" s="49" t="s">
        <v>93</v>
      </c>
      <c r="FWB76" s="49" t="s">
        <v>94</v>
      </c>
      <c r="FWC76" s="49" t="s">
        <v>93</v>
      </c>
      <c r="FWD76" s="49" t="s">
        <v>94</v>
      </c>
      <c r="FWE76" s="49" t="s">
        <v>93</v>
      </c>
      <c r="FWF76" s="49" t="s">
        <v>94</v>
      </c>
      <c r="FWG76" s="49" t="s">
        <v>93</v>
      </c>
      <c r="FWH76" s="49" t="s">
        <v>94</v>
      </c>
      <c r="FWI76" s="49" t="s">
        <v>93</v>
      </c>
      <c r="FWJ76" s="49" t="s">
        <v>94</v>
      </c>
      <c r="FWK76" s="49" t="s">
        <v>93</v>
      </c>
      <c r="FWL76" s="49" t="s">
        <v>94</v>
      </c>
      <c r="FWM76" s="49" t="s">
        <v>93</v>
      </c>
      <c r="FWN76" s="49" t="s">
        <v>94</v>
      </c>
      <c r="FWO76" s="49" t="s">
        <v>93</v>
      </c>
      <c r="FWP76" s="49" t="s">
        <v>94</v>
      </c>
      <c r="FWQ76" s="49" t="s">
        <v>93</v>
      </c>
      <c r="FWR76" s="49" t="s">
        <v>94</v>
      </c>
      <c r="FWS76" s="49" t="s">
        <v>93</v>
      </c>
      <c r="FWT76" s="49" t="s">
        <v>94</v>
      </c>
      <c r="FWU76" s="49" t="s">
        <v>93</v>
      </c>
      <c r="FWV76" s="49" t="s">
        <v>94</v>
      </c>
      <c r="FWW76" s="49" t="s">
        <v>93</v>
      </c>
      <c r="FWX76" s="49" t="s">
        <v>94</v>
      </c>
      <c r="FWY76" s="49" t="s">
        <v>93</v>
      </c>
      <c r="FWZ76" s="49" t="s">
        <v>94</v>
      </c>
      <c r="FXA76" s="49" t="s">
        <v>93</v>
      </c>
      <c r="FXB76" s="49" t="s">
        <v>94</v>
      </c>
      <c r="FXC76" s="49" t="s">
        <v>93</v>
      </c>
      <c r="FXD76" s="49" t="s">
        <v>94</v>
      </c>
      <c r="FXE76" s="49" t="s">
        <v>93</v>
      </c>
      <c r="FXF76" s="49" t="s">
        <v>94</v>
      </c>
      <c r="FXG76" s="49" t="s">
        <v>93</v>
      </c>
      <c r="FXH76" s="49" t="s">
        <v>94</v>
      </c>
      <c r="FXI76" s="49" t="s">
        <v>93</v>
      </c>
      <c r="FXJ76" s="49" t="s">
        <v>94</v>
      </c>
      <c r="FXK76" s="49" t="s">
        <v>93</v>
      </c>
      <c r="FXL76" s="49" t="s">
        <v>94</v>
      </c>
      <c r="FXM76" s="49" t="s">
        <v>93</v>
      </c>
      <c r="FXN76" s="49" t="s">
        <v>94</v>
      </c>
      <c r="FXO76" s="49" t="s">
        <v>93</v>
      </c>
      <c r="FXP76" s="49" t="s">
        <v>94</v>
      </c>
      <c r="FXQ76" s="49" t="s">
        <v>93</v>
      </c>
      <c r="FXR76" s="49" t="s">
        <v>94</v>
      </c>
      <c r="FXS76" s="49" t="s">
        <v>93</v>
      </c>
      <c r="FXT76" s="49" t="s">
        <v>94</v>
      </c>
      <c r="FXU76" s="49" t="s">
        <v>93</v>
      </c>
      <c r="FXV76" s="49" t="s">
        <v>94</v>
      </c>
      <c r="FXW76" s="49" t="s">
        <v>93</v>
      </c>
      <c r="FXX76" s="49" t="s">
        <v>94</v>
      </c>
      <c r="FXY76" s="49" t="s">
        <v>93</v>
      </c>
      <c r="FXZ76" s="49" t="s">
        <v>94</v>
      </c>
      <c r="FYA76" s="49" t="s">
        <v>93</v>
      </c>
      <c r="FYB76" s="49" t="s">
        <v>94</v>
      </c>
      <c r="FYC76" s="49" t="s">
        <v>93</v>
      </c>
      <c r="FYD76" s="49" t="s">
        <v>94</v>
      </c>
      <c r="FYE76" s="49" t="s">
        <v>93</v>
      </c>
      <c r="FYF76" s="49" t="s">
        <v>94</v>
      </c>
      <c r="FYG76" s="49" t="s">
        <v>93</v>
      </c>
      <c r="FYH76" s="49" t="s">
        <v>94</v>
      </c>
      <c r="FYI76" s="49" t="s">
        <v>93</v>
      </c>
      <c r="FYJ76" s="49" t="s">
        <v>94</v>
      </c>
      <c r="FYK76" s="49" t="s">
        <v>93</v>
      </c>
      <c r="FYL76" s="49" t="s">
        <v>94</v>
      </c>
      <c r="FYM76" s="49" t="s">
        <v>93</v>
      </c>
      <c r="FYN76" s="49" t="s">
        <v>94</v>
      </c>
      <c r="FYO76" s="49" t="s">
        <v>93</v>
      </c>
      <c r="FYP76" s="49" t="s">
        <v>94</v>
      </c>
      <c r="FYQ76" s="49" t="s">
        <v>93</v>
      </c>
      <c r="FYR76" s="49" t="s">
        <v>94</v>
      </c>
      <c r="FYS76" s="49" t="s">
        <v>93</v>
      </c>
      <c r="FYT76" s="49" t="s">
        <v>94</v>
      </c>
      <c r="FYU76" s="49" t="s">
        <v>93</v>
      </c>
      <c r="FYV76" s="49" t="s">
        <v>94</v>
      </c>
      <c r="FYW76" s="49" t="s">
        <v>93</v>
      </c>
      <c r="FYX76" s="49" t="s">
        <v>94</v>
      </c>
      <c r="FYY76" s="49" t="s">
        <v>93</v>
      </c>
      <c r="FYZ76" s="49" t="s">
        <v>94</v>
      </c>
      <c r="FZA76" s="49" t="s">
        <v>93</v>
      </c>
      <c r="FZB76" s="49" t="s">
        <v>94</v>
      </c>
      <c r="FZC76" s="49" t="s">
        <v>93</v>
      </c>
      <c r="FZD76" s="49" t="s">
        <v>94</v>
      </c>
      <c r="FZE76" s="49" t="s">
        <v>93</v>
      </c>
      <c r="FZF76" s="49" t="s">
        <v>94</v>
      </c>
      <c r="FZG76" s="49" t="s">
        <v>93</v>
      </c>
      <c r="FZH76" s="49" t="s">
        <v>94</v>
      </c>
      <c r="FZI76" s="49" t="s">
        <v>93</v>
      </c>
      <c r="FZJ76" s="49" t="s">
        <v>94</v>
      </c>
      <c r="FZK76" s="49" t="s">
        <v>93</v>
      </c>
      <c r="FZL76" s="49" t="s">
        <v>94</v>
      </c>
      <c r="FZM76" s="49" t="s">
        <v>93</v>
      </c>
      <c r="FZN76" s="49" t="s">
        <v>94</v>
      </c>
      <c r="FZO76" s="49" t="s">
        <v>93</v>
      </c>
      <c r="FZP76" s="49" t="s">
        <v>94</v>
      </c>
      <c r="FZQ76" s="49" t="s">
        <v>93</v>
      </c>
      <c r="FZR76" s="49" t="s">
        <v>94</v>
      </c>
      <c r="FZS76" s="49" t="s">
        <v>93</v>
      </c>
      <c r="FZT76" s="49" t="s">
        <v>94</v>
      </c>
      <c r="FZU76" s="49" t="s">
        <v>93</v>
      </c>
      <c r="FZV76" s="49" t="s">
        <v>94</v>
      </c>
      <c r="FZW76" s="49" t="s">
        <v>93</v>
      </c>
      <c r="FZX76" s="49" t="s">
        <v>94</v>
      </c>
      <c r="FZY76" s="49" t="s">
        <v>93</v>
      </c>
      <c r="FZZ76" s="49" t="s">
        <v>94</v>
      </c>
      <c r="GAA76" s="49" t="s">
        <v>93</v>
      </c>
      <c r="GAB76" s="49" t="s">
        <v>94</v>
      </c>
      <c r="GAC76" s="49" t="s">
        <v>93</v>
      </c>
      <c r="GAD76" s="49" t="s">
        <v>94</v>
      </c>
      <c r="GAE76" s="49" t="s">
        <v>93</v>
      </c>
      <c r="GAF76" s="49" t="s">
        <v>94</v>
      </c>
      <c r="GAG76" s="49" t="s">
        <v>93</v>
      </c>
      <c r="GAH76" s="49" t="s">
        <v>94</v>
      </c>
      <c r="GAI76" s="49" t="s">
        <v>93</v>
      </c>
      <c r="GAJ76" s="49" t="s">
        <v>94</v>
      </c>
      <c r="GAK76" s="49" t="s">
        <v>93</v>
      </c>
      <c r="GAL76" s="49" t="s">
        <v>94</v>
      </c>
      <c r="GAM76" s="49" t="s">
        <v>93</v>
      </c>
      <c r="GAN76" s="49" t="s">
        <v>94</v>
      </c>
      <c r="GAO76" s="49" t="s">
        <v>93</v>
      </c>
      <c r="GAP76" s="49" t="s">
        <v>94</v>
      </c>
      <c r="GAQ76" s="49" t="s">
        <v>93</v>
      </c>
      <c r="GAR76" s="49" t="s">
        <v>94</v>
      </c>
      <c r="GAS76" s="49" t="s">
        <v>93</v>
      </c>
      <c r="GAT76" s="49" t="s">
        <v>94</v>
      </c>
      <c r="GAU76" s="49" t="s">
        <v>93</v>
      </c>
      <c r="GAV76" s="49" t="s">
        <v>94</v>
      </c>
      <c r="GAW76" s="49" t="s">
        <v>93</v>
      </c>
      <c r="GAX76" s="49" t="s">
        <v>94</v>
      </c>
      <c r="GAY76" s="49" t="s">
        <v>93</v>
      </c>
      <c r="GAZ76" s="49" t="s">
        <v>94</v>
      </c>
      <c r="GBA76" s="49" t="s">
        <v>93</v>
      </c>
      <c r="GBB76" s="49" t="s">
        <v>94</v>
      </c>
      <c r="GBC76" s="49" t="s">
        <v>93</v>
      </c>
      <c r="GBD76" s="49" t="s">
        <v>94</v>
      </c>
      <c r="GBE76" s="49" t="s">
        <v>93</v>
      </c>
      <c r="GBF76" s="49" t="s">
        <v>94</v>
      </c>
      <c r="GBG76" s="49" t="s">
        <v>93</v>
      </c>
      <c r="GBH76" s="49" t="s">
        <v>94</v>
      </c>
      <c r="GBI76" s="49" t="s">
        <v>93</v>
      </c>
      <c r="GBJ76" s="49" t="s">
        <v>94</v>
      </c>
      <c r="GBK76" s="49" t="s">
        <v>93</v>
      </c>
      <c r="GBL76" s="49" t="s">
        <v>94</v>
      </c>
      <c r="GBM76" s="49" t="s">
        <v>93</v>
      </c>
      <c r="GBN76" s="49" t="s">
        <v>94</v>
      </c>
      <c r="GBO76" s="49" t="s">
        <v>93</v>
      </c>
      <c r="GBP76" s="49" t="s">
        <v>94</v>
      </c>
      <c r="GBQ76" s="49" t="s">
        <v>93</v>
      </c>
      <c r="GBR76" s="49" t="s">
        <v>94</v>
      </c>
      <c r="GBS76" s="49" t="s">
        <v>93</v>
      </c>
      <c r="GBT76" s="49" t="s">
        <v>94</v>
      </c>
      <c r="GBU76" s="49" t="s">
        <v>93</v>
      </c>
      <c r="GBV76" s="49" t="s">
        <v>94</v>
      </c>
      <c r="GBW76" s="49" t="s">
        <v>93</v>
      </c>
      <c r="GBX76" s="49" t="s">
        <v>94</v>
      </c>
      <c r="GBY76" s="49" t="s">
        <v>93</v>
      </c>
      <c r="GBZ76" s="49" t="s">
        <v>94</v>
      </c>
      <c r="GCA76" s="49" t="s">
        <v>93</v>
      </c>
      <c r="GCB76" s="49" t="s">
        <v>94</v>
      </c>
      <c r="GCC76" s="49" t="s">
        <v>93</v>
      </c>
      <c r="GCD76" s="49" t="s">
        <v>94</v>
      </c>
      <c r="GCE76" s="49" t="s">
        <v>93</v>
      </c>
      <c r="GCF76" s="49" t="s">
        <v>94</v>
      </c>
      <c r="GCG76" s="49" t="s">
        <v>93</v>
      </c>
      <c r="GCH76" s="49" t="s">
        <v>94</v>
      </c>
      <c r="GCI76" s="49" t="s">
        <v>93</v>
      </c>
      <c r="GCJ76" s="49" t="s">
        <v>94</v>
      </c>
      <c r="GCK76" s="49" t="s">
        <v>93</v>
      </c>
      <c r="GCL76" s="49" t="s">
        <v>94</v>
      </c>
      <c r="GCM76" s="49" t="s">
        <v>93</v>
      </c>
      <c r="GCN76" s="49" t="s">
        <v>94</v>
      </c>
      <c r="GCO76" s="49" t="s">
        <v>93</v>
      </c>
      <c r="GCP76" s="49" t="s">
        <v>94</v>
      </c>
      <c r="GCQ76" s="49" t="s">
        <v>93</v>
      </c>
      <c r="GCR76" s="49" t="s">
        <v>94</v>
      </c>
      <c r="GCS76" s="49" t="s">
        <v>93</v>
      </c>
      <c r="GCT76" s="49" t="s">
        <v>94</v>
      </c>
      <c r="GCU76" s="49" t="s">
        <v>93</v>
      </c>
      <c r="GCV76" s="49" t="s">
        <v>94</v>
      </c>
      <c r="GCW76" s="49" t="s">
        <v>93</v>
      </c>
      <c r="GCX76" s="49" t="s">
        <v>94</v>
      </c>
      <c r="GCY76" s="49" t="s">
        <v>93</v>
      </c>
      <c r="GCZ76" s="49" t="s">
        <v>94</v>
      </c>
      <c r="GDA76" s="49" t="s">
        <v>93</v>
      </c>
      <c r="GDB76" s="49" t="s">
        <v>94</v>
      </c>
      <c r="GDC76" s="49" t="s">
        <v>93</v>
      </c>
      <c r="GDD76" s="49" t="s">
        <v>94</v>
      </c>
      <c r="GDE76" s="49" t="s">
        <v>93</v>
      </c>
      <c r="GDF76" s="49" t="s">
        <v>94</v>
      </c>
      <c r="GDG76" s="49" t="s">
        <v>93</v>
      </c>
      <c r="GDH76" s="49" t="s">
        <v>94</v>
      </c>
      <c r="GDI76" s="49" t="s">
        <v>93</v>
      </c>
      <c r="GDJ76" s="49" t="s">
        <v>94</v>
      </c>
      <c r="GDK76" s="49" t="s">
        <v>93</v>
      </c>
      <c r="GDL76" s="49" t="s">
        <v>94</v>
      </c>
      <c r="GDM76" s="49" t="s">
        <v>93</v>
      </c>
      <c r="GDN76" s="49" t="s">
        <v>94</v>
      </c>
      <c r="GDO76" s="49" t="s">
        <v>93</v>
      </c>
      <c r="GDP76" s="49" t="s">
        <v>94</v>
      </c>
      <c r="GDQ76" s="49" t="s">
        <v>93</v>
      </c>
      <c r="GDR76" s="49" t="s">
        <v>94</v>
      </c>
      <c r="GDS76" s="49" t="s">
        <v>93</v>
      </c>
      <c r="GDT76" s="49" t="s">
        <v>94</v>
      </c>
      <c r="GDU76" s="49" t="s">
        <v>93</v>
      </c>
      <c r="GDV76" s="49" t="s">
        <v>94</v>
      </c>
      <c r="GDW76" s="49" t="s">
        <v>93</v>
      </c>
      <c r="GDX76" s="49" t="s">
        <v>94</v>
      </c>
      <c r="GDY76" s="49" t="s">
        <v>93</v>
      </c>
      <c r="GDZ76" s="49" t="s">
        <v>94</v>
      </c>
      <c r="GEA76" s="49" t="s">
        <v>93</v>
      </c>
      <c r="GEB76" s="49" t="s">
        <v>94</v>
      </c>
      <c r="GEC76" s="49" t="s">
        <v>93</v>
      </c>
      <c r="GED76" s="49" t="s">
        <v>94</v>
      </c>
      <c r="GEE76" s="49" t="s">
        <v>93</v>
      </c>
      <c r="GEF76" s="49" t="s">
        <v>94</v>
      </c>
      <c r="GEG76" s="49" t="s">
        <v>93</v>
      </c>
      <c r="GEH76" s="49" t="s">
        <v>94</v>
      </c>
      <c r="GEI76" s="49" t="s">
        <v>93</v>
      </c>
      <c r="GEJ76" s="49" t="s">
        <v>94</v>
      </c>
      <c r="GEK76" s="49" t="s">
        <v>93</v>
      </c>
      <c r="GEL76" s="49" t="s">
        <v>94</v>
      </c>
      <c r="GEM76" s="49" t="s">
        <v>93</v>
      </c>
      <c r="GEN76" s="49" t="s">
        <v>94</v>
      </c>
      <c r="GEO76" s="49" t="s">
        <v>93</v>
      </c>
      <c r="GEP76" s="49" t="s">
        <v>94</v>
      </c>
      <c r="GEQ76" s="49" t="s">
        <v>93</v>
      </c>
      <c r="GER76" s="49" t="s">
        <v>94</v>
      </c>
      <c r="GES76" s="49" t="s">
        <v>93</v>
      </c>
      <c r="GET76" s="49" t="s">
        <v>94</v>
      </c>
      <c r="GEU76" s="49" t="s">
        <v>93</v>
      </c>
      <c r="GEV76" s="49" t="s">
        <v>94</v>
      </c>
      <c r="GEW76" s="49" t="s">
        <v>93</v>
      </c>
      <c r="GEX76" s="49" t="s">
        <v>94</v>
      </c>
      <c r="GEY76" s="49" t="s">
        <v>93</v>
      </c>
      <c r="GEZ76" s="49" t="s">
        <v>94</v>
      </c>
      <c r="GFA76" s="49" t="s">
        <v>93</v>
      </c>
      <c r="GFB76" s="49" t="s">
        <v>94</v>
      </c>
      <c r="GFC76" s="49" t="s">
        <v>93</v>
      </c>
      <c r="GFD76" s="49" t="s">
        <v>94</v>
      </c>
      <c r="GFE76" s="49" t="s">
        <v>93</v>
      </c>
      <c r="GFF76" s="49" t="s">
        <v>94</v>
      </c>
      <c r="GFG76" s="49" t="s">
        <v>93</v>
      </c>
      <c r="GFH76" s="49" t="s">
        <v>94</v>
      </c>
      <c r="GFI76" s="49" t="s">
        <v>93</v>
      </c>
      <c r="GFJ76" s="49" t="s">
        <v>94</v>
      </c>
      <c r="GFK76" s="49" t="s">
        <v>93</v>
      </c>
      <c r="GFL76" s="49" t="s">
        <v>94</v>
      </c>
      <c r="GFM76" s="49" t="s">
        <v>93</v>
      </c>
      <c r="GFN76" s="49" t="s">
        <v>94</v>
      </c>
      <c r="GFO76" s="49" t="s">
        <v>93</v>
      </c>
      <c r="GFP76" s="49" t="s">
        <v>94</v>
      </c>
      <c r="GFQ76" s="49" t="s">
        <v>93</v>
      </c>
      <c r="GFR76" s="49" t="s">
        <v>94</v>
      </c>
      <c r="GFS76" s="49" t="s">
        <v>93</v>
      </c>
      <c r="GFT76" s="49" t="s">
        <v>94</v>
      </c>
      <c r="GFU76" s="49" t="s">
        <v>93</v>
      </c>
      <c r="GFV76" s="49" t="s">
        <v>94</v>
      </c>
      <c r="GFW76" s="49" t="s">
        <v>93</v>
      </c>
      <c r="GFX76" s="49" t="s">
        <v>94</v>
      </c>
      <c r="GFY76" s="49" t="s">
        <v>93</v>
      </c>
      <c r="GFZ76" s="49" t="s">
        <v>94</v>
      </c>
      <c r="GGA76" s="49" t="s">
        <v>93</v>
      </c>
      <c r="GGB76" s="49" t="s">
        <v>94</v>
      </c>
      <c r="GGC76" s="49" t="s">
        <v>93</v>
      </c>
      <c r="GGD76" s="49" t="s">
        <v>94</v>
      </c>
      <c r="GGE76" s="49" t="s">
        <v>93</v>
      </c>
      <c r="GGF76" s="49" t="s">
        <v>94</v>
      </c>
      <c r="GGG76" s="49" t="s">
        <v>93</v>
      </c>
      <c r="GGH76" s="49" t="s">
        <v>94</v>
      </c>
      <c r="GGI76" s="49" t="s">
        <v>93</v>
      </c>
      <c r="GGJ76" s="49" t="s">
        <v>94</v>
      </c>
      <c r="GGK76" s="49" t="s">
        <v>93</v>
      </c>
      <c r="GGL76" s="49" t="s">
        <v>94</v>
      </c>
      <c r="GGM76" s="49" t="s">
        <v>93</v>
      </c>
      <c r="GGN76" s="49" t="s">
        <v>94</v>
      </c>
      <c r="GGO76" s="49" t="s">
        <v>93</v>
      </c>
      <c r="GGP76" s="49" t="s">
        <v>94</v>
      </c>
      <c r="GGQ76" s="49" t="s">
        <v>93</v>
      </c>
      <c r="GGR76" s="49" t="s">
        <v>94</v>
      </c>
      <c r="GGS76" s="49" t="s">
        <v>93</v>
      </c>
      <c r="GGT76" s="49" t="s">
        <v>94</v>
      </c>
      <c r="GGU76" s="49" t="s">
        <v>93</v>
      </c>
      <c r="GGV76" s="49" t="s">
        <v>94</v>
      </c>
      <c r="GGW76" s="49" t="s">
        <v>93</v>
      </c>
      <c r="GGX76" s="49" t="s">
        <v>94</v>
      </c>
      <c r="GGY76" s="49" t="s">
        <v>93</v>
      </c>
      <c r="GGZ76" s="49" t="s">
        <v>94</v>
      </c>
      <c r="GHA76" s="49" t="s">
        <v>93</v>
      </c>
      <c r="GHB76" s="49" t="s">
        <v>94</v>
      </c>
      <c r="GHC76" s="49" t="s">
        <v>93</v>
      </c>
      <c r="GHD76" s="49" t="s">
        <v>94</v>
      </c>
      <c r="GHE76" s="49" t="s">
        <v>93</v>
      </c>
      <c r="GHF76" s="49" t="s">
        <v>94</v>
      </c>
      <c r="GHG76" s="49" t="s">
        <v>93</v>
      </c>
      <c r="GHH76" s="49" t="s">
        <v>94</v>
      </c>
      <c r="GHI76" s="49" t="s">
        <v>93</v>
      </c>
      <c r="GHJ76" s="49" t="s">
        <v>94</v>
      </c>
      <c r="GHK76" s="49" t="s">
        <v>93</v>
      </c>
      <c r="GHL76" s="49" t="s">
        <v>94</v>
      </c>
      <c r="GHM76" s="49" t="s">
        <v>93</v>
      </c>
      <c r="GHN76" s="49" t="s">
        <v>94</v>
      </c>
      <c r="GHO76" s="49" t="s">
        <v>93</v>
      </c>
      <c r="GHP76" s="49" t="s">
        <v>94</v>
      </c>
      <c r="GHQ76" s="49" t="s">
        <v>93</v>
      </c>
      <c r="GHR76" s="49" t="s">
        <v>94</v>
      </c>
      <c r="GHS76" s="49" t="s">
        <v>93</v>
      </c>
      <c r="GHT76" s="49" t="s">
        <v>94</v>
      </c>
      <c r="GHU76" s="49" t="s">
        <v>93</v>
      </c>
      <c r="GHV76" s="49" t="s">
        <v>94</v>
      </c>
      <c r="GHW76" s="49" t="s">
        <v>93</v>
      </c>
      <c r="GHX76" s="49" t="s">
        <v>94</v>
      </c>
      <c r="GHY76" s="49" t="s">
        <v>93</v>
      </c>
      <c r="GHZ76" s="49" t="s">
        <v>94</v>
      </c>
      <c r="GIA76" s="49" t="s">
        <v>93</v>
      </c>
      <c r="GIB76" s="49" t="s">
        <v>94</v>
      </c>
      <c r="GIC76" s="49" t="s">
        <v>93</v>
      </c>
      <c r="GID76" s="49" t="s">
        <v>94</v>
      </c>
      <c r="GIE76" s="49" t="s">
        <v>93</v>
      </c>
      <c r="GIF76" s="49" t="s">
        <v>94</v>
      </c>
      <c r="GIG76" s="49" t="s">
        <v>93</v>
      </c>
      <c r="GIH76" s="49" t="s">
        <v>94</v>
      </c>
      <c r="GII76" s="49" t="s">
        <v>93</v>
      </c>
      <c r="GIJ76" s="49" t="s">
        <v>94</v>
      </c>
      <c r="GIK76" s="49" t="s">
        <v>93</v>
      </c>
      <c r="GIL76" s="49" t="s">
        <v>94</v>
      </c>
      <c r="GIM76" s="49" t="s">
        <v>93</v>
      </c>
      <c r="GIN76" s="49" t="s">
        <v>94</v>
      </c>
      <c r="GIO76" s="49" t="s">
        <v>93</v>
      </c>
      <c r="GIP76" s="49" t="s">
        <v>94</v>
      </c>
      <c r="GIQ76" s="49" t="s">
        <v>93</v>
      </c>
      <c r="GIR76" s="49" t="s">
        <v>94</v>
      </c>
      <c r="GIS76" s="49" t="s">
        <v>93</v>
      </c>
      <c r="GIT76" s="49" t="s">
        <v>94</v>
      </c>
      <c r="GIU76" s="49" t="s">
        <v>93</v>
      </c>
      <c r="GIV76" s="49" t="s">
        <v>94</v>
      </c>
      <c r="GIW76" s="49" t="s">
        <v>93</v>
      </c>
      <c r="GIX76" s="49" t="s">
        <v>94</v>
      </c>
      <c r="GIY76" s="49" t="s">
        <v>93</v>
      </c>
      <c r="GIZ76" s="49" t="s">
        <v>94</v>
      </c>
      <c r="GJA76" s="49" t="s">
        <v>93</v>
      </c>
      <c r="GJB76" s="49" t="s">
        <v>94</v>
      </c>
      <c r="GJC76" s="49" t="s">
        <v>93</v>
      </c>
      <c r="GJD76" s="49" t="s">
        <v>94</v>
      </c>
      <c r="GJE76" s="49" t="s">
        <v>93</v>
      </c>
      <c r="GJF76" s="49" t="s">
        <v>94</v>
      </c>
      <c r="GJG76" s="49" t="s">
        <v>93</v>
      </c>
      <c r="GJH76" s="49" t="s">
        <v>94</v>
      </c>
      <c r="GJI76" s="49" t="s">
        <v>93</v>
      </c>
      <c r="GJJ76" s="49" t="s">
        <v>94</v>
      </c>
      <c r="GJK76" s="49" t="s">
        <v>93</v>
      </c>
      <c r="GJL76" s="49" t="s">
        <v>94</v>
      </c>
      <c r="GJM76" s="49" t="s">
        <v>93</v>
      </c>
      <c r="GJN76" s="49" t="s">
        <v>94</v>
      </c>
      <c r="GJO76" s="49" t="s">
        <v>93</v>
      </c>
      <c r="GJP76" s="49" t="s">
        <v>94</v>
      </c>
      <c r="GJQ76" s="49" t="s">
        <v>93</v>
      </c>
      <c r="GJR76" s="49" t="s">
        <v>94</v>
      </c>
      <c r="GJS76" s="49" t="s">
        <v>93</v>
      </c>
      <c r="GJT76" s="49" t="s">
        <v>94</v>
      </c>
      <c r="GJU76" s="49" t="s">
        <v>93</v>
      </c>
      <c r="GJV76" s="49" t="s">
        <v>94</v>
      </c>
      <c r="GJW76" s="49" t="s">
        <v>93</v>
      </c>
      <c r="GJX76" s="49" t="s">
        <v>94</v>
      </c>
      <c r="GJY76" s="49" t="s">
        <v>93</v>
      </c>
      <c r="GJZ76" s="49" t="s">
        <v>94</v>
      </c>
      <c r="GKA76" s="49" t="s">
        <v>93</v>
      </c>
      <c r="GKB76" s="49" t="s">
        <v>94</v>
      </c>
      <c r="GKC76" s="49" t="s">
        <v>93</v>
      </c>
      <c r="GKD76" s="49" t="s">
        <v>94</v>
      </c>
      <c r="GKE76" s="49" t="s">
        <v>93</v>
      </c>
      <c r="GKF76" s="49" t="s">
        <v>94</v>
      </c>
      <c r="GKG76" s="49" t="s">
        <v>93</v>
      </c>
      <c r="GKH76" s="49" t="s">
        <v>94</v>
      </c>
      <c r="GKI76" s="49" t="s">
        <v>93</v>
      </c>
      <c r="GKJ76" s="49" t="s">
        <v>94</v>
      </c>
      <c r="GKK76" s="49" t="s">
        <v>93</v>
      </c>
      <c r="GKL76" s="49" t="s">
        <v>94</v>
      </c>
      <c r="GKM76" s="49" t="s">
        <v>93</v>
      </c>
      <c r="GKN76" s="49" t="s">
        <v>94</v>
      </c>
      <c r="GKO76" s="49" t="s">
        <v>93</v>
      </c>
      <c r="GKP76" s="49" t="s">
        <v>94</v>
      </c>
      <c r="GKQ76" s="49" t="s">
        <v>93</v>
      </c>
      <c r="GKR76" s="49" t="s">
        <v>94</v>
      </c>
      <c r="GKS76" s="49" t="s">
        <v>93</v>
      </c>
      <c r="GKT76" s="49" t="s">
        <v>94</v>
      </c>
      <c r="GKU76" s="49" t="s">
        <v>93</v>
      </c>
      <c r="GKV76" s="49" t="s">
        <v>94</v>
      </c>
      <c r="GKW76" s="49" t="s">
        <v>93</v>
      </c>
      <c r="GKX76" s="49" t="s">
        <v>94</v>
      </c>
      <c r="GKY76" s="49" t="s">
        <v>93</v>
      </c>
      <c r="GKZ76" s="49" t="s">
        <v>94</v>
      </c>
      <c r="GLA76" s="49" t="s">
        <v>93</v>
      </c>
      <c r="GLB76" s="49" t="s">
        <v>94</v>
      </c>
      <c r="GLC76" s="49" t="s">
        <v>93</v>
      </c>
      <c r="GLD76" s="49" t="s">
        <v>94</v>
      </c>
      <c r="GLE76" s="49" t="s">
        <v>93</v>
      </c>
      <c r="GLF76" s="49" t="s">
        <v>94</v>
      </c>
      <c r="GLG76" s="49" t="s">
        <v>93</v>
      </c>
      <c r="GLH76" s="49" t="s">
        <v>94</v>
      </c>
      <c r="GLI76" s="49" t="s">
        <v>93</v>
      </c>
      <c r="GLJ76" s="49" t="s">
        <v>94</v>
      </c>
      <c r="GLK76" s="49" t="s">
        <v>93</v>
      </c>
      <c r="GLL76" s="49" t="s">
        <v>94</v>
      </c>
      <c r="GLM76" s="49" t="s">
        <v>93</v>
      </c>
      <c r="GLN76" s="49" t="s">
        <v>94</v>
      </c>
      <c r="GLO76" s="49" t="s">
        <v>93</v>
      </c>
      <c r="GLP76" s="49" t="s">
        <v>94</v>
      </c>
      <c r="GLQ76" s="49" t="s">
        <v>93</v>
      </c>
      <c r="GLR76" s="49" t="s">
        <v>94</v>
      </c>
      <c r="GLS76" s="49" t="s">
        <v>93</v>
      </c>
      <c r="GLT76" s="49" t="s">
        <v>94</v>
      </c>
      <c r="GLU76" s="49" t="s">
        <v>93</v>
      </c>
      <c r="GLV76" s="49" t="s">
        <v>94</v>
      </c>
      <c r="GLW76" s="49" t="s">
        <v>93</v>
      </c>
      <c r="GLX76" s="49" t="s">
        <v>94</v>
      </c>
      <c r="GLY76" s="49" t="s">
        <v>93</v>
      </c>
      <c r="GLZ76" s="49" t="s">
        <v>94</v>
      </c>
      <c r="GMA76" s="49" t="s">
        <v>93</v>
      </c>
      <c r="GMB76" s="49" t="s">
        <v>94</v>
      </c>
      <c r="GMC76" s="49" t="s">
        <v>93</v>
      </c>
      <c r="GMD76" s="49" t="s">
        <v>94</v>
      </c>
      <c r="GME76" s="49" t="s">
        <v>93</v>
      </c>
      <c r="GMF76" s="49" t="s">
        <v>94</v>
      </c>
      <c r="GMG76" s="49" t="s">
        <v>93</v>
      </c>
      <c r="GMH76" s="49" t="s">
        <v>94</v>
      </c>
      <c r="GMI76" s="49" t="s">
        <v>93</v>
      </c>
      <c r="GMJ76" s="49" t="s">
        <v>94</v>
      </c>
      <c r="GMK76" s="49" t="s">
        <v>93</v>
      </c>
      <c r="GML76" s="49" t="s">
        <v>94</v>
      </c>
      <c r="GMM76" s="49" t="s">
        <v>93</v>
      </c>
      <c r="GMN76" s="49" t="s">
        <v>94</v>
      </c>
      <c r="GMO76" s="49" t="s">
        <v>93</v>
      </c>
      <c r="GMP76" s="49" t="s">
        <v>94</v>
      </c>
      <c r="GMQ76" s="49" t="s">
        <v>93</v>
      </c>
      <c r="GMR76" s="49" t="s">
        <v>94</v>
      </c>
      <c r="GMS76" s="49" t="s">
        <v>93</v>
      </c>
      <c r="GMT76" s="49" t="s">
        <v>94</v>
      </c>
      <c r="GMU76" s="49" t="s">
        <v>93</v>
      </c>
      <c r="GMV76" s="49" t="s">
        <v>94</v>
      </c>
      <c r="GMW76" s="49" t="s">
        <v>93</v>
      </c>
      <c r="GMX76" s="49" t="s">
        <v>94</v>
      </c>
      <c r="GMY76" s="49" t="s">
        <v>93</v>
      </c>
      <c r="GMZ76" s="49" t="s">
        <v>94</v>
      </c>
      <c r="GNA76" s="49" t="s">
        <v>93</v>
      </c>
      <c r="GNB76" s="49" t="s">
        <v>94</v>
      </c>
      <c r="GNC76" s="49" t="s">
        <v>93</v>
      </c>
      <c r="GND76" s="49" t="s">
        <v>94</v>
      </c>
      <c r="GNE76" s="49" t="s">
        <v>93</v>
      </c>
      <c r="GNF76" s="49" t="s">
        <v>94</v>
      </c>
      <c r="GNG76" s="49" t="s">
        <v>93</v>
      </c>
      <c r="GNH76" s="49" t="s">
        <v>94</v>
      </c>
      <c r="GNI76" s="49" t="s">
        <v>93</v>
      </c>
      <c r="GNJ76" s="49" t="s">
        <v>94</v>
      </c>
      <c r="GNK76" s="49" t="s">
        <v>93</v>
      </c>
      <c r="GNL76" s="49" t="s">
        <v>94</v>
      </c>
      <c r="GNM76" s="49" t="s">
        <v>93</v>
      </c>
      <c r="GNN76" s="49" t="s">
        <v>94</v>
      </c>
      <c r="GNO76" s="49" t="s">
        <v>93</v>
      </c>
      <c r="GNP76" s="49" t="s">
        <v>94</v>
      </c>
      <c r="GNQ76" s="49" t="s">
        <v>93</v>
      </c>
      <c r="GNR76" s="49" t="s">
        <v>94</v>
      </c>
      <c r="GNS76" s="49" t="s">
        <v>93</v>
      </c>
      <c r="GNT76" s="49" t="s">
        <v>94</v>
      </c>
      <c r="GNU76" s="49" t="s">
        <v>93</v>
      </c>
      <c r="GNV76" s="49" t="s">
        <v>94</v>
      </c>
      <c r="GNW76" s="49" t="s">
        <v>93</v>
      </c>
      <c r="GNX76" s="49" t="s">
        <v>94</v>
      </c>
      <c r="GNY76" s="49" t="s">
        <v>93</v>
      </c>
      <c r="GNZ76" s="49" t="s">
        <v>94</v>
      </c>
      <c r="GOA76" s="49" t="s">
        <v>93</v>
      </c>
      <c r="GOB76" s="49" t="s">
        <v>94</v>
      </c>
      <c r="GOC76" s="49" t="s">
        <v>93</v>
      </c>
      <c r="GOD76" s="49" t="s">
        <v>94</v>
      </c>
      <c r="GOE76" s="49" t="s">
        <v>93</v>
      </c>
      <c r="GOF76" s="49" t="s">
        <v>94</v>
      </c>
      <c r="GOG76" s="49" t="s">
        <v>93</v>
      </c>
      <c r="GOH76" s="49" t="s">
        <v>94</v>
      </c>
      <c r="GOI76" s="49" t="s">
        <v>93</v>
      </c>
      <c r="GOJ76" s="49" t="s">
        <v>94</v>
      </c>
      <c r="GOK76" s="49" t="s">
        <v>93</v>
      </c>
      <c r="GOL76" s="49" t="s">
        <v>94</v>
      </c>
      <c r="GOM76" s="49" t="s">
        <v>93</v>
      </c>
      <c r="GON76" s="49" t="s">
        <v>94</v>
      </c>
      <c r="GOO76" s="49" t="s">
        <v>93</v>
      </c>
      <c r="GOP76" s="49" t="s">
        <v>94</v>
      </c>
      <c r="GOQ76" s="49" t="s">
        <v>93</v>
      </c>
      <c r="GOR76" s="49" t="s">
        <v>94</v>
      </c>
      <c r="GOS76" s="49" t="s">
        <v>93</v>
      </c>
      <c r="GOT76" s="49" t="s">
        <v>94</v>
      </c>
      <c r="GOU76" s="49" t="s">
        <v>93</v>
      </c>
      <c r="GOV76" s="49" t="s">
        <v>94</v>
      </c>
      <c r="GOW76" s="49" t="s">
        <v>93</v>
      </c>
      <c r="GOX76" s="49" t="s">
        <v>94</v>
      </c>
      <c r="GOY76" s="49" t="s">
        <v>93</v>
      </c>
      <c r="GOZ76" s="49" t="s">
        <v>94</v>
      </c>
      <c r="GPA76" s="49" t="s">
        <v>93</v>
      </c>
      <c r="GPB76" s="49" t="s">
        <v>94</v>
      </c>
      <c r="GPC76" s="49" t="s">
        <v>93</v>
      </c>
      <c r="GPD76" s="49" t="s">
        <v>94</v>
      </c>
      <c r="GPE76" s="49" t="s">
        <v>93</v>
      </c>
      <c r="GPF76" s="49" t="s">
        <v>94</v>
      </c>
      <c r="GPG76" s="49" t="s">
        <v>93</v>
      </c>
      <c r="GPH76" s="49" t="s">
        <v>94</v>
      </c>
      <c r="GPI76" s="49" t="s">
        <v>93</v>
      </c>
      <c r="GPJ76" s="49" t="s">
        <v>94</v>
      </c>
      <c r="GPK76" s="49" t="s">
        <v>93</v>
      </c>
      <c r="GPL76" s="49" t="s">
        <v>94</v>
      </c>
      <c r="GPM76" s="49" t="s">
        <v>93</v>
      </c>
      <c r="GPN76" s="49" t="s">
        <v>94</v>
      </c>
      <c r="GPO76" s="49" t="s">
        <v>93</v>
      </c>
      <c r="GPP76" s="49" t="s">
        <v>94</v>
      </c>
      <c r="GPQ76" s="49" t="s">
        <v>93</v>
      </c>
      <c r="GPR76" s="49" t="s">
        <v>94</v>
      </c>
      <c r="GPS76" s="49" t="s">
        <v>93</v>
      </c>
      <c r="GPT76" s="49" t="s">
        <v>94</v>
      </c>
      <c r="GPU76" s="49" t="s">
        <v>93</v>
      </c>
      <c r="GPV76" s="49" t="s">
        <v>94</v>
      </c>
      <c r="GPW76" s="49" t="s">
        <v>93</v>
      </c>
      <c r="GPX76" s="49" t="s">
        <v>94</v>
      </c>
      <c r="GPY76" s="49" t="s">
        <v>93</v>
      </c>
      <c r="GPZ76" s="49" t="s">
        <v>94</v>
      </c>
      <c r="GQA76" s="49" t="s">
        <v>93</v>
      </c>
      <c r="GQB76" s="49" t="s">
        <v>94</v>
      </c>
      <c r="GQC76" s="49" t="s">
        <v>93</v>
      </c>
      <c r="GQD76" s="49" t="s">
        <v>94</v>
      </c>
      <c r="GQE76" s="49" t="s">
        <v>93</v>
      </c>
      <c r="GQF76" s="49" t="s">
        <v>94</v>
      </c>
      <c r="GQG76" s="49" t="s">
        <v>93</v>
      </c>
      <c r="GQH76" s="49" t="s">
        <v>94</v>
      </c>
      <c r="GQI76" s="49" t="s">
        <v>93</v>
      </c>
      <c r="GQJ76" s="49" t="s">
        <v>94</v>
      </c>
      <c r="GQK76" s="49" t="s">
        <v>93</v>
      </c>
      <c r="GQL76" s="49" t="s">
        <v>94</v>
      </c>
      <c r="GQM76" s="49" t="s">
        <v>93</v>
      </c>
      <c r="GQN76" s="49" t="s">
        <v>94</v>
      </c>
      <c r="GQO76" s="49" t="s">
        <v>93</v>
      </c>
      <c r="GQP76" s="49" t="s">
        <v>94</v>
      </c>
      <c r="GQQ76" s="49" t="s">
        <v>93</v>
      </c>
      <c r="GQR76" s="49" t="s">
        <v>94</v>
      </c>
      <c r="GQS76" s="49" t="s">
        <v>93</v>
      </c>
      <c r="GQT76" s="49" t="s">
        <v>94</v>
      </c>
      <c r="GQU76" s="49" t="s">
        <v>93</v>
      </c>
      <c r="GQV76" s="49" t="s">
        <v>94</v>
      </c>
      <c r="GQW76" s="49" t="s">
        <v>93</v>
      </c>
      <c r="GQX76" s="49" t="s">
        <v>94</v>
      </c>
      <c r="GQY76" s="49" t="s">
        <v>93</v>
      </c>
      <c r="GQZ76" s="49" t="s">
        <v>94</v>
      </c>
      <c r="GRA76" s="49" t="s">
        <v>93</v>
      </c>
      <c r="GRB76" s="49" t="s">
        <v>94</v>
      </c>
      <c r="GRC76" s="49" t="s">
        <v>93</v>
      </c>
      <c r="GRD76" s="49" t="s">
        <v>94</v>
      </c>
      <c r="GRE76" s="49" t="s">
        <v>93</v>
      </c>
      <c r="GRF76" s="49" t="s">
        <v>94</v>
      </c>
      <c r="GRG76" s="49" t="s">
        <v>93</v>
      </c>
      <c r="GRH76" s="49" t="s">
        <v>94</v>
      </c>
      <c r="GRI76" s="49" t="s">
        <v>93</v>
      </c>
      <c r="GRJ76" s="49" t="s">
        <v>94</v>
      </c>
      <c r="GRK76" s="49" t="s">
        <v>93</v>
      </c>
      <c r="GRL76" s="49" t="s">
        <v>94</v>
      </c>
      <c r="GRM76" s="49" t="s">
        <v>93</v>
      </c>
      <c r="GRN76" s="49" t="s">
        <v>94</v>
      </c>
      <c r="GRO76" s="49" t="s">
        <v>93</v>
      </c>
      <c r="GRP76" s="49" t="s">
        <v>94</v>
      </c>
      <c r="GRQ76" s="49" t="s">
        <v>93</v>
      </c>
      <c r="GRR76" s="49" t="s">
        <v>94</v>
      </c>
      <c r="GRS76" s="49" t="s">
        <v>93</v>
      </c>
      <c r="GRT76" s="49" t="s">
        <v>94</v>
      </c>
      <c r="GRU76" s="49" t="s">
        <v>93</v>
      </c>
      <c r="GRV76" s="49" t="s">
        <v>94</v>
      </c>
      <c r="GRW76" s="49" t="s">
        <v>93</v>
      </c>
      <c r="GRX76" s="49" t="s">
        <v>94</v>
      </c>
      <c r="GRY76" s="49" t="s">
        <v>93</v>
      </c>
      <c r="GRZ76" s="49" t="s">
        <v>94</v>
      </c>
      <c r="GSA76" s="49" t="s">
        <v>93</v>
      </c>
      <c r="GSB76" s="49" t="s">
        <v>94</v>
      </c>
      <c r="GSC76" s="49" t="s">
        <v>93</v>
      </c>
      <c r="GSD76" s="49" t="s">
        <v>94</v>
      </c>
      <c r="GSE76" s="49" t="s">
        <v>93</v>
      </c>
      <c r="GSF76" s="49" t="s">
        <v>94</v>
      </c>
      <c r="GSG76" s="49" t="s">
        <v>93</v>
      </c>
      <c r="GSH76" s="49" t="s">
        <v>94</v>
      </c>
      <c r="GSI76" s="49" t="s">
        <v>93</v>
      </c>
      <c r="GSJ76" s="49" t="s">
        <v>94</v>
      </c>
      <c r="GSK76" s="49" t="s">
        <v>93</v>
      </c>
      <c r="GSL76" s="49" t="s">
        <v>94</v>
      </c>
      <c r="GSM76" s="49" t="s">
        <v>93</v>
      </c>
      <c r="GSN76" s="49" t="s">
        <v>94</v>
      </c>
      <c r="GSO76" s="49" t="s">
        <v>93</v>
      </c>
      <c r="GSP76" s="49" t="s">
        <v>94</v>
      </c>
      <c r="GSQ76" s="49" t="s">
        <v>93</v>
      </c>
      <c r="GSR76" s="49" t="s">
        <v>94</v>
      </c>
      <c r="GSS76" s="49" t="s">
        <v>93</v>
      </c>
      <c r="GST76" s="49" t="s">
        <v>94</v>
      </c>
      <c r="GSU76" s="49" t="s">
        <v>93</v>
      </c>
      <c r="GSV76" s="49" t="s">
        <v>94</v>
      </c>
      <c r="GSW76" s="49" t="s">
        <v>93</v>
      </c>
      <c r="GSX76" s="49" t="s">
        <v>94</v>
      </c>
      <c r="GSY76" s="49" t="s">
        <v>93</v>
      </c>
      <c r="GSZ76" s="49" t="s">
        <v>94</v>
      </c>
      <c r="GTA76" s="49" t="s">
        <v>93</v>
      </c>
      <c r="GTB76" s="49" t="s">
        <v>94</v>
      </c>
      <c r="GTC76" s="49" t="s">
        <v>93</v>
      </c>
      <c r="GTD76" s="49" t="s">
        <v>94</v>
      </c>
      <c r="GTE76" s="49" t="s">
        <v>93</v>
      </c>
      <c r="GTF76" s="49" t="s">
        <v>94</v>
      </c>
      <c r="GTG76" s="49" t="s">
        <v>93</v>
      </c>
      <c r="GTH76" s="49" t="s">
        <v>94</v>
      </c>
      <c r="GTI76" s="49" t="s">
        <v>93</v>
      </c>
      <c r="GTJ76" s="49" t="s">
        <v>94</v>
      </c>
      <c r="GTK76" s="49" t="s">
        <v>93</v>
      </c>
      <c r="GTL76" s="49" t="s">
        <v>94</v>
      </c>
      <c r="GTM76" s="49" t="s">
        <v>93</v>
      </c>
      <c r="GTN76" s="49" t="s">
        <v>94</v>
      </c>
      <c r="GTO76" s="49" t="s">
        <v>93</v>
      </c>
      <c r="GTP76" s="49" t="s">
        <v>94</v>
      </c>
      <c r="GTQ76" s="49" t="s">
        <v>93</v>
      </c>
      <c r="GTR76" s="49" t="s">
        <v>94</v>
      </c>
      <c r="GTS76" s="49" t="s">
        <v>93</v>
      </c>
      <c r="GTT76" s="49" t="s">
        <v>94</v>
      </c>
      <c r="GTU76" s="49" t="s">
        <v>93</v>
      </c>
      <c r="GTV76" s="49" t="s">
        <v>94</v>
      </c>
      <c r="GTW76" s="49" t="s">
        <v>93</v>
      </c>
      <c r="GTX76" s="49" t="s">
        <v>94</v>
      </c>
      <c r="GTY76" s="49" t="s">
        <v>93</v>
      </c>
      <c r="GTZ76" s="49" t="s">
        <v>94</v>
      </c>
      <c r="GUA76" s="49" t="s">
        <v>93</v>
      </c>
      <c r="GUB76" s="49" t="s">
        <v>94</v>
      </c>
      <c r="GUC76" s="49" t="s">
        <v>93</v>
      </c>
      <c r="GUD76" s="49" t="s">
        <v>94</v>
      </c>
      <c r="GUE76" s="49" t="s">
        <v>93</v>
      </c>
      <c r="GUF76" s="49" t="s">
        <v>94</v>
      </c>
      <c r="GUG76" s="49" t="s">
        <v>93</v>
      </c>
      <c r="GUH76" s="49" t="s">
        <v>94</v>
      </c>
      <c r="GUI76" s="49" t="s">
        <v>93</v>
      </c>
      <c r="GUJ76" s="49" t="s">
        <v>94</v>
      </c>
      <c r="GUK76" s="49" t="s">
        <v>93</v>
      </c>
      <c r="GUL76" s="49" t="s">
        <v>94</v>
      </c>
      <c r="GUM76" s="49" t="s">
        <v>93</v>
      </c>
      <c r="GUN76" s="49" t="s">
        <v>94</v>
      </c>
      <c r="GUO76" s="49" t="s">
        <v>93</v>
      </c>
      <c r="GUP76" s="49" t="s">
        <v>94</v>
      </c>
      <c r="GUQ76" s="49" t="s">
        <v>93</v>
      </c>
      <c r="GUR76" s="49" t="s">
        <v>94</v>
      </c>
      <c r="GUS76" s="49" t="s">
        <v>93</v>
      </c>
      <c r="GUT76" s="49" t="s">
        <v>94</v>
      </c>
      <c r="GUU76" s="49" t="s">
        <v>93</v>
      </c>
      <c r="GUV76" s="49" t="s">
        <v>94</v>
      </c>
      <c r="GUW76" s="49" t="s">
        <v>93</v>
      </c>
      <c r="GUX76" s="49" t="s">
        <v>94</v>
      </c>
      <c r="GUY76" s="49" t="s">
        <v>93</v>
      </c>
      <c r="GUZ76" s="49" t="s">
        <v>94</v>
      </c>
      <c r="GVA76" s="49" t="s">
        <v>93</v>
      </c>
      <c r="GVB76" s="49" t="s">
        <v>94</v>
      </c>
      <c r="GVC76" s="49" t="s">
        <v>93</v>
      </c>
      <c r="GVD76" s="49" t="s">
        <v>94</v>
      </c>
      <c r="GVE76" s="49" t="s">
        <v>93</v>
      </c>
      <c r="GVF76" s="49" t="s">
        <v>94</v>
      </c>
      <c r="GVG76" s="49" t="s">
        <v>93</v>
      </c>
      <c r="GVH76" s="49" t="s">
        <v>94</v>
      </c>
      <c r="GVI76" s="49" t="s">
        <v>93</v>
      </c>
      <c r="GVJ76" s="49" t="s">
        <v>94</v>
      </c>
      <c r="GVK76" s="49" t="s">
        <v>93</v>
      </c>
      <c r="GVL76" s="49" t="s">
        <v>94</v>
      </c>
      <c r="GVM76" s="49" t="s">
        <v>93</v>
      </c>
      <c r="GVN76" s="49" t="s">
        <v>94</v>
      </c>
      <c r="GVO76" s="49" t="s">
        <v>93</v>
      </c>
      <c r="GVP76" s="49" t="s">
        <v>94</v>
      </c>
      <c r="GVQ76" s="49" t="s">
        <v>93</v>
      </c>
      <c r="GVR76" s="49" t="s">
        <v>94</v>
      </c>
      <c r="GVS76" s="49" t="s">
        <v>93</v>
      </c>
      <c r="GVT76" s="49" t="s">
        <v>94</v>
      </c>
      <c r="GVU76" s="49" t="s">
        <v>93</v>
      </c>
      <c r="GVV76" s="49" t="s">
        <v>94</v>
      </c>
      <c r="GVW76" s="49" t="s">
        <v>93</v>
      </c>
      <c r="GVX76" s="49" t="s">
        <v>94</v>
      </c>
      <c r="GVY76" s="49" t="s">
        <v>93</v>
      </c>
      <c r="GVZ76" s="49" t="s">
        <v>94</v>
      </c>
      <c r="GWA76" s="49" t="s">
        <v>93</v>
      </c>
      <c r="GWB76" s="49" t="s">
        <v>94</v>
      </c>
      <c r="GWC76" s="49" t="s">
        <v>93</v>
      </c>
      <c r="GWD76" s="49" t="s">
        <v>94</v>
      </c>
      <c r="GWE76" s="49" t="s">
        <v>93</v>
      </c>
      <c r="GWF76" s="49" t="s">
        <v>94</v>
      </c>
      <c r="GWG76" s="49" t="s">
        <v>93</v>
      </c>
      <c r="GWH76" s="49" t="s">
        <v>94</v>
      </c>
      <c r="GWI76" s="49" t="s">
        <v>93</v>
      </c>
      <c r="GWJ76" s="49" t="s">
        <v>94</v>
      </c>
      <c r="GWK76" s="49" t="s">
        <v>93</v>
      </c>
      <c r="GWL76" s="49" t="s">
        <v>94</v>
      </c>
      <c r="GWM76" s="49" t="s">
        <v>93</v>
      </c>
      <c r="GWN76" s="49" t="s">
        <v>94</v>
      </c>
      <c r="GWO76" s="49" t="s">
        <v>93</v>
      </c>
      <c r="GWP76" s="49" t="s">
        <v>94</v>
      </c>
      <c r="GWQ76" s="49" t="s">
        <v>93</v>
      </c>
      <c r="GWR76" s="49" t="s">
        <v>94</v>
      </c>
      <c r="GWS76" s="49" t="s">
        <v>93</v>
      </c>
      <c r="GWT76" s="49" t="s">
        <v>94</v>
      </c>
      <c r="GWU76" s="49" t="s">
        <v>93</v>
      </c>
      <c r="GWV76" s="49" t="s">
        <v>94</v>
      </c>
      <c r="GWW76" s="49" t="s">
        <v>93</v>
      </c>
      <c r="GWX76" s="49" t="s">
        <v>94</v>
      </c>
      <c r="GWY76" s="49" t="s">
        <v>93</v>
      </c>
      <c r="GWZ76" s="49" t="s">
        <v>94</v>
      </c>
      <c r="GXA76" s="49" t="s">
        <v>93</v>
      </c>
      <c r="GXB76" s="49" t="s">
        <v>94</v>
      </c>
      <c r="GXC76" s="49" t="s">
        <v>93</v>
      </c>
      <c r="GXD76" s="49" t="s">
        <v>94</v>
      </c>
      <c r="GXE76" s="49" t="s">
        <v>93</v>
      </c>
      <c r="GXF76" s="49" t="s">
        <v>94</v>
      </c>
      <c r="GXG76" s="49" t="s">
        <v>93</v>
      </c>
      <c r="GXH76" s="49" t="s">
        <v>94</v>
      </c>
      <c r="GXI76" s="49" t="s">
        <v>93</v>
      </c>
      <c r="GXJ76" s="49" t="s">
        <v>94</v>
      </c>
      <c r="GXK76" s="49" t="s">
        <v>93</v>
      </c>
      <c r="GXL76" s="49" t="s">
        <v>94</v>
      </c>
      <c r="GXM76" s="49" t="s">
        <v>93</v>
      </c>
      <c r="GXN76" s="49" t="s">
        <v>94</v>
      </c>
      <c r="GXO76" s="49" t="s">
        <v>93</v>
      </c>
      <c r="GXP76" s="49" t="s">
        <v>94</v>
      </c>
      <c r="GXQ76" s="49" t="s">
        <v>93</v>
      </c>
      <c r="GXR76" s="49" t="s">
        <v>94</v>
      </c>
      <c r="GXS76" s="49" t="s">
        <v>93</v>
      </c>
      <c r="GXT76" s="49" t="s">
        <v>94</v>
      </c>
      <c r="GXU76" s="49" t="s">
        <v>93</v>
      </c>
      <c r="GXV76" s="49" t="s">
        <v>94</v>
      </c>
      <c r="GXW76" s="49" t="s">
        <v>93</v>
      </c>
      <c r="GXX76" s="49" t="s">
        <v>94</v>
      </c>
      <c r="GXY76" s="49" t="s">
        <v>93</v>
      </c>
      <c r="GXZ76" s="49" t="s">
        <v>94</v>
      </c>
      <c r="GYA76" s="49" t="s">
        <v>93</v>
      </c>
      <c r="GYB76" s="49" t="s">
        <v>94</v>
      </c>
      <c r="GYC76" s="49" t="s">
        <v>93</v>
      </c>
      <c r="GYD76" s="49" t="s">
        <v>94</v>
      </c>
      <c r="GYE76" s="49" t="s">
        <v>93</v>
      </c>
      <c r="GYF76" s="49" t="s">
        <v>94</v>
      </c>
      <c r="GYG76" s="49" t="s">
        <v>93</v>
      </c>
      <c r="GYH76" s="49" t="s">
        <v>94</v>
      </c>
      <c r="GYI76" s="49" t="s">
        <v>93</v>
      </c>
      <c r="GYJ76" s="49" t="s">
        <v>94</v>
      </c>
      <c r="GYK76" s="49" t="s">
        <v>93</v>
      </c>
      <c r="GYL76" s="49" t="s">
        <v>94</v>
      </c>
      <c r="GYM76" s="49" t="s">
        <v>93</v>
      </c>
      <c r="GYN76" s="49" t="s">
        <v>94</v>
      </c>
      <c r="GYO76" s="49" t="s">
        <v>93</v>
      </c>
      <c r="GYP76" s="49" t="s">
        <v>94</v>
      </c>
      <c r="GYQ76" s="49" t="s">
        <v>93</v>
      </c>
      <c r="GYR76" s="49" t="s">
        <v>94</v>
      </c>
      <c r="GYS76" s="49" t="s">
        <v>93</v>
      </c>
      <c r="GYT76" s="49" t="s">
        <v>94</v>
      </c>
      <c r="GYU76" s="49" t="s">
        <v>93</v>
      </c>
      <c r="GYV76" s="49" t="s">
        <v>94</v>
      </c>
      <c r="GYW76" s="49" t="s">
        <v>93</v>
      </c>
      <c r="GYX76" s="49" t="s">
        <v>94</v>
      </c>
      <c r="GYY76" s="49" t="s">
        <v>93</v>
      </c>
      <c r="GYZ76" s="49" t="s">
        <v>94</v>
      </c>
      <c r="GZA76" s="49" t="s">
        <v>93</v>
      </c>
      <c r="GZB76" s="49" t="s">
        <v>94</v>
      </c>
      <c r="GZC76" s="49" t="s">
        <v>93</v>
      </c>
      <c r="GZD76" s="49" t="s">
        <v>94</v>
      </c>
      <c r="GZE76" s="49" t="s">
        <v>93</v>
      </c>
      <c r="GZF76" s="49" t="s">
        <v>94</v>
      </c>
      <c r="GZG76" s="49" t="s">
        <v>93</v>
      </c>
      <c r="GZH76" s="49" t="s">
        <v>94</v>
      </c>
      <c r="GZI76" s="49" t="s">
        <v>93</v>
      </c>
      <c r="GZJ76" s="49" t="s">
        <v>94</v>
      </c>
      <c r="GZK76" s="49" t="s">
        <v>93</v>
      </c>
      <c r="GZL76" s="49" t="s">
        <v>94</v>
      </c>
      <c r="GZM76" s="49" t="s">
        <v>93</v>
      </c>
      <c r="GZN76" s="49" t="s">
        <v>94</v>
      </c>
      <c r="GZO76" s="49" t="s">
        <v>93</v>
      </c>
      <c r="GZP76" s="49" t="s">
        <v>94</v>
      </c>
      <c r="GZQ76" s="49" t="s">
        <v>93</v>
      </c>
      <c r="GZR76" s="49" t="s">
        <v>94</v>
      </c>
      <c r="GZS76" s="49" t="s">
        <v>93</v>
      </c>
      <c r="GZT76" s="49" t="s">
        <v>94</v>
      </c>
      <c r="GZU76" s="49" t="s">
        <v>93</v>
      </c>
      <c r="GZV76" s="49" t="s">
        <v>94</v>
      </c>
      <c r="GZW76" s="49" t="s">
        <v>93</v>
      </c>
      <c r="GZX76" s="49" t="s">
        <v>94</v>
      </c>
      <c r="GZY76" s="49" t="s">
        <v>93</v>
      </c>
      <c r="GZZ76" s="49" t="s">
        <v>94</v>
      </c>
      <c r="HAA76" s="49" t="s">
        <v>93</v>
      </c>
      <c r="HAB76" s="49" t="s">
        <v>94</v>
      </c>
      <c r="HAC76" s="49" t="s">
        <v>93</v>
      </c>
      <c r="HAD76" s="49" t="s">
        <v>94</v>
      </c>
      <c r="HAE76" s="49" t="s">
        <v>93</v>
      </c>
      <c r="HAF76" s="49" t="s">
        <v>94</v>
      </c>
      <c r="HAG76" s="49" t="s">
        <v>93</v>
      </c>
      <c r="HAH76" s="49" t="s">
        <v>94</v>
      </c>
      <c r="HAI76" s="49" t="s">
        <v>93</v>
      </c>
      <c r="HAJ76" s="49" t="s">
        <v>94</v>
      </c>
      <c r="HAK76" s="49" t="s">
        <v>93</v>
      </c>
      <c r="HAL76" s="49" t="s">
        <v>94</v>
      </c>
      <c r="HAM76" s="49" t="s">
        <v>93</v>
      </c>
      <c r="HAN76" s="49" t="s">
        <v>94</v>
      </c>
      <c r="HAO76" s="49" t="s">
        <v>93</v>
      </c>
      <c r="HAP76" s="49" t="s">
        <v>94</v>
      </c>
      <c r="HAQ76" s="49" t="s">
        <v>93</v>
      </c>
      <c r="HAR76" s="49" t="s">
        <v>94</v>
      </c>
      <c r="HAS76" s="49" t="s">
        <v>93</v>
      </c>
      <c r="HAT76" s="49" t="s">
        <v>94</v>
      </c>
      <c r="HAU76" s="49" t="s">
        <v>93</v>
      </c>
      <c r="HAV76" s="49" t="s">
        <v>94</v>
      </c>
      <c r="HAW76" s="49" t="s">
        <v>93</v>
      </c>
      <c r="HAX76" s="49" t="s">
        <v>94</v>
      </c>
      <c r="HAY76" s="49" t="s">
        <v>93</v>
      </c>
      <c r="HAZ76" s="49" t="s">
        <v>94</v>
      </c>
      <c r="HBA76" s="49" t="s">
        <v>93</v>
      </c>
      <c r="HBB76" s="49" t="s">
        <v>94</v>
      </c>
      <c r="HBC76" s="49" t="s">
        <v>93</v>
      </c>
      <c r="HBD76" s="49" t="s">
        <v>94</v>
      </c>
      <c r="HBE76" s="49" t="s">
        <v>93</v>
      </c>
      <c r="HBF76" s="49" t="s">
        <v>94</v>
      </c>
      <c r="HBG76" s="49" t="s">
        <v>93</v>
      </c>
      <c r="HBH76" s="49" t="s">
        <v>94</v>
      </c>
      <c r="HBI76" s="49" t="s">
        <v>93</v>
      </c>
      <c r="HBJ76" s="49" t="s">
        <v>94</v>
      </c>
      <c r="HBK76" s="49" t="s">
        <v>93</v>
      </c>
      <c r="HBL76" s="49" t="s">
        <v>94</v>
      </c>
      <c r="HBM76" s="49" t="s">
        <v>93</v>
      </c>
      <c r="HBN76" s="49" t="s">
        <v>94</v>
      </c>
      <c r="HBO76" s="49" t="s">
        <v>93</v>
      </c>
      <c r="HBP76" s="49" t="s">
        <v>94</v>
      </c>
      <c r="HBQ76" s="49" t="s">
        <v>93</v>
      </c>
      <c r="HBR76" s="49" t="s">
        <v>94</v>
      </c>
      <c r="HBS76" s="49" t="s">
        <v>93</v>
      </c>
      <c r="HBT76" s="49" t="s">
        <v>94</v>
      </c>
      <c r="HBU76" s="49" t="s">
        <v>93</v>
      </c>
      <c r="HBV76" s="49" t="s">
        <v>94</v>
      </c>
      <c r="HBW76" s="49" t="s">
        <v>93</v>
      </c>
      <c r="HBX76" s="49" t="s">
        <v>94</v>
      </c>
      <c r="HBY76" s="49" t="s">
        <v>93</v>
      </c>
      <c r="HBZ76" s="49" t="s">
        <v>94</v>
      </c>
      <c r="HCA76" s="49" t="s">
        <v>93</v>
      </c>
      <c r="HCB76" s="49" t="s">
        <v>94</v>
      </c>
      <c r="HCC76" s="49" t="s">
        <v>93</v>
      </c>
      <c r="HCD76" s="49" t="s">
        <v>94</v>
      </c>
      <c r="HCE76" s="49" t="s">
        <v>93</v>
      </c>
      <c r="HCF76" s="49" t="s">
        <v>94</v>
      </c>
      <c r="HCG76" s="49" t="s">
        <v>93</v>
      </c>
      <c r="HCH76" s="49" t="s">
        <v>94</v>
      </c>
      <c r="HCI76" s="49" t="s">
        <v>93</v>
      </c>
      <c r="HCJ76" s="49" t="s">
        <v>94</v>
      </c>
      <c r="HCK76" s="49" t="s">
        <v>93</v>
      </c>
      <c r="HCL76" s="49" t="s">
        <v>94</v>
      </c>
      <c r="HCM76" s="49" t="s">
        <v>93</v>
      </c>
      <c r="HCN76" s="49" t="s">
        <v>94</v>
      </c>
      <c r="HCO76" s="49" t="s">
        <v>93</v>
      </c>
      <c r="HCP76" s="49" t="s">
        <v>94</v>
      </c>
      <c r="HCQ76" s="49" t="s">
        <v>93</v>
      </c>
      <c r="HCR76" s="49" t="s">
        <v>94</v>
      </c>
      <c r="HCS76" s="49" t="s">
        <v>93</v>
      </c>
      <c r="HCT76" s="49" t="s">
        <v>94</v>
      </c>
      <c r="HCU76" s="49" t="s">
        <v>93</v>
      </c>
      <c r="HCV76" s="49" t="s">
        <v>94</v>
      </c>
      <c r="HCW76" s="49" t="s">
        <v>93</v>
      </c>
      <c r="HCX76" s="49" t="s">
        <v>94</v>
      </c>
      <c r="HCY76" s="49" t="s">
        <v>93</v>
      </c>
      <c r="HCZ76" s="49" t="s">
        <v>94</v>
      </c>
      <c r="HDA76" s="49" t="s">
        <v>93</v>
      </c>
      <c r="HDB76" s="49" t="s">
        <v>94</v>
      </c>
      <c r="HDC76" s="49" t="s">
        <v>93</v>
      </c>
      <c r="HDD76" s="49" t="s">
        <v>94</v>
      </c>
      <c r="HDE76" s="49" t="s">
        <v>93</v>
      </c>
      <c r="HDF76" s="49" t="s">
        <v>94</v>
      </c>
      <c r="HDG76" s="49" t="s">
        <v>93</v>
      </c>
      <c r="HDH76" s="49" t="s">
        <v>94</v>
      </c>
      <c r="HDI76" s="49" t="s">
        <v>93</v>
      </c>
      <c r="HDJ76" s="49" t="s">
        <v>94</v>
      </c>
      <c r="HDK76" s="49" t="s">
        <v>93</v>
      </c>
      <c r="HDL76" s="49" t="s">
        <v>94</v>
      </c>
      <c r="HDM76" s="49" t="s">
        <v>93</v>
      </c>
      <c r="HDN76" s="49" t="s">
        <v>94</v>
      </c>
      <c r="HDO76" s="49" t="s">
        <v>93</v>
      </c>
      <c r="HDP76" s="49" t="s">
        <v>94</v>
      </c>
      <c r="HDQ76" s="49" t="s">
        <v>93</v>
      </c>
      <c r="HDR76" s="49" t="s">
        <v>94</v>
      </c>
      <c r="HDS76" s="49" t="s">
        <v>93</v>
      </c>
      <c r="HDT76" s="49" t="s">
        <v>94</v>
      </c>
      <c r="HDU76" s="49" t="s">
        <v>93</v>
      </c>
      <c r="HDV76" s="49" t="s">
        <v>94</v>
      </c>
      <c r="HDW76" s="49" t="s">
        <v>93</v>
      </c>
      <c r="HDX76" s="49" t="s">
        <v>94</v>
      </c>
      <c r="HDY76" s="49" t="s">
        <v>93</v>
      </c>
      <c r="HDZ76" s="49" t="s">
        <v>94</v>
      </c>
      <c r="HEA76" s="49" t="s">
        <v>93</v>
      </c>
      <c r="HEB76" s="49" t="s">
        <v>94</v>
      </c>
      <c r="HEC76" s="49" t="s">
        <v>93</v>
      </c>
      <c r="HED76" s="49" t="s">
        <v>94</v>
      </c>
      <c r="HEE76" s="49" t="s">
        <v>93</v>
      </c>
      <c r="HEF76" s="49" t="s">
        <v>94</v>
      </c>
      <c r="HEG76" s="49" t="s">
        <v>93</v>
      </c>
      <c r="HEH76" s="49" t="s">
        <v>94</v>
      </c>
      <c r="HEI76" s="49" t="s">
        <v>93</v>
      </c>
      <c r="HEJ76" s="49" t="s">
        <v>94</v>
      </c>
      <c r="HEK76" s="49" t="s">
        <v>93</v>
      </c>
      <c r="HEL76" s="49" t="s">
        <v>94</v>
      </c>
      <c r="HEM76" s="49" t="s">
        <v>93</v>
      </c>
      <c r="HEN76" s="49" t="s">
        <v>94</v>
      </c>
      <c r="HEO76" s="49" t="s">
        <v>93</v>
      </c>
      <c r="HEP76" s="49" t="s">
        <v>94</v>
      </c>
      <c r="HEQ76" s="49" t="s">
        <v>93</v>
      </c>
      <c r="HER76" s="49" t="s">
        <v>94</v>
      </c>
      <c r="HES76" s="49" t="s">
        <v>93</v>
      </c>
      <c r="HET76" s="49" t="s">
        <v>94</v>
      </c>
      <c r="HEU76" s="49" t="s">
        <v>93</v>
      </c>
      <c r="HEV76" s="49" t="s">
        <v>94</v>
      </c>
      <c r="HEW76" s="49" t="s">
        <v>93</v>
      </c>
      <c r="HEX76" s="49" t="s">
        <v>94</v>
      </c>
      <c r="HEY76" s="49" t="s">
        <v>93</v>
      </c>
      <c r="HEZ76" s="49" t="s">
        <v>94</v>
      </c>
      <c r="HFA76" s="49" t="s">
        <v>93</v>
      </c>
      <c r="HFB76" s="49" t="s">
        <v>94</v>
      </c>
      <c r="HFC76" s="49" t="s">
        <v>93</v>
      </c>
      <c r="HFD76" s="49" t="s">
        <v>94</v>
      </c>
      <c r="HFE76" s="49" t="s">
        <v>93</v>
      </c>
      <c r="HFF76" s="49" t="s">
        <v>94</v>
      </c>
      <c r="HFG76" s="49" t="s">
        <v>93</v>
      </c>
      <c r="HFH76" s="49" t="s">
        <v>94</v>
      </c>
      <c r="HFI76" s="49" t="s">
        <v>93</v>
      </c>
      <c r="HFJ76" s="49" t="s">
        <v>94</v>
      </c>
      <c r="HFK76" s="49" t="s">
        <v>93</v>
      </c>
      <c r="HFL76" s="49" t="s">
        <v>94</v>
      </c>
      <c r="HFM76" s="49" t="s">
        <v>93</v>
      </c>
      <c r="HFN76" s="49" t="s">
        <v>94</v>
      </c>
      <c r="HFO76" s="49" t="s">
        <v>93</v>
      </c>
      <c r="HFP76" s="49" t="s">
        <v>94</v>
      </c>
      <c r="HFQ76" s="49" t="s">
        <v>93</v>
      </c>
      <c r="HFR76" s="49" t="s">
        <v>94</v>
      </c>
      <c r="HFS76" s="49" t="s">
        <v>93</v>
      </c>
      <c r="HFT76" s="49" t="s">
        <v>94</v>
      </c>
      <c r="HFU76" s="49" t="s">
        <v>93</v>
      </c>
      <c r="HFV76" s="49" t="s">
        <v>94</v>
      </c>
      <c r="HFW76" s="49" t="s">
        <v>93</v>
      </c>
      <c r="HFX76" s="49" t="s">
        <v>94</v>
      </c>
      <c r="HFY76" s="49" t="s">
        <v>93</v>
      </c>
      <c r="HFZ76" s="49" t="s">
        <v>94</v>
      </c>
      <c r="HGA76" s="49" t="s">
        <v>93</v>
      </c>
      <c r="HGB76" s="49" t="s">
        <v>94</v>
      </c>
      <c r="HGC76" s="49" t="s">
        <v>93</v>
      </c>
      <c r="HGD76" s="49" t="s">
        <v>94</v>
      </c>
      <c r="HGE76" s="49" t="s">
        <v>93</v>
      </c>
      <c r="HGF76" s="49" t="s">
        <v>94</v>
      </c>
      <c r="HGG76" s="49" t="s">
        <v>93</v>
      </c>
      <c r="HGH76" s="49" t="s">
        <v>94</v>
      </c>
      <c r="HGI76" s="49" t="s">
        <v>93</v>
      </c>
      <c r="HGJ76" s="49" t="s">
        <v>94</v>
      </c>
      <c r="HGK76" s="49" t="s">
        <v>93</v>
      </c>
      <c r="HGL76" s="49" t="s">
        <v>94</v>
      </c>
      <c r="HGM76" s="49" t="s">
        <v>93</v>
      </c>
      <c r="HGN76" s="49" t="s">
        <v>94</v>
      </c>
      <c r="HGO76" s="49" t="s">
        <v>93</v>
      </c>
      <c r="HGP76" s="49" t="s">
        <v>94</v>
      </c>
      <c r="HGQ76" s="49" t="s">
        <v>93</v>
      </c>
      <c r="HGR76" s="49" t="s">
        <v>94</v>
      </c>
      <c r="HGS76" s="49" t="s">
        <v>93</v>
      </c>
      <c r="HGT76" s="49" t="s">
        <v>94</v>
      </c>
      <c r="HGU76" s="49" t="s">
        <v>93</v>
      </c>
      <c r="HGV76" s="49" t="s">
        <v>94</v>
      </c>
      <c r="HGW76" s="49" t="s">
        <v>93</v>
      </c>
      <c r="HGX76" s="49" t="s">
        <v>94</v>
      </c>
      <c r="HGY76" s="49" t="s">
        <v>93</v>
      </c>
      <c r="HGZ76" s="49" t="s">
        <v>94</v>
      </c>
      <c r="HHA76" s="49" t="s">
        <v>93</v>
      </c>
      <c r="HHB76" s="49" t="s">
        <v>94</v>
      </c>
      <c r="HHC76" s="49" t="s">
        <v>93</v>
      </c>
      <c r="HHD76" s="49" t="s">
        <v>94</v>
      </c>
      <c r="HHE76" s="49" t="s">
        <v>93</v>
      </c>
      <c r="HHF76" s="49" t="s">
        <v>94</v>
      </c>
      <c r="HHG76" s="49" t="s">
        <v>93</v>
      </c>
      <c r="HHH76" s="49" t="s">
        <v>94</v>
      </c>
      <c r="HHI76" s="49" t="s">
        <v>93</v>
      </c>
      <c r="HHJ76" s="49" t="s">
        <v>94</v>
      </c>
      <c r="HHK76" s="49" t="s">
        <v>93</v>
      </c>
      <c r="HHL76" s="49" t="s">
        <v>94</v>
      </c>
      <c r="HHM76" s="49" t="s">
        <v>93</v>
      </c>
      <c r="HHN76" s="49" t="s">
        <v>94</v>
      </c>
      <c r="HHO76" s="49" t="s">
        <v>93</v>
      </c>
      <c r="HHP76" s="49" t="s">
        <v>94</v>
      </c>
      <c r="HHQ76" s="49" t="s">
        <v>93</v>
      </c>
      <c r="HHR76" s="49" t="s">
        <v>94</v>
      </c>
      <c r="HHS76" s="49" t="s">
        <v>93</v>
      </c>
      <c r="HHT76" s="49" t="s">
        <v>94</v>
      </c>
      <c r="HHU76" s="49" t="s">
        <v>93</v>
      </c>
      <c r="HHV76" s="49" t="s">
        <v>94</v>
      </c>
      <c r="HHW76" s="49" t="s">
        <v>93</v>
      </c>
      <c r="HHX76" s="49" t="s">
        <v>94</v>
      </c>
      <c r="HHY76" s="49" t="s">
        <v>93</v>
      </c>
      <c r="HHZ76" s="49" t="s">
        <v>94</v>
      </c>
      <c r="HIA76" s="49" t="s">
        <v>93</v>
      </c>
      <c r="HIB76" s="49" t="s">
        <v>94</v>
      </c>
      <c r="HIC76" s="49" t="s">
        <v>93</v>
      </c>
      <c r="HID76" s="49" t="s">
        <v>94</v>
      </c>
      <c r="HIE76" s="49" t="s">
        <v>93</v>
      </c>
      <c r="HIF76" s="49" t="s">
        <v>94</v>
      </c>
      <c r="HIG76" s="49" t="s">
        <v>93</v>
      </c>
      <c r="HIH76" s="49" t="s">
        <v>94</v>
      </c>
      <c r="HII76" s="49" t="s">
        <v>93</v>
      </c>
      <c r="HIJ76" s="49" t="s">
        <v>94</v>
      </c>
      <c r="HIK76" s="49" t="s">
        <v>93</v>
      </c>
      <c r="HIL76" s="49" t="s">
        <v>94</v>
      </c>
      <c r="HIM76" s="49" t="s">
        <v>93</v>
      </c>
      <c r="HIN76" s="49" t="s">
        <v>94</v>
      </c>
      <c r="HIO76" s="49" t="s">
        <v>93</v>
      </c>
      <c r="HIP76" s="49" t="s">
        <v>94</v>
      </c>
      <c r="HIQ76" s="49" t="s">
        <v>93</v>
      </c>
      <c r="HIR76" s="49" t="s">
        <v>94</v>
      </c>
      <c r="HIS76" s="49" t="s">
        <v>93</v>
      </c>
      <c r="HIT76" s="49" t="s">
        <v>94</v>
      </c>
      <c r="HIU76" s="49" t="s">
        <v>93</v>
      </c>
      <c r="HIV76" s="49" t="s">
        <v>94</v>
      </c>
      <c r="HIW76" s="49" t="s">
        <v>93</v>
      </c>
      <c r="HIX76" s="49" t="s">
        <v>94</v>
      </c>
      <c r="HIY76" s="49" t="s">
        <v>93</v>
      </c>
      <c r="HIZ76" s="49" t="s">
        <v>94</v>
      </c>
      <c r="HJA76" s="49" t="s">
        <v>93</v>
      </c>
      <c r="HJB76" s="49" t="s">
        <v>94</v>
      </c>
      <c r="HJC76" s="49" t="s">
        <v>93</v>
      </c>
      <c r="HJD76" s="49" t="s">
        <v>94</v>
      </c>
      <c r="HJE76" s="49" t="s">
        <v>93</v>
      </c>
      <c r="HJF76" s="49" t="s">
        <v>94</v>
      </c>
      <c r="HJG76" s="49" t="s">
        <v>93</v>
      </c>
      <c r="HJH76" s="49" t="s">
        <v>94</v>
      </c>
      <c r="HJI76" s="49" t="s">
        <v>93</v>
      </c>
      <c r="HJJ76" s="49" t="s">
        <v>94</v>
      </c>
      <c r="HJK76" s="49" t="s">
        <v>93</v>
      </c>
      <c r="HJL76" s="49" t="s">
        <v>94</v>
      </c>
      <c r="HJM76" s="49" t="s">
        <v>93</v>
      </c>
      <c r="HJN76" s="49" t="s">
        <v>94</v>
      </c>
      <c r="HJO76" s="49" t="s">
        <v>93</v>
      </c>
      <c r="HJP76" s="49" t="s">
        <v>94</v>
      </c>
      <c r="HJQ76" s="49" t="s">
        <v>93</v>
      </c>
      <c r="HJR76" s="49" t="s">
        <v>94</v>
      </c>
      <c r="HJS76" s="49" t="s">
        <v>93</v>
      </c>
      <c r="HJT76" s="49" t="s">
        <v>94</v>
      </c>
      <c r="HJU76" s="49" t="s">
        <v>93</v>
      </c>
      <c r="HJV76" s="49" t="s">
        <v>94</v>
      </c>
      <c r="HJW76" s="49" t="s">
        <v>93</v>
      </c>
      <c r="HJX76" s="49" t="s">
        <v>94</v>
      </c>
      <c r="HJY76" s="49" t="s">
        <v>93</v>
      </c>
      <c r="HJZ76" s="49" t="s">
        <v>94</v>
      </c>
      <c r="HKA76" s="49" t="s">
        <v>93</v>
      </c>
      <c r="HKB76" s="49" t="s">
        <v>94</v>
      </c>
      <c r="HKC76" s="49" t="s">
        <v>93</v>
      </c>
      <c r="HKD76" s="49" t="s">
        <v>94</v>
      </c>
      <c r="HKE76" s="49" t="s">
        <v>93</v>
      </c>
      <c r="HKF76" s="49" t="s">
        <v>94</v>
      </c>
      <c r="HKG76" s="49" t="s">
        <v>93</v>
      </c>
      <c r="HKH76" s="49" t="s">
        <v>94</v>
      </c>
      <c r="HKI76" s="49" t="s">
        <v>93</v>
      </c>
      <c r="HKJ76" s="49" t="s">
        <v>94</v>
      </c>
      <c r="HKK76" s="49" t="s">
        <v>93</v>
      </c>
      <c r="HKL76" s="49" t="s">
        <v>94</v>
      </c>
      <c r="HKM76" s="49" t="s">
        <v>93</v>
      </c>
      <c r="HKN76" s="49" t="s">
        <v>94</v>
      </c>
      <c r="HKO76" s="49" t="s">
        <v>93</v>
      </c>
      <c r="HKP76" s="49" t="s">
        <v>94</v>
      </c>
      <c r="HKQ76" s="49" t="s">
        <v>93</v>
      </c>
      <c r="HKR76" s="49" t="s">
        <v>94</v>
      </c>
      <c r="HKS76" s="49" t="s">
        <v>93</v>
      </c>
      <c r="HKT76" s="49" t="s">
        <v>94</v>
      </c>
      <c r="HKU76" s="49" t="s">
        <v>93</v>
      </c>
      <c r="HKV76" s="49" t="s">
        <v>94</v>
      </c>
      <c r="HKW76" s="49" t="s">
        <v>93</v>
      </c>
      <c r="HKX76" s="49" t="s">
        <v>94</v>
      </c>
      <c r="HKY76" s="49" t="s">
        <v>93</v>
      </c>
      <c r="HKZ76" s="49" t="s">
        <v>94</v>
      </c>
      <c r="HLA76" s="49" t="s">
        <v>93</v>
      </c>
      <c r="HLB76" s="49" t="s">
        <v>94</v>
      </c>
      <c r="HLC76" s="49" t="s">
        <v>93</v>
      </c>
      <c r="HLD76" s="49" t="s">
        <v>94</v>
      </c>
      <c r="HLE76" s="49" t="s">
        <v>93</v>
      </c>
      <c r="HLF76" s="49" t="s">
        <v>94</v>
      </c>
      <c r="HLG76" s="49" t="s">
        <v>93</v>
      </c>
      <c r="HLH76" s="49" t="s">
        <v>94</v>
      </c>
      <c r="HLI76" s="49" t="s">
        <v>93</v>
      </c>
      <c r="HLJ76" s="49" t="s">
        <v>94</v>
      </c>
      <c r="HLK76" s="49" t="s">
        <v>93</v>
      </c>
      <c r="HLL76" s="49" t="s">
        <v>94</v>
      </c>
      <c r="HLM76" s="49" t="s">
        <v>93</v>
      </c>
      <c r="HLN76" s="49" t="s">
        <v>94</v>
      </c>
      <c r="HLO76" s="49" t="s">
        <v>93</v>
      </c>
      <c r="HLP76" s="49" t="s">
        <v>94</v>
      </c>
      <c r="HLQ76" s="49" t="s">
        <v>93</v>
      </c>
      <c r="HLR76" s="49" t="s">
        <v>94</v>
      </c>
      <c r="HLS76" s="49" t="s">
        <v>93</v>
      </c>
      <c r="HLT76" s="49" t="s">
        <v>94</v>
      </c>
      <c r="HLU76" s="49" t="s">
        <v>93</v>
      </c>
      <c r="HLV76" s="49" t="s">
        <v>94</v>
      </c>
      <c r="HLW76" s="49" t="s">
        <v>93</v>
      </c>
      <c r="HLX76" s="49" t="s">
        <v>94</v>
      </c>
      <c r="HLY76" s="49" t="s">
        <v>93</v>
      </c>
      <c r="HLZ76" s="49" t="s">
        <v>94</v>
      </c>
      <c r="HMA76" s="49" t="s">
        <v>93</v>
      </c>
      <c r="HMB76" s="49" t="s">
        <v>94</v>
      </c>
      <c r="HMC76" s="49" t="s">
        <v>93</v>
      </c>
      <c r="HMD76" s="49" t="s">
        <v>94</v>
      </c>
      <c r="HME76" s="49" t="s">
        <v>93</v>
      </c>
      <c r="HMF76" s="49" t="s">
        <v>94</v>
      </c>
      <c r="HMG76" s="49" t="s">
        <v>93</v>
      </c>
      <c r="HMH76" s="49" t="s">
        <v>94</v>
      </c>
      <c r="HMI76" s="49" t="s">
        <v>93</v>
      </c>
      <c r="HMJ76" s="49" t="s">
        <v>94</v>
      </c>
      <c r="HMK76" s="49" t="s">
        <v>93</v>
      </c>
      <c r="HML76" s="49" t="s">
        <v>94</v>
      </c>
      <c r="HMM76" s="49" t="s">
        <v>93</v>
      </c>
      <c r="HMN76" s="49" t="s">
        <v>94</v>
      </c>
      <c r="HMO76" s="49" t="s">
        <v>93</v>
      </c>
      <c r="HMP76" s="49" t="s">
        <v>94</v>
      </c>
      <c r="HMQ76" s="49" t="s">
        <v>93</v>
      </c>
      <c r="HMR76" s="49" t="s">
        <v>94</v>
      </c>
      <c r="HMS76" s="49" t="s">
        <v>93</v>
      </c>
      <c r="HMT76" s="49" t="s">
        <v>94</v>
      </c>
      <c r="HMU76" s="49" t="s">
        <v>93</v>
      </c>
      <c r="HMV76" s="49" t="s">
        <v>94</v>
      </c>
      <c r="HMW76" s="49" t="s">
        <v>93</v>
      </c>
      <c r="HMX76" s="49" t="s">
        <v>94</v>
      </c>
      <c r="HMY76" s="49" t="s">
        <v>93</v>
      </c>
      <c r="HMZ76" s="49" t="s">
        <v>94</v>
      </c>
      <c r="HNA76" s="49" t="s">
        <v>93</v>
      </c>
      <c r="HNB76" s="49" t="s">
        <v>94</v>
      </c>
      <c r="HNC76" s="49" t="s">
        <v>93</v>
      </c>
      <c r="HND76" s="49" t="s">
        <v>94</v>
      </c>
      <c r="HNE76" s="49" t="s">
        <v>93</v>
      </c>
      <c r="HNF76" s="49" t="s">
        <v>94</v>
      </c>
      <c r="HNG76" s="49" t="s">
        <v>93</v>
      </c>
      <c r="HNH76" s="49" t="s">
        <v>94</v>
      </c>
      <c r="HNI76" s="49" t="s">
        <v>93</v>
      </c>
      <c r="HNJ76" s="49" t="s">
        <v>94</v>
      </c>
      <c r="HNK76" s="49" t="s">
        <v>93</v>
      </c>
      <c r="HNL76" s="49" t="s">
        <v>94</v>
      </c>
      <c r="HNM76" s="49" t="s">
        <v>93</v>
      </c>
      <c r="HNN76" s="49" t="s">
        <v>94</v>
      </c>
      <c r="HNO76" s="49" t="s">
        <v>93</v>
      </c>
      <c r="HNP76" s="49" t="s">
        <v>94</v>
      </c>
      <c r="HNQ76" s="49" t="s">
        <v>93</v>
      </c>
      <c r="HNR76" s="49" t="s">
        <v>94</v>
      </c>
      <c r="HNS76" s="49" t="s">
        <v>93</v>
      </c>
      <c r="HNT76" s="49" t="s">
        <v>94</v>
      </c>
      <c r="HNU76" s="49" t="s">
        <v>93</v>
      </c>
      <c r="HNV76" s="49" t="s">
        <v>94</v>
      </c>
      <c r="HNW76" s="49" t="s">
        <v>93</v>
      </c>
      <c r="HNX76" s="49" t="s">
        <v>94</v>
      </c>
      <c r="HNY76" s="49" t="s">
        <v>93</v>
      </c>
      <c r="HNZ76" s="49" t="s">
        <v>94</v>
      </c>
      <c r="HOA76" s="49" t="s">
        <v>93</v>
      </c>
      <c r="HOB76" s="49" t="s">
        <v>94</v>
      </c>
      <c r="HOC76" s="49" t="s">
        <v>93</v>
      </c>
      <c r="HOD76" s="49" t="s">
        <v>94</v>
      </c>
      <c r="HOE76" s="49" t="s">
        <v>93</v>
      </c>
      <c r="HOF76" s="49" t="s">
        <v>94</v>
      </c>
      <c r="HOG76" s="49" t="s">
        <v>93</v>
      </c>
      <c r="HOH76" s="49" t="s">
        <v>94</v>
      </c>
      <c r="HOI76" s="49" t="s">
        <v>93</v>
      </c>
      <c r="HOJ76" s="49" t="s">
        <v>94</v>
      </c>
      <c r="HOK76" s="49" t="s">
        <v>93</v>
      </c>
      <c r="HOL76" s="49" t="s">
        <v>94</v>
      </c>
      <c r="HOM76" s="49" t="s">
        <v>93</v>
      </c>
      <c r="HON76" s="49" t="s">
        <v>94</v>
      </c>
      <c r="HOO76" s="49" t="s">
        <v>93</v>
      </c>
      <c r="HOP76" s="49" t="s">
        <v>94</v>
      </c>
      <c r="HOQ76" s="49" t="s">
        <v>93</v>
      </c>
      <c r="HOR76" s="49" t="s">
        <v>94</v>
      </c>
      <c r="HOS76" s="49" t="s">
        <v>93</v>
      </c>
      <c r="HOT76" s="49" t="s">
        <v>94</v>
      </c>
      <c r="HOU76" s="49" t="s">
        <v>93</v>
      </c>
      <c r="HOV76" s="49" t="s">
        <v>94</v>
      </c>
      <c r="HOW76" s="49" t="s">
        <v>93</v>
      </c>
      <c r="HOX76" s="49" t="s">
        <v>94</v>
      </c>
      <c r="HOY76" s="49" t="s">
        <v>93</v>
      </c>
      <c r="HOZ76" s="49" t="s">
        <v>94</v>
      </c>
      <c r="HPA76" s="49" t="s">
        <v>93</v>
      </c>
      <c r="HPB76" s="49" t="s">
        <v>94</v>
      </c>
      <c r="HPC76" s="49" t="s">
        <v>93</v>
      </c>
      <c r="HPD76" s="49" t="s">
        <v>94</v>
      </c>
      <c r="HPE76" s="49" t="s">
        <v>93</v>
      </c>
      <c r="HPF76" s="49" t="s">
        <v>94</v>
      </c>
      <c r="HPG76" s="49" t="s">
        <v>93</v>
      </c>
      <c r="HPH76" s="49" t="s">
        <v>94</v>
      </c>
      <c r="HPI76" s="49" t="s">
        <v>93</v>
      </c>
      <c r="HPJ76" s="49" t="s">
        <v>94</v>
      </c>
      <c r="HPK76" s="49" t="s">
        <v>93</v>
      </c>
      <c r="HPL76" s="49" t="s">
        <v>94</v>
      </c>
      <c r="HPM76" s="49" t="s">
        <v>93</v>
      </c>
      <c r="HPN76" s="49" t="s">
        <v>94</v>
      </c>
      <c r="HPO76" s="49" t="s">
        <v>93</v>
      </c>
      <c r="HPP76" s="49" t="s">
        <v>94</v>
      </c>
      <c r="HPQ76" s="49" t="s">
        <v>93</v>
      </c>
      <c r="HPR76" s="49" t="s">
        <v>94</v>
      </c>
      <c r="HPS76" s="49" t="s">
        <v>93</v>
      </c>
      <c r="HPT76" s="49" t="s">
        <v>94</v>
      </c>
      <c r="HPU76" s="49" t="s">
        <v>93</v>
      </c>
      <c r="HPV76" s="49" t="s">
        <v>94</v>
      </c>
      <c r="HPW76" s="49" t="s">
        <v>93</v>
      </c>
      <c r="HPX76" s="49" t="s">
        <v>94</v>
      </c>
      <c r="HPY76" s="49" t="s">
        <v>93</v>
      </c>
      <c r="HPZ76" s="49" t="s">
        <v>94</v>
      </c>
      <c r="HQA76" s="49" t="s">
        <v>93</v>
      </c>
      <c r="HQB76" s="49" t="s">
        <v>94</v>
      </c>
      <c r="HQC76" s="49" t="s">
        <v>93</v>
      </c>
      <c r="HQD76" s="49" t="s">
        <v>94</v>
      </c>
      <c r="HQE76" s="49" t="s">
        <v>93</v>
      </c>
      <c r="HQF76" s="49" t="s">
        <v>94</v>
      </c>
      <c r="HQG76" s="49" t="s">
        <v>93</v>
      </c>
      <c r="HQH76" s="49" t="s">
        <v>94</v>
      </c>
      <c r="HQI76" s="49" t="s">
        <v>93</v>
      </c>
      <c r="HQJ76" s="49" t="s">
        <v>94</v>
      </c>
      <c r="HQK76" s="49" t="s">
        <v>93</v>
      </c>
      <c r="HQL76" s="49" t="s">
        <v>94</v>
      </c>
      <c r="HQM76" s="49" t="s">
        <v>93</v>
      </c>
      <c r="HQN76" s="49" t="s">
        <v>94</v>
      </c>
      <c r="HQO76" s="49" t="s">
        <v>93</v>
      </c>
      <c r="HQP76" s="49" t="s">
        <v>94</v>
      </c>
      <c r="HQQ76" s="49" t="s">
        <v>93</v>
      </c>
      <c r="HQR76" s="49" t="s">
        <v>94</v>
      </c>
      <c r="HQS76" s="49" t="s">
        <v>93</v>
      </c>
      <c r="HQT76" s="49" t="s">
        <v>94</v>
      </c>
      <c r="HQU76" s="49" t="s">
        <v>93</v>
      </c>
      <c r="HQV76" s="49" t="s">
        <v>94</v>
      </c>
      <c r="HQW76" s="49" t="s">
        <v>93</v>
      </c>
      <c r="HQX76" s="49" t="s">
        <v>94</v>
      </c>
      <c r="HQY76" s="49" t="s">
        <v>93</v>
      </c>
      <c r="HQZ76" s="49" t="s">
        <v>94</v>
      </c>
      <c r="HRA76" s="49" t="s">
        <v>93</v>
      </c>
      <c r="HRB76" s="49" t="s">
        <v>94</v>
      </c>
      <c r="HRC76" s="49" t="s">
        <v>93</v>
      </c>
      <c r="HRD76" s="49" t="s">
        <v>94</v>
      </c>
      <c r="HRE76" s="49" t="s">
        <v>93</v>
      </c>
      <c r="HRF76" s="49" t="s">
        <v>94</v>
      </c>
      <c r="HRG76" s="49" t="s">
        <v>93</v>
      </c>
      <c r="HRH76" s="49" t="s">
        <v>94</v>
      </c>
      <c r="HRI76" s="49" t="s">
        <v>93</v>
      </c>
      <c r="HRJ76" s="49" t="s">
        <v>94</v>
      </c>
      <c r="HRK76" s="49" t="s">
        <v>93</v>
      </c>
      <c r="HRL76" s="49" t="s">
        <v>94</v>
      </c>
      <c r="HRM76" s="49" t="s">
        <v>93</v>
      </c>
      <c r="HRN76" s="49" t="s">
        <v>94</v>
      </c>
      <c r="HRO76" s="49" t="s">
        <v>93</v>
      </c>
      <c r="HRP76" s="49" t="s">
        <v>94</v>
      </c>
      <c r="HRQ76" s="49" t="s">
        <v>93</v>
      </c>
      <c r="HRR76" s="49" t="s">
        <v>94</v>
      </c>
      <c r="HRS76" s="49" t="s">
        <v>93</v>
      </c>
      <c r="HRT76" s="49" t="s">
        <v>94</v>
      </c>
      <c r="HRU76" s="49" t="s">
        <v>93</v>
      </c>
      <c r="HRV76" s="49" t="s">
        <v>94</v>
      </c>
      <c r="HRW76" s="49" t="s">
        <v>93</v>
      </c>
      <c r="HRX76" s="49" t="s">
        <v>94</v>
      </c>
      <c r="HRY76" s="49" t="s">
        <v>93</v>
      </c>
      <c r="HRZ76" s="49" t="s">
        <v>94</v>
      </c>
      <c r="HSA76" s="49" t="s">
        <v>93</v>
      </c>
      <c r="HSB76" s="49" t="s">
        <v>94</v>
      </c>
      <c r="HSC76" s="49" t="s">
        <v>93</v>
      </c>
      <c r="HSD76" s="49" t="s">
        <v>94</v>
      </c>
      <c r="HSE76" s="49" t="s">
        <v>93</v>
      </c>
      <c r="HSF76" s="49" t="s">
        <v>94</v>
      </c>
      <c r="HSG76" s="49" t="s">
        <v>93</v>
      </c>
      <c r="HSH76" s="49" t="s">
        <v>94</v>
      </c>
      <c r="HSI76" s="49" t="s">
        <v>93</v>
      </c>
      <c r="HSJ76" s="49" t="s">
        <v>94</v>
      </c>
      <c r="HSK76" s="49" t="s">
        <v>93</v>
      </c>
      <c r="HSL76" s="49" t="s">
        <v>94</v>
      </c>
      <c r="HSM76" s="49" t="s">
        <v>93</v>
      </c>
      <c r="HSN76" s="49" t="s">
        <v>94</v>
      </c>
      <c r="HSO76" s="49" t="s">
        <v>93</v>
      </c>
      <c r="HSP76" s="49" t="s">
        <v>94</v>
      </c>
      <c r="HSQ76" s="49" t="s">
        <v>93</v>
      </c>
      <c r="HSR76" s="49" t="s">
        <v>94</v>
      </c>
      <c r="HSS76" s="49" t="s">
        <v>93</v>
      </c>
      <c r="HST76" s="49" t="s">
        <v>94</v>
      </c>
      <c r="HSU76" s="49" t="s">
        <v>93</v>
      </c>
      <c r="HSV76" s="49" t="s">
        <v>94</v>
      </c>
      <c r="HSW76" s="49" t="s">
        <v>93</v>
      </c>
      <c r="HSX76" s="49" t="s">
        <v>94</v>
      </c>
      <c r="HSY76" s="49" t="s">
        <v>93</v>
      </c>
      <c r="HSZ76" s="49" t="s">
        <v>94</v>
      </c>
      <c r="HTA76" s="49" t="s">
        <v>93</v>
      </c>
      <c r="HTB76" s="49" t="s">
        <v>94</v>
      </c>
      <c r="HTC76" s="49" t="s">
        <v>93</v>
      </c>
      <c r="HTD76" s="49" t="s">
        <v>94</v>
      </c>
      <c r="HTE76" s="49" t="s">
        <v>93</v>
      </c>
      <c r="HTF76" s="49" t="s">
        <v>94</v>
      </c>
      <c r="HTG76" s="49" t="s">
        <v>93</v>
      </c>
      <c r="HTH76" s="49" t="s">
        <v>94</v>
      </c>
      <c r="HTI76" s="49" t="s">
        <v>93</v>
      </c>
      <c r="HTJ76" s="49" t="s">
        <v>94</v>
      </c>
      <c r="HTK76" s="49" t="s">
        <v>93</v>
      </c>
      <c r="HTL76" s="49" t="s">
        <v>94</v>
      </c>
      <c r="HTM76" s="49" t="s">
        <v>93</v>
      </c>
      <c r="HTN76" s="49" t="s">
        <v>94</v>
      </c>
      <c r="HTO76" s="49" t="s">
        <v>93</v>
      </c>
      <c r="HTP76" s="49" t="s">
        <v>94</v>
      </c>
      <c r="HTQ76" s="49" t="s">
        <v>93</v>
      </c>
      <c r="HTR76" s="49" t="s">
        <v>94</v>
      </c>
      <c r="HTS76" s="49" t="s">
        <v>93</v>
      </c>
      <c r="HTT76" s="49" t="s">
        <v>94</v>
      </c>
      <c r="HTU76" s="49" t="s">
        <v>93</v>
      </c>
      <c r="HTV76" s="49" t="s">
        <v>94</v>
      </c>
      <c r="HTW76" s="49" t="s">
        <v>93</v>
      </c>
      <c r="HTX76" s="49" t="s">
        <v>94</v>
      </c>
      <c r="HTY76" s="49" t="s">
        <v>93</v>
      </c>
      <c r="HTZ76" s="49" t="s">
        <v>94</v>
      </c>
      <c r="HUA76" s="49" t="s">
        <v>93</v>
      </c>
      <c r="HUB76" s="49" t="s">
        <v>94</v>
      </c>
      <c r="HUC76" s="49" t="s">
        <v>93</v>
      </c>
      <c r="HUD76" s="49" t="s">
        <v>94</v>
      </c>
      <c r="HUE76" s="49" t="s">
        <v>93</v>
      </c>
      <c r="HUF76" s="49" t="s">
        <v>94</v>
      </c>
      <c r="HUG76" s="49" t="s">
        <v>93</v>
      </c>
      <c r="HUH76" s="49" t="s">
        <v>94</v>
      </c>
      <c r="HUI76" s="49" t="s">
        <v>93</v>
      </c>
      <c r="HUJ76" s="49" t="s">
        <v>94</v>
      </c>
      <c r="HUK76" s="49" t="s">
        <v>93</v>
      </c>
      <c r="HUL76" s="49" t="s">
        <v>94</v>
      </c>
      <c r="HUM76" s="49" t="s">
        <v>93</v>
      </c>
      <c r="HUN76" s="49" t="s">
        <v>94</v>
      </c>
      <c r="HUO76" s="49" t="s">
        <v>93</v>
      </c>
      <c r="HUP76" s="49" t="s">
        <v>94</v>
      </c>
      <c r="HUQ76" s="49" t="s">
        <v>93</v>
      </c>
      <c r="HUR76" s="49" t="s">
        <v>94</v>
      </c>
      <c r="HUS76" s="49" t="s">
        <v>93</v>
      </c>
      <c r="HUT76" s="49" t="s">
        <v>94</v>
      </c>
      <c r="HUU76" s="49" t="s">
        <v>93</v>
      </c>
      <c r="HUV76" s="49" t="s">
        <v>94</v>
      </c>
      <c r="HUW76" s="49" t="s">
        <v>93</v>
      </c>
      <c r="HUX76" s="49" t="s">
        <v>94</v>
      </c>
      <c r="HUY76" s="49" t="s">
        <v>93</v>
      </c>
      <c r="HUZ76" s="49" t="s">
        <v>94</v>
      </c>
      <c r="HVA76" s="49" t="s">
        <v>93</v>
      </c>
      <c r="HVB76" s="49" t="s">
        <v>94</v>
      </c>
      <c r="HVC76" s="49" t="s">
        <v>93</v>
      </c>
      <c r="HVD76" s="49" t="s">
        <v>94</v>
      </c>
      <c r="HVE76" s="49" t="s">
        <v>93</v>
      </c>
      <c r="HVF76" s="49" t="s">
        <v>94</v>
      </c>
      <c r="HVG76" s="49" t="s">
        <v>93</v>
      </c>
      <c r="HVH76" s="49" t="s">
        <v>94</v>
      </c>
      <c r="HVI76" s="49" t="s">
        <v>93</v>
      </c>
      <c r="HVJ76" s="49" t="s">
        <v>94</v>
      </c>
      <c r="HVK76" s="49" t="s">
        <v>93</v>
      </c>
      <c r="HVL76" s="49" t="s">
        <v>94</v>
      </c>
      <c r="HVM76" s="49" t="s">
        <v>93</v>
      </c>
      <c r="HVN76" s="49" t="s">
        <v>94</v>
      </c>
      <c r="HVO76" s="49" t="s">
        <v>93</v>
      </c>
      <c r="HVP76" s="49" t="s">
        <v>94</v>
      </c>
      <c r="HVQ76" s="49" t="s">
        <v>93</v>
      </c>
      <c r="HVR76" s="49" t="s">
        <v>94</v>
      </c>
      <c r="HVS76" s="49" t="s">
        <v>93</v>
      </c>
      <c r="HVT76" s="49" t="s">
        <v>94</v>
      </c>
      <c r="HVU76" s="49" t="s">
        <v>93</v>
      </c>
      <c r="HVV76" s="49" t="s">
        <v>94</v>
      </c>
      <c r="HVW76" s="49" t="s">
        <v>93</v>
      </c>
      <c r="HVX76" s="49" t="s">
        <v>94</v>
      </c>
      <c r="HVY76" s="49" t="s">
        <v>93</v>
      </c>
      <c r="HVZ76" s="49" t="s">
        <v>94</v>
      </c>
      <c r="HWA76" s="49" t="s">
        <v>93</v>
      </c>
      <c r="HWB76" s="49" t="s">
        <v>94</v>
      </c>
      <c r="HWC76" s="49" t="s">
        <v>93</v>
      </c>
      <c r="HWD76" s="49" t="s">
        <v>94</v>
      </c>
      <c r="HWE76" s="49" t="s">
        <v>93</v>
      </c>
      <c r="HWF76" s="49" t="s">
        <v>94</v>
      </c>
      <c r="HWG76" s="49" t="s">
        <v>93</v>
      </c>
      <c r="HWH76" s="49" t="s">
        <v>94</v>
      </c>
      <c r="HWI76" s="49" t="s">
        <v>93</v>
      </c>
      <c r="HWJ76" s="49" t="s">
        <v>94</v>
      </c>
      <c r="HWK76" s="49" t="s">
        <v>93</v>
      </c>
      <c r="HWL76" s="49" t="s">
        <v>94</v>
      </c>
      <c r="HWM76" s="49" t="s">
        <v>93</v>
      </c>
      <c r="HWN76" s="49" t="s">
        <v>94</v>
      </c>
      <c r="HWO76" s="49" t="s">
        <v>93</v>
      </c>
      <c r="HWP76" s="49" t="s">
        <v>94</v>
      </c>
      <c r="HWQ76" s="49" t="s">
        <v>93</v>
      </c>
      <c r="HWR76" s="49" t="s">
        <v>94</v>
      </c>
      <c r="HWS76" s="49" t="s">
        <v>93</v>
      </c>
      <c r="HWT76" s="49" t="s">
        <v>94</v>
      </c>
      <c r="HWU76" s="49" t="s">
        <v>93</v>
      </c>
      <c r="HWV76" s="49" t="s">
        <v>94</v>
      </c>
      <c r="HWW76" s="49" t="s">
        <v>93</v>
      </c>
      <c r="HWX76" s="49" t="s">
        <v>94</v>
      </c>
      <c r="HWY76" s="49" t="s">
        <v>93</v>
      </c>
      <c r="HWZ76" s="49" t="s">
        <v>94</v>
      </c>
      <c r="HXA76" s="49" t="s">
        <v>93</v>
      </c>
      <c r="HXB76" s="49" t="s">
        <v>94</v>
      </c>
      <c r="HXC76" s="49" t="s">
        <v>93</v>
      </c>
      <c r="HXD76" s="49" t="s">
        <v>94</v>
      </c>
      <c r="HXE76" s="49" t="s">
        <v>93</v>
      </c>
      <c r="HXF76" s="49" t="s">
        <v>94</v>
      </c>
      <c r="HXG76" s="49" t="s">
        <v>93</v>
      </c>
      <c r="HXH76" s="49" t="s">
        <v>94</v>
      </c>
      <c r="HXI76" s="49" t="s">
        <v>93</v>
      </c>
      <c r="HXJ76" s="49" t="s">
        <v>94</v>
      </c>
      <c r="HXK76" s="49" t="s">
        <v>93</v>
      </c>
      <c r="HXL76" s="49" t="s">
        <v>94</v>
      </c>
      <c r="HXM76" s="49" t="s">
        <v>93</v>
      </c>
      <c r="HXN76" s="49" t="s">
        <v>94</v>
      </c>
      <c r="HXO76" s="49" t="s">
        <v>93</v>
      </c>
      <c r="HXP76" s="49" t="s">
        <v>94</v>
      </c>
      <c r="HXQ76" s="49" t="s">
        <v>93</v>
      </c>
      <c r="HXR76" s="49" t="s">
        <v>94</v>
      </c>
      <c r="HXS76" s="49" t="s">
        <v>93</v>
      </c>
      <c r="HXT76" s="49" t="s">
        <v>94</v>
      </c>
      <c r="HXU76" s="49" t="s">
        <v>93</v>
      </c>
      <c r="HXV76" s="49" t="s">
        <v>94</v>
      </c>
      <c r="HXW76" s="49" t="s">
        <v>93</v>
      </c>
      <c r="HXX76" s="49" t="s">
        <v>94</v>
      </c>
      <c r="HXY76" s="49" t="s">
        <v>93</v>
      </c>
      <c r="HXZ76" s="49" t="s">
        <v>94</v>
      </c>
      <c r="HYA76" s="49" t="s">
        <v>93</v>
      </c>
      <c r="HYB76" s="49" t="s">
        <v>94</v>
      </c>
      <c r="HYC76" s="49" t="s">
        <v>93</v>
      </c>
      <c r="HYD76" s="49" t="s">
        <v>94</v>
      </c>
      <c r="HYE76" s="49" t="s">
        <v>93</v>
      </c>
      <c r="HYF76" s="49" t="s">
        <v>94</v>
      </c>
      <c r="HYG76" s="49" t="s">
        <v>93</v>
      </c>
      <c r="HYH76" s="49" t="s">
        <v>94</v>
      </c>
      <c r="HYI76" s="49" t="s">
        <v>93</v>
      </c>
      <c r="HYJ76" s="49" t="s">
        <v>94</v>
      </c>
      <c r="HYK76" s="49" t="s">
        <v>93</v>
      </c>
      <c r="HYL76" s="49" t="s">
        <v>94</v>
      </c>
      <c r="HYM76" s="49" t="s">
        <v>93</v>
      </c>
      <c r="HYN76" s="49" t="s">
        <v>94</v>
      </c>
      <c r="HYO76" s="49" t="s">
        <v>93</v>
      </c>
      <c r="HYP76" s="49" t="s">
        <v>94</v>
      </c>
      <c r="HYQ76" s="49" t="s">
        <v>93</v>
      </c>
      <c r="HYR76" s="49" t="s">
        <v>94</v>
      </c>
      <c r="HYS76" s="49" t="s">
        <v>93</v>
      </c>
      <c r="HYT76" s="49" t="s">
        <v>94</v>
      </c>
      <c r="HYU76" s="49" t="s">
        <v>93</v>
      </c>
      <c r="HYV76" s="49" t="s">
        <v>94</v>
      </c>
      <c r="HYW76" s="49" t="s">
        <v>93</v>
      </c>
      <c r="HYX76" s="49" t="s">
        <v>94</v>
      </c>
      <c r="HYY76" s="49" t="s">
        <v>93</v>
      </c>
      <c r="HYZ76" s="49" t="s">
        <v>94</v>
      </c>
      <c r="HZA76" s="49" t="s">
        <v>93</v>
      </c>
      <c r="HZB76" s="49" t="s">
        <v>94</v>
      </c>
      <c r="HZC76" s="49" t="s">
        <v>93</v>
      </c>
      <c r="HZD76" s="49" t="s">
        <v>94</v>
      </c>
      <c r="HZE76" s="49" t="s">
        <v>93</v>
      </c>
      <c r="HZF76" s="49" t="s">
        <v>94</v>
      </c>
      <c r="HZG76" s="49" t="s">
        <v>93</v>
      </c>
      <c r="HZH76" s="49" t="s">
        <v>94</v>
      </c>
      <c r="HZI76" s="49" t="s">
        <v>93</v>
      </c>
      <c r="HZJ76" s="49" t="s">
        <v>94</v>
      </c>
      <c r="HZK76" s="49" t="s">
        <v>93</v>
      </c>
      <c r="HZL76" s="49" t="s">
        <v>94</v>
      </c>
      <c r="HZM76" s="49" t="s">
        <v>93</v>
      </c>
      <c r="HZN76" s="49" t="s">
        <v>94</v>
      </c>
      <c r="HZO76" s="49" t="s">
        <v>93</v>
      </c>
      <c r="HZP76" s="49" t="s">
        <v>94</v>
      </c>
      <c r="HZQ76" s="49" t="s">
        <v>93</v>
      </c>
      <c r="HZR76" s="49" t="s">
        <v>94</v>
      </c>
      <c r="HZS76" s="49" t="s">
        <v>93</v>
      </c>
      <c r="HZT76" s="49" t="s">
        <v>94</v>
      </c>
      <c r="HZU76" s="49" t="s">
        <v>93</v>
      </c>
      <c r="HZV76" s="49" t="s">
        <v>94</v>
      </c>
      <c r="HZW76" s="49" t="s">
        <v>93</v>
      </c>
      <c r="HZX76" s="49" t="s">
        <v>94</v>
      </c>
      <c r="HZY76" s="49" t="s">
        <v>93</v>
      </c>
      <c r="HZZ76" s="49" t="s">
        <v>94</v>
      </c>
      <c r="IAA76" s="49" t="s">
        <v>93</v>
      </c>
      <c r="IAB76" s="49" t="s">
        <v>94</v>
      </c>
      <c r="IAC76" s="49" t="s">
        <v>93</v>
      </c>
      <c r="IAD76" s="49" t="s">
        <v>94</v>
      </c>
      <c r="IAE76" s="49" t="s">
        <v>93</v>
      </c>
      <c r="IAF76" s="49" t="s">
        <v>94</v>
      </c>
      <c r="IAG76" s="49" t="s">
        <v>93</v>
      </c>
      <c r="IAH76" s="49" t="s">
        <v>94</v>
      </c>
      <c r="IAI76" s="49" t="s">
        <v>93</v>
      </c>
      <c r="IAJ76" s="49" t="s">
        <v>94</v>
      </c>
      <c r="IAK76" s="49" t="s">
        <v>93</v>
      </c>
      <c r="IAL76" s="49" t="s">
        <v>94</v>
      </c>
      <c r="IAM76" s="49" t="s">
        <v>93</v>
      </c>
      <c r="IAN76" s="49" t="s">
        <v>94</v>
      </c>
      <c r="IAO76" s="49" t="s">
        <v>93</v>
      </c>
      <c r="IAP76" s="49" t="s">
        <v>94</v>
      </c>
      <c r="IAQ76" s="49" t="s">
        <v>93</v>
      </c>
      <c r="IAR76" s="49" t="s">
        <v>94</v>
      </c>
      <c r="IAS76" s="49" t="s">
        <v>93</v>
      </c>
      <c r="IAT76" s="49" t="s">
        <v>94</v>
      </c>
      <c r="IAU76" s="49" t="s">
        <v>93</v>
      </c>
      <c r="IAV76" s="49" t="s">
        <v>94</v>
      </c>
      <c r="IAW76" s="49" t="s">
        <v>93</v>
      </c>
      <c r="IAX76" s="49" t="s">
        <v>94</v>
      </c>
      <c r="IAY76" s="49" t="s">
        <v>93</v>
      </c>
      <c r="IAZ76" s="49" t="s">
        <v>94</v>
      </c>
      <c r="IBA76" s="49" t="s">
        <v>93</v>
      </c>
      <c r="IBB76" s="49" t="s">
        <v>94</v>
      </c>
      <c r="IBC76" s="49" t="s">
        <v>93</v>
      </c>
      <c r="IBD76" s="49" t="s">
        <v>94</v>
      </c>
      <c r="IBE76" s="49" t="s">
        <v>93</v>
      </c>
      <c r="IBF76" s="49" t="s">
        <v>94</v>
      </c>
      <c r="IBG76" s="49" t="s">
        <v>93</v>
      </c>
      <c r="IBH76" s="49" t="s">
        <v>94</v>
      </c>
      <c r="IBI76" s="49" t="s">
        <v>93</v>
      </c>
      <c r="IBJ76" s="49" t="s">
        <v>94</v>
      </c>
      <c r="IBK76" s="49" t="s">
        <v>93</v>
      </c>
      <c r="IBL76" s="49" t="s">
        <v>94</v>
      </c>
      <c r="IBM76" s="49" t="s">
        <v>93</v>
      </c>
      <c r="IBN76" s="49" t="s">
        <v>94</v>
      </c>
      <c r="IBO76" s="49" t="s">
        <v>93</v>
      </c>
      <c r="IBP76" s="49" t="s">
        <v>94</v>
      </c>
      <c r="IBQ76" s="49" t="s">
        <v>93</v>
      </c>
      <c r="IBR76" s="49" t="s">
        <v>94</v>
      </c>
      <c r="IBS76" s="49" t="s">
        <v>93</v>
      </c>
      <c r="IBT76" s="49" t="s">
        <v>94</v>
      </c>
      <c r="IBU76" s="49" t="s">
        <v>93</v>
      </c>
      <c r="IBV76" s="49" t="s">
        <v>94</v>
      </c>
      <c r="IBW76" s="49" t="s">
        <v>93</v>
      </c>
      <c r="IBX76" s="49" t="s">
        <v>94</v>
      </c>
      <c r="IBY76" s="49" t="s">
        <v>93</v>
      </c>
      <c r="IBZ76" s="49" t="s">
        <v>94</v>
      </c>
      <c r="ICA76" s="49" t="s">
        <v>93</v>
      </c>
      <c r="ICB76" s="49" t="s">
        <v>94</v>
      </c>
      <c r="ICC76" s="49" t="s">
        <v>93</v>
      </c>
      <c r="ICD76" s="49" t="s">
        <v>94</v>
      </c>
      <c r="ICE76" s="49" t="s">
        <v>93</v>
      </c>
      <c r="ICF76" s="49" t="s">
        <v>94</v>
      </c>
      <c r="ICG76" s="49" t="s">
        <v>93</v>
      </c>
      <c r="ICH76" s="49" t="s">
        <v>94</v>
      </c>
      <c r="ICI76" s="49" t="s">
        <v>93</v>
      </c>
      <c r="ICJ76" s="49" t="s">
        <v>94</v>
      </c>
      <c r="ICK76" s="49" t="s">
        <v>93</v>
      </c>
      <c r="ICL76" s="49" t="s">
        <v>94</v>
      </c>
      <c r="ICM76" s="49" t="s">
        <v>93</v>
      </c>
      <c r="ICN76" s="49" t="s">
        <v>94</v>
      </c>
      <c r="ICO76" s="49" t="s">
        <v>93</v>
      </c>
      <c r="ICP76" s="49" t="s">
        <v>94</v>
      </c>
      <c r="ICQ76" s="49" t="s">
        <v>93</v>
      </c>
      <c r="ICR76" s="49" t="s">
        <v>94</v>
      </c>
      <c r="ICS76" s="49" t="s">
        <v>93</v>
      </c>
      <c r="ICT76" s="49" t="s">
        <v>94</v>
      </c>
      <c r="ICU76" s="49" t="s">
        <v>93</v>
      </c>
      <c r="ICV76" s="49" t="s">
        <v>94</v>
      </c>
      <c r="ICW76" s="49" t="s">
        <v>93</v>
      </c>
      <c r="ICX76" s="49" t="s">
        <v>94</v>
      </c>
      <c r="ICY76" s="49" t="s">
        <v>93</v>
      </c>
      <c r="ICZ76" s="49" t="s">
        <v>94</v>
      </c>
      <c r="IDA76" s="49" t="s">
        <v>93</v>
      </c>
      <c r="IDB76" s="49" t="s">
        <v>94</v>
      </c>
      <c r="IDC76" s="49" t="s">
        <v>93</v>
      </c>
      <c r="IDD76" s="49" t="s">
        <v>94</v>
      </c>
      <c r="IDE76" s="49" t="s">
        <v>93</v>
      </c>
      <c r="IDF76" s="49" t="s">
        <v>94</v>
      </c>
      <c r="IDG76" s="49" t="s">
        <v>93</v>
      </c>
      <c r="IDH76" s="49" t="s">
        <v>94</v>
      </c>
      <c r="IDI76" s="49" t="s">
        <v>93</v>
      </c>
      <c r="IDJ76" s="49" t="s">
        <v>94</v>
      </c>
      <c r="IDK76" s="49" t="s">
        <v>93</v>
      </c>
      <c r="IDL76" s="49" t="s">
        <v>94</v>
      </c>
      <c r="IDM76" s="49" t="s">
        <v>93</v>
      </c>
      <c r="IDN76" s="49" t="s">
        <v>94</v>
      </c>
      <c r="IDO76" s="49" t="s">
        <v>93</v>
      </c>
      <c r="IDP76" s="49" t="s">
        <v>94</v>
      </c>
      <c r="IDQ76" s="49" t="s">
        <v>93</v>
      </c>
      <c r="IDR76" s="49" t="s">
        <v>94</v>
      </c>
      <c r="IDS76" s="49" t="s">
        <v>93</v>
      </c>
      <c r="IDT76" s="49" t="s">
        <v>94</v>
      </c>
      <c r="IDU76" s="49" t="s">
        <v>93</v>
      </c>
      <c r="IDV76" s="49" t="s">
        <v>94</v>
      </c>
      <c r="IDW76" s="49" t="s">
        <v>93</v>
      </c>
      <c r="IDX76" s="49" t="s">
        <v>94</v>
      </c>
      <c r="IDY76" s="49" t="s">
        <v>93</v>
      </c>
      <c r="IDZ76" s="49" t="s">
        <v>94</v>
      </c>
      <c r="IEA76" s="49" t="s">
        <v>93</v>
      </c>
      <c r="IEB76" s="49" t="s">
        <v>94</v>
      </c>
      <c r="IEC76" s="49" t="s">
        <v>93</v>
      </c>
      <c r="IED76" s="49" t="s">
        <v>94</v>
      </c>
      <c r="IEE76" s="49" t="s">
        <v>93</v>
      </c>
      <c r="IEF76" s="49" t="s">
        <v>94</v>
      </c>
      <c r="IEG76" s="49" t="s">
        <v>93</v>
      </c>
      <c r="IEH76" s="49" t="s">
        <v>94</v>
      </c>
      <c r="IEI76" s="49" t="s">
        <v>93</v>
      </c>
      <c r="IEJ76" s="49" t="s">
        <v>94</v>
      </c>
      <c r="IEK76" s="49" t="s">
        <v>93</v>
      </c>
      <c r="IEL76" s="49" t="s">
        <v>94</v>
      </c>
      <c r="IEM76" s="49" t="s">
        <v>93</v>
      </c>
      <c r="IEN76" s="49" t="s">
        <v>94</v>
      </c>
      <c r="IEO76" s="49" t="s">
        <v>93</v>
      </c>
      <c r="IEP76" s="49" t="s">
        <v>94</v>
      </c>
      <c r="IEQ76" s="49" t="s">
        <v>93</v>
      </c>
      <c r="IER76" s="49" t="s">
        <v>94</v>
      </c>
      <c r="IES76" s="49" t="s">
        <v>93</v>
      </c>
      <c r="IET76" s="49" t="s">
        <v>94</v>
      </c>
      <c r="IEU76" s="49" t="s">
        <v>93</v>
      </c>
      <c r="IEV76" s="49" t="s">
        <v>94</v>
      </c>
      <c r="IEW76" s="49" t="s">
        <v>93</v>
      </c>
      <c r="IEX76" s="49" t="s">
        <v>94</v>
      </c>
      <c r="IEY76" s="49" t="s">
        <v>93</v>
      </c>
      <c r="IEZ76" s="49" t="s">
        <v>94</v>
      </c>
      <c r="IFA76" s="49" t="s">
        <v>93</v>
      </c>
      <c r="IFB76" s="49" t="s">
        <v>94</v>
      </c>
      <c r="IFC76" s="49" t="s">
        <v>93</v>
      </c>
      <c r="IFD76" s="49" t="s">
        <v>94</v>
      </c>
      <c r="IFE76" s="49" t="s">
        <v>93</v>
      </c>
      <c r="IFF76" s="49" t="s">
        <v>94</v>
      </c>
      <c r="IFG76" s="49" t="s">
        <v>93</v>
      </c>
      <c r="IFH76" s="49" t="s">
        <v>94</v>
      </c>
      <c r="IFI76" s="49" t="s">
        <v>93</v>
      </c>
      <c r="IFJ76" s="49" t="s">
        <v>94</v>
      </c>
      <c r="IFK76" s="49" t="s">
        <v>93</v>
      </c>
      <c r="IFL76" s="49" t="s">
        <v>94</v>
      </c>
      <c r="IFM76" s="49" t="s">
        <v>93</v>
      </c>
      <c r="IFN76" s="49" t="s">
        <v>94</v>
      </c>
      <c r="IFO76" s="49" t="s">
        <v>93</v>
      </c>
      <c r="IFP76" s="49" t="s">
        <v>94</v>
      </c>
      <c r="IFQ76" s="49" t="s">
        <v>93</v>
      </c>
      <c r="IFR76" s="49" t="s">
        <v>94</v>
      </c>
      <c r="IFS76" s="49" t="s">
        <v>93</v>
      </c>
      <c r="IFT76" s="49" t="s">
        <v>94</v>
      </c>
      <c r="IFU76" s="49" t="s">
        <v>93</v>
      </c>
      <c r="IFV76" s="49" t="s">
        <v>94</v>
      </c>
      <c r="IFW76" s="49" t="s">
        <v>93</v>
      </c>
      <c r="IFX76" s="49" t="s">
        <v>94</v>
      </c>
      <c r="IFY76" s="49" t="s">
        <v>93</v>
      </c>
      <c r="IFZ76" s="49" t="s">
        <v>94</v>
      </c>
      <c r="IGA76" s="49" t="s">
        <v>93</v>
      </c>
      <c r="IGB76" s="49" t="s">
        <v>94</v>
      </c>
      <c r="IGC76" s="49" t="s">
        <v>93</v>
      </c>
      <c r="IGD76" s="49" t="s">
        <v>94</v>
      </c>
      <c r="IGE76" s="49" t="s">
        <v>93</v>
      </c>
      <c r="IGF76" s="49" t="s">
        <v>94</v>
      </c>
      <c r="IGG76" s="49" t="s">
        <v>93</v>
      </c>
      <c r="IGH76" s="49" t="s">
        <v>94</v>
      </c>
      <c r="IGI76" s="49" t="s">
        <v>93</v>
      </c>
      <c r="IGJ76" s="49" t="s">
        <v>94</v>
      </c>
      <c r="IGK76" s="49" t="s">
        <v>93</v>
      </c>
      <c r="IGL76" s="49" t="s">
        <v>94</v>
      </c>
      <c r="IGM76" s="49" t="s">
        <v>93</v>
      </c>
      <c r="IGN76" s="49" t="s">
        <v>94</v>
      </c>
      <c r="IGO76" s="49" t="s">
        <v>93</v>
      </c>
      <c r="IGP76" s="49" t="s">
        <v>94</v>
      </c>
      <c r="IGQ76" s="49" t="s">
        <v>93</v>
      </c>
      <c r="IGR76" s="49" t="s">
        <v>94</v>
      </c>
      <c r="IGS76" s="49" t="s">
        <v>93</v>
      </c>
      <c r="IGT76" s="49" t="s">
        <v>94</v>
      </c>
      <c r="IGU76" s="49" t="s">
        <v>93</v>
      </c>
      <c r="IGV76" s="49" t="s">
        <v>94</v>
      </c>
      <c r="IGW76" s="49" t="s">
        <v>93</v>
      </c>
      <c r="IGX76" s="49" t="s">
        <v>94</v>
      </c>
      <c r="IGY76" s="49" t="s">
        <v>93</v>
      </c>
      <c r="IGZ76" s="49" t="s">
        <v>94</v>
      </c>
      <c r="IHA76" s="49" t="s">
        <v>93</v>
      </c>
      <c r="IHB76" s="49" t="s">
        <v>94</v>
      </c>
      <c r="IHC76" s="49" t="s">
        <v>93</v>
      </c>
      <c r="IHD76" s="49" t="s">
        <v>94</v>
      </c>
      <c r="IHE76" s="49" t="s">
        <v>93</v>
      </c>
      <c r="IHF76" s="49" t="s">
        <v>94</v>
      </c>
      <c r="IHG76" s="49" t="s">
        <v>93</v>
      </c>
      <c r="IHH76" s="49" t="s">
        <v>94</v>
      </c>
      <c r="IHI76" s="49" t="s">
        <v>93</v>
      </c>
      <c r="IHJ76" s="49" t="s">
        <v>94</v>
      </c>
      <c r="IHK76" s="49" t="s">
        <v>93</v>
      </c>
      <c r="IHL76" s="49" t="s">
        <v>94</v>
      </c>
      <c r="IHM76" s="49" t="s">
        <v>93</v>
      </c>
      <c r="IHN76" s="49" t="s">
        <v>94</v>
      </c>
      <c r="IHO76" s="49" t="s">
        <v>93</v>
      </c>
      <c r="IHP76" s="49" t="s">
        <v>94</v>
      </c>
      <c r="IHQ76" s="49" t="s">
        <v>93</v>
      </c>
      <c r="IHR76" s="49" t="s">
        <v>94</v>
      </c>
      <c r="IHS76" s="49" t="s">
        <v>93</v>
      </c>
      <c r="IHT76" s="49" t="s">
        <v>94</v>
      </c>
      <c r="IHU76" s="49" t="s">
        <v>93</v>
      </c>
      <c r="IHV76" s="49" t="s">
        <v>94</v>
      </c>
      <c r="IHW76" s="49" t="s">
        <v>93</v>
      </c>
      <c r="IHX76" s="49" t="s">
        <v>94</v>
      </c>
      <c r="IHY76" s="49" t="s">
        <v>93</v>
      </c>
      <c r="IHZ76" s="49" t="s">
        <v>94</v>
      </c>
      <c r="IIA76" s="49" t="s">
        <v>93</v>
      </c>
      <c r="IIB76" s="49" t="s">
        <v>94</v>
      </c>
      <c r="IIC76" s="49" t="s">
        <v>93</v>
      </c>
      <c r="IID76" s="49" t="s">
        <v>94</v>
      </c>
      <c r="IIE76" s="49" t="s">
        <v>93</v>
      </c>
      <c r="IIF76" s="49" t="s">
        <v>94</v>
      </c>
      <c r="IIG76" s="49" t="s">
        <v>93</v>
      </c>
      <c r="IIH76" s="49" t="s">
        <v>94</v>
      </c>
      <c r="III76" s="49" t="s">
        <v>93</v>
      </c>
      <c r="IIJ76" s="49" t="s">
        <v>94</v>
      </c>
      <c r="IIK76" s="49" t="s">
        <v>93</v>
      </c>
      <c r="IIL76" s="49" t="s">
        <v>94</v>
      </c>
      <c r="IIM76" s="49" t="s">
        <v>93</v>
      </c>
      <c r="IIN76" s="49" t="s">
        <v>94</v>
      </c>
      <c r="IIO76" s="49" t="s">
        <v>93</v>
      </c>
      <c r="IIP76" s="49" t="s">
        <v>94</v>
      </c>
      <c r="IIQ76" s="49" t="s">
        <v>93</v>
      </c>
      <c r="IIR76" s="49" t="s">
        <v>94</v>
      </c>
      <c r="IIS76" s="49" t="s">
        <v>93</v>
      </c>
      <c r="IIT76" s="49" t="s">
        <v>94</v>
      </c>
      <c r="IIU76" s="49" t="s">
        <v>93</v>
      </c>
      <c r="IIV76" s="49" t="s">
        <v>94</v>
      </c>
      <c r="IIW76" s="49" t="s">
        <v>93</v>
      </c>
      <c r="IIX76" s="49" t="s">
        <v>94</v>
      </c>
      <c r="IIY76" s="49" t="s">
        <v>93</v>
      </c>
      <c r="IIZ76" s="49" t="s">
        <v>94</v>
      </c>
      <c r="IJA76" s="49" t="s">
        <v>93</v>
      </c>
      <c r="IJB76" s="49" t="s">
        <v>94</v>
      </c>
      <c r="IJC76" s="49" t="s">
        <v>93</v>
      </c>
      <c r="IJD76" s="49" t="s">
        <v>94</v>
      </c>
      <c r="IJE76" s="49" t="s">
        <v>93</v>
      </c>
      <c r="IJF76" s="49" t="s">
        <v>94</v>
      </c>
      <c r="IJG76" s="49" t="s">
        <v>93</v>
      </c>
      <c r="IJH76" s="49" t="s">
        <v>94</v>
      </c>
      <c r="IJI76" s="49" t="s">
        <v>93</v>
      </c>
      <c r="IJJ76" s="49" t="s">
        <v>94</v>
      </c>
      <c r="IJK76" s="49" t="s">
        <v>93</v>
      </c>
      <c r="IJL76" s="49" t="s">
        <v>94</v>
      </c>
      <c r="IJM76" s="49" t="s">
        <v>93</v>
      </c>
      <c r="IJN76" s="49" t="s">
        <v>94</v>
      </c>
      <c r="IJO76" s="49" t="s">
        <v>93</v>
      </c>
      <c r="IJP76" s="49" t="s">
        <v>94</v>
      </c>
      <c r="IJQ76" s="49" t="s">
        <v>93</v>
      </c>
      <c r="IJR76" s="49" t="s">
        <v>94</v>
      </c>
      <c r="IJS76" s="49" t="s">
        <v>93</v>
      </c>
      <c r="IJT76" s="49" t="s">
        <v>94</v>
      </c>
      <c r="IJU76" s="49" t="s">
        <v>93</v>
      </c>
      <c r="IJV76" s="49" t="s">
        <v>94</v>
      </c>
      <c r="IJW76" s="49" t="s">
        <v>93</v>
      </c>
      <c r="IJX76" s="49" t="s">
        <v>94</v>
      </c>
      <c r="IJY76" s="49" t="s">
        <v>93</v>
      </c>
      <c r="IJZ76" s="49" t="s">
        <v>94</v>
      </c>
      <c r="IKA76" s="49" t="s">
        <v>93</v>
      </c>
      <c r="IKB76" s="49" t="s">
        <v>94</v>
      </c>
      <c r="IKC76" s="49" t="s">
        <v>93</v>
      </c>
      <c r="IKD76" s="49" t="s">
        <v>94</v>
      </c>
      <c r="IKE76" s="49" t="s">
        <v>93</v>
      </c>
      <c r="IKF76" s="49" t="s">
        <v>94</v>
      </c>
      <c r="IKG76" s="49" t="s">
        <v>93</v>
      </c>
      <c r="IKH76" s="49" t="s">
        <v>94</v>
      </c>
      <c r="IKI76" s="49" t="s">
        <v>93</v>
      </c>
      <c r="IKJ76" s="49" t="s">
        <v>94</v>
      </c>
      <c r="IKK76" s="49" t="s">
        <v>93</v>
      </c>
      <c r="IKL76" s="49" t="s">
        <v>94</v>
      </c>
      <c r="IKM76" s="49" t="s">
        <v>93</v>
      </c>
      <c r="IKN76" s="49" t="s">
        <v>94</v>
      </c>
      <c r="IKO76" s="49" t="s">
        <v>93</v>
      </c>
      <c r="IKP76" s="49" t="s">
        <v>94</v>
      </c>
      <c r="IKQ76" s="49" t="s">
        <v>93</v>
      </c>
      <c r="IKR76" s="49" t="s">
        <v>94</v>
      </c>
      <c r="IKS76" s="49" t="s">
        <v>93</v>
      </c>
      <c r="IKT76" s="49" t="s">
        <v>94</v>
      </c>
      <c r="IKU76" s="49" t="s">
        <v>93</v>
      </c>
      <c r="IKV76" s="49" t="s">
        <v>94</v>
      </c>
      <c r="IKW76" s="49" t="s">
        <v>93</v>
      </c>
      <c r="IKX76" s="49" t="s">
        <v>94</v>
      </c>
      <c r="IKY76" s="49" t="s">
        <v>93</v>
      </c>
      <c r="IKZ76" s="49" t="s">
        <v>94</v>
      </c>
      <c r="ILA76" s="49" t="s">
        <v>93</v>
      </c>
      <c r="ILB76" s="49" t="s">
        <v>94</v>
      </c>
      <c r="ILC76" s="49" t="s">
        <v>93</v>
      </c>
      <c r="ILD76" s="49" t="s">
        <v>94</v>
      </c>
      <c r="ILE76" s="49" t="s">
        <v>93</v>
      </c>
      <c r="ILF76" s="49" t="s">
        <v>94</v>
      </c>
      <c r="ILG76" s="49" t="s">
        <v>93</v>
      </c>
      <c r="ILH76" s="49" t="s">
        <v>94</v>
      </c>
      <c r="ILI76" s="49" t="s">
        <v>93</v>
      </c>
      <c r="ILJ76" s="49" t="s">
        <v>94</v>
      </c>
      <c r="ILK76" s="49" t="s">
        <v>93</v>
      </c>
      <c r="ILL76" s="49" t="s">
        <v>94</v>
      </c>
      <c r="ILM76" s="49" t="s">
        <v>93</v>
      </c>
      <c r="ILN76" s="49" t="s">
        <v>94</v>
      </c>
      <c r="ILO76" s="49" t="s">
        <v>93</v>
      </c>
      <c r="ILP76" s="49" t="s">
        <v>94</v>
      </c>
      <c r="ILQ76" s="49" t="s">
        <v>93</v>
      </c>
      <c r="ILR76" s="49" t="s">
        <v>94</v>
      </c>
      <c r="ILS76" s="49" t="s">
        <v>93</v>
      </c>
      <c r="ILT76" s="49" t="s">
        <v>94</v>
      </c>
      <c r="ILU76" s="49" t="s">
        <v>93</v>
      </c>
      <c r="ILV76" s="49" t="s">
        <v>94</v>
      </c>
      <c r="ILW76" s="49" t="s">
        <v>93</v>
      </c>
      <c r="ILX76" s="49" t="s">
        <v>94</v>
      </c>
      <c r="ILY76" s="49" t="s">
        <v>93</v>
      </c>
      <c r="ILZ76" s="49" t="s">
        <v>94</v>
      </c>
      <c r="IMA76" s="49" t="s">
        <v>93</v>
      </c>
      <c r="IMB76" s="49" t="s">
        <v>94</v>
      </c>
      <c r="IMC76" s="49" t="s">
        <v>93</v>
      </c>
      <c r="IMD76" s="49" t="s">
        <v>94</v>
      </c>
      <c r="IME76" s="49" t="s">
        <v>93</v>
      </c>
      <c r="IMF76" s="49" t="s">
        <v>94</v>
      </c>
      <c r="IMG76" s="49" t="s">
        <v>93</v>
      </c>
      <c r="IMH76" s="49" t="s">
        <v>94</v>
      </c>
      <c r="IMI76" s="49" t="s">
        <v>93</v>
      </c>
      <c r="IMJ76" s="49" t="s">
        <v>94</v>
      </c>
      <c r="IMK76" s="49" t="s">
        <v>93</v>
      </c>
      <c r="IML76" s="49" t="s">
        <v>94</v>
      </c>
      <c r="IMM76" s="49" t="s">
        <v>93</v>
      </c>
      <c r="IMN76" s="49" t="s">
        <v>94</v>
      </c>
      <c r="IMO76" s="49" t="s">
        <v>93</v>
      </c>
      <c r="IMP76" s="49" t="s">
        <v>94</v>
      </c>
      <c r="IMQ76" s="49" t="s">
        <v>93</v>
      </c>
      <c r="IMR76" s="49" t="s">
        <v>94</v>
      </c>
      <c r="IMS76" s="49" t="s">
        <v>93</v>
      </c>
      <c r="IMT76" s="49" t="s">
        <v>94</v>
      </c>
      <c r="IMU76" s="49" t="s">
        <v>93</v>
      </c>
      <c r="IMV76" s="49" t="s">
        <v>94</v>
      </c>
      <c r="IMW76" s="49" t="s">
        <v>93</v>
      </c>
      <c r="IMX76" s="49" t="s">
        <v>94</v>
      </c>
      <c r="IMY76" s="49" t="s">
        <v>93</v>
      </c>
      <c r="IMZ76" s="49" t="s">
        <v>94</v>
      </c>
      <c r="INA76" s="49" t="s">
        <v>93</v>
      </c>
      <c r="INB76" s="49" t="s">
        <v>94</v>
      </c>
      <c r="INC76" s="49" t="s">
        <v>93</v>
      </c>
      <c r="IND76" s="49" t="s">
        <v>94</v>
      </c>
      <c r="INE76" s="49" t="s">
        <v>93</v>
      </c>
      <c r="INF76" s="49" t="s">
        <v>94</v>
      </c>
      <c r="ING76" s="49" t="s">
        <v>93</v>
      </c>
      <c r="INH76" s="49" t="s">
        <v>94</v>
      </c>
      <c r="INI76" s="49" t="s">
        <v>93</v>
      </c>
      <c r="INJ76" s="49" t="s">
        <v>94</v>
      </c>
      <c r="INK76" s="49" t="s">
        <v>93</v>
      </c>
      <c r="INL76" s="49" t="s">
        <v>94</v>
      </c>
      <c r="INM76" s="49" t="s">
        <v>93</v>
      </c>
      <c r="INN76" s="49" t="s">
        <v>94</v>
      </c>
      <c r="INO76" s="49" t="s">
        <v>93</v>
      </c>
      <c r="INP76" s="49" t="s">
        <v>94</v>
      </c>
      <c r="INQ76" s="49" t="s">
        <v>93</v>
      </c>
      <c r="INR76" s="49" t="s">
        <v>94</v>
      </c>
      <c r="INS76" s="49" t="s">
        <v>93</v>
      </c>
      <c r="INT76" s="49" t="s">
        <v>94</v>
      </c>
      <c r="INU76" s="49" t="s">
        <v>93</v>
      </c>
      <c r="INV76" s="49" t="s">
        <v>94</v>
      </c>
      <c r="INW76" s="49" t="s">
        <v>93</v>
      </c>
      <c r="INX76" s="49" t="s">
        <v>94</v>
      </c>
      <c r="INY76" s="49" t="s">
        <v>93</v>
      </c>
      <c r="INZ76" s="49" t="s">
        <v>94</v>
      </c>
      <c r="IOA76" s="49" t="s">
        <v>93</v>
      </c>
      <c r="IOB76" s="49" t="s">
        <v>94</v>
      </c>
      <c r="IOC76" s="49" t="s">
        <v>93</v>
      </c>
      <c r="IOD76" s="49" t="s">
        <v>94</v>
      </c>
      <c r="IOE76" s="49" t="s">
        <v>93</v>
      </c>
      <c r="IOF76" s="49" t="s">
        <v>94</v>
      </c>
      <c r="IOG76" s="49" t="s">
        <v>93</v>
      </c>
      <c r="IOH76" s="49" t="s">
        <v>94</v>
      </c>
      <c r="IOI76" s="49" t="s">
        <v>93</v>
      </c>
      <c r="IOJ76" s="49" t="s">
        <v>94</v>
      </c>
      <c r="IOK76" s="49" t="s">
        <v>93</v>
      </c>
      <c r="IOL76" s="49" t="s">
        <v>94</v>
      </c>
      <c r="IOM76" s="49" t="s">
        <v>93</v>
      </c>
      <c r="ION76" s="49" t="s">
        <v>94</v>
      </c>
      <c r="IOO76" s="49" t="s">
        <v>93</v>
      </c>
      <c r="IOP76" s="49" t="s">
        <v>94</v>
      </c>
      <c r="IOQ76" s="49" t="s">
        <v>93</v>
      </c>
      <c r="IOR76" s="49" t="s">
        <v>94</v>
      </c>
      <c r="IOS76" s="49" t="s">
        <v>93</v>
      </c>
      <c r="IOT76" s="49" t="s">
        <v>94</v>
      </c>
      <c r="IOU76" s="49" t="s">
        <v>93</v>
      </c>
      <c r="IOV76" s="49" t="s">
        <v>94</v>
      </c>
      <c r="IOW76" s="49" t="s">
        <v>93</v>
      </c>
      <c r="IOX76" s="49" t="s">
        <v>94</v>
      </c>
      <c r="IOY76" s="49" t="s">
        <v>93</v>
      </c>
      <c r="IOZ76" s="49" t="s">
        <v>94</v>
      </c>
      <c r="IPA76" s="49" t="s">
        <v>93</v>
      </c>
      <c r="IPB76" s="49" t="s">
        <v>94</v>
      </c>
      <c r="IPC76" s="49" t="s">
        <v>93</v>
      </c>
      <c r="IPD76" s="49" t="s">
        <v>94</v>
      </c>
      <c r="IPE76" s="49" t="s">
        <v>93</v>
      </c>
      <c r="IPF76" s="49" t="s">
        <v>94</v>
      </c>
      <c r="IPG76" s="49" t="s">
        <v>93</v>
      </c>
      <c r="IPH76" s="49" t="s">
        <v>94</v>
      </c>
      <c r="IPI76" s="49" t="s">
        <v>93</v>
      </c>
      <c r="IPJ76" s="49" t="s">
        <v>94</v>
      </c>
      <c r="IPK76" s="49" t="s">
        <v>93</v>
      </c>
      <c r="IPL76" s="49" t="s">
        <v>94</v>
      </c>
      <c r="IPM76" s="49" t="s">
        <v>93</v>
      </c>
      <c r="IPN76" s="49" t="s">
        <v>94</v>
      </c>
      <c r="IPO76" s="49" t="s">
        <v>93</v>
      </c>
      <c r="IPP76" s="49" t="s">
        <v>94</v>
      </c>
      <c r="IPQ76" s="49" t="s">
        <v>93</v>
      </c>
      <c r="IPR76" s="49" t="s">
        <v>94</v>
      </c>
      <c r="IPS76" s="49" t="s">
        <v>93</v>
      </c>
      <c r="IPT76" s="49" t="s">
        <v>94</v>
      </c>
      <c r="IPU76" s="49" t="s">
        <v>93</v>
      </c>
      <c r="IPV76" s="49" t="s">
        <v>94</v>
      </c>
      <c r="IPW76" s="49" t="s">
        <v>93</v>
      </c>
      <c r="IPX76" s="49" t="s">
        <v>94</v>
      </c>
      <c r="IPY76" s="49" t="s">
        <v>93</v>
      </c>
      <c r="IPZ76" s="49" t="s">
        <v>94</v>
      </c>
      <c r="IQA76" s="49" t="s">
        <v>93</v>
      </c>
      <c r="IQB76" s="49" t="s">
        <v>94</v>
      </c>
      <c r="IQC76" s="49" t="s">
        <v>93</v>
      </c>
      <c r="IQD76" s="49" t="s">
        <v>94</v>
      </c>
      <c r="IQE76" s="49" t="s">
        <v>93</v>
      </c>
      <c r="IQF76" s="49" t="s">
        <v>94</v>
      </c>
      <c r="IQG76" s="49" t="s">
        <v>93</v>
      </c>
      <c r="IQH76" s="49" t="s">
        <v>94</v>
      </c>
      <c r="IQI76" s="49" t="s">
        <v>93</v>
      </c>
      <c r="IQJ76" s="49" t="s">
        <v>94</v>
      </c>
      <c r="IQK76" s="49" t="s">
        <v>93</v>
      </c>
      <c r="IQL76" s="49" t="s">
        <v>94</v>
      </c>
      <c r="IQM76" s="49" t="s">
        <v>93</v>
      </c>
      <c r="IQN76" s="49" t="s">
        <v>94</v>
      </c>
      <c r="IQO76" s="49" t="s">
        <v>93</v>
      </c>
      <c r="IQP76" s="49" t="s">
        <v>94</v>
      </c>
      <c r="IQQ76" s="49" t="s">
        <v>93</v>
      </c>
      <c r="IQR76" s="49" t="s">
        <v>94</v>
      </c>
      <c r="IQS76" s="49" t="s">
        <v>93</v>
      </c>
      <c r="IQT76" s="49" t="s">
        <v>94</v>
      </c>
      <c r="IQU76" s="49" t="s">
        <v>93</v>
      </c>
      <c r="IQV76" s="49" t="s">
        <v>94</v>
      </c>
      <c r="IQW76" s="49" t="s">
        <v>93</v>
      </c>
      <c r="IQX76" s="49" t="s">
        <v>94</v>
      </c>
      <c r="IQY76" s="49" t="s">
        <v>93</v>
      </c>
      <c r="IQZ76" s="49" t="s">
        <v>94</v>
      </c>
      <c r="IRA76" s="49" t="s">
        <v>93</v>
      </c>
      <c r="IRB76" s="49" t="s">
        <v>94</v>
      </c>
      <c r="IRC76" s="49" t="s">
        <v>93</v>
      </c>
      <c r="IRD76" s="49" t="s">
        <v>94</v>
      </c>
      <c r="IRE76" s="49" t="s">
        <v>93</v>
      </c>
      <c r="IRF76" s="49" t="s">
        <v>94</v>
      </c>
      <c r="IRG76" s="49" t="s">
        <v>93</v>
      </c>
      <c r="IRH76" s="49" t="s">
        <v>94</v>
      </c>
      <c r="IRI76" s="49" t="s">
        <v>93</v>
      </c>
      <c r="IRJ76" s="49" t="s">
        <v>94</v>
      </c>
      <c r="IRK76" s="49" t="s">
        <v>93</v>
      </c>
      <c r="IRL76" s="49" t="s">
        <v>94</v>
      </c>
      <c r="IRM76" s="49" t="s">
        <v>93</v>
      </c>
      <c r="IRN76" s="49" t="s">
        <v>94</v>
      </c>
      <c r="IRO76" s="49" t="s">
        <v>93</v>
      </c>
      <c r="IRP76" s="49" t="s">
        <v>94</v>
      </c>
      <c r="IRQ76" s="49" t="s">
        <v>93</v>
      </c>
      <c r="IRR76" s="49" t="s">
        <v>94</v>
      </c>
      <c r="IRS76" s="49" t="s">
        <v>93</v>
      </c>
      <c r="IRT76" s="49" t="s">
        <v>94</v>
      </c>
      <c r="IRU76" s="49" t="s">
        <v>93</v>
      </c>
      <c r="IRV76" s="49" t="s">
        <v>94</v>
      </c>
      <c r="IRW76" s="49" t="s">
        <v>93</v>
      </c>
      <c r="IRX76" s="49" t="s">
        <v>94</v>
      </c>
      <c r="IRY76" s="49" t="s">
        <v>93</v>
      </c>
      <c r="IRZ76" s="49" t="s">
        <v>94</v>
      </c>
      <c r="ISA76" s="49" t="s">
        <v>93</v>
      </c>
      <c r="ISB76" s="49" t="s">
        <v>94</v>
      </c>
      <c r="ISC76" s="49" t="s">
        <v>93</v>
      </c>
      <c r="ISD76" s="49" t="s">
        <v>94</v>
      </c>
      <c r="ISE76" s="49" t="s">
        <v>93</v>
      </c>
      <c r="ISF76" s="49" t="s">
        <v>94</v>
      </c>
      <c r="ISG76" s="49" t="s">
        <v>93</v>
      </c>
      <c r="ISH76" s="49" t="s">
        <v>94</v>
      </c>
      <c r="ISI76" s="49" t="s">
        <v>93</v>
      </c>
      <c r="ISJ76" s="49" t="s">
        <v>94</v>
      </c>
      <c r="ISK76" s="49" t="s">
        <v>93</v>
      </c>
      <c r="ISL76" s="49" t="s">
        <v>94</v>
      </c>
      <c r="ISM76" s="49" t="s">
        <v>93</v>
      </c>
      <c r="ISN76" s="49" t="s">
        <v>94</v>
      </c>
      <c r="ISO76" s="49" t="s">
        <v>93</v>
      </c>
      <c r="ISP76" s="49" t="s">
        <v>94</v>
      </c>
      <c r="ISQ76" s="49" t="s">
        <v>93</v>
      </c>
      <c r="ISR76" s="49" t="s">
        <v>94</v>
      </c>
      <c r="ISS76" s="49" t="s">
        <v>93</v>
      </c>
      <c r="IST76" s="49" t="s">
        <v>94</v>
      </c>
      <c r="ISU76" s="49" t="s">
        <v>93</v>
      </c>
      <c r="ISV76" s="49" t="s">
        <v>94</v>
      </c>
      <c r="ISW76" s="49" t="s">
        <v>93</v>
      </c>
      <c r="ISX76" s="49" t="s">
        <v>94</v>
      </c>
      <c r="ISY76" s="49" t="s">
        <v>93</v>
      </c>
      <c r="ISZ76" s="49" t="s">
        <v>94</v>
      </c>
      <c r="ITA76" s="49" t="s">
        <v>93</v>
      </c>
      <c r="ITB76" s="49" t="s">
        <v>94</v>
      </c>
      <c r="ITC76" s="49" t="s">
        <v>93</v>
      </c>
      <c r="ITD76" s="49" t="s">
        <v>94</v>
      </c>
      <c r="ITE76" s="49" t="s">
        <v>93</v>
      </c>
      <c r="ITF76" s="49" t="s">
        <v>94</v>
      </c>
      <c r="ITG76" s="49" t="s">
        <v>93</v>
      </c>
      <c r="ITH76" s="49" t="s">
        <v>94</v>
      </c>
      <c r="ITI76" s="49" t="s">
        <v>93</v>
      </c>
      <c r="ITJ76" s="49" t="s">
        <v>94</v>
      </c>
      <c r="ITK76" s="49" t="s">
        <v>93</v>
      </c>
      <c r="ITL76" s="49" t="s">
        <v>94</v>
      </c>
      <c r="ITM76" s="49" t="s">
        <v>93</v>
      </c>
      <c r="ITN76" s="49" t="s">
        <v>94</v>
      </c>
      <c r="ITO76" s="49" t="s">
        <v>93</v>
      </c>
      <c r="ITP76" s="49" t="s">
        <v>94</v>
      </c>
      <c r="ITQ76" s="49" t="s">
        <v>93</v>
      </c>
      <c r="ITR76" s="49" t="s">
        <v>94</v>
      </c>
      <c r="ITS76" s="49" t="s">
        <v>93</v>
      </c>
      <c r="ITT76" s="49" t="s">
        <v>94</v>
      </c>
      <c r="ITU76" s="49" t="s">
        <v>93</v>
      </c>
      <c r="ITV76" s="49" t="s">
        <v>94</v>
      </c>
      <c r="ITW76" s="49" t="s">
        <v>93</v>
      </c>
      <c r="ITX76" s="49" t="s">
        <v>94</v>
      </c>
      <c r="ITY76" s="49" t="s">
        <v>93</v>
      </c>
      <c r="ITZ76" s="49" t="s">
        <v>94</v>
      </c>
      <c r="IUA76" s="49" t="s">
        <v>93</v>
      </c>
      <c r="IUB76" s="49" t="s">
        <v>94</v>
      </c>
      <c r="IUC76" s="49" t="s">
        <v>93</v>
      </c>
      <c r="IUD76" s="49" t="s">
        <v>94</v>
      </c>
      <c r="IUE76" s="49" t="s">
        <v>93</v>
      </c>
      <c r="IUF76" s="49" t="s">
        <v>94</v>
      </c>
      <c r="IUG76" s="49" t="s">
        <v>93</v>
      </c>
      <c r="IUH76" s="49" t="s">
        <v>94</v>
      </c>
      <c r="IUI76" s="49" t="s">
        <v>93</v>
      </c>
      <c r="IUJ76" s="49" t="s">
        <v>94</v>
      </c>
      <c r="IUK76" s="49" t="s">
        <v>93</v>
      </c>
      <c r="IUL76" s="49" t="s">
        <v>94</v>
      </c>
      <c r="IUM76" s="49" t="s">
        <v>93</v>
      </c>
      <c r="IUN76" s="49" t="s">
        <v>94</v>
      </c>
      <c r="IUO76" s="49" t="s">
        <v>93</v>
      </c>
      <c r="IUP76" s="49" t="s">
        <v>94</v>
      </c>
      <c r="IUQ76" s="49" t="s">
        <v>93</v>
      </c>
      <c r="IUR76" s="49" t="s">
        <v>94</v>
      </c>
      <c r="IUS76" s="49" t="s">
        <v>93</v>
      </c>
      <c r="IUT76" s="49" t="s">
        <v>94</v>
      </c>
      <c r="IUU76" s="49" t="s">
        <v>93</v>
      </c>
      <c r="IUV76" s="49" t="s">
        <v>94</v>
      </c>
      <c r="IUW76" s="49" t="s">
        <v>93</v>
      </c>
      <c r="IUX76" s="49" t="s">
        <v>94</v>
      </c>
      <c r="IUY76" s="49" t="s">
        <v>93</v>
      </c>
      <c r="IUZ76" s="49" t="s">
        <v>94</v>
      </c>
      <c r="IVA76" s="49" t="s">
        <v>93</v>
      </c>
      <c r="IVB76" s="49" t="s">
        <v>94</v>
      </c>
      <c r="IVC76" s="49" t="s">
        <v>93</v>
      </c>
      <c r="IVD76" s="49" t="s">
        <v>94</v>
      </c>
      <c r="IVE76" s="49" t="s">
        <v>93</v>
      </c>
      <c r="IVF76" s="49" t="s">
        <v>94</v>
      </c>
      <c r="IVG76" s="49" t="s">
        <v>93</v>
      </c>
      <c r="IVH76" s="49" t="s">
        <v>94</v>
      </c>
      <c r="IVI76" s="49" t="s">
        <v>93</v>
      </c>
      <c r="IVJ76" s="49" t="s">
        <v>94</v>
      </c>
      <c r="IVK76" s="49" t="s">
        <v>93</v>
      </c>
      <c r="IVL76" s="49" t="s">
        <v>94</v>
      </c>
      <c r="IVM76" s="49" t="s">
        <v>93</v>
      </c>
      <c r="IVN76" s="49" t="s">
        <v>94</v>
      </c>
      <c r="IVO76" s="49" t="s">
        <v>93</v>
      </c>
      <c r="IVP76" s="49" t="s">
        <v>94</v>
      </c>
      <c r="IVQ76" s="49" t="s">
        <v>93</v>
      </c>
      <c r="IVR76" s="49" t="s">
        <v>94</v>
      </c>
      <c r="IVS76" s="49" t="s">
        <v>93</v>
      </c>
      <c r="IVT76" s="49" t="s">
        <v>94</v>
      </c>
      <c r="IVU76" s="49" t="s">
        <v>93</v>
      </c>
      <c r="IVV76" s="49" t="s">
        <v>94</v>
      </c>
      <c r="IVW76" s="49" t="s">
        <v>93</v>
      </c>
      <c r="IVX76" s="49" t="s">
        <v>94</v>
      </c>
      <c r="IVY76" s="49" t="s">
        <v>93</v>
      </c>
      <c r="IVZ76" s="49" t="s">
        <v>94</v>
      </c>
      <c r="IWA76" s="49" t="s">
        <v>93</v>
      </c>
      <c r="IWB76" s="49" t="s">
        <v>94</v>
      </c>
      <c r="IWC76" s="49" t="s">
        <v>93</v>
      </c>
      <c r="IWD76" s="49" t="s">
        <v>94</v>
      </c>
      <c r="IWE76" s="49" t="s">
        <v>93</v>
      </c>
      <c r="IWF76" s="49" t="s">
        <v>94</v>
      </c>
      <c r="IWG76" s="49" t="s">
        <v>93</v>
      </c>
      <c r="IWH76" s="49" t="s">
        <v>94</v>
      </c>
      <c r="IWI76" s="49" t="s">
        <v>93</v>
      </c>
      <c r="IWJ76" s="49" t="s">
        <v>94</v>
      </c>
      <c r="IWK76" s="49" t="s">
        <v>93</v>
      </c>
      <c r="IWL76" s="49" t="s">
        <v>94</v>
      </c>
      <c r="IWM76" s="49" t="s">
        <v>93</v>
      </c>
      <c r="IWN76" s="49" t="s">
        <v>94</v>
      </c>
      <c r="IWO76" s="49" t="s">
        <v>93</v>
      </c>
      <c r="IWP76" s="49" t="s">
        <v>94</v>
      </c>
      <c r="IWQ76" s="49" t="s">
        <v>93</v>
      </c>
      <c r="IWR76" s="49" t="s">
        <v>94</v>
      </c>
      <c r="IWS76" s="49" t="s">
        <v>93</v>
      </c>
      <c r="IWT76" s="49" t="s">
        <v>94</v>
      </c>
      <c r="IWU76" s="49" t="s">
        <v>93</v>
      </c>
      <c r="IWV76" s="49" t="s">
        <v>94</v>
      </c>
      <c r="IWW76" s="49" t="s">
        <v>93</v>
      </c>
      <c r="IWX76" s="49" t="s">
        <v>94</v>
      </c>
      <c r="IWY76" s="49" t="s">
        <v>93</v>
      </c>
      <c r="IWZ76" s="49" t="s">
        <v>94</v>
      </c>
      <c r="IXA76" s="49" t="s">
        <v>93</v>
      </c>
      <c r="IXB76" s="49" t="s">
        <v>94</v>
      </c>
      <c r="IXC76" s="49" t="s">
        <v>93</v>
      </c>
      <c r="IXD76" s="49" t="s">
        <v>94</v>
      </c>
      <c r="IXE76" s="49" t="s">
        <v>93</v>
      </c>
      <c r="IXF76" s="49" t="s">
        <v>94</v>
      </c>
      <c r="IXG76" s="49" t="s">
        <v>93</v>
      </c>
      <c r="IXH76" s="49" t="s">
        <v>94</v>
      </c>
      <c r="IXI76" s="49" t="s">
        <v>93</v>
      </c>
      <c r="IXJ76" s="49" t="s">
        <v>94</v>
      </c>
      <c r="IXK76" s="49" t="s">
        <v>93</v>
      </c>
      <c r="IXL76" s="49" t="s">
        <v>94</v>
      </c>
      <c r="IXM76" s="49" t="s">
        <v>93</v>
      </c>
      <c r="IXN76" s="49" t="s">
        <v>94</v>
      </c>
      <c r="IXO76" s="49" t="s">
        <v>93</v>
      </c>
      <c r="IXP76" s="49" t="s">
        <v>94</v>
      </c>
      <c r="IXQ76" s="49" t="s">
        <v>93</v>
      </c>
      <c r="IXR76" s="49" t="s">
        <v>94</v>
      </c>
      <c r="IXS76" s="49" t="s">
        <v>93</v>
      </c>
      <c r="IXT76" s="49" t="s">
        <v>94</v>
      </c>
      <c r="IXU76" s="49" t="s">
        <v>93</v>
      </c>
      <c r="IXV76" s="49" t="s">
        <v>94</v>
      </c>
      <c r="IXW76" s="49" t="s">
        <v>93</v>
      </c>
      <c r="IXX76" s="49" t="s">
        <v>94</v>
      </c>
      <c r="IXY76" s="49" t="s">
        <v>93</v>
      </c>
      <c r="IXZ76" s="49" t="s">
        <v>94</v>
      </c>
      <c r="IYA76" s="49" t="s">
        <v>93</v>
      </c>
      <c r="IYB76" s="49" t="s">
        <v>94</v>
      </c>
      <c r="IYC76" s="49" t="s">
        <v>93</v>
      </c>
      <c r="IYD76" s="49" t="s">
        <v>94</v>
      </c>
      <c r="IYE76" s="49" t="s">
        <v>93</v>
      </c>
      <c r="IYF76" s="49" t="s">
        <v>94</v>
      </c>
      <c r="IYG76" s="49" t="s">
        <v>93</v>
      </c>
      <c r="IYH76" s="49" t="s">
        <v>94</v>
      </c>
      <c r="IYI76" s="49" t="s">
        <v>93</v>
      </c>
      <c r="IYJ76" s="49" t="s">
        <v>94</v>
      </c>
      <c r="IYK76" s="49" t="s">
        <v>93</v>
      </c>
      <c r="IYL76" s="49" t="s">
        <v>94</v>
      </c>
      <c r="IYM76" s="49" t="s">
        <v>93</v>
      </c>
      <c r="IYN76" s="49" t="s">
        <v>94</v>
      </c>
      <c r="IYO76" s="49" t="s">
        <v>93</v>
      </c>
      <c r="IYP76" s="49" t="s">
        <v>94</v>
      </c>
      <c r="IYQ76" s="49" t="s">
        <v>93</v>
      </c>
      <c r="IYR76" s="49" t="s">
        <v>94</v>
      </c>
      <c r="IYS76" s="49" t="s">
        <v>93</v>
      </c>
      <c r="IYT76" s="49" t="s">
        <v>94</v>
      </c>
      <c r="IYU76" s="49" t="s">
        <v>93</v>
      </c>
      <c r="IYV76" s="49" t="s">
        <v>94</v>
      </c>
      <c r="IYW76" s="49" t="s">
        <v>93</v>
      </c>
      <c r="IYX76" s="49" t="s">
        <v>94</v>
      </c>
      <c r="IYY76" s="49" t="s">
        <v>93</v>
      </c>
      <c r="IYZ76" s="49" t="s">
        <v>94</v>
      </c>
      <c r="IZA76" s="49" t="s">
        <v>93</v>
      </c>
      <c r="IZB76" s="49" t="s">
        <v>94</v>
      </c>
      <c r="IZC76" s="49" t="s">
        <v>93</v>
      </c>
      <c r="IZD76" s="49" t="s">
        <v>94</v>
      </c>
      <c r="IZE76" s="49" t="s">
        <v>93</v>
      </c>
      <c r="IZF76" s="49" t="s">
        <v>94</v>
      </c>
      <c r="IZG76" s="49" t="s">
        <v>93</v>
      </c>
      <c r="IZH76" s="49" t="s">
        <v>94</v>
      </c>
      <c r="IZI76" s="49" t="s">
        <v>93</v>
      </c>
      <c r="IZJ76" s="49" t="s">
        <v>94</v>
      </c>
      <c r="IZK76" s="49" t="s">
        <v>93</v>
      </c>
      <c r="IZL76" s="49" t="s">
        <v>94</v>
      </c>
      <c r="IZM76" s="49" t="s">
        <v>93</v>
      </c>
      <c r="IZN76" s="49" t="s">
        <v>94</v>
      </c>
      <c r="IZO76" s="49" t="s">
        <v>93</v>
      </c>
      <c r="IZP76" s="49" t="s">
        <v>94</v>
      </c>
      <c r="IZQ76" s="49" t="s">
        <v>93</v>
      </c>
      <c r="IZR76" s="49" t="s">
        <v>94</v>
      </c>
      <c r="IZS76" s="49" t="s">
        <v>93</v>
      </c>
      <c r="IZT76" s="49" t="s">
        <v>94</v>
      </c>
      <c r="IZU76" s="49" t="s">
        <v>93</v>
      </c>
      <c r="IZV76" s="49" t="s">
        <v>94</v>
      </c>
      <c r="IZW76" s="49" t="s">
        <v>93</v>
      </c>
      <c r="IZX76" s="49" t="s">
        <v>94</v>
      </c>
      <c r="IZY76" s="49" t="s">
        <v>93</v>
      </c>
      <c r="IZZ76" s="49" t="s">
        <v>94</v>
      </c>
      <c r="JAA76" s="49" t="s">
        <v>93</v>
      </c>
      <c r="JAB76" s="49" t="s">
        <v>94</v>
      </c>
      <c r="JAC76" s="49" t="s">
        <v>93</v>
      </c>
      <c r="JAD76" s="49" t="s">
        <v>94</v>
      </c>
      <c r="JAE76" s="49" t="s">
        <v>93</v>
      </c>
      <c r="JAF76" s="49" t="s">
        <v>94</v>
      </c>
      <c r="JAG76" s="49" t="s">
        <v>93</v>
      </c>
      <c r="JAH76" s="49" t="s">
        <v>94</v>
      </c>
      <c r="JAI76" s="49" t="s">
        <v>93</v>
      </c>
      <c r="JAJ76" s="49" t="s">
        <v>94</v>
      </c>
      <c r="JAK76" s="49" t="s">
        <v>93</v>
      </c>
      <c r="JAL76" s="49" t="s">
        <v>94</v>
      </c>
      <c r="JAM76" s="49" t="s">
        <v>93</v>
      </c>
      <c r="JAN76" s="49" t="s">
        <v>94</v>
      </c>
      <c r="JAO76" s="49" t="s">
        <v>93</v>
      </c>
      <c r="JAP76" s="49" t="s">
        <v>94</v>
      </c>
      <c r="JAQ76" s="49" t="s">
        <v>93</v>
      </c>
      <c r="JAR76" s="49" t="s">
        <v>94</v>
      </c>
      <c r="JAS76" s="49" t="s">
        <v>93</v>
      </c>
      <c r="JAT76" s="49" t="s">
        <v>94</v>
      </c>
      <c r="JAU76" s="49" t="s">
        <v>93</v>
      </c>
      <c r="JAV76" s="49" t="s">
        <v>94</v>
      </c>
      <c r="JAW76" s="49" t="s">
        <v>93</v>
      </c>
      <c r="JAX76" s="49" t="s">
        <v>94</v>
      </c>
      <c r="JAY76" s="49" t="s">
        <v>93</v>
      </c>
      <c r="JAZ76" s="49" t="s">
        <v>94</v>
      </c>
      <c r="JBA76" s="49" t="s">
        <v>93</v>
      </c>
      <c r="JBB76" s="49" t="s">
        <v>94</v>
      </c>
      <c r="JBC76" s="49" t="s">
        <v>93</v>
      </c>
      <c r="JBD76" s="49" t="s">
        <v>94</v>
      </c>
      <c r="JBE76" s="49" t="s">
        <v>93</v>
      </c>
      <c r="JBF76" s="49" t="s">
        <v>94</v>
      </c>
      <c r="JBG76" s="49" t="s">
        <v>93</v>
      </c>
      <c r="JBH76" s="49" t="s">
        <v>94</v>
      </c>
      <c r="JBI76" s="49" t="s">
        <v>93</v>
      </c>
      <c r="JBJ76" s="49" t="s">
        <v>94</v>
      </c>
      <c r="JBK76" s="49" t="s">
        <v>93</v>
      </c>
      <c r="JBL76" s="49" t="s">
        <v>94</v>
      </c>
      <c r="JBM76" s="49" t="s">
        <v>93</v>
      </c>
      <c r="JBN76" s="49" t="s">
        <v>94</v>
      </c>
      <c r="JBO76" s="49" t="s">
        <v>93</v>
      </c>
      <c r="JBP76" s="49" t="s">
        <v>94</v>
      </c>
      <c r="JBQ76" s="49" t="s">
        <v>93</v>
      </c>
      <c r="JBR76" s="49" t="s">
        <v>94</v>
      </c>
      <c r="JBS76" s="49" t="s">
        <v>93</v>
      </c>
      <c r="JBT76" s="49" t="s">
        <v>94</v>
      </c>
      <c r="JBU76" s="49" t="s">
        <v>93</v>
      </c>
      <c r="JBV76" s="49" t="s">
        <v>94</v>
      </c>
      <c r="JBW76" s="49" t="s">
        <v>93</v>
      </c>
      <c r="JBX76" s="49" t="s">
        <v>94</v>
      </c>
      <c r="JBY76" s="49" t="s">
        <v>93</v>
      </c>
      <c r="JBZ76" s="49" t="s">
        <v>94</v>
      </c>
      <c r="JCA76" s="49" t="s">
        <v>93</v>
      </c>
      <c r="JCB76" s="49" t="s">
        <v>94</v>
      </c>
      <c r="JCC76" s="49" t="s">
        <v>93</v>
      </c>
      <c r="JCD76" s="49" t="s">
        <v>94</v>
      </c>
      <c r="JCE76" s="49" t="s">
        <v>93</v>
      </c>
      <c r="JCF76" s="49" t="s">
        <v>94</v>
      </c>
      <c r="JCG76" s="49" t="s">
        <v>93</v>
      </c>
      <c r="JCH76" s="49" t="s">
        <v>94</v>
      </c>
      <c r="JCI76" s="49" t="s">
        <v>93</v>
      </c>
      <c r="JCJ76" s="49" t="s">
        <v>94</v>
      </c>
      <c r="JCK76" s="49" t="s">
        <v>93</v>
      </c>
      <c r="JCL76" s="49" t="s">
        <v>94</v>
      </c>
      <c r="JCM76" s="49" t="s">
        <v>93</v>
      </c>
      <c r="JCN76" s="49" t="s">
        <v>94</v>
      </c>
      <c r="JCO76" s="49" t="s">
        <v>93</v>
      </c>
      <c r="JCP76" s="49" t="s">
        <v>94</v>
      </c>
      <c r="JCQ76" s="49" t="s">
        <v>93</v>
      </c>
      <c r="JCR76" s="49" t="s">
        <v>94</v>
      </c>
      <c r="JCS76" s="49" t="s">
        <v>93</v>
      </c>
      <c r="JCT76" s="49" t="s">
        <v>94</v>
      </c>
      <c r="JCU76" s="49" t="s">
        <v>93</v>
      </c>
      <c r="JCV76" s="49" t="s">
        <v>94</v>
      </c>
      <c r="JCW76" s="49" t="s">
        <v>93</v>
      </c>
      <c r="JCX76" s="49" t="s">
        <v>94</v>
      </c>
      <c r="JCY76" s="49" t="s">
        <v>93</v>
      </c>
      <c r="JCZ76" s="49" t="s">
        <v>94</v>
      </c>
      <c r="JDA76" s="49" t="s">
        <v>93</v>
      </c>
      <c r="JDB76" s="49" t="s">
        <v>94</v>
      </c>
      <c r="JDC76" s="49" t="s">
        <v>93</v>
      </c>
      <c r="JDD76" s="49" t="s">
        <v>94</v>
      </c>
      <c r="JDE76" s="49" t="s">
        <v>93</v>
      </c>
      <c r="JDF76" s="49" t="s">
        <v>94</v>
      </c>
      <c r="JDG76" s="49" t="s">
        <v>93</v>
      </c>
      <c r="JDH76" s="49" t="s">
        <v>94</v>
      </c>
      <c r="JDI76" s="49" t="s">
        <v>93</v>
      </c>
      <c r="JDJ76" s="49" t="s">
        <v>94</v>
      </c>
      <c r="JDK76" s="49" t="s">
        <v>93</v>
      </c>
      <c r="JDL76" s="49" t="s">
        <v>94</v>
      </c>
      <c r="JDM76" s="49" t="s">
        <v>93</v>
      </c>
      <c r="JDN76" s="49" t="s">
        <v>94</v>
      </c>
      <c r="JDO76" s="49" t="s">
        <v>93</v>
      </c>
      <c r="JDP76" s="49" t="s">
        <v>94</v>
      </c>
      <c r="JDQ76" s="49" t="s">
        <v>93</v>
      </c>
      <c r="JDR76" s="49" t="s">
        <v>94</v>
      </c>
      <c r="JDS76" s="49" t="s">
        <v>93</v>
      </c>
      <c r="JDT76" s="49" t="s">
        <v>94</v>
      </c>
      <c r="JDU76" s="49" t="s">
        <v>93</v>
      </c>
      <c r="JDV76" s="49" t="s">
        <v>94</v>
      </c>
      <c r="JDW76" s="49" t="s">
        <v>93</v>
      </c>
      <c r="JDX76" s="49" t="s">
        <v>94</v>
      </c>
      <c r="JDY76" s="49" t="s">
        <v>93</v>
      </c>
      <c r="JDZ76" s="49" t="s">
        <v>94</v>
      </c>
      <c r="JEA76" s="49" t="s">
        <v>93</v>
      </c>
      <c r="JEB76" s="49" t="s">
        <v>94</v>
      </c>
      <c r="JEC76" s="49" t="s">
        <v>93</v>
      </c>
      <c r="JED76" s="49" t="s">
        <v>94</v>
      </c>
      <c r="JEE76" s="49" t="s">
        <v>93</v>
      </c>
      <c r="JEF76" s="49" t="s">
        <v>94</v>
      </c>
      <c r="JEG76" s="49" t="s">
        <v>93</v>
      </c>
      <c r="JEH76" s="49" t="s">
        <v>94</v>
      </c>
      <c r="JEI76" s="49" t="s">
        <v>93</v>
      </c>
      <c r="JEJ76" s="49" t="s">
        <v>94</v>
      </c>
      <c r="JEK76" s="49" t="s">
        <v>93</v>
      </c>
      <c r="JEL76" s="49" t="s">
        <v>94</v>
      </c>
      <c r="JEM76" s="49" t="s">
        <v>93</v>
      </c>
      <c r="JEN76" s="49" t="s">
        <v>94</v>
      </c>
      <c r="JEO76" s="49" t="s">
        <v>93</v>
      </c>
      <c r="JEP76" s="49" t="s">
        <v>94</v>
      </c>
      <c r="JEQ76" s="49" t="s">
        <v>93</v>
      </c>
      <c r="JER76" s="49" t="s">
        <v>94</v>
      </c>
      <c r="JES76" s="49" t="s">
        <v>93</v>
      </c>
      <c r="JET76" s="49" t="s">
        <v>94</v>
      </c>
      <c r="JEU76" s="49" t="s">
        <v>93</v>
      </c>
      <c r="JEV76" s="49" t="s">
        <v>94</v>
      </c>
      <c r="JEW76" s="49" t="s">
        <v>93</v>
      </c>
      <c r="JEX76" s="49" t="s">
        <v>94</v>
      </c>
      <c r="JEY76" s="49" t="s">
        <v>93</v>
      </c>
      <c r="JEZ76" s="49" t="s">
        <v>94</v>
      </c>
      <c r="JFA76" s="49" t="s">
        <v>93</v>
      </c>
      <c r="JFB76" s="49" t="s">
        <v>94</v>
      </c>
      <c r="JFC76" s="49" t="s">
        <v>93</v>
      </c>
      <c r="JFD76" s="49" t="s">
        <v>94</v>
      </c>
      <c r="JFE76" s="49" t="s">
        <v>93</v>
      </c>
      <c r="JFF76" s="49" t="s">
        <v>94</v>
      </c>
      <c r="JFG76" s="49" t="s">
        <v>93</v>
      </c>
      <c r="JFH76" s="49" t="s">
        <v>94</v>
      </c>
      <c r="JFI76" s="49" t="s">
        <v>93</v>
      </c>
      <c r="JFJ76" s="49" t="s">
        <v>94</v>
      </c>
      <c r="JFK76" s="49" t="s">
        <v>93</v>
      </c>
      <c r="JFL76" s="49" t="s">
        <v>94</v>
      </c>
      <c r="JFM76" s="49" t="s">
        <v>93</v>
      </c>
      <c r="JFN76" s="49" t="s">
        <v>94</v>
      </c>
      <c r="JFO76" s="49" t="s">
        <v>93</v>
      </c>
      <c r="JFP76" s="49" t="s">
        <v>94</v>
      </c>
      <c r="JFQ76" s="49" t="s">
        <v>93</v>
      </c>
      <c r="JFR76" s="49" t="s">
        <v>94</v>
      </c>
      <c r="JFS76" s="49" t="s">
        <v>93</v>
      </c>
      <c r="JFT76" s="49" t="s">
        <v>94</v>
      </c>
      <c r="JFU76" s="49" t="s">
        <v>93</v>
      </c>
      <c r="JFV76" s="49" t="s">
        <v>94</v>
      </c>
      <c r="JFW76" s="49" t="s">
        <v>93</v>
      </c>
      <c r="JFX76" s="49" t="s">
        <v>94</v>
      </c>
      <c r="JFY76" s="49" t="s">
        <v>93</v>
      </c>
      <c r="JFZ76" s="49" t="s">
        <v>94</v>
      </c>
      <c r="JGA76" s="49" t="s">
        <v>93</v>
      </c>
      <c r="JGB76" s="49" t="s">
        <v>94</v>
      </c>
      <c r="JGC76" s="49" t="s">
        <v>93</v>
      </c>
      <c r="JGD76" s="49" t="s">
        <v>94</v>
      </c>
      <c r="JGE76" s="49" t="s">
        <v>93</v>
      </c>
      <c r="JGF76" s="49" t="s">
        <v>94</v>
      </c>
      <c r="JGG76" s="49" t="s">
        <v>93</v>
      </c>
      <c r="JGH76" s="49" t="s">
        <v>94</v>
      </c>
      <c r="JGI76" s="49" t="s">
        <v>93</v>
      </c>
      <c r="JGJ76" s="49" t="s">
        <v>94</v>
      </c>
      <c r="JGK76" s="49" t="s">
        <v>93</v>
      </c>
      <c r="JGL76" s="49" t="s">
        <v>94</v>
      </c>
      <c r="JGM76" s="49" t="s">
        <v>93</v>
      </c>
      <c r="JGN76" s="49" t="s">
        <v>94</v>
      </c>
      <c r="JGO76" s="49" t="s">
        <v>93</v>
      </c>
      <c r="JGP76" s="49" t="s">
        <v>94</v>
      </c>
      <c r="JGQ76" s="49" t="s">
        <v>93</v>
      </c>
      <c r="JGR76" s="49" t="s">
        <v>94</v>
      </c>
      <c r="JGS76" s="49" t="s">
        <v>93</v>
      </c>
      <c r="JGT76" s="49" t="s">
        <v>94</v>
      </c>
      <c r="JGU76" s="49" t="s">
        <v>93</v>
      </c>
      <c r="JGV76" s="49" t="s">
        <v>94</v>
      </c>
      <c r="JGW76" s="49" t="s">
        <v>93</v>
      </c>
      <c r="JGX76" s="49" t="s">
        <v>94</v>
      </c>
      <c r="JGY76" s="49" t="s">
        <v>93</v>
      </c>
      <c r="JGZ76" s="49" t="s">
        <v>94</v>
      </c>
      <c r="JHA76" s="49" t="s">
        <v>93</v>
      </c>
      <c r="JHB76" s="49" t="s">
        <v>94</v>
      </c>
      <c r="JHC76" s="49" t="s">
        <v>93</v>
      </c>
      <c r="JHD76" s="49" t="s">
        <v>94</v>
      </c>
      <c r="JHE76" s="49" t="s">
        <v>93</v>
      </c>
      <c r="JHF76" s="49" t="s">
        <v>94</v>
      </c>
      <c r="JHG76" s="49" t="s">
        <v>93</v>
      </c>
      <c r="JHH76" s="49" t="s">
        <v>94</v>
      </c>
      <c r="JHI76" s="49" t="s">
        <v>93</v>
      </c>
      <c r="JHJ76" s="49" t="s">
        <v>94</v>
      </c>
      <c r="JHK76" s="49" t="s">
        <v>93</v>
      </c>
      <c r="JHL76" s="49" t="s">
        <v>94</v>
      </c>
      <c r="JHM76" s="49" t="s">
        <v>93</v>
      </c>
      <c r="JHN76" s="49" t="s">
        <v>94</v>
      </c>
      <c r="JHO76" s="49" t="s">
        <v>93</v>
      </c>
      <c r="JHP76" s="49" t="s">
        <v>94</v>
      </c>
      <c r="JHQ76" s="49" t="s">
        <v>93</v>
      </c>
      <c r="JHR76" s="49" t="s">
        <v>94</v>
      </c>
      <c r="JHS76" s="49" t="s">
        <v>93</v>
      </c>
      <c r="JHT76" s="49" t="s">
        <v>94</v>
      </c>
      <c r="JHU76" s="49" t="s">
        <v>93</v>
      </c>
      <c r="JHV76" s="49" t="s">
        <v>94</v>
      </c>
      <c r="JHW76" s="49" t="s">
        <v>93</v>
      </c>
      <c r="JHX76" s="49" t="s">
        <v>94</v>
      </c>
      <c r="JHY76" s="49" t="s">
        <v>93</v>
      </c>
      <c r="JHZ76" s="49" t="s">
        <v>94</v>
      </c>
      <c r="JIA76" s="49" t="s">
        <v>93</v>
      </c>
      <c r="JIB76" s="49" t="s">
        <v>94</v>
      </c>
      <c r="JIC76" s="49" t="s">
        <v>93</v>
      </c>
      <c r="JID76" s="49" t="s">
        <v>94</v>
      </c>
      <c r="JIE76" s="49" t="s">
        <v>93</v>
      </c>
      <c r="JIF76" s="49" t="s">
        <v>94</v>
      </c>
      <c r="JIG76" s="49" t="s">
        <v>93</v>
      </c>
      <c r="JIH76" s="49" t="s">
        <v>94</v>
      </c>
      <c r="JII76" s="49" t="s">
        <v>93</v>
      </c>
      <c r="JIJ76" s="49" t="s">
        <v>94</v>
      </c>
      <c r="JIK76" s="49" t="s">
        <v>93</v>
      </c>
      <c r="JIL76" s="49" t="s">
        <v>94</v>
      </c>
      <c r="JIM76" s="49" t="s">
        <v>93</v>
      </c>
      <c r="JIN76" s="49" t="s">
        <v>94</v>
      </c>
      <c r="JIO76" s="49" t="s">
        <v>93</v>
      </c>
      <c r="JIP76" s="49" t="s">
        <v>94</v>
      </c>
      <c r="JIQ76" s="49" t="s">
        <v>93</v>
      </c>
      <c r="JIR76" s="49" t="s">
        <v>94</v>
      </c>
      <c r="JIS76" s="49" t="s">
        <v>93</v>
      </c>
      <c r="JIT76" s="49" t="s">
        <v>94</v>
      </c>
      <c r="JIU76" s="49" t="s">
        <v>93</v>
      </c>
      <c r="JIV76" s="49" t="s">
        <v>94</v>
      </c>
      <c r="JIW76" s="49" t="s">
        <v>93</v>
      </c>
      <c r="JIX76" s="49" t="s">
        <v>94</v>
      </c>
      <c r="JIY76" s="49" t="s">
        <v>93</v>
      </c>
      <c r="JIZ76" s="49" t="s">
        <v>94</v>
      </c>
      <c r="JJA76" s="49" t="s">
        <v>93</v>
      </c>
      <c r="JJB76" s="49" t="s">
        <v>94</v>
      </c>
      <c r="JJC76" s="49" t="s">
        <v>93</v>
      </c>
      <c r="JJD76" s="49" t="s">
        <v>94</v>
      </c>
      <c r="JJE76" s="49" t="s">
        <v>93</v>
      </c>
      <c r="JJF76" s="49" t="s">
        <v>94</v>
      </c>
      <c r="JJG76" s="49" t="s">
        <v>93</v>
      </c>
      <c r="JJH76" s="49" t="s">
        <v>94</v>
      </c>
      <c r="JJI76" s="49" t="s">
        <v>93</v>
      </c>
      <c r="JJJ76" s="49" t="s">
        <v>94</v>
      </c>
      <c r="JJK76" s="49" t="s">
        <v>93</v>
      </c>
      <c r="JJL76" s="49" t="s">
        <v>94</v>
      </c>
      <c r="JJM76" s="49" t="s">
        <v>93</v>
      </c>
      <c r="JJN76" s="49" t="s">
        <v>94</v>
      </c>
      <c r="JJO76" s="49" t="s">
        <v>93</v>
      </c>
      <c r="JJP76" s="49" t="s">
        <v>94</v>
      </c>
      <c r="JJQ76" s="49" t="s">
        <v>93</v>
      </c>
      <c r="JJR76" s="49" t="s">
        <v>94</v>
      </c>
      <c r="JJS76" s="49" t="s">
        <v>93</v>
      </c>
      <c r="JJT76" s="49" t="s">
        <v>94</v>
      </c>
      <c r="JJU76" s="49" t="s">
        <v>93</v>
      </c>
      <c r="JJV76" s="49" t="s">
        <v>94</v>
      </c>
      <c r="JJW76" s="49" t="s">
        <v>93</v>
      </c>
      <c r="JJX76" s="49" t="s">
        <v>94</v>
      </c>
      <c r="JJY76" s="49" t="s">
        <v>93</v>
      </c>
      <c r="JJZ76" s="49" t="s">
        <v>94</v>
      </c>
      <c r="JKA76" s="49" t="s">
        <v>93</v>
      </c>
      <c r="JKB76" s="49" t="s">
        <v>94</v>
      </c>
      <c r="JKC76" s="49" t="s">
        <v>93</v>
      </c>
      <c r="JKD76" s="49" t="s">
        <v>94</v>
      </c>
      <c r="JKE76" s="49" t="s">
        <v>93</v>
      </c>
      <c r="JKF76" s="49" t="s">
        <v>94</v>
      </c>
      <c r="JKG76" s="49" t="s">
        <v>93</v>
      </c>
      <c r="JKH76" s="49" t="s">
        <v>94</v>
      </c>
      <c r="JKI76" s="49" t="s">
        <v>93</v>
      </c>
      <c r="JKJ76" s="49" t="s">
        <v>94</v>
      </c>
      <c r="JKK76" s="49" t="s">
        <v>93</v>
      </c>
      <c r="JKL76" s="49" t="s">
        <v>94</v>
      </c>
      <c r="JKM76" s="49" t="s">
        <v>93</v>
      </c>
      <c r="JKN76" s="49" t="s">
        <v>94</v>
      </c>
      <c r="JKO76" s="49" t="s">
        <v>93</v>
      </c>
      <c r="JKP76" s="49" t="s">
        <v>94</v>
      </c>
      <c r="JKQ76" s="49" t="s">
        <v>93</v>
      </c>
      <c r="JKR76" s="49" t="s">
        <v>94</v>
      </c>
      <c r="JKS76" s="49" t="s">
        <v>93</v>
      </c>
      <c r="JKT76" s="49" t="s">
        <v>94</v>
      </c>
      <c r="JKU76" s="49" t="s">
        <v>93</v>
      </c>
      <c r="JKV76" s="49" t="s">
        <v>94</v>
      </c>
      <c r="JKW76" s="49" t="s">
        <v>93</v>
      </c>
      <c r="JKX76" s="49" t="s">
        <v>94</v>
      </c>
      <c r="JKY76" s="49" t="s">
        <v>93</v>
      </c>
      <c r="JKZ76" s="49" t="s">
        <v>94</v>
      </c>
      <c r="JLA76" s="49" t="s">
        <v>93</v>
      </c>
      <c r="JLB76" s="49" t="s">
        <v>94</v>
      </c>
      <c r="JLC76" s="49" t="s">
        <v>93</v>
      </c>
      <c r="JLD76" s="49" t="s">
        <v>94</v>
      </c>
      <c r="JLE76" s="49" t="s">
        <v>93</v>
      </c>
      <c r="JLF76" s="49" t="s">
        <v>94</v>
      </c>
      <c r="JLG76" s="49" t="s">
        <v>93</v>
      </c>
      <c r="JLH76" s="49" t="s">
        <v>94</v>
      </c>
      <c r="JLI76" s="49" t="s">
        <v>93</v>
      </c>
      <c r="JLJ76" s="49" t="s">
        <v>94</v>
      </c>
      <c r="JLK76" s="49" t="s">
        <v>93</v>
      </c>
      <c r="JLL76" s="49" t="s">
        <v>94</v>
      </c>
      <c r="JLM76" s="49" t="s">
        <v>93</v>
      </c>
      <c r="JLN76" s="49" t="s">
        <v>94</v>
      </c>
      <c r="JLO76" s="49" t="s">
        <v>93</v>
      </c>
      <c r="JLP76" s="49" t="s">
        <v>94</v>
      </c>
      <c r="JLQ76" s="49" t="s">
        <v>93</v>
      </c>
      <c r="JLR76" s="49" t="s">
        <v>94</v>
      </c>
      <c r="JLS76" s="49" t="s">
        <v>93</v>
      </c>
      <c r="JLT76" s="49" t="s">
        <v>94</v>
      </c>
      <c r="JLU76" s="49" t="s">
        <v>93</v>
      </c>
      <c r="JLV76" s="49" t="s">
        <v>94</v>
      </c>
      <c r="JLW76" s="49" t="s">
        <v>93</v>
      </c>
      <c r="JLX76" s="49" t="s">
        <v>94</v>
      </c>
      <c r="JLY76" s="49" t="s">
        <v>93</v>
      </c>
      <c r="JLZ76" s="49" t="s">
        <v>94</v>
      </c>
      <c r="JMA76" s="49" t="s">
        <v>93</v>
      </c>
      <c r="JMB76" s="49" t="s">
        <v>94</v>
      </c>
      <c r="JMC76" s="49" t="s">
        <v>93</v>
      </c>
      <c r="JMD76" s="49" t="s">
        <v>94</v>
      </c>
      <c r="JME76" s="49" t="s">
        <v>93</v>
      </c>
      <c r="JMF76" s="49" t="s">
        <v>94</v>
      </c>
      <c r="JMG76" s="49" t="s">
        <v>93</v>
      </c>
      <c r="JMH76" s="49" t="s">
        <v>94</v>
      </c>
      <c r="JMI76" s="49" t="s">
        <v>93</v>
      </c>
      <c r="JMJ76" s="49" t="s">
        <v>94</v>
      </c>
      <c r="JMK76" s="49" t="s">
        <v>93</v>
      </c>
      <c r="JML76" s="49" t="s">
        <v>94</v>
      </c>
      <c r="JMM76" s="49" t="s">
        <v>93</v>
      </c>
      <c r="JMN76" s="49" t="s">
        <v>94</v>
      </c>
      <c r="JMO76" s="49" t="s">
        <v>93</v>
      </c>
      <c r="JMP76" s="49" t="s">
        <v>94</v>
      </c>
      <c r="JMQ76" s="49" t="s">
        <v>93</v>
      </c>
      <c r="JMR76" s="49" t="s">
        <v>94</v>
      </c>
      <c r="JMS76" s="49" t="s">
        <v>93</v>
      </c>
      <c r="JMT76" s="49" t="s">
        <v>94</v>
      </c>
      <c r="JMU76" s="49" t="s">
        <v>93</v>
      </c>
      <c r="JMV76" s="49" t="s">
        <v>94</v>
      </c>
      <c r="JMW76" s="49" t="s">
        <v>93</v>
      </c>
      <c r="JMX76" s="49" t="s">
        <v>94</v>
      </c>
      <c r="JMY76" s="49" t="s">
        <v>93</v>
      </c>
      <c r="JMZ76" s="49" t="s">
        <v>94</v>
      </c>
      <c r="JNA76" s="49" t="s">
        <v>93</v>
      </c>
      <c r="JNB76" s="49" t="s">
        <v>94</v>
      </c>
      <c r="JNC76" s="49" t="s">
        <v>93</v>
      </c>
      <c r="JND76" s="49" t="s">
        <v>94</v>
      </c>
      <c r="JNE76" s="49" t="s">
        <v>93</v>
      </c>
      <c r="JNF76" s="49" t="s">
        <v>94</v>
      </c>
      <c r="JNG76" s="49" t="s">
        <v>93</v>
      </c>
      <c r="JNH76" s="49" t="s">
        <v>94</v>
      </c>
      <c r="JNI76" s="49" t="s">
        <v>93</v>
      </c>
      <c r="JNJ76" s="49" t="s">
        <v>94</v>
      </c>
      <c r="JNK76" s="49" t="s">
        <v>93</v>
      </c>
      <c r="JNL76" s="49" t="s">
        <v>94</v>
      </c>
      <c r="JNM76" s="49" t="s">
        <v>93</v>
      </c>
      <c r="JNN76" s="49" t="s">
        <v>94</v>
      </c>
      <c r="JNO76" s="49" t="s">
        <v>93</v>
      </c>
      <c r="JNP76" s="49" t="s">
        <v>94</v>
      </c>
      <c r="JNQ76" s="49" t="s">
        <v>93</v>
      </c>
      <c r="JNR76" s="49" t="s">
        <v>94</v>
      </c>
      <c r="JNS76" s="49" t="s">
        <v>93</v>
      </c>
      <c r="JNT76" s="49" t="s">
        <v>94</v>
      </c>
      <c r="JNU76" s="49" t="s">
        <v>93</v>
      </c>
      <c r="JNV76" s="49" t="s">
        <v>94</v>
      </c>
      <c r="JNW76" s="49" t="s">
        <v>93</v>
      </c>
      <c r="JNX76" s="49" t="s">
        <v>94</v>
      </c>
      <c r="JNY76" s="49" t="s">
        <v>93</v>
      </c>
      <c r="JNZ76" s="49" t="s">
        <v>94</v>
      </c>
      <c r="JOA76" s="49" t="s">
        <v>93</v>
      </c>
      <c r="JOB76" s="49" t="s">
        <v>94</v>
      </c>
      <c r="JOC76" s="49" t="s">
        <v>93</v>
      </c>
      <c r="JOD76" s="49" t="s">
        <v>94</v>
      </c>
      <c r="JOE76" s="49" t="s">
        <v>93</v>
      </c>
      <c r="JOF76" s="49" t="s">
        <v>94</v>
      </c>
      <c r="JOG76" s="49" t="s">
        <v>93</v>
      </c>
      <c r="JOH76" s="49" t="s">
        <v>94</v>
      </c>
      <c r="JOI76" s="49" t="s">
        <v>93</v>
      </c>
      <c r="JOJ76" s="49" t="s">
        <v>94</v>
      </c>
      <c r="JOK76" s="49" t="s">
        <v>93</v>
      </c>
      <c r="JOL76" s="49" t="s">
        <v>94</v>
      </c>
      <c r="JOM76" s="49" t="s">
        <v>93</v>
      </c>
      <c r="JON76" s="49" t="s">
        <v>94</v>
      </c>
      <c r="JOO76" s="49" t="s">
        <v>93</v>
      </c>
      <c r="JOP76" s="49" t="s">
        <v>94</v>
      </c>
      <c r="JOQ76" s="49" t="s">
        <v>93</v>
      </c>
      <c r="JOR76" s="49" t="s">
        <v>94</v>
      </c>
      <c r="JOS76" s="49" t="s">
        <v>93</v>
      </c>
      <c r="JOT76" s="49" t="s">
        <v>94</v>
      </c>
      <c r="JOU76" s="49" t="s">
        <v>93</v>
      </c>
      <c r="JOV76" s="49" t="s">
        <v>94</v>
      </c>
      <c r="JOW76" s="49" t="s">
        <v>93</v>
      </c>
      <c r="JOX76" s="49" t="s">
        <v>94</v>
      </c>
      <c r="JOY76" s="49" t="s">
        <v>93</v>
      </c>
      <c r="JOZ76" s="49" t="s">
        <v>94</v>
      </c>
      <c r="JPA76" s="49" t="s">
        <v>93</v>
      </c>
      <c r="JPB76" s="49" t="s">
        <v>94</v>
      </c>
      <c r="JPC76" s="49" t="s">
        <v>93</v>
      </c>
      <c r="JPD76" s="49" t="s">
        <v>94</v>
      </c>
      <c r="JPE76" s="49" t="s">
        <v>93</v>
      </c>
      <c r="JPF76" s="49" t="s">
        <v>94</v>
      </c>
      <c r="JPG76" s="49" t="s">
        <v>93</v>
      </c>
      <c r="JPH76" s="49" t="s">
        <v>94</v>
      </c>
      <c r="JPI76" s="49" t="s">
        <v>93</v>
      </c>
      <c r="JPJ76" s="49" t="s">
        <v>94</v>
      </c>
      <c r="JPK76" s="49" t="s">
        <v>93</v>
      </c>
      <c r="JPL76" s="49" t="s">
        <v>94</v>
      </c>
      <c r="JPM76" s="49" t="s">
        <v>93</v>
      </c>
      <c r="JPN76" s="49" t="s">
        <v>94</v>
      </c>
      <c r="JPO76" s="49" t="s">
        <v>93</v>
      </c>
      <c r="JPP76" s="49" t="s">
        <v>94</v>
      </c>
      <c r="JPQ76" s="49" t="s">
        <v>93</v>
      </c>
      <c r="JPR76" s="49" t="s">
        <v>94</v>
      </c>
      <c r="JPS76" s="49" t="s">
        <v>93</v>
      </c>
      <c r="JPT76" s="49" t="s">
        <v>94</v>
      </c>
      <c r="JPU76" s="49" t="s">
        <v>93</v>
      </c>
      <c r="JPV76" s="49" t="s">
        <v>94</v>
      </c>
      <c r="JPW76" s="49" t="s">
        <v>93</v>
      </c>
      <c r="JPX76" s="49" t="s">
        <v>94</v>
      </c>
      <c r="JPY76" s="49" t="s">
        <v>93</v>
      </c>
      <c r="JPZ76" s="49" t="s">
        <v>94</v>
      </c>
      <c r="JQA76" s="49" t="s">
        <v>93</v>
      </c>
      <c r="JQB76" s="49" t="s">
        <v>94</v>
      </c>
      <c r="JQC76" s="49" t="s">
        <v>93</v>
      </c>
      <c r="JQD76" s="49" t="s">
        <v>94</v>
      </c>
      <c r="JQE76" s="49" t="s">
        <v>93</v>
      </c>
      <c r="JQF76" s="49" t="s">
        <v>94</v>
      </c>
      <c r="JQG76" s="49" t="s">
        <v>93</v>
      </c>
      <c r="JQH76" s="49" t="s">
        <v>94</v>
      </c>
      <c r="JQI76" s="49" t="s">
        <v>93</v>
      </c>
      <c r="JQJ76" s="49" t="s">
        <v>94</v>
      </c>
      <c r="JQK76" s="49" t="s">
        <v>93</v>
      </c>
      <c r="JQL76" s="49" t="s">
        <v>94</v>
      </c>
      <c r="JQM76" s="49" t="s">
        <v>93</v>
      </c>
      <c r="JQN76" s="49" t="s">
        <v>94</v>
      </c>
      <c r="JQO76" s="49" t="s">
        <v>93</v>
      </c>
      <c r="JQP76" s="49" t="s">
        <v>94</v>
      </c>
      <c r="JQQ76" s="49" t="s">
        <v>93</v>
      </c>
      <c r="JQR76" s="49" t="s">
        <v>94</v>
      </c>
      <c r="JQS76" s="49" t="s">
        <v>93</v>
      </c>
      <c r="JQT76" s="49" t="s">
        <v>94</v>
      </c>
      <c r="JQU76" s="49" t="s">
        <v>93</v>
      </c>
      <c r="JQV76" s="49" t="s">
        <v>94</v>
      </c>
      <c r="JQW76" s="49" t="s">
        <v>93</v>
      </c>
      <c r="JQX76" s="49" t="s">
        <v>94</v>
      </c>
      <c r="JQY76" s="49" t="s">
        <v>93</v>
      </c>
      <c r="JQZ76" s="49" t="s">
        <v>94</v>
      </c>
      <c r="JRA76" s="49" t="s">
        <v>93</v>
      </c>
      <c r="JRB76" s="49" t="s">
        <v>94</v>
      </c>
      <c r="JRC76" s="49" t="s">
        <v>93</v>
      </c>
      <c r="JRD76" s="49" t="s">
        <v>94</v>
      </c>
      <c r="JRE76" s="49" t="s">
        <v>93</v>
      </c>
      <c r="JRF76" s="49" t="s">
        <v>94</v>
      </c>
      <c r="JRG76" s="49" t="s">
        <v>93</v>
      </c>
      <c r="JRH76" s="49" t="s">
        <v>94</v>
      </c>
      <c r="JRI76" s="49" t="s">
        <v>93</v>
      </c>
      <c r="JRJ76" s="49" t="s">
        <v>94</v>
      </c>
      <c r="JRK76" s="49" t="s">
        <v>93</v>
      </c>
      <c r="JRL76" s="49" t="s">
        <v>94</v>
      </c>
      <c r="JRM76" s="49" t="s">
        <v>93</v>
      </c>
      <c r="JRN76" s="49" t="s">
        <v>94</v>
      </c>
      <c r="JRO76" s="49" t="s">
        <v>93</v>
      </c>
      <c r="JRP76" s="49" t="s">
        <v>94</v>
      </c>
      <c r="JRQ76" s="49" t="s">
        <v>93</v>
      </c>
      <c r="JRR76" s="49" t="s">
        <v>94</v>
      </c>
      <c r="JRS76" s="49" t="s">
        <v>93</v>
      </c>
      <c r="JRT76" s="49" t="s">
        <v>94</v>
      </c>
      <c r="JRU76" s="49" t="s">
        <v>93</v>
      </c>
      <c r="JRV76" s="49" t="s">
        <v>94</v>
      </c>
      <c r="JRW76" s="49" t="s">
        <v>93</v>
      </c>
      <c r="JRX76" s="49" t="s">
        <v>94</v>
      </c>
      <c r="JRY76" s="49" t="s">
        <v>93</v>
      </c>
      <c r="JRZ76" s="49" t="s">
        <v>94</v>
      </c>
      <c r="JSA76" s="49" t="s">
        <v>93</v>
      </c>
      <c r="JSB76" s="49" t="s">
        <v>94</v>
      </c>
      <c r="JSC76" s="49" t="s">
        <v>93</v>
      </c>
      <c r="JSD76" s="49" t="s">
        <v>94</v>
      </c>
      <c r="JSE76" s="49" t="s">
        <v>93</v>
      </c>
      <c r="JSF76" s="49" t="s">
        <v>94</v>
      </c>
      <c r="JSG76" s="49" t="s">
        <v>93</v>
      </c>
      <c r="JSH76" s="49" t="s">
        <v>94</v>
      </c>
      <c r="JSI76" s="49" t="s">
        <v>93</v>
      </c>
      <c r="JSJ76" s="49" t="s">
        <v>94</v>
      </c>
      <c r="JSK76" s="49" t="s">
        <v>93</v>
      </c>
      <c r="JSL76" s="49" t="s">
        <v>94</v>
      </c>
      <c r="JSM76" s="49" t="s">
        <v>93</v>
      </c>
      <c r="JSN76" s="49" t="s">
        <v>94</v>
      </c>
      <c r="JSO76" s="49" t="s">
        <v>93</v>
      </c>
      <c r="JSP76" s="49" t="s">
        <v>94</v>
      </c>
      <c r="JSQ76" s="49" t="s">
        <v>93</v>
      </c>
      <c r="JSR76" s="49" t="s">
        <v>94</v>
      </c>
      <c r="JSS76" s="49" t="s">
        <v>93</v>
      </c>
      <c r="JST76" s="49" t="s">
        <v>94</v>
      </c>
      <c r="JSU76" s="49" t="s">
        <v>93</v>
      </c>
      <c r="JSV76" s="49" t="s">
        <v>94</v>
      </c>
      <c r="JSW76" s="49" t="s">
        <v>93</v>
      </c>
      <c r="JSX76" s="49" t="s">
        <v>94</v>
      </c>
      <c r="JSY76" s="49" t="s">
        <v>93</v>
      </c>
      <c r="JSZ76" s="49" t="s">
        <v>94</v>
      </c>
      <c r="JTA76" s="49" t="s">
        <v>93</v>
      </c>
      <c r="JTB76" s="49" t="s">
        <v>94</v>
      </c>
      <c r="JTC76" s="49" t="s">
        <v>93</v>
      </c>
      <c r="JTD76" s="49" t="s">
        <v>94</v>
      </c>
      <c r="JTE76" s="49" t="s">
        <v>93</v>
      </c>
      <c r="JTF76" s="49" t="s">
        <v>94</v>
      </c>
      <c r="JTG76" s="49" t="s">
        <v>93</v>
      </c>
      <c r="JTH76" s="49" t="s">
        <v>94</v>
      </c>
      <c r="JTI76" s="49" t="s">
        <v>93</v>
      </c>
      <c r="JTJ76" s="49" t="s">
        <v>94</v>
      </c>
      <c r="JTK76" s="49" t="s">
        <v>93</v>
      </c>
      <c r="JTL76" s="49" t="s">
        <v>94</v>
      </c>
      <c r="JTM76" s="49" t="s">
        <v>93</v>
      </c>
      <c r="JTN76" s="49" t="s">
        <v>94</v>
      </c>
      <c r="JTO76" s="49" t="s">
        <v>93</v>
      </c>
      <c r="JTP76" s="49" t="s">
        <v>94</v>
      </c>
      <c r="JTQ76" s="49" t="s">
        <v>93</v>
      </c>
      <c r="JTR76" s="49" t="s">
        <v>94</v>
      </c>
      <c r="JTS76" s="49" t="s">
        <v>93</v>
      </c>
      <c r="JTT76" s="49" t="s">
        <v>94</v>
      </c>
      <c r="JTU76" s="49" t="s">
        <v>93</v>
      </c>
      <c r="JTV76" s="49" t="s">
        <v>94</v>
      </c>
      <c r="JTW76" s="49" t="s">
        <v>93</v>
      </c>
      <c r="JTX76" s="49" t="s">
        <v>94</v>
      </c>
      <c r="JTY76" s="49" t="s">
        <v>93</v>
      </c>
      <c r="JTZ76" s="49" t="s">
        <v>94</v>
      </c>
      <c r="JUA76" s="49" t="s">
        <v>93</v>
      </c>
      <c r="JUB76" s="49" t="s">
        <v>94</v>
      </c>
      <c r="JUC76" s="49" t="s">
        <v>93</v>
      </c>
      <c r="JUD76" s="49" t="s">
        <v>94</v>
      </c>
      <c r="JUE76" s="49" t="s">
        <v>93</v>
      </c>
      <c r="JUF76" s="49" t="s">
        <v>94</v>
      </c>
      <c r="JUG76" s="49" t="s">
        <v>93</v>
      </c>
      <c r="JUH76" s="49" t="s">
        <v>94</v>
      </c>
      <c r="JUI76" s="49" t="s">
        <v>93</v>
      </c>
      <c r="JUJ76" s="49" t="s">
        <v>94</v>
      </c>
      <c r="JUK76" s="49" t="s">
        <v>93</v>
      </c>
      <c r="JUL76" s="49" t="s">
        <v>94</v>
      </c>
      <c r="JUM76" s="49" t="s">
        <v>93</v>
      </c>
      <c r="JUN76" s="49" t="s">
        <v>94</v>
      </c>
      <c r="JUO76" s="49" t="s">
        <v>93</v>
      </c>
      <c r="JUP76" s="49" t="s">
        <v>94</v>
      </c>
      <c r="JUQ76" s="49" t="s">
        <v>93</v>
      </c>
      <c r="JUR76" s="49" t="s">
        <v>94</v>
      </c>
      <c r="JUS76" s="49" t="s">
        <v>93</v>
      </c>
      <c r="JUT76" s="49" t="s">
        <v>94</v>
      </c>
      <c r="JUU76" s="49" t="s">
        <v>93</v>
      </c>
      <c r="JUV76" s="49" t="s">
        <v>94</v>
      </c>
      <c r="JUW76" s="49" t="s">
        <v>93</v>
      </c>
      <c r="JUX76" s="49" t="s">
        <v>94</v>
      </c>
      <c r="JUY76" s="49" t="s">
        <v>93</v>
      </c>
      <c r="JUZ76" s="49" t="s">
        <v>94</v>
      </c>
      <c r="JVA76" s="49" t="s">
        <v>93</v>
      </c>
      <c r="JVB76" s="49" t="s">
        <v>94</v>
      </c>
      <c r="JVC76" s="49" t="s">
        <v>93</v>
      </c>
      <c r="JVD76" s="49" t="s">
        <v>94</v>
      </c>
      <c r="JVE76" s="49" t="s">
        <v>93</v>
      </c>
      <c r="JVF76" s="49" t="s">
        <v>94</v>
      </c>
      <c r="JVG76" s="49" t="s">
        <v>93</v>
      </c>
      <c r="JVH76" s="49" t="s">
        <v>94</v>
      </c>
      <c r="JVI76" s="49" t="s">
        <v>93</v>
      </c>
      <c r="JVJ76" s="49" t="s">
        <v>94</v>
      </c>
      <c r="JVK76" s="49" t="s">
        <v>93</v>
      </c>
      <c r="JVL76" s="49" t="s">
        <v>94</v>
      </c>
      <c r="JVM76" s="49" t="s">
        <v>93</v>
      </c>
      <c r="JVN76" s="49" t="s">
        <v>94</v>
      </c>
      <c r="JVO76" s="49" t="s">
        <v>93</v>
      </c>
      <c r="JVP76" s="49" t="s">
        <v>94</v>
      </c>
      <c r="JVQ76" s="49" t="s">
        <v>93</v>
      </c>
      <c r="JVR76" s="49" t="s">
        <v>94</v>
      </c>
      <c r="JVS76" s="49" t="s">
        <v>93</v>
      </c>
      <c r="JVT76" s="49" t="s">
        <v>94</v>
      </c>
      <c r="JVU76" s="49" t="s">
        <v>93</v>
      </c>
      <c r="JVV76" s="49" t="s">
        <v>94</v>
      </c>
      <c r="JVW76" s="49" t="s">
        <v>93</v>
      </c>
      <c r="JVX76" s="49" t="s">
        <v>94</v>
      </c>
      <c r="JVY76" s="49" t="s">
        <v>93</v>
      </c>
      <c r="JVZ76" s="49" t="s">
        <v>94</v>
      </c>
      <c r="JWA76" s="49" t="s">
        <v>93</v>
      </c>
      <c r="JWB76" s="49" t="s">
        <v>94</v>
      </c>
      <c r="JWC76" s="49" t="s">
        <v>93</v>
      </c>
      <c r="JWD76" s="49" t="s">
        <v>94</v>
      </c>
      <c r="JWE76" s="49" t="s">
        <v>93</v>
      </c>
      <c r="JWF76" s="49" t="s">
        <v>94</v>
      </c>
      <c r="JWG76" s="49" t="s">
        <v>93</v>
      </c>
      <c r="JWH76" s="49" t="s">
        <v>94</v>
      </c>
      <c r="JWI76" s="49" t="s">
        <v>93</v>
      </c>
      <c r="JWJ76" s="49" t="s">
        <v>94</v>
      </c>
      <c r="JWK76" s="49" t="s">
        <v>93</v>
      </c>
      <c r="JWL76" s="49" t="s">
        <v>94</v>
      </c>
      <c r="JWM76" s="49" t="s">
        <v>93</v>
      </c>
      <c r="JWN76" s="49" t="s">
        <v>94</v>
      </c>
      <c r="JWO76" s="49" t="s">
        <v>93</v>
      </c>
      <c r="JWP76" s="49" t="s">
        <v>94</v>
      </c>
      <c r="JWQ76" s="49" t="s">
        <v>93</v>
      </c>
      <c r="JWR76" s="49" t="s">
        <v>94</v>
      </c>
      <c r="JWS76" s="49" t="s">
        <v>93</v>
      </c>
      <c r="JWT76" s="49" t="s">
        <v>94</v>
      </c>
      <c r="JWU76" s="49" t="s">
        <v>93</v>
      </c>
      <c r="JWV76" s="49" t="s">
        <v>94</v>
      </c>
      <c r="JWW76" s="49" t="s">
        <v>93</v>
      </c>
      <c r="JWX76" s="49" t="s">
        <v>94</v>
      </c>
      <c r="JWY76" s="49" t="s">
        <v>93</v>
      </c>
      <c r="JWZ76" s="49" t="s">
        <v>94</v>
      </c>
      <c r="JXA76" s="49" t="s">
        <v>93</v>
      </c>
      <c r="JXB76" s="49" t="s">
        <v>94</v>
      </c>
      <c r="JXC76" s="49" t="s">
        <v>93</v>
      </c>
      <c r="JXD76" s="49" t="s">
        <v>94</v>
      </c>
      <c r="JXE76" s="49" t="s">
        <v>93</v>
      </c>
      <c r="JXF76" s="49" t="s">
        <v>94</v>
      </c>
      <c r="JXG76" s="49" t="s">
        <v>93</v>
      </c>
      <c r="JXH76" s="49" t="s">
        <v>94</v>
      </c>
      <c r="JXI76" s="49" t="s">
        <v>93</v>
      </c>
      <c r="JXJ76" s="49" t="s">
        <v>94</v>
      </c>
      <c r="JXK76" s="49" t="s">
        <v>93</v>
      </c>
      <c r="JXL76" s="49" t="s">
        <v>94</v>
      </c>
      <c r="JXM76" s="49" t="s">
        <v>93</v>
      </c>
      <c r="JXN76" s="49" t="s">
        <v>94</v>
      </c>
      <c r="JXO76" s="49" t="s">
        <v>93</v>
      </c>
      <c r="JXP76" s="49" t="s">
        <v>94</v>
      </c>
      <c r="JXQ76" s="49" t="s">
        <v>93</v>
      </c>
      <c r="JXR76" s="49" t="s">
        <v>94</v>
      </c>
      <c r="JXS76" s="49" t="s">
        <v>93</v>
      </c>
      <c r="JXT76" s="49" t="s">
        <v>94</v>
      </c>
      <c r="JXU76" s="49" t="s">
        <v>93</v>
      </c>
      <c r="JXV76" s="49" t="s">
        <v>94</v>
      </c>
      <c r="JXW76" s="49" t="s">
        <v>93</v>
      </c>
      <c r="JXX76" s="49" t="s">
        <v>94</v>
      </c>
      <c r="JXY76" s="49" t="s">
        <v>93</v>
      </c>
      <c r="JXZ76" s="49" t="s">
        <v>94</v>
      </c>
      <c r="JYA76" s="49" t="s">
        <v>93</v>
      </c>
      <c r="JYB76" s="49" t="s">
        <v>94</v>
      </c>
      <c r="JYC76" s="49" t="s">
        <v>93</v>
      </c>
      <c r="JYD76" s="49" t="s">
        <v>94</v>
      </c>
      <c r="JYE76" s="49" t="s">
        <v>93</v>
      </c>
      <c r="JYF76" s="49" t="s">
        <v>94</v>
      </c>
      <c r="JYG76" s="49" t="s">
        <v>93</v>
      </c>
      <c r="JYH76" s="49" t="s">
        <v>94</v>
      </c>
      <c r="JYI76" s="49" t="s">
        <v>93</v>
      </c>
      <c r="JYJ76" s="49" t="s">
        <v>94</v>
      </c>
      <c r="JYK76" s="49" t="s">
        <v>93</v>
      </c>
      <c r="JYL76" s="49" t="s">
        <v>94</v>
      </c>
      <c r="JYM76" s="49" t="s">
        <v>93</v>
      </c>
      <c r="JYN76" s="49" t="s">
        <v>94</v>
      </c>
      <c r="JYO76" s="49" t="s">
        <v>93</v>
      </c>
      <c r="JYP76" s="49" t="s">
        <v>94</v>
      </c>
      <c r="JYQ76" s="49" t="s">
        <v>93</v>
      </c>
      <c r="JYR76" s="49" t="s">
        <v>94</v>
      </c>
      <c r="JYS76" s="49" t="s">
        <v>93</v>
      </c>
      <c r="JYT76" s="49" t="s">
        <v>94</v>
      </c>
      <c r="JYU76" s="49" t="s">
        <v>93</v>
      </c>
      <c r="JYV76" s="49" t="s">
        <v>94</v>
      </c>
      <c r="JYW76" s="49" t="s">
        <v>93</v>
      </c>
      <c r="JYX76" s="49" t="s">
        <v>94</v>
      </c>
      <c r="JYY76" s="49" t="s">
        <v>93</v>
      </c>
      <c r="JYZ76" s="49" t="s">
        <v>94</v>
      </c>
      <c r="JZA76" s="49" t="s">
        <v>93</v>
      </c>
      <c r="JZB76" s="49" t="s">
        <v>94</v>
      </c>
      <c r="JZC76" s="49" t="s">
        <v>93</v>
      </c>
      <c r="JZD76" s="49" t="s">
        <v>94</v>
      </c>
      <c r="JZE76" s="49" t="s">
        <v>93</v>
      </c>
      <c r="JZF76" s="49" t="s">
        <v>94</v>
      </c>
      <c r="JZG76" s="49" t="s">
        <v>93</v>
      </c>
      <c r="JZH76" s="49" t="s">
        <v>94</v>
      </c>
      <c r="JZI76" s="49" t="s">
        <v>93</v>
      </c>
      <c r="JZJ76" s="49" t="s">
        <v>94</v>
      </c>
      <c r="JZK76" s="49" t="s">
        <v>93</v>
      </c>
      <c r="JZL76" s="49" t="s">
        <v>94</v>
      </c>
      <c r="JZM76" s="49" t="s">
        <v>93</v>
      </c>
      <c r="JZN76" s="49" t="s">
        <v>94</v>
      </c>
      <c r="JZO76" s="49" t="s">
        <v>93</v>
      </c>
      <c r="JZP76" s="49" t="s">
        <v>94</v>
      </c>
      <c r="JZQ76" s="49" t="s">
        <v>93</v>
      </c>
      <c r="JZR76" s="49" t="s">
        <v>94</v>
      </c>
      <c r="JZS76" s="49" t="s">
        <v>93</v>
      </c>
      <c r="JZT76" s="49" t="s">
        <v>94</v>
      </c>
      <c r="JZU76" s="49" t="s">
        <v>93</v>
      </c>
      <c r="JZV76" s="49" t="s">
        <v>94</v>
      </c>
      <c r="JZW76" s="49" t="s">
        <v>93</v>
      </c>
      <c r="JZX76" s="49" t="s">
        <v>94</v>
      </c>
      <c r="JZY76" s="49" t="s">
        <v>93</v>
      </c>
      <c r="JZZ76" s="49" t="s">
        <v>94</v>
      </c>
      <c r="KAA76" s="49" t="s">
        <v>93</v>
      </c>
      <c r="KAB76" s="49" t="s">
        <v>94</v>
      </c>
      <c r="KAC76" s="49" t="s">
        <v>93</v>
      </c>
      <c r="KAD76" s="49" t="s">
        <v>94</v>
      </c>
      <c r="KAE76" s="49" t="s">
        <v>93</v>
      </c>
      <c r="KAF76" s="49" t="s">
        <v>94</v>
      </c>
      <c r="KAG76" s="49" t="s">
        <v>93</v>
      </c>
      <c r="KAH76" s="49" t="s">
        <v>94</v>
      </c>
      <c r="KAI76" s="49" t="s">
        <v>93</v>
      </c>
      <c r="KAJ76" s="49" t="s">
        <v>94</v>
      </c>
      <c r="KAK76" s="49" t="s">
        <v>93</v>
      </c>
      <c r="KAL76" s="49" t="s">
        <v>94</v>
      </c>
      <c r="KAM76" s="49" t="s">
        <v>93</v>
      </c>
      <c r="KAN76" s="49" t="s">
        <v>94</v>
      </c>
      <c r="KAO76" s="49" t="s">
        <v>93</v>
      </c>
      <c r="KAP76" s="49" t="s">
        <v>94</v>
      </c>
      <c r="KAQ76" s="49" t="s">
        <v>93</v>
      </c>
      <c r="KAR76" s="49" t="s">
        <v>94</v>
      </c>
      <c r="KAS76" s="49" t="s">
        <v>93</v>
      </c>
      <c r="KAT76" s="49" t="s">
        <v>94</v>
      </c>
      <c r="KAU76" s="49" t="s">
        <v>93</v>
      </c>
      <c r="KAV76" s="49" t="s">
        <v>94</v>
      </c>
      <c r="KAW76" s="49" t="s">
        <v>93</v>
      </c>
      <c r="KAX76" s="49" t="s">
        <v>94</v>
      </c>
      <c r="KAY76" s="49" t="s">
        <v>93</v>
      </c>
      <c r="KAZ76" s="49" t="s">
        <v>94</v>
      </c>
      <c r="KBA76" s="49" t="s">
        <v>93</v>
      </c>
      <c r="KBB76" s="49" t="s">
        <v>94</v>
      </c>
      <c r="KBC76" s="49" t="s">
        <v>93</v>
      </c>
      <c r="KBD76" s="49" t="s">
        <v>94</v>
      </c>
      <c r="KBE76" s="49" t="s">
        <v>93</v>
      </c>
      <c r="KBF76" s="49" t="s">
        <v>94</v>
      </c>
      <c r="KBG76" s="49" t="s">
        <v>93</v>
      </c>
      <c r="KBH76" s="49" t="s">
        <v>94</v>
      </c>
      <c r="KBI76" s="49" t="s">
        <v>93</v>
      </c>
      <c r="KBJ76" s="49" t="s">
        <v>94</v>
      </c>
      <c r="KBK76" s="49" t="s">
        <v>93</v>
      </c>
      <c r="KBL76" s="49" t="s">
        <v>94</v>
      </c>
      <c r="KBM76" s="49" t="s">
        <v>93</v>
      </c>
      <c r="KBN76" s="49" t="s">
        <v>94</v>
      </c>
      <c r="KBO76" s="49" t="s">
        <v>93</v>
      </c>
      <c r="KBP76" s="49" t="s">
        <v>94</v>
      </c>
      <c r="KBQ76" s="49" t="s">
        <v>93</v>
      </c>
      <c r="KBR76" s="49" t="s">
        <v>94</v>
      </c>
      <c r="KBS76" s="49" t="s">
        <v>93</v>
      </c>
      <c r="KBT76" s="49" t="s">
        <v>94</v>
      </c>
      <c r="KBU76" s="49" t="s">
        <v>93</v>
      </c>
      <c r="KBV76" s="49" t="s">
        <v>94</v>
      </c>
      <c r="KBW76" s="49" t="s">
        <v>93</v>
      </c>
      <c r="KBX76" s="49" t="s">
        <v>94</v>
      </c>
      <c r="KBY76" s="49" t="s">
        <v>93</v>
      </c>
      <c r="KBZ76" s="49" t="s">
        <v>94</v>
      </c>
      <c r="KCA76" s="49" t="s">
        <v>93</v>
      </c>
      <c r="KCB76" s="49" t="s">
        <v>94</v>
      </c>
      <c r="KCC76" s="49" t="s">
        <v>93</v>
      </c>
      <c r="KCD76" s="49" t="s">
        <v>94</v>
      </c>
      <c r="KCE76" s="49" t="s">
        <v>93</v>
      </c>
      <c r="KCF76" s="49" t="s">
        <v>94</v>
      </c>
      <c r="KCG76" s="49" t="s">
        <v>93</v>
      </c>
      <c r="KCH76" s="49" t="s">
        <v>94</v>
      </c>
      <c r="KCI76" s="49" t="s">
        <v>93</v>
      </c>
      <c r="KCJ76" s="49" t="s">
        <v>94</v>
      </c>
      <c r="KCK76" s="49" t="s">
        <v>93</v>
      </c>
      <c r="KCL76" s="49" t="s">
        <v>94</v>
      </c>
      <c r="KCM76" s="49" t="s">
        <v>93</v>
      </c>
      <c r="KCN76" s="49" t="s">
        <v>94</v>
      </c>
      <c r="KCO76" s="49" t="s">
        <v>93</v>
      </c>
      <c r="KCP76" s="49" t="s">
        <v>94</v>
      </c>
      <c r="KCQ76" s="49" t="s">
        <v>93</v>
      </c>
      <c r="KCR76" s="49" t="s">
        <v>94</v>
      </c>
      <c r="KCS76" s="49" t="s">
        <v>93</v>
      </c>
      <c r="KCT76" s="49" t="s">
        <v>94</v>
      </c>
      <c r="KCU76" s="49" t="s">
        <v>93</v>
      </c>
      <c r="KCV76" s="49" t="s">
        <v>94</v>
      </c>
      <c r="KCW76" s="49" t="s">
        <v>93</v>
      </c>
      <c r="KCX76" s="49" t="s">
        <v>94</v>
      </c>
      <c r="KCY76" s="49" t="s">
        <v>93</v>
      </c>
      <c r="KCZ76" s="49" t="s">
        <v>94</v>
      </c>
      <c r="KDA76" s="49" t="s">
        <v>93</v>
      </c>
      <c r="KDB76" s="49" t="s">
        <v>94</v>
      </c>
      <c r="KDC76" s="49" t="s">
        <v>93</v>
      </c>
      <c r="KDD76" s="49" t="s">
        <v>94</v>
      </c>
      <c r="KDE76" s="49" t="s">
        <v>93</v>
      </c>
      <c r="KDF76" s="49" t="s">
        <v>94</v>
      </c>
      <c r="KDG76" s="49" t="s">
        <v>93</v>
      </c>
      <c r="KDH76" s="49" t="s">
        <v>94</v>
      </c>
      <c r="KDI76" s="49" t="s">
        <v>93</v>
      </c>
      <c r="KDJ76" s="49" t="s">
        <v>94</v>
      </c>
      <c r="KDK76" s="49" t="s">
        <v>93</v>
      </c>
      <c r="KDL76" s="49" t="s">
        <v>94</v>
      </c>
      <c r="KDM76" s="49" t="s">
        <v>93</v>
      </c>
      <c r="KDN76" s="49" t="s">
        <v>94</v>
      </c>
      <c r="KDO76" s="49" t="s">
        <v>93</v>
      </c>
      <c r="KDP76" s="49" t="s">
        <v>94</v>
      </c>
      <c r="KDQ76" s="49" t="s">
        <v>93</v>
      </c>
      <c r="KDR76" s="49" t="s">
        <v>94</v>
      </c>
      <c r="KDS76" s="49" t="s">
        <v>93</v>
      </c>
      <c r="KDT76" s="49" t="s">
        <v>94</v>
      </c>
      <c r="KDU76" s="49" t="s">
        <v>93</v>
      </c>
      <c r="KDV76" s="49" t="s">
        <v>94</v>
      </c>
      <c r="KDW76" s="49" t="s">
        <v>93</v>
      </c>
      <c r="KDX76" s="49" t="s">
        <v>94</v>
      </c>
      <c r="KDY76" s="49" t="s">
        <v>93</v>
      </c>
      <c r="KDZ76" s="49" t="s">
        <v>94</v>
      </c>
      <c r="KEA76" s="49" t="s">
        <v>93</v>
      </c>
      <c r="KEB76" s="49" t="s">
        <v>94</v>
      </c>
      <c r="KEC76" s="49" t="s">
        <v>93</v>
      </c>
      <c r="KED76" s="49" t="s">
        <v>94</v>
      </c>
      <c r="KEE76" s="49" t="s">
        <v>93</v>
      </c>
      <c r="KEF76" s="49" t="s">
        <v>94</v>
      </c>
      <c r="KEG76" s="49" t="s">
        <v>93</v>
      </c>
      <c r="KEH76" s="49" t="s">
        <v>94</v>
      </c>
      <c r="KEI76" s="49" t="s">
        <v>93</v>
      </c>
      <c r="KEJ76" s="49" t="s">
        <v>94</v>
      </c>
      <c r="KEK76" s="49" t="s">
        <v>93</v>
      </c>
      <c r="KEL76" s="49" t="s">
        <v>94</v>
      </c>
      <c r="KEM76" s="49" t="s">
        <v>93</v>
      </c>
      <c r="KEN76" s="49" t="s">
        <v>94</v>
      </c>
      <c r="KEO76" s="49" t="s">
        <v>93</v>
      </c>
      <c r="KEP76" s="49" t="s">
        <v>94</v>
      </c>
      <c r="KEQ76" s="49" t="s">
        <v>93</v>
      </c>
      <c r="KER76" s="49" t="s">
        <v>94</v>
      </c>
      <c r="KES76" s="49" t="s">
        <v>93</v>
      </c>
      <c r="KET76" s="49" t="s">
        <v>94</v>
      </c>
      <c r="KEU76" s="49" t="s">
        <v>93</v>
      </c>
      <c r="KEV76" s="49" t="s">
        <v>94</v>
      </c>
      <c r="KEW76" s="49" t="s">
        <v>93</v>
      </c>
      <c r="KEX76" s="49" t="s">
        <v>94</v>
      </c>
      <c r="KEY76" s="49" t="s">
        <v>93</v>
      </c>
      <c r="KEZ76" s="49" t="s">
        <v>94</v>
      </c>
      <c r="KFA76" s="49" t="s">
        <v>93</v>
      </c>
      <c r="KFB76" s="49" t="s">
        <v>94</v>
      </c>
      <c r="KFC76" s="49" t="s">
        <v>93</v>
      </c>
      <c r="KFD76" s="49" t="s">
        <v>94</v>
      </c>
      <c r="KFE76" s="49" t="s">
        <v>93</v>
      </c>
      <c r="KFF76" s="49" t="s">
        <v>94</v>
      </c>
      <c r="KFG76" s="49" t="s">
        <v>93</v>
      </c>
      <c r="KFH76" s="49" t="s">
        <v>94</v>
      </c>
      <c r="KFI76" s="49" t="s">
        <v>93</v>
      </c>
      <c r="KFJ76" s="49" t="s">
        <v>94</v>
      </c>
      <c r="KFK76" s="49" t="s">
        <v>93</v>
      </c>
      <c r="KFL76" s="49" t="s">
        <v>94</v>
      </c>
      <c r="KFM76" s="49" t="s">
        <v>93</v>
      </c>
      <c r="KFN76" s="49" t="s">
        <v>94</v>
      </c>
      <c r="KFO76" s="49" t="s">
        <v>93</v>
      </c>
      <c r="KFP76" s="49" t="s">
        <v>94</v>
      </c>
      <c r="KFQ76" s="49" t="s">
        <v>93</v>
      </c>
      <c r="KFR76" s="49" t="s">
        <v>94</v>
      </c>
      <c r="KFS76" s="49" t="s">
        <v>93</v>
      </c>
      <c r="KFT76" s="49" t="s">
        <v>94</v>
      </c>
      <c r="KFU76" s="49" t="s">
        <v>93</v>
      </c>
      <c r="KFV76" s="49" t="s">
        <v>94</v>
      </c>
      <c r="KFW76" s="49" t="s">
        <v>93</v>
      </c>
      <c r="KFX76" s="49" t="s">
        <v>94</v>
      </c>
      <c r="KFY76" s="49" t="s">
        <v>93</v>
      </c>
      <c r="KFZ76" s="49" t="s">
        <v>94</v>
      </c>
      <c r="KGA76" s="49" t="s">
        <v>93</v>
      </c>
      <c r="KGB76" s="49" t="s">
        <v>94</v>
      </c>
      <c r="KGC76" s="49" t="s">
        <v>93</v>
      </c>
      <c r="KGD76" s="49" t="s">
        <v>94</v>
      </c>
      <c r="KGE76" s="49" t="s">
        <v>93</v>
      </c>
      <c r="KGF76" s="49" t="s">
        <v>94</v>
      </c>
      <c r="KGG76" s="49" t="s">
        <v>93</v>
      </c>
      <c r="KGH76" s="49" t="s">
        <v>94</v>
      </c>
      <c r="KGI76" s="49" t="s">
        <v>93</v>
      </c>
      <c r="KGJ76" s="49" t="s">
        <v>94</v>
      </c>
      <c r="KGK76" s="49" t="s">
        <v>93</v>
      </c>
      <c r="KGL76" s="49" t="s">
        <v>94</v>
      </c>
      <c r="KGM76" s="49" t="s">
        <v>93</v>
      </c>
      <c r="KGN76" s="49" t="s">
        <v>94</v>
      </c>
      <c r="KGO76" s="49" t="s">
        <v>93</v>
      </c>
      <c r="KGP76" s="49" t="s">
        <v>94</v>
      </c>
      <c r="KGQ76" s="49" t="s">
        <v>93</v>
      </c>
      <c r="KGR76" s="49" t="s">
        <v>94</v>
      </c>
      <c r="KGS76" s="49" t="s">
        <v>93</v>
      </c>
      <c r="KGT76" s="49" t="s">
        <v>94</v>
      </c>
      <c r="KGU76" s="49" t="s">
        <v>93</v>
      </c>
      <c r="KGV76" s="49" t="s">
        <v>94</v>
      </c>
      <c r="KGW76" s="49" t="s">
        <v>93</v>
      </c>
      <c r="KGX76" s="49" t="s">
        <v>94</v>
      </c>
      <c r="KGY76" s="49" t="s">
        <v>93</v>
      </c>
      <c r="KGZ76" s="49" t="s">
        <v>94</v>
      </c>
      <c r="KHA76" s="49" t="s">
        <v>93</v>
      </c>
      <c r="KHB76" s="49" t="s">
        <v>94</v>
      </c>
      <c r="KHC76" s="49" t="s">
        <v>93</v>
      </c>
      <c r="KHD76" s="49" t="s">
        <v>94</v>
      </c>
      <c r="KHE76" s="49" t="s">
        <v>93</v>
      </c>
      <c r="KHF76" s="49" t="s">
        <v>94</v>
      </c>
      <c r="KHG76" s="49" t="s">
        <v>93</v>
      </c>
      <c r="KHH76" s="49" t="s">
        <v>94</v>
      </c>
      <c r="KHI76" s="49" t="s">
        <v>93</v>
      </c>
      <c r="KHJ76" s="49" t="s">
        <v>94</v>
      </c>
      <c r="KHK76" s="49" t="s">
        <v>93</v>
      </c>
      <c r="KHL76" s="49" t="s">
        <v>94</v>
      </c>
      <c r="KHM76" s="49" t="s">
        <v>93</v>
      </c>
      <c r="KHN76" s="49" t="s">
        <v>94</v>
      </c>
      <c r="KHO76" s="49" t="s">
        <v>93</v>
      </c>
      <c r="KHP76" s="49" t="s">
        <v>94</v>
      </c>
      <c r="KHQ76" s="49" t="s">
        <v>93</v>
      </c>
      <c r="KHR76" s="49" t="s">
        <v>94</v>
      </c>
      <c r="KHS76" s="49" t="s">
        <v>93</v>
      </c>
      <c r="KHT76" s="49" t="s">
        <v>94</v>
      </c>
      <c r="KHU76" s="49" t="s">
        <v>93</v>
      </c>
      <c r="KHV76" s="49" t="s">
        <v>94</v>
      </c>
      <c r="KHW76" s="49" t="s">
        <v>93</v>
      </c>
      <c r="KHX76" s="49" t="s">
        <v>94</v>
      </c>
      <c r="KHY76" s="49" t="s">
        <v>93</v>
      </c>
      <c r="KHZ76" s="49" t="s">
        <v>94</v>
      </c>
      <c r="KIA76" s="49" t="s">
        <v>93</v>
      </c>
      <c r="KIB76" s="49" t="s">
        <v>94</v>
      </c>
      <c r="KIC76" s="49" t="s">
        <v>93</v>
      </c>
      <c r="KID76" s="49" t="s">
        <v>94</v>
      </c>
      <c r="KIE76" s="49" t="s">
        <v>93</v>
      </c>
      <c r="KIF76" s="49" t="s">
        <v>94</v>
      </c>
      <c r="KIG76" s="49" t="s">
        <v>93</v>
      </c>
      <c r="KIH76" s="49" t="s">
        <v>94</v>
      </c>
      <c r="KII76" s="49" t="s">
        <v>93</v>
      </c>
      <c r="KIJ76" s="49" t="s">
        <v>94</v>
      </c>
      <c r="KIK76" s="49" t="s">
        <v>93</v>
      </c>
      <c r="KIL76" s="49" t="s">
        <v>94</v>
      </c>
      <c r="KIM76" s="49" t="s">
        <v>93</v>
      </c>
      <c r="KIN76" s="49" t="s">
        <v>94</v>
      </c>
      <c r="KIO76" s="49" t="s">
        <v>93</v>
      </c>
      <c r="KIP76" s="49" t="s">
        <v>94</v>
      </c>
      <c r="KIQ76" s="49" t="s">
        <v>93</v>
      </c>
      <c r="KIR76" s="49" t="s">
        <v>94</v>
      </c>
      <c r="KIS76" s="49" t="s">
        <v>93</v>
      </c>
      <c r="KIT76" s="49" t="s">
        <v>94</v>
      </c>
      <c r="KIU76" s="49" t="s">
        <v>93</v>
      </c>
      <c r="KIV76" s="49" t="s">
        <v>94</v>
      </c>
      <c r="KIW76" s="49" t="s">
        <v>93</v>
      </c>
      <c r="KIX76" s="49" t="s">
        <v>94</v>
      </c>
      <c r="KIY76" s="49" t="s">
        <v>93</v>
      </c>
      <c r="KIZ76" s="49" t="s">
        <v>94</v>
      </c>
      <c r="KJA76" s="49" t="s">
        <v>93</v>
      </c>
      <c r="KJB76" s="49" t="s">
        <v>94</v>
      </c>
      <c r="KJC76" s="49" t="s">
        <v>93</v>
      </c>
      <c r="KJD76" s="49" t="s">
        <v>94</v>
      </c>
      <c r="KJE76" s="49" t="s">
        <v>93</v>
      </c>
      <c r="KJF76" s="49" t="s">
        <v>94</v>
      </c>
      <c r="KJG76" s="49" t="s">
        <v>93</v>
      </c>
      <c r="KJH76" s="49" t="s">
        <v>94</v>
      </c>
      <c r="KJI76" s="49" t="s">
        <v>93</v>
      </c>
      <c r="KJJ76" s="49" t="s">
        <v>94</v>
      </c>
      <c r="KJK76" s="49" t="s">
        <v>93</v>
      </c>
      <c r="KJL76" s="49" t="s">
        <v>94</v>
      </c>
      <c r="KJM76" s="49" t="s">
        <v>93</v>
      </c>
      <c r="KJN76" s="49" t="s">
        <v>94</v>
      </c>
      <c r="KJO76" s="49" t="s">
        <v>93</v>
      </c>
      <c r="KJP76" s="49" t="s">
        <v>94</v>
      </c>
      <c r="KJQ76" s="49" t="s">
        <v>93</v>
      </c>
      <c r="KJR76" s="49" t="s">
        <v>94</v>
      </c>
      <c r="KJS76" s="49" t="s">
        <v>93</v>
      </c>
      <c r="KJT76" s="49" t="s">
        <v>94</v>
      </c>
      <c r="KJU76" s="49" t="s">
        <v>93</v>
      </c>
      <c r="KJV76" s="49" t="s">
        <v>94</v>
      </c>
      <c r="KJW76" s="49" t="s">
        <v>93</v>
      </c>
      <c r="KJX76" s="49" t="s">
        <v>94</v>
      </c>
      <c r="KJY76" s="49" t="s">
        <v>93</v>
      </c>
      <c r="KJZ76" s="49" t="s">
        <v>94</v>
      </c>
      <c r="KKA76" s="49" t="s">
        <v>93</v>
      </c>
      <c r="KKB76" s="49" t="s">
        <v>94</v>
      </c>
      <c r="KKC76" s="49" t="s">
        <v>93</v>
      </c>
      <c r="KKD76" s="49" t="s">
        <v>94</v>
      </c>
      <c r="KKE76" s="49" t="s">
        <v>93</v>
      </c>
      <c r="KKF76" s="49" t="s">
        <v>94</v>
      </c>
      <c r="KKG76" s="49" t="s">
        <v>93</v>
      </c>
      <c r="KKH76" s="49" t="s">
        <v>94</v>
      </c>
      <c r="KKI76" s="49" t="s">
        <v>93</v>
      </c>
      <c r="KKJ76" s="49" t="s">
        <v>94</v>
      </c>
      <c r="KKK76" s="49" t="s">
        <v>93</v>
      </c>
      <c r="KKL76" s="49" t="s">
        <v>94</v>
      </c>
      <c r="KKM76" s="49" t="s">
        <v>93</v>
      </c>
      <c r="KKN76" s="49" t="s">
        <v>94</v>
      </c>
      <c r="KKO76" s="49" t="s">
        <v>93</v>
      </c>
      <c r="KKP76" s="49" t="s">
        <v>94</v>
      </c>
      <c r="KKQ76" s="49" t="s">
        <v>93</v>
      </c>
      <c r="KKR76" s="49" t="s">
        <v>94</v>
      </c>
      <c r="KKS76" s="49" t="s">
        <v>93</v>
      </c>
      <c r="KKT76" s="49" t="s">
        <v>94</v>
      </c>
      <c r="KKU76" s="49" t="s">
        <v>93</v>
      </c>
      <c r="KKV76" s="49" t="s">
        <v>94</v>
      </c>
      <c r="KKW76" s="49" t="s">
        <v>93</v>
      </c>
      <c r="KKX76" s="49" t="s">
        <v>94</v>
      </c>
      <c r="KKY76" s="49" t="s">
        <v>93</v>
      </c>
      <c r="KKZ76" s="49" t="s">
        <v>94</v>
      </c>
      <c r="KLA76" s="49" t="s">
        <v>93</v>
      </c>
      <c r="KLB76" s="49" t="s">
        <v>94</v>
      </c>
      <c r="KLC76" s="49" t="s">
        <v>93</v>
      </c>
      <c r="KLD76" s="49" t="s">
        <v>94</v>
      </c>
      <c r="KLE76" s="49" t="s">
        <v>93</v>
      </c>
      <c r="KLF76" s="49" t="s">
        <v>94</v>
      </c>
      <c r="KLG76" s="49" t="s">
        <v>93</v>
      </c>
      <c r="KLH76" s="49" t="s">
        <v>94</v>
      </c>
      <c r="KLI76" s="49" t="s">
        <v>93</v>
      </c>
      <c r="KLJ76" s="49" t="s">
        <v>94</v>
      </c>
      <c r="KLK76" s="49" t="s">
        <v>93</v>
      </c>
      <c r="KLL76" s="49" t="s">
        <v>94</v>
      </c>
      <c r="KLM76" s="49" t="s">
        <v>93</v>
      </c>
      <c r="KLN76" s="49" t="s">
        <v>94</v>
      </c>
      <c r="KLO76" s="49" t="s">
        <v>93</v>
      </c>
      <c r="KLP76" s="49" t="s">
        <v>94</v>
      </c>
      <c r="KLQ76" s="49" t="s">
        <v>93</v>
      </c>
      <c r="KLR76" s="49" t="s">
        <v>94</v>
      </c>
      <c r="KLS76" s="49" t="s">
        <v>93</v>
      </c>
      <c r="KLT76" s="49" t="s">
        <v>94</v>
      </c>
      <c r="KLU76" s="49" t="s">
        <v>93</v>
      </c>
      <c r="KLV76" s="49" t="s">
        <v>94</v>
      </c>
      <c r="KLW76" s="49" t="s">
        <v>93</v>
      </c>
      <c r="KLX76" s="49" t="s">
        <v>94</v>
      </c>
      <c r="KLY76" s="49" t="s">
        <v>93</v>
      </c>
      <c r="KLZ76" s="49" t="s">
        <v>94</v>
      </c>
      <c r="KMA76" s="49" t="s">
        <v>93</v>
      </c>
      <c r="KMB76" s="49" t="s">
        <v>94</v>
      </c>
      <c r="KMC76" s="49" t="s">
        <v>93</v>
      </c>
      <c r="KMD76" s="49" t="s">
        <v>94</v>
      </c>
      <c r="KME76" s="49" t="s">
        <v>93</v>
      </c>
      <c r="KMF76" s="49" t="s">
        <v>94</v>
      </c>
      <c r="KMG76" s="49" t="s">
        <v>93</v>
      </c>
      <c r="KMH76" s="49" t="s">
        <v>94</v>
      </c>
      <c r="KMI76" s="49" t="s">
        <v>93</v>
      </c>
      <c r="KMJ76" s="49" t="s">
        <v>94</v>
      </c>
      <c r="KMK76" s="49" t="s">
        <v>93</v>
      </c>
      <c r="KML76" s="49" t="s">
        <v>94</v>
      </c>
      <c r="KMM76" s="49" t="s">
        <v>93</v>
      </c>
      <c r="KMN76" s="49" t="s">
        <v>94</v>
      </c>
      <c r="KMO76" s="49" t="s">
        <v>93</v>
      </c>
      <c r="KMP76" s="49" t="s">
        <v>94</v>
      </c>
      <c r="KMQ76" s="49" t="s">
        <v>93</v>
      </c>
      <c r="KMR76" s="49" t="s">
        <v>94</v>
      </c>
      <c r="KMS76" s="49" t="s">
        <v>93</v>
      </c>
      <c r="KMT76" s="49" t="s">
        <v>94</v>
      </c>
      <c r="KMU76" s="49" t="s">
        <v>93</v>
      </c>
      <c r="KMV76" s="49" t="s">
        <v>94</v>
      </c>
      <c r="KMW76" s="49" t="s">
        <v>93</v>
      </c>
      <c r="KMX76" s="49" t="s">
        <v>94</v>
      </c>
      <c r="KMY76" s="49" t="s">
        <v>93</v>
      </c>
      <c r="KMZ76" s="49" t="s">
        <v>94</v>
      </c>
      <c r="KNA76" s="49" t="s">
        <v>93</v>
      </c>
      <c r="KNB76" s="49" t="s">
        <v>94</v>
      </c>
      <c r="KNC76" s="49" t="s">
        <v>93</v>
      </c>
      <c r="KND76" s="49" t="s">
        <v>94</v>
      </c>
      <c r="KNE76" s="49" t="s">
        <v>93</v>
      </c>
      <c r="KNF76" s="49" t="s">
        <v>94</v>
      </c>
      <c r="KNG76" s="49" t="s">
        <v>93</v>
      </c>
      <c r="KNH76" s="49" t="s">
        <v>94</v>
      </c>
      <c r="KNI76" s="49" t="s">
        <v>93</v>
      </c>
      <c r="KNJ76" s="49" t="s">
        <v>94</v>
      </c>
      <c r="KNK76" s="49" t="s">
        <v>93</v>
      </c>
      <c r="KNL76" s="49" t="s">
        <v>94</v>
      </c>
      <c r="KNM76" s="49" t="s">
        <v>93</v>
      </c>
      <c r="KNN76" s="49" t="s">
        <v>94</v>
      </c>
      <c r="KNO76" s="49" t="s">
        <v>93</v>
      </c>
      <c r="KNP76" s="49" t="s">
        <v>94</v>
      </c>
      <c r="KNQ76" s="49" t="s">
        <v>93</v>
      </c>
      <c r="KNR76" s="49" t="s">
        <v>94</v>
      </c>
      <c r="KNS76" s="49" t="s">
        <v>93</v>
      </c>
      <c r="KNT76" s="49" t="s">
        <v>94</v>
      </c>
      <c r="KNU76" s="49" t="s">
        <v>93</v>
      </c>
      <c r="KNV76" s="49" t="s">
        <v>94</v>
      </c>
      <c r="KNW76" s="49" t="s">
        <v>93</v>
      </c>
      <c r="KNX76" s="49" t="s">
        <v>94</v>
      </c>
      <c r="KNY76" s="49" t="s">
        <v>93</v>
      </c>
      <c r="KNZ76" s="49" t="s">
        <v>94</v>
      </c>
      <c r="KOA76" s="49" t="s">
        <v>93</v>
      </c>
      <c r="KOB76" s="49" t="s">
        <v>94</v>
      </c>
      <c r="KOC76" s="49" t="s">
        <v>93</v>
      </c>
      <c r="KOD76" s="49" t="s">
        <v>94</v>
      </c>
      <c r="KOE76" s="49" t="s">
        <v>93</v>
      </c>
      <c r="KOF76" s="49" t="s">
        <v>94</v>
      </c>
      <c r="KOG76" s="49" t="s">
        <v>93</v>
      </c>
      <c r="KOH76" s="49" t="s">
        <v>94</v>
      </c>
      <c r="KOI76" s="49" t="s">
        <v>93</v>
      </c>
      <c r="KOJ76" s="49" t="s">
        <v>94</v>
      </c>
      <c r="KOK76" s="49" t="s">
        <v>93</v>
      </c>
      <c r="KOL76" s="49" t="s">
        <v>94</v>
      </c>
      <c r="KOM76" s="49" t="s">
        <v>93</v>
      </c>
      <c r="KON76" s="49" t="s">
        <v>94</v>
      </c>
      <c r="KOO76" s="49" t="s">
        <v>93</v>
      </c>
      <c r="KOP76" s="49" t="s">
        <v>94</v>
      </c>
      <c r="KOQ76" s="49" t="s">
        <v>93</v>
      </c>
      <c r="KOR76" s="49" t="s">
        <v>94</v>
      </c>
      <c r="KOS76" s="49" t="s">
        <v>93</v>
      </c>
      <c r="KOT76" s="49" t="s">
        <v>94</v>
      </c>
      <c r="KOU76" s="49" t="s">
        <v>93</v>
      </c>
      <c r="KOV76" s="49" t="s">
        <v>94</v>
      </c>
      <c r="KOW76" s="49" t="s">
        <v>93</v>
      </c>
      <c r="KOX76" s="49" t="s">
        <v>94</v>
      </c>
      <c r="KOY76" s="49" t="s">
        <v>93</v>
      </c>
      <c r="KOZ76" s="49" t="s">
        <v>94</v>
      </c>
      <c r="KPA76" s="49" t="s">
        <v>93</v>
      </c>
      <c r="KPB76" s="49" t="s">
        <v>94</v>
      </c>
      <c r="KPC76" s="49" t="s">
        <v>93</v>
      </c>
      <c r="KPD76" s="49" t="s">
        <v>94</v>
      </c>
      <c r="KPE76" s="49" t="s">
        <v>93</v>
      </c>
      <c r="KPF76" s="49" t="s">
        <v>94</v>
      </c>
      <c r="KPG76" s="49" t="s">
        <v>93</v>
      </c>
      <c r="KPH76" s="49" t="s">
        <v>94</v>
      </c>
      <c r="KPI76" s="49" t="s">
        <v>93</v>
      </c>
      <c r="KPJ76" s="49" t="s">
        <v>94</v>
      </c>
      <c r="KPK76" s="49" t="s">
        <v>93</v>
      </c>
      <c r="KPL76" s="49" t="s">
        <v>94</v>
      </c>
      <c r="KPM76" s="49" t="s">
        <v>93</v>
      </c>
      <c r="KPN76" s="49" t="s">
        <v>94</v>
      </c>
      <c r="KPO76" s="49" t="s">
        <v>93</v>
      </c>
      <c r="KPP76" s="49" t="s">
        <v>94</v>
      </c>
      <c r="KPQ76" s="49" t="s">
        <v>93</v>
      </c>
      <c r="KPR76" s="49" t="s">
        <v>94</v>
      </c>
      <c r="KPS76" s="49" t="s">
        <v>93</v>
      </c>
      <c r="KPT76" s="49" t="s">
        <v>94</v>
      </c>
      <c r="KPU76" s="49" t="s">
        <v>93</v>
      </c>
      <c r="KPV76" s="49" t="s">
        <v>94</v>
      </c>
      <c r="KPW76" s="49" t="s">
        <v>93</v>
      </c>
      <c r="KPX76" s="49" t="s">
        <v>94</v>
      </c>
      <c r="KPY76" s="49" t="s">
        <v>93</v>
      </c>
      <c r="KPZ76" s="49" t="s">
        <v>94</v>
      </c>
      <c r="KQA76" s="49" t="s">
        <v>93</v>
      </c>
      <c r="KQB76" s="49" t="s">
        <v>94</v>
      </c>
      <c r="KQC76" s="49" t="s">
        <v>93</v>
      </c>
      <c r="KQD76" s="49" t="s">
        <v>94</v>
      </c>
      <c r="KQE76" s="49" t="s">
        <v>93</v>
      </c>
      <c r="KQF76" s="49" t="s">
        <v>94</v>
      </c>
      <c r="KQG76" s="49" t="s">
        <v>93</v>
      </c>
      <c r="KQH76" s="49" t="s">
        <v>94</v>
      </c>
      <c r="KQI76" s="49" t="s">
        <v>93</v>
      </c>
      <c r="KQJ76" s="49" t="s">
        <v>94</v>
      </c>
      <c r="KQK76" s="49" t="s">
        <v>93</v>
      </c>
      <c r="KQL76" s="49" t="s">
        <v>94</v>
      </c>
      <c r="KQM76" s="49" t="s">
        <v>93</v>
      </c>
      <c r="KQN76" s="49" t="s">
        <v>94</v>
      </c>
      <c r="KQO76" s="49" t="s">
        <v>93</v>
      </c>
      <c r="KQP76" s="49" t="s">
        <v>94</v>
      </c>
      <c r="KQQ76" s="49" t="s">
        <v>93</v>
      </c>
      <c r="KQR76" s="49" t="s">
        <v>94</v>
      </c>
      <c r="KQS76" s="49" t="s">
        <v>93</v>
      </c>
      <c r="KQT76" s="49" t="s">
        <v>94</v>
      </c>
      <c r="KQU76" s="49" t="s">
        <v>93</v>
      </c>
      <c r="KQV76" s="49" t="s">
        <v>94</v>
      </c>
      <c r="KQW76" s="49" t="s">
        <v>93</v>
      </c>
      <c r="KQX76" s="49" t="s">
        <v>94</v>
      </c>
      <c r="KQY76" s="49" t="s">
        <v>93</v>
      </c>
      <c r="KQZ76" s="49" t="s">
        <v>94</v>
      </c>
      <c r="KRA76" s="49" t="s">
        <v>93</v>
      </c>
      <c r="KRB76" s="49" t="s">
        <v>94</v>
      </c>
      <c r="KRC76" s="49" t="s">
        <v>93</v>
      </c>
      <c r="KRD76" s="49" t="s">
        <v>94</v>
      </c>
      <c r="KRE76" s="49" t="s">
        <v>93</v>
      </c>
      <c r="KRF76" s="49" t="s">
        <v>94</v>
      </c>
      <c r="KRG76" s="49" t="s">
        <v>93</v>
      </c>
      <c r="KRH76" s="49" t="s">
        <v>94</v>
      </c>
      <c r="KRI76" s="49" t="s">
        <v>93</v>
      </c>
      <c r="KRJ76" s="49" t="s">
        <v>94</v>
      </c>
      <c r="KRK76" s="49" t="s">
        <v>93</v>
      </c>
      <c r="KRL76" s="49" t="s">
        <v>94</v>
      </c>
      <c r="KRM76" s="49" t="s">
        <v>93</v>
      </c>
      <c r="KRN76" s="49" t="s">
        <v>94</v>
      </c>
      <c r="KRO76" s="49" t="s">
        <v>93</v>
      </c>
      <c r="KRP76" s="49" t="s">
        <v>94</v>
      </c>
      <c r="KRQ76" s="49" t="s">
        <v>93</v>
      </c>
      <c r="KRR76" s="49" t="s">
        <v>94</v>
      </c>
      <c r="KRS76" s="49" t="s">
        <v>93</v>
      </c>
      <c r="KRT76" s="49" t="s">
        <v>94</v>
      </c>
      <c r="KRU76" s="49" t="s">
        <v>93</v>
      </c>
      <c r="KRV76" s="49" t="s">
        <v>94</v>
      </c>
      <c r="KRW76" s="49" t="s">
        <v>93</v>
      </c>
      <c r="KRX76" s="49" t="s">
        <v>94</v>
      </c>
      <c r="KRY76" s="49" t="s">
        <v>93</v>
      </c>
      <c r="KRZ76" s="49" t="s">
        <v>94</v>
      </c>
      <c r="KSA76" s="49" t="s">
        <v>93</v>
      </c>
      <c r="KSB76" s="49" t="s">
        <v>94</v>
      </c>
      <c r="KSC76" s="49" t="s">
        <v>93</v>
      </c>
      <c r="KSD76" s="49" t="s">
        <v>94</v>
      </c>
      <c r="KSE76" s="49" t="s">
        <v>93</v>
      </c>
      <c r="KSF76" s="49" t="s">
        <v>94</v>
      </c>
      <c r="KSG76" s="49" t="s">
        <v>93</v>
      </c>
      <c r="KSH76" s="49" t="s">
        <v>94</v>
      </c>
      <c r="KSI76" s="49" t="s">
        <v>93</v>
      </c>
      <c r="KSJ76" s="49" t="s">
        <v>94</v>
      </c>
      <c r="KSK76" s="49" t="s">
        <v>93</v>
      </c>
      <c r="KSL76" s="49" t="s">
        <v>94</v>
      </c>
      <c r="KSM76" s="49" t="s">
        <v>93</v>
      </c>
      <c r="KSN76" s="49" t="s">
        <v>94</v>
      </c>
      <c r="KSO76" s="49" t="s">
        <v>93</v>
      </c>
      <c r="KSP76" s="49" t="s">
        <v>94</v>
      </c>
      <c r="KSQ76" s="49" t="s">
        <v>93</v>
      </c>
      <c r="KSR76" s="49" t="s">
        <v>94</v>
      </c>
      <c r="KSS76" s="49" t="s">
        <v>93</v>
      </c>
      <c r="KST76" s="49" t="s">
        <v>94</v>
      </c>
      <c r="KSU76" s="49" t="s">
        <v>93</v>
      </c>
      <c r="KSV76" s="49" t="s">
        <v>94</v>
      </c>
      <c r="KSW76" s="49" t="s">
        <v>93</v>
      </c>
      <c r="KSX76" s="49" t="s">
        <v>94</v>
      </c>
      <c r="KSY76" s="49" t="s">
        <v>93</v>
      </c>
      <c r="KSZ76" s="49" t="s">
        <v>94</v>
      </c>
      <c r="KTA76" s="49" t="s">
        <v>93</v>
      </c>
      <c r="KTB76" s="49" t="s">
        <v>94</v>
      </c>
      <c r="KTC76" s="49" t="s">
        <v>93</v>
      </c>
      <c r="KTD76" s="49" t="s">
        <v>94</v>
      </c>
      <c r="KTE76" s="49" t="s">
        <v>93</v>
      </c>
      <c r="KTF76" s="49" t="s">
        <v>94</v>
      </c>
      <c r="KTG76" s="49" t="s">
        <v>93</v>
      </c>
      <c r="KTH76" s="49" t="s">
        <v>94</v>
      </c>
      <c r="KTI76" s="49" t="s">
        <v>93</v>
      </c>
      <c r="KTJ76" s="49" t="s">
        <v>94</v>
      </c>
      <c r="KTK76" s="49" t="s">
        <v>93</v>
      </c>
      <c r="KTL76" s="49" t="s">
        <v>94</v>
      </c>
      <c r="KTM76" s="49" t="s">
        <v>93</v>
      </c>
      <c r="KTN76" s="49" t="s">
        <v>94</v>
      </c>
      <c r="KTO76" s="49" t="s">
        <v>93</v>
      </c>
      <c r="KTP76" s="49" t="s">
        <v>94</v>
      </c>
      <c r="KTQ76" s="49" t="s">
        <v>93</v>
      </c>
      <c r="KTR76" s="49" t="s">
        <v>94</v>
      </c>
      <c r="KTS76" s="49" t="s">
        <v>93</v>
      </c>
      <c r="KTT76" s="49" t="s">
        <v>94</v>
      </c>
      <c r="KTU76" s="49" t="s">
        <v>93</v>
      </c>
      <c r="KTV76" s="49" t="s">
        <v>94</v>
      </c>
      <c r="KTW76" s="49" t="s">
        <v>93</v>
      </c>
      <c r="KTX76" s="49" t="s">
        <v>94</v>
      </c>
      <c r="KTY76" s="49" t="s">
        <v>93</v>
      </c>
      <c r="KTZ76" s="49" t="s">
        <v>94</v>
      </c>
      <c r="KUA76" s="49" t="s">
        <v>93</v>
      </c>
      <c r="KUB76" s="49" t="s">
        <v>94</v>
      </c>
      <c r="KUC76" s="49" t="s">
        <v>93</v>
      </c>
      <c r="KUD76" s="49" t="s">
        <v>94</v>
      </c>
      <c r="KUE76" s="49" t="s">
        <v>93</v>
      </c>
      <c r="KUF76" s="49" t="s">
        <v>94</v>
      </c>
      <c r="KUG76" s="49" t="s">
        <v>93</v>
      </c>
      <c r="KUH76" s="49" t="s">
        <v>94</v>
      </c>
      <c r="KUI76" s="49" t="s">
        <v>93</v>
      </c>
      <c r="KUJ76" s="49" t="s">
        <v>94</v>
      </c>
      <c r="KUK76" s="49" t="s">
        <v>93</v>
      </c>
      <c r="KUL76" s="49" t="s">
        <v>94</v>
      </c>
      <c r="KUM76" s="49" t="s">
        <v>93</v>
      </c>
      <c r="KUN76" s="49" t="s">
        <v>94</v>
      </c>
      <c r="KUO76" s="49" t="s">
        <v>93</v>
      </c>
      <c r="KUP76" s="49" t="s">
        <v>94</v>
      </c>
      <c r="KUQ76" s="49" t="s">
        <v>93</v>
      </c>
      <c r="KUR76" s="49" t="s">
        <v>94</v>
      </c>
      <c r="KUS76" s="49" t="s">
        <v>93</v>
      </c>
      <c r="KUT76" s="49" t="s">
        <v>94</v>
      </c>
      <c r="KUU76" s="49" t="s">
        <v>93</v>
      </c>
      <c r="KUV76" s="49" t="s">
        <v>94</v>
      </c>
      <c r="KUW76" s="49" t="s">
        <v>93</v>
      </c>
      <c r="KUX76" s="49" t="s">
        <v>94</v>
      </c>
      <c r="KUY76" s="49" t="s">
        <v>93</v>
      </c>
      <c r="KUZ76" s="49" t="s">
        <v>94</v>
      </c>
      <c r="KVA76" s="49" t="s">
        <v>93</v>
      </c>
      <c r="KVB76" s="49" t="s">
        <v>94</v>
      </c>
      <c r="KVC76" s="49" t="s">
        <v>93</v>
      </c>
      <c r="KVD76" s="49" t="s">
        <v>94</v>
      </c>
      <c r="KVE76" s="49" t="s">
        <v>93</v>
      </c>
      <c r="KVF76" s="49" t="s">
        <v>94</v>
      </c>
      <c r="KVG76" s="49" t="s">
        <v>93</v>
      </c>
      <c r="KVH76" s="49" t="s">
        <v>94</v>
      </c>
      <c r="KVI76" s="49" t="s">
        <v>93</v>
      </c>
      <c r="KVJ76" s="49" t="s">
        <v>94</v>
      </c>
      <c r="KVK76" s="49" t="s">
        <v>93</v>
      </c>
      <c r="KVL76" s="49" t="s">
        <v>94</v>
      </c>
      <c r="KVM76" s="49" t="s">
        <v>93</v>
      </c>
      <c r="KVN76" s="49" t="s">
        <v>94</v>
      </c>
      <c r="KVO76" s="49" t="s">
        <v>93</v>
      </c>
      <c r="KVP76" s="49" t="s">
        <v>94</v>
      </c>
      <c r="KVQ76" s="49" t="s">
        <v>93</v>
      </c>
      <c r="KVR76" s="49" t="s">
        <v>94</v>
      </c>
      <c r="KVS76" s="49" t="s">
        <v>93</v>
      </c>
      <c r="KVT76" s="49" t="s">
        <v>94</v>
      </c>
      <c r="KVU76" s="49" t="s">
        <v>93</v>
      </c>
      <c r="KVV76" s="49" t="s">
        <v>94</v>
      </c>
      <c r="KVW76" s="49" t="s">
        <v>93</v>
      </c>
      <c r="KVX76" s="49" t="s">
        <v>94</v>
      </c>
      <c r="KVY76" s="49" t="s">
        <v>93</v>
      </c>
      <c r="KVZ76" s="49" t="s">
        <v>94</v>
      </c>
      <c r="KWA76" s="49" t="s">
        <v>93</v>
      </c>
      <c r="KWB76" s="49" t="s">
        <v>94</v>
      </c>
      <c r="KWC76" s="49" t="s">
        <v>93</v>
      </c>
      <c r="KWD76" s="49" t="s">
        <v>94</v>
      </c>
      <c r="KWE76" s="49" t="s">
        <v>93</v>
      </c>
      <c r="KWF76" s="49" t="s">
        <v>94</v>
      </c>
      <c r="KWG76" s="49" t="s">
        <v>93</v>
      </c>
      <c r="KWH76" s="49" t="s">
        <v>94</v>
      </c>
      <c r="KWI76" s="49" t="s">
        <v>93</v>
      </c>
      <c r="KWJ76" s="49" t="s">
        <v>94</v>
      </c>
      <c r="KWK76" s="49" t="s">
        <v>93</v>
      </c>
      <c r="KWL76" s="49" t="s">
        <v>94</v>
      </c>
      <c r="KWM76" s="49" t="s">
        <v>93</v>
      </c>
      <c r="KWN76" s="49" t="s">
        <v>94</v>
      </c>
      <c r="KWO76" s="49" t="s">
        <v>93</v>
      </c>
      <c r="KWP76" s="49" t="s">
        <v>94</v>
      </c>
      <c r="KWQ76" s="49" t="s">
        <v>93</v>
      </c>
      <c r="KWR76" s="49" t="s">
        <v>94</v>
      </c>
      <c r="KWS76" s="49" t="s">
        <v>93</v>
      </c>
      <c r="KWT76" s="49" t="s">
        <v>94</v>
      </c>
      <c r="KWU76" s="49" t="s">
        <v>93</v>
      </c>
      <c r="KWV76" s="49" t="s">
        <v>94</v>
      </c>
      <c r="KWW76" s="49" t="s">
        <v>93</v>
      </c>
      <c r="KWX76" s="49" t="s">
        <v>94</v>
      </c>
      <c r="KWY76" s="49" t="s">
        <v>93</v>
      </c>
      <c r="KWZ76" s="49" t="s">
        <v>94</v>
      </c>
      <c r="KXA76" s="49" t="s">
        <v>93</v>
      </c>
      <c r="KXB76" s="49" t="s">
        <v>94</v>
      </c>
      <c r="KXC76" s="49" t="s">
        <v>93</v>
      </c>
      <c r="KXD76" s="49" t="s">
        <v>94</v>
      </c>
      <c r="KXE76" s="49" t="s">
        <v>93</v>
      </c>
      <c r="KXF76" s="49" t="s">
        <v>94</v>
      </c>
      <c r="KXG76" s="49" t="s">
        <v>93</v>
      </c>
      <c r="KXH76" s="49" t="s">
        <v>94</v>
      </c>
      <c r="KXI76" s="49" t="s">
        <v>93</v>
      </c>
      <c r="KXJ76" s="49" t="s">
        <v>94</v>
      </c>
      <c r="KXK76" s="49" t="s">
        <v>93</v>
      </c>
      <c r="KXL76" s="49" t="s">
        <v>94</v>
      </c>
      <c r="KXM76" s="49" t="s">
        <v>93</v>
      </c>
      <c r="KXN76" s="49" t="s">
        <v>94</v>
      </c>
      <c r="KXO76" s="49" t="s">
        <v>93</v>
      </c>
      <c r="KXP76" s="49" t="s">
        <v>94</v>
      </c>
      <c r="KXQ76" s="49" t="s">
        <v>93</v>
      </c>
      <c r="KXR76" s="49" t="s">
        <v>94</v>
      </c>
      <c r="KXS76" s="49" t="s">
        <v>93</v>
      </c>
      <c r="KXT76" s="49" t="s">
        <v>94</v>
      </c>
      <c r="KXU76" s="49" t="s">
        <v>93</v>
      </c>
      <c r="KXV76" s="49" t="s">
        <v>94</v>
      </c>
      <c r="KXW76" s="49" t="s">
        <v>93</v>
      </c>
      <c r="KXX76" s="49" t="s">
        <v>94</v>
      </c>
      <c r="KXY76" s="49" t="s">
        <v>93</v>
      </c>
      <c r="KXZ76" s="49" t="s">
        <v>94</v>
      </c>
      <c r="KYA76" s="49" t="s">
        <v>93</v>
      </c>
      <c r="KYB76" s="49" t="s">
        <v>94</v>
      </c>
      <c r="KYC76" s="49" t="s">
        <v>93</v>
      </c>
      <c r="KYD76" s="49" t="s">
        <v>94</v>
      </c>
      <c r="KYE76" s="49" t="s">
        <v>93</v>
      </c>
      <c r="KYF76" s="49" t="s">
        <v>94</v>
      </c>
      <c r="KYG76" s="49" t="s">
        <v>93</v>
      </c>
      <c r="KYH76" s="49" t="s">
        <v>94</v>
      </c>
      <c r="KYI76" s="49" t="s">
        <v>93</v>
      </c>
      <c r="KYJ76" s="49" t="s">
        <v>94</v>
      </c>
      <c r="KYK76" s="49" t="s">
        <v>93</v>
      </c>
      <c r="KYL76" s="49" t="s">
        <v>94</v>
      </c>
      <c r="KYM76" s="49" t="s">
        <v>93</v>
      </c>
      <c r="KYN76" s="49" t="s">
        <v>94</v>
      </c>
      <c r="KYO76" s="49" t="s">
        <v>93</v>
      </c>
      <c r="KYP76" s="49" t="s">
        <v>94</v>
      </c>
      <c r="KYQ76" s="49" t="s">
        <v>93</v>
      </c>
      <c r="KYR76" s="49" t="s">
        <v>94</v>
      </c>
      <c r="KYS76" s="49" t="s">
        <v>93</v>
      </c>
      <c r="KYT76" s="49" t="s">
        <v>94</v>
      </c>
      <c r="KYU76" s="49" t="s">
        <v>93</v>
      </c>
      <c r="KYV76" s="49" t="s">
        <v>94</v>
      </c>
      <c r="KYW76" s="49" t="s">
        <v>93</v>
      </c>
      <c r="KYX76" s="49" t="s">
        <v>94</v>
      </c>
      <c r="KYY76" s="49" t="s">
        <v>93</v>
      </c>
      <c r="KYZ76" s="49" t="s">
        <v>94</v>
      </c>
      <c r="KZA76" s="49" t="s">
        <v>93</v>
      </c>
      <c r="KZB76" s="49" t="s">
        <v>94</v>
      </c>
      <c r="KZC76" s="49" t="s">
        <v>93</v>
      </c>
      <c r="KZD76" s="49" t="s">
        <v>94</v>
      </c>
      <c r="KZE76" s="49" t="s">
        <v>93</v>
      </c>
      <c r="KZF76" s="49" t="s">
        <v>94</v>
      </c>
      <c r="KZG76" s="49" t="s">
        <v>93</v>
      </c>
      <c r="KZH76" s="49" t="s">
        <v>94</v>
      </c>
      <c r="KZI76" s="49" t="s">
        <v>93</v>
      </c>
      <c r="KZJ76" s="49" t="s">
        <v>94</v>
      </c>
      <c r="KZK76" s="49" t="s">
        <v>93</v>
      </c>
      <c r="KZL76" s="49" t="s">
        <v>94</v>
      </c>
      <c r="KZM76" s="49" t="s">
        <v>93</v>
      </c>
      <c r="KZN76" s="49" t="s">
        <v>94</v>
      </c>
      <c r="KZO76" s="49" t="s">
        <v>93</v>
      </c>
      <c r="KZP76" s="49" t="s">
        <v>94</v>
      </c>
      <c r="KZQ76" s="49" t="s">
        <v>93</v>
      </c>
      <c r="KZR76" s="49" t="s">
        <v>94</v>
      </c>
      <c r="KZS76" s="49" t="s">
        <v>93</v>
      </c>
      <c r="KZT76" s="49" t="s">
        <v>94</v>
      </c>
      <c r="KZU76" s="49" t="s">
        <v>93</v>
      </c>
      <c r="KZV76" s="49" t="s">
        <v>94</v>
      </c>
      <c r="KZW76" s="49" t="s">
        <v>93</v>
      </c>
      <c r="KZX76" s="49" t="s">
        <v>94</v>
      </c>
      <c r="KZY76" s="49" t="s">
        <v>93</v>
      </c>
      <c r="KZZ76" s="49" t="s">
        <v>94</v>
      </c>
      <c r="LAA76" s="49" t="s">
        <v>93</v>
      </c>
      <c r="LAB76" s="49" t="s">
        <v>94</v>
      </c>
      <c r="LAC76" s="49" t="s">
        <v>93</v>
      </c>
      <c r="LAD76" s="49" t="s">
        <v>94</v>
      </c>
      <c r="LAE76" s="49" t="s">
        <v>93</v>
      </c>
      <c r="LAF76" s="49" t="s">
        <v>94</v>
      </c>
      <c r="LAG76" s="49" t="s">
        <v>93</v>
      </c>
      <c r="LAH76" s="49" t="s">
        <v>94</v>
      </c>
      <c r="LAI76" s="49" t="s">
        <v>93</v>
      </c>
      <c r="LAJ76" s="49" t="s">
        <v>94</v>
      </c>
      <c r="LAK76" s="49" t="s">
        <v>93</v>
      </c>
      <c r="LAL76" s="49" t="s">
        <v>94</v>
      </c>
      <c r="LAM76" s="49" t="s">
        <v>93</v>
      </c>
      <c r="LAN76" s="49" t="s">
        <v>94</v>
      </c>
      <c r="LAO76" s="49" t="s">
        <v>93</v>
      </c>
      <c r="LAP76" s="49" t="s">
        <v>94</v>
      </c>
      <c r="LAQ76" s="49" t="s">
        <v>93</v>
      </c>
      <c r="LAR76" s="49" t="s">
        <v>94</v>
      </c>
      <c r="LAS76" s="49" t="s">
        <v>93</v>
      </c>
      <c r="LAT76" s="49" t="s">
        <v>94</v>
      </c>
      <c r="LAU76" s="49" t="s">
        <v>93</v>
      </c>
      <c r="LAV76" s="49" t="s">
        <v>94</v>
      </c>
      <c r="LAW76" s="49" t="s">
        <v>93</v>
      </c>
      <c r="LAX76" s="49" t="s">
        <v>94</v>
      </c>
      <c r="LAY76" s="49" t="s">
        <v>93</v>
      </c>
      <c r="LAZ76" s="49" t="s">
        <v>94</v>
      </c>
      <c r="LBA76" s="49" t="s">
        <v>93</v>
      </c>
      <c r="LBB76" s="49" t="s">
        <v>94</v>
      </c>
      <c r="LBC76" s="49" t="s">
        <v>93</v>
      </c>
      <c r="LBD76" s="49" t="s">
        <v>94</v>
      </c>
      <c r="LBE76" s="49" t="s">
        <v>93</v>
      </c>
      <c r="LBF76" s="49" t="s">
        <v>94</v>
      </c>
      <c r="LBG76" s="49" t="s">
        <v>93</v>
      </c>
      <c r="LBH76" s="49" t="s">
        <v>94</v>
      </c>
      <c r="LBI76" s="49" t="s">
        <v>93</v>
      </c>
      <c r="LBJ76" s="49" t="s">
        <v>94</v>
      </c>
      <c r="LBK76" s="49" t="s">
        <v>93</v>
      </c>
      <c r="LBL76" s="49" t="s">
        <v>94</v>
      </c>
      <c r="LBM76" s="49" t="s">
        <v>93</v>
      </c>
      <c r="LBN76" s="49" t="s">
        <v>94</v>
      </c>
      <c r="LBO76" s="49" t="s">
        <v>93</v>
      </c>
      <c r="LBP76" s="49" t="s">
        <v>94</v>
      </c>
      <c r="LBQ76" s="49" t="s">
        <v>93</v>
      </c>
      <c r="LBR76" s="49" t="s">
        <v>94</v>
      </c>
      <c r="LBS76" s="49" t="s">
        <v>93</v>
      </c>
      <c r="LBT76" s="49" t="s">
        <v>94</v>
      </c>
      <c r="LBU76" s="49" t="s">
        <v>93</v>
      </c>
      <c r="LBV76" s="49" t="s">
        <v>94</v>
      </c>
      <c r="LBW76" s="49" t="s">
        <v>93</v>
      </c>
      <c r="LBX76" s="49" t="s">
        <v>94</v>
      </c>
      <c r="LBY76" s="49" t="s">
        <v>93</v>
      </c>
      <c r="LBZ76" s="49" t="s">
        <v>94</v>
      </c>
      <c r="LCA76" s="49" t="s">
        <v>93</v>
      </c>
      <c r="LCB76" s="49" t="s">
        <v>94</v>
      </c>
      <c r="LCC76" s="49" t="s">
        <v>93</v>
      </c>
      <c r="LCD76" s="49" t="s">
        <v>94</v>
      </c>
      <c r="LCE76" s="49" t="s">
        <v>93</v>
      </c>
      <c r="LCF76" s="49" t="s">
        <v>94</v>
      </c>
      <c r="LCG76" s="49" t="s">
        <v>93</v>
      </c>
      <c r="LCH76" s="49" t="s">
        <v>94</v>
      </c>
      <c r="LCI76" s="49" t="s">
        <v>93</v>
      </c>
      <c r="LCJ76" s="49" t="s">
        <v>94</v>
      </c>
      <c r="LCK76" s="49" t="s">
        <v>93</v>
      </c>
      <c r="LCL76" s="49" t="s">
        <v>94</v>
      </c>
      <c r="LCM76" s="49" t="s">
        <v>93</v>
      </c>
      <c r="LCN76" s="49" t="s">
        <v>94</v>
      </c>
      <c r="LCO76" s="49" t="s">
        <v>93</v>
      </c>
      <c r="LCP76" s="49" t="s">
        <v>94</v>
      </c>
      <c r="LCQ76" s="49" t="s">
        <v>93</v>
      </c>
      <c r="LCR76" s="49" t="s">
        <v>94</v>
      </c>
      <c r="LCS76" s="49" t="s">
        <v>93</v>
      </c>
      <c r="LCT76" s="49" t="s">
        <v>94</v>
      </c>
      <c r="LCU76" s="49" t="s">
        <v>93</v>
      </c>
      <c r="LCV76" s="49" t="s">
        <v>94</v>
      </c>
      <c r="LCW76" s="49" t="s">
        <v>93</v>
      </c>
      <c r="LCX76" s="49" t="s">
        <v>94</v>
      </c>
      <c r="LCY76" s="49" t="s">
        <v>93</v>
      </c>
      <c r="LCZ76" s="49" t="s">
        <v>94</v>
      </c>
      <c r="LDA76" s="49" t="s">
        <v>93</v>
      </c>
      <c r="LDB76" s="49" t="s">
        <v>94</v>
      </c>
      <c r="LDC76" s="49" t="s">
        <v>93</v>
      </c>
      <c r="LDD76" s="49" t="s">
        <v>94</v>
      </c>
      <c r="LDE76" s="49" t="s">
        <v>93</v>
      </c>
      <c r="LDF76" s="49" t="s">
        <v>94</v>
      </c>
      <c r="LDG76" s="49" t="s">
        <v>93</v>
      </c>
      <c r="LDH76" s="49" t="s">
        <v>94</v>
      </c>
      <c r="LDI76" s="49" t="s">
        <v>93</v>
      </c>
      <c r="LDJ76" s="49" t="s">
        <v>94</v>
      </c>
      <c r="LDK76" s="49" t="s">
        <v>93</v>
      </c>
      <c r="LDL76" s="49" t="s">
        <v>94</v>
      </c>
      <c r="LDM76" s="49" t="s">
        <v>93</v>
      </c>
      <c r="LDN76" s="49" t="s">
        <v>94</v>
      </c>
      <c r="LDO76" s="49" t="s">
        <v>93</v>
      </c>
      <c r="LDP76" s="49" t="s">
        <v>94</v>
      </c>
      <c r="LDQ76" s="49" t="s">
        <v>93</v>
      </c>
      <c r="LDR76" s="49" t="s">
        <v>94</v>
      </c>
      <c r="LDS76" s="49" t="s">
        <v>93</v>
      </c>
      <c r="LDT76" s="49" t="s">
        <v>94</v>
      </c>
      <c r="LDU76" s="49" t="s">
        <v>93</v>
      </c>
      <c r="LDV76" s="49" t="s">
        <v>94</v>
      </c>
      <c r="LDW76" s="49" t="s">
        <v>93</v>
      </c>
      <c r="LDX76" s="49" t="s">
        <v>94</v>
      </c>
      <c r="LDY76" s="49" t="s">
        <v>93</v>
      </c>
      <c r="LDZ76" s="49" t="s">
        <v>94</v>
      </c>
      <c r="LEA76" s="49" t="s">
        <v>93</v>
      </c>
      <c r="LEB76" s="49" t="s">
        <v>94</v>
      </c>
      <c r="LEC76" s="49" t="s">
        <v>93</v>
      </c>
      <c r="LED76" s="49" t="s">
        <v>94</v>
      </c>
      <c r="LEE76" s="49" t="s">
        <v>93</v>
      </c>
      <c r="LEF76" s="49" t="s">
        <v>94</v>
      </c>
      <c r="LEG76" s="49" t="s">
        <v>93</v>
      </c>
      <c r="LEH76" s="49" t="s">
        <v>94</v>
      </c>
      <c r="LEI76" s="49" t="s">
        <v>93</v>
      </c>
      <c r="LEJ76" s="49" t="s">
        <v>94</v>
      </c>
      <c r="LEK76" s="49" t="s">
        <v>93</v>
      </c>
      <c r="LEL76" s="49" t="s">
        <v>94</v>
      </c>
      <c r="LEM76" s="49" t="s">
        <v>93</v>
      </c>
      <c r="LEN76" s="49" t="s">
        <v>94</v>
      </c>
      <c r="LEO76" s="49" t="s">
        <v>93</v>
      </c>
      <c r="LEP76" s="49" t="s">
        <v>94</v>
      </c>
      <c r="LEQ76" s="49" t="s">
        <v>93</v>
      </c>
      <c r="LER76" s="49" t="s">
        <v>94</v>
      </c>
      <c r="LES76" s="49" t="s">
        <v>93</v>
      </c>
      <c r="LET76" s="49" t="s">
        <v>94</v>
      </c>
      <c r="LEU76" s="49" t="s">
        <v>93</v>
      </c>
      <c r="LEV76" s="49" t="s">
        <v>94</v>
      </c>
      <c r="LEW76" s="49" t="s">
        <v>93</v>
      </c>
      <c r="LEX76" s="49" t="s">
        <v>94</v>
      </c>
      <c r="LEY76" s="49" t="s">
        <v>93</v>
      </c>
      <c r="LEZ76" s="49" t="s">
        <v>94</v>
      </c>
      <c r="LFA76" s="49" t="s">
        <v>93</v>
      </c>
      <c r="LFB76" s="49" t="s">
        <v>94</v>
      </c>
      <c r="LFC76" s="49" t="s">
        <v>93</v>
      </c>
      <c r="LFD76" s="49" t="s">
        <v>94</v>
      </c>
      <c r="LFE76" s="49" t="s">
        <v>93</v>
      </c>
      <c r="LFF76" s="49" t="s">
        <v>94</v>
      </c>
      <c r="LFG76" s="49" t="s">
        <v>93</v>
      </c>
      <c r="LFH76" s="49" t="s">
        <v>94</v>
      </c>
      <c r="LFI76" s="49" t="s">
        <v>93</v>
      </c>
      <c r="LFJ76" s="49" t="s">
        <v>94</v>
      </c>
      <c r="LFK76" s="49" t="s">
        <v>93</v>
      </c>
      <c r="LFL76" s="49" t="s">
        <v>94</v>
      </c>
      <c r="LFM76" s="49" t="s">
        <v>93</v>
      </c>
      <c r="LFN76" s="49" t="s">
        <v>94</v>
      </c>
      <c r="LFO76" s="49" t="s">
        <v>93</v>
      </c>
      <c r="LFP76" s="49" t="s">
        <v>94</v>
      </c>
      <c r="LFQ76" s="49" t="s">
        <v>93</v>
      </c>
      <c r="LFR76" s="49" t="s">
        <v>94</v>
      </c>
      <c r="LFS76" s="49" t="s">
        <v>93</v>
      </c>
      <c r="LFT76" s="49" t="s">
        <v>94</v>
      </c>
      <c r="LFU76" s="49" t="s">
        <v>93</v>
      </c>
      <c r="LFV76" s="49" t="s">
        <v>94</v>
      </c>
      <c r="LFW76" s="49" t="s">
        <v>93</v>
      </c>
      <c r="LFX76" s="49" t="s">
        <v>94</v>
      </c>
      <c r="LFY76" s="49" t="s">
        <v>93</v>
      </c>
      <c r="LFZ76" s="49" t="s">
        <v>94</v>
      </c>
      <c r="LGA76" s="49" t="s">
        <v>93</v>
      </c>
      <c r="LGB76" s="49" t="s">
        <v>94</v>
      </c>
      <c r="LGC76" s="49" t="s">
        <v>93</v>
      </c>
      <c r="LGD76" s="49" t="s">
        <v>94</v>
      </c>
      <c r="LGE76" s="49" t="s">
        <v>93</v>
      </c>
      <c r="LGF76" s="49" t="s">
        <v>94</v>
      </c>
      <c r="LGG76" s="49" t="s">
        <v>93</v>
      </c>
      <c r="LGH76" s="49" t="s">
        <v>94</v>
      </c>
      <c r="LGI76" s="49" t="s">
        <v>93</v>
      </c>
      <c r="LGJ76" s="49" t="s">
        <v>94</v>
      </c>
      <c r="LGK76" s="49" t="s">
        <v>93</v>
      </c>
      <c r="LGL76" s="49" t="s">
        <v>94</v>
      </c>
      <c r="LGM76" s="49" t="s">
        <v>93</v>
      </c>
      <c r="LGN76" s="49" t="s">
        <v>94</v>
      </c>
      <c r="LGO76" s="49" t="s">
        <v>93</v>
      </c>
      <c r="LGP76" s="49" t="s">
        <v>94</v>
      </c>
      <c r="LGQ76" s="49" t="s">
        <v>93</v>
      </c>
      <c r="LGR76" s="49" t="s">
        <v>94</v>
      </c>
      <c r="LGS76" s="49" t="s">
        <v>93</v>
      </c>
      <c r="LGT76" s="49" t="s">
        <v>94</v>
      </c>
      <c r="LGU76" s="49" t="s">
        <v>93</v>
      </c>
      <c r="LGV76" s="49" t="s">
        <v>94</v>
      </c>
      <c r="LGW76" s="49" t="s">
        <v>93</v>
      </c>
      <c r="LGX76" s="49" t="s">
        <v>94</v>
      </c>
      <c r="LGY76" s="49" t="s">
        <v>93</v>
      </c>
      <c r="LGZ76" s="49" t="s">
        <v>94</v>
      </c>
      <c r="LHA76" s="49" t="s">
        <v>93</v>
      </c>
      <c r="LHB76" s="49" t="s">
        <v>94</v>
      </c>
      <c r="LHC76" s="49" t="s">
        <v>93</v>
      </c>
      <c r="LHD76" s="49" t="s">
        <v>94</v>
      </c>
      <c r="LHE76" s="49" t="s">
        <v>93</v>
      </c>
      <c r="LHF76" s="49" t="s">
        <v>94</v>
      </c>
      <c r="LHG76" s="49" t="s">
        <v>93</v>
      </c>
      <c r="LHH76" s="49" t="s">
        <v>94</v>
      </c>
      <c r="LHI76" s="49" t="s">
        <v>93</v>
      </c>
      <c r="LHJ76" s="49" t="s">
        <v>94</v>
      </c>
      <c r="LHK76" s="49" t="s">
        <v>93</v>
      </c>
      <c r="LHL76" s="49" t="s">
        <v>94</v>
      </c>
      <c r="LHM76" s="49" t="s">
        <v>93</v>
      </c>
      <c r="LHN76" s="49" t="s">
        <v>94</v>
      </c>
      <c r="LHO76" s="49" t="s">
        <v>93</v>
      </c>
      <c r="LHP76" s="49" t="s">
        <v>94</v>
      </c>
      <c r="LHQ76" s="49" t="s">
        <v>93</v>
      </c>
      <c r="LHR76" s="49" t="s">
        <v>94</v>
      </c>
      <c r="LHS76" s="49" t="s">
        <v>93</v>
      </c>
      <c r="LHT76" s="49" t="s">
        <v>94</v>
      </c>
      <c r="LHU76" s="49" t="s">
        <v>93</v>
      </c>
      <c r="LHV76" s="49" t="s">
        <v>94</v>
      </c>
      <c r="LHW76" s="49" t="s">
        <v>93</v>
      </c>
      <c r="LHX76" s="49" t="s">
        <v>94</v>
      </c>
      <c r="LHY76" s="49" t="s">
        <v>93</v>
      </c>
      <c r="LHZ76" s="49" t="s">
        <v>94</v>
      </c>
      <c r="LIA76" s="49" t="s">
        <v>93</v>
      </c>
      <c r="LIB76" s="49" t="s">
        <v>94</v>
      </c>
      <c r="LIC76" s="49" t="s">
        <v>93</v>
      </c>
      <c r="LID76" s="49" t="s">
        <v>94</v>
      </c>
      <c r="LIE76" s="49" t="s">
        <v>93</v>
      </c>
      <c r="LIF76" s="49" t="s">
        <v>94</v>
      </c>
      <c r="LIG76" s="49" t="s">
        <v>93</v>
      </c>
      <c r="LIH76" s="49" t="s">
        <v>94</v>
      </c>
      <c r="LII76" s="49" t="s">
        <v>93</v>
      </c>
      <c r="LIJ76" s="49" t="s">
        <v>94</v>
      </c>
      <c r="LIK76" s="49" t="s">
        <v>93</v>
      </c>
      <c r="LIL76" s="49" t="s">
        <v>94</v>
      </c>
      <c r="LIM76" s="49" t="s">
        <v>93</v>
      </c>
      <c r="LIN76" s="49" t="s">
        <v>94</v>
      </c>
      <c r="LIO76" s="49" t="s">
        <v>93</v>
      </c>
      <c r="LIP76" s="49" t="s">
        <v>94</v>
      </c>
      <c r="LIQ76" s="49" t="s">
        <v>93</v>
      </c>
      <c r="LIR76" s="49" t="s">
        <v>94</v>
      </c>
      <c r="LIS76" s="49" t="s">
        <v>93</v>
      </c>
      <c r="LIT76" s="49" t="s">
        <v>94</v>
      </c>
      <c r="LIU76" s="49" t="s">
        <v>93</v>
      </c>
      <c r="LIV76" s="49" t="s">
        <v>94</v>
      </c>
      <c r="LIW76" s="49" t="s">
        <v>93</v>
      </c>
      <c r="LIX76" s="49" t="s">
        <v>94</v>
      </c>
      <c r="LIY76" s="49" t="s">
        <v>93</v>
      </c>
      <c r="LIZ76" s="49" t="s">
        <v>94</v>
      </c>
      <c r="LJA76" s="49" t="s">
        <v>93</v>
      </c>
      <c r="LJB76" s="49" t="s">
        <v>94</v>
      </c>
      <c r="LJC76" s="49" t="s">
        <v>93</v>
      </c>
      <c r="LJD76" s="49" t="s">
        <v>94</v>
      </c>
      <c r="LJE76" s="49" t="s">
        <v>93</v>
      </c>
      <c r="LJF76" s="49" t="s">
        <v>94</v>
      </c>
      <c r="LJG76" s="49" t="s">
        <v>93</v>
      </c>
      <c r="LJH76" s="49" t="s">
        <v>94</v>
      </c>
      <c r="LJI76" s="49" t="s">
        <v>93</v>
      </c>
      <c r="LJJ76" s="49" t="s">
        <v>94</v>
      </c>
      <c r="LJK76" s="49" t="s">
        <v>93</v>
      </c>
      <c r="LJL76" s="49" t="s">
        <v>94</v>
      </c>
      <c r="LJM76" s="49" t="s">
        <v>93</v>
      </c>
      <c r="LJN76" s="49" t="s">
        <v>94</v>
      </c>
      <c r="LJO76" s="49" t="s">
        <v>93</v>
      </c>
      <c r="LJP76" s="49" t="s">
        <v>94</v>
      </c>
      <c r="LJQ76" s="49" t="s">
        <v>93</v>
      </c>
      <c r="LJR76" s="49" t="s">
        <v>94</v>
      </c>
      <c r="LJS76" s="49" t="s">
        <v>93</v>
      </c>
      <c r="LJT76" s="49" t="s">
        <v>94</v>
      </c>
      <c r="LJU76" s="49" t="s">
        <v>93</v>
      </c>
      <c r="LJV76" s="49" t="s">
        <v>94</v>
      </c>
      <c r="LJW76" s="49" t="s">
        <v>93</v>
      </c>
      <c r="LJX76" s="49" t="s">
        <v>94</v>
      </c>
      <c r="LJY76" s="49" t="s">
        <v>93</v>
      </c>
      <c r="LJZ76" s="49" t="s">
        <v>94</v>
      </c>
      <c r="LKA76" s="49" t="s">
        <v>93</v>
      </c>
      <c r="LKB76" s="49" t="s">
        <v>94</v>
      </c>
      <c r="LKC76" s="49" t="s">
        <v>93</v>
      </c>
      <c r="LKD76" s="49" t="s">
        <v>94</v>
      </c>
      <c r="LKE76" s="49" t="s">
        <v>93</v>
      </c>
      <c r="LKF76" s="49" t="s">
        <v>94</v>
      </c>
      <c r="LKG76" s="49" t="s">
        <v>93</v>
      </c>
      <c r="LKH76" s="49" t="s">
        <v>94</v>
      </c>
      <c r="LKI76" s="49" t="s">
        <v>93</v>
      </c>
      <c r="LKJ76" s="49" t="s">
        <v>94</v>
      </c>
      <c r="LKK76" s="49" t="s">
        <v>93</v>
      </c>
      <c r="LKL76" s="49" t="s">
        <v>94</v>
      </c>
      <c r="LKM76" s="49" t="s">
        <v>93</v>
      </c>
      <c r="LKN76" s="49" t="s">
        <v>94</v>
      </c>
      <c r="LKO76" s="49" t="s">
        <v>93</v>
      </c>
      <c r="LKP76" s="49" t="s">
        <v>94</v>
      </c>
      <c r="LKQ76" s="49" t="s">
        <v>93</v>
      </c>
      <c r="LKR76" s="49" t="s">
        <v>94</v>
      </c>
      <c r="LKS76" s="49" t="s">
        <v>93</v>
      </c>
      <c r="LKT76" s="49" t="s">
        <v>94</v>
      </c>
      <c r="LKU76" s="49" t="s">
        <v>93</v>
      </c>
      <c r="LKV76" s="49" t="s">
        <v>94</v>
      </c>
      <c r="LKW76" s="49" t="s">
        <v>93</v>
      </c>
      <c r="LKX76" s="49" t="s">
        <v>94</v>
      </c>
      <c r="LKY76" s="49" t="s">
        <v>93</v>
      </c>
      <c r="LKZ76" s="49" t="s">
        <v>94</v>
      </c>
      <c r="LLA76" s="49" t="s">
        <v>93</v>
      </c>
      <c r="LLB76" s="49" t="s">
        <v>94</v>
      </c>
      <c r="LLC76" s="49" t="s">
        <v>93</v>
      </c>
      <c r="LLD76" s="49" t="s">
        <v>94</v>
      </c>
      <c r="LLE76" s="49" t="s">
        <v>93</v>
      </c>
      <c r="LLF76" s="49" t="s">
        <v>94</v>
      </c>
      <c r="LLG76" s="49" t="s">
        <v>93</v>
      </c>
      <c r="LLH76" s="49" t="s">
        <v>94</v>
      </c>
      <c r="LLI76" s="49" t="s">
        <v>93</v>
      </c>
      <c r="LLJ76" s="49" t="s">
        <v>94</v>
      </c>
      <c r="LLK76" s="49" t="s">
        <v>93</v>
      </c>
      <c r="LLL76" s="49" t="s">
        <v>94</v>
      </c>
      <c r="LLM76" s="49" t="s">
        <v>93</v>
      </c>
      <c r="LLN76" s="49" t="s">
        <v>94</v>
      </c>
      <c r="LLO76" s="49" t="s">
        <v>93</v>
      </c>
      <c r="LLP76" s="49" t="s">
        <v>94</v>
      </c>
      <c r="LLQ76" s="49" t="s">
        <v>93</v>
      </c>
      <c r="LLR76" s="49" t="s">
        <v>94</v>
      </c>
      <c r="LLS76" s="49" t="s">
        <v>93</v>
      </c>
      <c r="LLT76" s="49" t="s">
        <v>94</v>
      </c>
      <c r="LLU76" s="49" t="s">
        <v>93</v>
      </c>
      <c r="LLV76" s="49" t="s">
        <v>94</v>
      </c>
      <c r="LLW76" s="49" t="s">
        <v>93</v>
      </c>
      <c r="LLX76" s="49" t="s">
        <v>94</v>
      </c>
      <c r="LLY76" s="49" t="s">
        <v>93</v>
      </c>
      <c r="LLZ76" s="49" t="s">
        <v>94</v>
      </c>
      <c r="LMA76" s="49" t="s">
        <v>93</v>
      </c>
      <c r="LMB76" s="49" t="s">
        <v>94</v>
      </c>
      <c r="LMC76" s="49" t="s">
        <v>93</v>
      </c>
      <c r="LMD76" s="49" t="s">
        <v>94</v>
      </c>
      <c r="LME76" s="49" t="s">
        <v>93</v>
      </c>
      <c r="LMF76" s="49" t="s">
        <v>94</v>
      </c>
      <c r="LMG76" s="49" t="s">
        <v>93</v>
      </c>
      <c r="LMH76" s="49" t="s">
        <v>94</v>
      </c>
      <c r="LMI76" s="49" t="s">
        <v>93</v>
      </c>
      <c r="LMJ76" s="49" t="s">
        <v>94</v>
      </c>
      <c r="LMK76" s="49" t="s">
        <v>93</v>
      </c>
      <c r="LML76" s="49" t="s">
        <v>94</v>
      </c>
      <c r="LMM76" s="49" t="s">
        <v>93</v>
      </c>
      <c r="LMN76" s="49" t="s">
        <v>94</v>
      </c>
      <c r="LMO76" s="49" t="s">
        <v>93</v>
      </c>
      <c r="LMP76" s="49" t="s">
        <v>94</v>
      </c>
      <c r="LMQ76" s="49" t="s">
        <v>93</v>
      </c>
      <c r="LMR76" s="49" t="s">
        <v>94</v>
      </c>
      <c r="LMS76" s="49" t="s">
        <v>93</v>
      </c>
      <c r="LMT76" s="49" t="s">
        <v>94</v>
      </c>
      <c r="LMU76" s="49" t="s">
        <v>93</v>
      </c>
      <c r="LMV76" s="49" t="s">
        <v>94</v>
      </c>
      <c r="LMW76" s="49" t="s">
        <v>93</v>
      </c>
      <c r="LMX76" s="49" t="s">
        <v>94</v>
      </c>
      <c r="LMY76" s="49" t="s">
        <v>93</v>
      </c>
      <c r="LMZ76" s="49" t="s">
        <v>94</v>
      </c>
      <c r="LNA76" s="49" t="s">
        <v>93</v>
      </c>
      <c r="LNB76" s="49" t="s">
        <v>94</v>
      </c>
      <c r="LNC76" s="49" t="s">
        <v>93</v>
      </c>
      <c r="LND76" s="49" t="s">
        <v>94</v>
      </c>
      <c r="LNE76" s="49" t="s">
        <v>93</v>
      </c>
      <c r="LNF76" s="49" t="s">
        <v>94</v>
      </c>
      <c r="LNG76" s="49" t="s">
        <v>93</v>
      </c>
      <c r="LNH76" s="49" t="s">
        <v>94</v>
      </c>
      <c r="LNI76" s="49" t="s">
        <v>93</v>
      </c>
      <c r="LNJ76" s="49" t="s">
        <v>94</v>
      </c>
      <c r="LNK76" s="49" t="s">
        <v>93</v>
      </c>
      <c r="LNL76" s="49" t="s">
        <v>94</v>
      </c>
      <c r="LNM76" s="49" t="s">
        <v>93</v>
      </c>
      <c r="LNN76" s="49" t="s">
        <v>94</v>
      </c>
      <c r="LNO76" s="49" t="s">
        <v>93</v>
      </c>
      <c r="LNP76" s="49" t="s">
        <v>94</v>
      </c>
      <c r="LNQ76" s="49" t="s">
        <v>93</v>
      </c>
      <c r="LNR76" s="49" t="s">
        <v>94</v>
      </c>
      <c r="LNS76" s="49" t="s">
        <v>93</v>
      </c>
      <c r="LNT76" s="49" t="s">
        <v>94</v>
      </c>
      <c r="LNU76" s="49" t="s">
        <v>93</v>
      </c>
      <c r="LNV76" s="49" t="s">
        <v>94</v>
      </c>
      <c r="LNW76" s="49" t="s">
        <v>93</v>
      </c>
      <c r="LNX76" s="49" t="s">
        <v>94</v>
      </c>
      <c r="LNY76" s="49" t="s">
        <v>93</v>
      </c>
      <c r="LNZ76" s="49" t="s">
        <v>94</v>
      </c>
      <c r="LOA76" s="49" t="s">
        <v>93</v>
      </c>
      <c r="LOB76" s="49" t="s">
        <v>94</v>
      </c>
      <c r="LOC76" s="49" t="s">
        <v>93</v>
      </c>
      <c r="LOD76" s="49" t="s">
        <v>94</v>
      </c>
      <c r="LOE76" s="49" t="s">
        <v>93</v>
      </c>
      <c r="LOF76" s="49" t="s">
        <v>94</v>
      </c>
      <c r="LOG76" s="49" t="s">
        <v>93</v>
      </c>
      <c r="LOH76" s="49" t="s">
        <v>94</v>
      </c>
      <c r="LOI76" s="49" t="s">
        <v>93</v>
      </c>
      <c r="LOJ76" s="49" t="s">
        <v>94</v>
      </c>
      <c r="LOK76" s="49" t="s">
        <v>93</v>
      </c>
      <c r="LOL76" s="49" t="s">
        <v>94</v>
      </c>
      <c r="LOM76" s="49" t="s">
        <v>93</v>
      </c>
      <c r="LON76" s="49" t="s">
        <v>94</v>
      </c>
      <c r="LOO76" s="49" t="s">
        <v>93</v>
      </c>
      <c r="LOP76" s="49" t="s">
        <v>94</v>
      </c>
      <c r="LOQ76" s="49" t="s">
        <v>93</v>
      </c>
      <c r="LOR76" s="49" t="s">
        <v>94</v>
      </c>
      <c r="LOS76" s="49" t="s">
        <v>93</v>
      </c>
      <c r="LOT76" s="49" t="s">
        <v>94</v>
      </c>
      <c r="LOU76" s="49" t="s">
        <v>93</v>
      </c>
      <c r="LOV76" s="49" t="s">
        <v>94</v>
      </c>
      <c r="LOW76" s="49" t="s">
        <v>93</v>
      </c>
      <c r="LOX76" s="49" t="s">
        <v>94</v>
      </c>
      <c r="LOY76" s="49" t="s">
        <v>93</v>
      </c>
      <c r="LOZ76" s="49" t="s">
        <v>94</v>
      </c>
      <c r="LPA76" s="49" t="s">
        <v>93</v>
      </c>
      <c r="LPB76" s="49" t="s">
        <v>94</v>
      </c>
      <c r="LPC76" s="49" t="s">
        <v>93</v>
      </c>
      <c r="LPD76" s="49" t="s">
        <v>94</v>
      </c>
      <c r="LPE76" s="49" t="s">
        <v>93</v>
      </c>
      <c r="LPF76" s="49" t="s">
        <v>94</v>
      </c>
      <c r="LPG76" s="49" t="s">
        <v>93</v>
      </c>
      <c r="LPH76" s="49" t="s">
        <v>94</v>
      </c>
      <c r="LPI76" s="49" t="s">
        <v>93</v>
      </c>
      <c r="LPJ76" s="49" t="s">
        <v>94</v>
      </c>
      <c r="LPK76" s="49" t="s">
        <v>93</v>
      </c>
      <c r="LPL76" s="49" t="s">
        <v>94</v>
      </c>
      <c r="LPM76" s="49" t="s">
        <v>93</v>
      </c>
      <c r="LPN76" s="49" t="s">
        <v>94</v>
      </c>
      <c r="LPO76" s="49" t="s">
        <v>93</v>
      </c>
      <c r="LPP76" s="49" t="s">
        <v>94</v>
      </c>
      <c r="LPQ76" s="49" t="s">
        <v>93</v>
      </c>
      <c r="LPR76" s="49" t="s">
        <v>94</v>
      </c>
      <c r="LPS76" s="49" t="s">
        <v>93</v>
      </c>
      <c r="LPT76" s="49" t="s">
        <v>94</v>
      </c>
      <c r="LPU76" s="49" t="s">
        <v>93</v>
      </c>
      <c r="LPV76" s="49" t="s">
        <v>94</v>
      </c>
      <c r="LPW76" s="49" t="s">
        <v>93</v>
      </c>
      <c r="LPX76" s="49" t="s">
        <v>94</v>
      </c>
      <c r="LPY76" s="49" t="s">
        <v>93</v>
      </c>
      <c r="LPZ76" s="49" t="s">
        <v>94</v>
      </c>
      <c r="LQA76" s="49" t="s">
        <v>93</v>
      </c>
      <c r="LQB76" s="49" t="s">
        <v>94</v>
      </c>
      <c r="LQC76" s="49" t="s">
        <v>93</v>
      </c>
      <c r="LQD76" s="49" t="s">
        <v>94</v>
      </c>
      <c r="LQE76" s="49" t="s">
        <v>93</v>
      </c>
      <c r="LQF76" s="49" t="s">
        <v>94</v>
      </c>
      <c r="LQG76" s="49" t="s">
        <v>93</v>
      </c>
      <c r="LQH76" s="49" t="s">
        <v>94</v>
      </c>
      <c r="LQI76" s="49" t="s">
        <v>93</v>
      </c>
      <c r="LQJ76" s="49" t="s">
        <v>94</v>
      </c>
      <c r="LQK76" s="49" t="s">
        <v>93</v>
      </c>
      <c r="LQL76" s="49" t="s">
        <v>94</v>
      </c>
      <c r="LQM76" s="49" t="s">
        <v>93</v>
      </c>
      <c r="LQN76" s="49" t="s">
        <v>94</v>
      </c>
      <c r="LQO76" s="49" t="s">
        <v>93</v>
      </c>
      <c r="LQP76" s="49" t="s">
        <v>94</v>
      </c>
      <c r="LQQ76" s="49" t="s">
        <v>93</v>
      </c>
      <c r="LQR76" s="49" t="s">
        <v>94</v>
      </c>
      <c r="LQS76" s="49" t="s">
        <v>93</v>
      </c>
      <c r="LQT76" s="49" t="s">
        <v>94</v>
      </c>
      <c r="LQU76" s="49" t="s">
        <v>93</v>
      </c>
      <c r="LQV76" s="49" t="s">
        <v>94</v>
      </c>
      <c r="LQW76" s="49" t="s">
        <v>93</v>
      </c>
      <c r="LQX76" s="49" t="s">
        <v>94</v>
      </c>
      <c r="LQY76" s="49" t="s">
        <v>93</v>
      </c>
      <c r="LQZ76" s="49" t="s">
        <v>94</v>
      </c>
      <c r="LRA76" s="49" t="s">
        <v>93</v>
      </c>
      <c r="LRB76" s="49" t="s">
        <v>94</v>
      </c>
      <c r="LRC76" s="49" t="s">
        <v>93</v>
      </c>
      <c r="LRD76" s="49" t="s">
        <v>94</v>
      </c>
      <c r="LRE76" s="49" t="s">
        <v>93</v>
      </c>
      <c r="LRF76" s="49" t="s">
        <v>94</v>
      </c>
      <c r="LRG76" s="49" t="s">
        <v>93</v>
      </c>
      <c r="LRH76" s="49" t="s">
        <v>94</v>
      </c>
      <c r="LRI76" s="49" t="s">
        <v>93</v>
      </c>
      <c r="LRJ76" s="49" t="s">
        <v>94</v>
      </c>
      <c r="LRK76" s="49" t="s">
        <v>93</v>
      </c>
      <c r="LRL76" s="49" t="s">
        <v>94</v>
      </c>
      <c r="LRM76" s="49" t="s">
        <v>93</v>
      </c>
      <c r="LRN76" s="49" t="s">
        <v>94</v>
      </c>
      <c r="LRO76" s="49" t="s">
        <v>93</v>
      </c>
      <c r="LRP76" s="49" t="s">
        <v>94</v>
      </c>
      <c r="LRQ76" s="49" t="s">
        <v>93</v>
      </c>
      <c r="LRR76" s="49" t="s">
        <v>94</v>
      </c>
      <c r="LRS76" s="49" t="s">
        <v>93</v>
      </c>
      <c r="LRT76" s="49" t="s">
        <v>94</v>
      </c>
      <c r="LRU76" s="49" t="s">
        <v>93</v>
      </c>
      <c r="LRV76" s="49" t="s">
        <v>94</v>
      </c>
      <c r="LRW76" s="49" t="s">
        <v>93</v>
      </c>
      <c r="LRX76" s="49" t="s">
        <v>94</v>
      </c>
      <c r="LRY76" s="49" t="s">
        <v>93</v>
      </c>
      <c r="LRZ76" s="49" t="s">
        <v>94</v>
      </c>
      <c r="LSA76" s="49" t="s">
        <v>93</v>
      </c>
      <c r="LSB76" s="49" t="s">
        <v>94</v>
      </c>
      <c r="LSC76" s="49" t="s">
        <v>93</v>
      </c>
      <c r="LSD76" s="49" t="s">
        <v>94</v>
      </c>
      <c r="LSE76" s="49" t="s">
        <v>93</v>
      </c>
      <c r="LSF76" s="49" t="s">
        <v>94</v>
      </c>
      <c r="LSG76" s="49" t="s">
        <v>93</v>
      </c>
      <c r="LSH76" s="49" t="s">
        <v>94</v>
      </c>
      <c r="LSI76" s="49" t="s">
        <v>93</v>
      </c>
      <c r="LSJ76" s="49" t="s">
        <v>94</v>
      </c>
      <c r="LSK76" s="49" t="s">
        <v>93</v>
      </c>
      <c r="LSL76" s="49" t="s">
        <v>94</v>
      </c>
      <c r="LSM76" s="49" t="s">
        <v>93</v>
      </c>
      <c r="LSN76" s="49" t="s">
        <v>94</v>
      </c>
      <c r="LSO76" s="49" t="s">
        <v>93</v>
      </c>
      <c r="LSP76" s="49" t="s">
        <v>94</v>
      </c>
      <c r="LSQ76" s="49" t="s">
        <v>93</v>
      </c>
      <c r="LSR76" s="49" t="s">
        <v>94</v>
      </c>
      <c r="LSS76" s="49" t="s">
        <v>93</v>
      </c>
      <c r="LST76" s="49" t="s">
        <v>94</v>
      </c>
      <c r="LSU76" s="49" t="s">
        <v>93</v>
      </c>
      <c r="LSV76" s="49" t="s">
        <v>94</v>
      </c>
      <c r="LSW76" s="49" t="s">
        <v>93</v>
      </c>
      <c r="LSX76" s="49" t="s">
        <v>94</v>
      </c>
      <c r="LSY76" s="49" t="s">
        <v>93</v>
      </c>
      <c r="LSZ76" s="49" t="s">
        <v>94</v>
      </c>
      <c r="LTA76" s="49" t="s">
        <v>93</v>
      </c>
      <c r="LTB76" s="49" t="s">
        <v>94</v>
      </c>
      <c r="LTC76" s="49" t="s">
        <v>93</v>
      </c>
      <c r="LTD76" s="49" t="s">
        <v>94</v>
      </c>
      <c r="LTE76" s="49" t="s">
        <v>93</v>
      </c>
      <c r="LTF76" s="49" t="s">
        <v>94</v>
      </c>
      <c r="LTG76" s="49" t="s">
        <v>93</v>
      </c>
      <c r="LTH76" s="49" t="s">
        <v>94</v>
      </c>
      <c r="LTI76" s="49" t="s">
        <v>93</v>
      </c>
      <c r="LTJ76" s="49" t="s">
        <v>94</v>
      </c>
      <c r="LTK76" s="49" t="s">
        <v>93</v>
      </c>
      <c r="LTL76" s="49" t="s">
        <v>94</v>
      </c>
      <c r="LTM76" s="49" t="s">
        <v>93</v>
      </c>
      <c r="LTN76" s="49" t="s">
        <v>94</v>
      </c>
      <c r="LTO76" s="49" t="s">
        <v>93</v>
      </c>
      <c r="LTP76" s="49" t="s">
        <v>94</v>
      </c>
      <c r="LTQ76" s="49" t="s">
        <v>93</v>
      </c>
      <c r="LTR76" s="49" t="s">
        <v>94</v>
      </c>
      <c r="LTS76" s="49" t="s">
        <v>93</v>
      </c>
      <c r="LTT76" s="49" t="s">
        <v>94</v>
      </c>
      <c r="LTU76" s="49" t="s">
        <v>93</v>
      </c>
      <c r="LTV76" s="49" t="s">
        <v>94</v>
      </c>
      <c r="LTW76" s="49" t="s">
        <v>93</v>
      </c>
      <c r="LTX76" s="49" t="s">
        <v>94</v>
      </c>
      <c r="LTY76" s="49" t="s">
        <v>93</v>
      </c>
      <c r="LTZ76" s="49" t="s">
        <v>94</v>
      </c>
      <c r="LUA76" s="49" t="s">
        <v>93</v>
      </c>
      <c r="LUB76" s="49" t="s">
        <v>94</v>
      </c>
      <c r="LUC76" s="49" t="s">
        <v>93</v>
      </c>
      <c r="LUD76" s="49" t="s">
        <v>94</v>
      </c>
      <c r="LUE76" s="49" t="s">
        <v>93</v>
      </c>
      <c r="LUF76" s="49" t="s">
        <v>94</v>
      </c>
      <c r="LUG76" s="49" t="s">
        <v>93</v>
      </c>
      <c r="LUH76" s="49" t="s">
        <v>94</v>
      </c>
      <c r="LUI76" s="49" t="s">
        <v>93</v>
      </c>
      <c r="LUJ76" s="49" t="s">
        <v>94</v>
      </c>
      <c r="LUK76" s="49" t="s">
        <v>93</v>
      </c>
      <c r="LUL76" s="49" t="s">
        <v>94</v>
      </c>
      <c r="LUM76" s="49" t="s">
        <v>93</v>
      </c>
      <c r="LUN76" s="49" t="s">
        <v>94</v>
      </c>
      <c r="LUO76" s="49" t="s">
        <v>93</v>
      </c>
      <c r="LUP76" s="49" t="s">
        <v>94</v>
      </c>
      <c r="LUQ76" s="49" t="s">
        <v>93</v>
      </c>
      <c r="LUR76" s="49" t="s">
        <v>94</v>
      </c>
      <c r="LUS76" s="49" t="s">
        <v>93</v>
      </c>
      <c r="LUT76" s="49" t="s">
        <v>94</v>
      </c>
      <c r="LUU76" s="49" t="s">
        <v>93</v>
      </c>
      <c r="LUV76" s="49" t="s">
        <v>94</v>
      </c>
      <c r="LUW76" s="49" t="s">
        <v>93</v>
      </c>
      <c r="LUX76" s="49" t="s">
        <v>94</v>
      </c>
      <c r="LUY76" s="49" t="s">
        <v>93</v>
      </c>
      <c r="LUZ76" s="49" t="s">
        <v>94</v>
      </c>
      <c r="LVA76" s="49" t="s">
        <v>93</v>
      </c>
      <c r="LVB76" s="49" t="s">
        <v>94</v>
      </c>
      <c r="LVC76" s="49" t="s">
        <v>93</v>
      </c>
      <c r="LVD76" s="49" t="s">
        <v>94</v>
      </c>
      <c r="LVE76" s="49" t="s">
        <v>93</v>
      </c>
      <c r="LVF76" s="49" t="s">
        <v>94</v>
      </c>
      <c r="LVG76" s="49" t="s">
        <v>93</v>
      </c>
      <c r="LVH76" s="49" t="s">
        <v>94</v>
      </c>
      <c r="LVI76" s="49" t="s">
        <v>93</v>
      </c>
      <c r="LVJ76" s="49" t="s">
        <v>94</v>
      </c>
      <c r="LVK76" s="49" t="s">
        <v>93</v>
      </c>
      <c r="LVL76" s="49" t="s">
        <v>94</v>
      </c>
      <c r="LVM76" s="49" t="s">
        <v>93</v>
      </c>
      <c r="LVN76" s="49" t="s">
        <v>94</v>
      </c>
      <c r="LVO76" s="49" t="s">
        <v>93</v>
      </c>
      <c r="LVP76" s="49" t="s">
        <v>94</v>
      </c>
      <c r="LVQ76" s="49" t="s">
        <v>93</v>
      </c>
      <c r="LVR76" s="49" t="s">
        <v>94</v>
      </c>
      <c r="LVS76" s="49" t="s">
        <v>93</v>
      </c>
      <c r="LVT76" s="49" t="s">
        <v>94</v>
      </c>
      <c r="LVU76" s="49" t="s">
        <v>93</v>
      </c>
      <c r="LVV76" s="49" t="s">
        <v>94</v>
      </c>
      <c r="LVW76" s="49" t="s">
        <v>93</v>
      </c>
      <c r="LVX76" s="49" t="s">
        <v>94</v>
      </c>
      <c r="LVY76" s="49" t="s">
        <v>93</v>
      </c>
      <c r="LVZ76" s="49" t="s">
        <v>94</v>
      </c>
      <c r="LWA76" s="49" t="s">
        <v>93</v>
      </c>
      <c r="LWB76" s="49" t="s">
        <v>94</v>
      </c>
      <c r="LWC76" s="49" t="s">
        <v>93</v>
      </c>
      <c r="LWD76" s="49" t="s">
        <v>94</v>
      </c>
      <c r="LWE76" s="49" t="s">
        <v>93</v>
      </c>
      <c r="LWF76" s="49" t="s">
        <v>94</v>
      </c>
      <c r="LWG76" s="49" t="s">
        <v>93</v>
      </c>
      <c r="LWH76" s="49" t="s">
        <v>94</v>
      </c>
      <c r="LWI76" s="49" t="s">
        <v>93</v>
      </c>
      <c r="LWJ76" s="49" t="s">
        <v>94</v>
      </c>
      <c r="LWK76" s="49" t="s">
        <v>93</v>
      </c>
      <c r="LWL76" s="49" t="s">
        <v>94</v>
      </c>
      <c r="LWM76" s="49" t="s">
        <v>93</v>
      </c>
      <c r="LWN76" s="49" t="s">
        <v>94</v>
      </c>
      <c r="LWO76" s="49" t="s">
        <v>93</v>
      </c>
      <c r="LWP76" s="49" t="s">
        <v>94</v>
      </c>
      <c r="LWQ76" s="49" t="s">
        <v>93</v>
      </c>
      <c r="LWR76" s="49" t="s">
        <v>94</v>
      </c>
      <c r="LWS76" s="49" t="s">
        <v>93</v>
      </c>
      <c r="LWT76" s="49" t="s">
        <v>94</v>
      </c>
      <c r="LWU76" s="49" t="s">
        <v>93</v>
      </c>
      <c r="LWV76" s="49" t="s">
        <v>94</v>
      </c>
      <c r="LWW76" s="49" t="s">
        <v>93</v>
      </c>
      <c r="LWX76" s="49" t="s">
        <v>94</v>
      </c>
      <c r="LWY76" s="49" t="s">
        <v>93</v>
      </c>
      <c r="LWZ76" s="49" t="s">
        <v>94</v>
      </c>
      <c r="LXA76" s="49" t="s">
        <v>93</v>
      </c>
      <c r="LXB76" s="49" t="s">
        <v>94</v>
      </c>
      <c r="LXC76" s="49" t="s">
        <v>93</v>
      </c>
      <c r="LXD76" s="49" t="s">
        <v>94</v>
      </c>
      <c r="LXE76" s="49" t="s">
        <v>93</v>
      </c>
      <c r="LXF76" s="49" t="s">
        <v>94</v>
      </c>
      <c r="LXG76" s="49" t="s">
        <v>93</v>
      </c>
      <c r="LXH76" s="49" t="s">
        <v>94</v>
      </c>
      <c r="LXI76" s="49" t="s">
        <v>93</v>
      </c>
      <c r="LXJ76" s="49" t="s">
        <v>94</v>
      </c>
      <c r="LXK76" s="49" t="s">
        <v>93</v>
      </c>
      <c r="LXL76" s="49" t="s">
        <v>94</v>
      </c>
      <c r="LXM76" s="49" t="s">
        <v>93</v>
      </c>
      <c r="LXN76" s="49" t="s">
        <v>94</v>
      </c>
      <c r="LXO76" s="49" t="s">
        <v>93</v>
      </c>
      <c r="LXP76" s="49" t="s">
        <v>94</v>
      </c>
      <c r="LXQ76" s="49" t="s">
        <v>93</v>
      </c>
      <c r="LXR76" s="49" t="s">
        <v>94</v>
      </c>
      <c r="LXS76" s="49" t="s">
        <v>93</v>
      </c>
      <c r="LXT76" s="49" t="s">
        <v>94</v>
      </c>
      <c r="LXU76" s="49" t="s">
        <v>93</v>
      </c>
      <c r="LXV76" s="49" t="s">
        <v>94</v>
      </c>
      <c r="LXW76" s="49" t="s">
        <v>93</v>
      </c>
      <c r="LXX76" s="49" t="s">
        <v>94</v>
      </c>
      <c r="LXY76" s="49" t="s">
        <v>93</v>
      </c>
      <c r="LXZ76" s="49" t="s">
        <v>94</v>
      </c>
      <c r="LYA76" s="49" t="s">
        <v>93</v>
      </c>
      <c r="LYB76" s="49" t="s">
        <v>94</v>
      </c>
      <c r="LYC76" s="49" t="s">
        <v>93</v>
      </c>
      <c r="LYD76" s="49" t="s">
        <v>94</v>
      </c>
      <c r="LYE76" s="49" t="s">
        <v>93</v>
      </c>
      <c r="LYF76" s="49" t="s">
        <v>94</v>
      </c>
      <c r="LYG76" s="49" t="s">
        <v>93</v>
      </c>
      <c r="LYH76" s="49" t="s">
        <v>94</v>
      </c>
      <c r="LYI76" s="49" t="s">
        <v>93</v>
      </c>
      <c r="LYJ76" s="49" t="s">
        <v>94</v>
      </c>
      <c r="LYK76" s="49" t="s">
        <v>93</v>
      </c>
      <c r="LYL76" s="49" t="s">
        <v>94</v>
      </c>
      <c r="LYM76" s="49" t="s">
        <v>93</v>
      </c>
      <c r="LYN76" s="49" t="s">
        <v>94</v>
      </c>
      <c r="LYO76" s="49" t="s">
        <v>93</v>
      </c>
      <c r="LYP76" s="49" t="s">
        <v>94</v>
      </c>
      <c r="LYQ76" s="49" t="s">
        <v>93</v>
      </c>
      <c r="LYR76" s="49" t="s">
        <v>94</v>
      </c>
      <c r="LYS76" s="49" t="s">
        <v>93</v>
      </c>
      <c r="LYT76" s="49" t="s">
        <v>94</v>
      </c>
      <c r="LYU76" s="49" t="s">
        <v>93</v>
      </c>
      <c r="LYV76" s="49" t="s">
        <v>94</v>
      </c>
      <c r="LYW76" s="49" t="s">
        <v>93</v>
      </c>
      <c r="LYX76" s="49" t="s">
        <v>94</v>
      </c>
      <c r="LYY76" s="49" t="s">
        <v>93</v>
      </c>
      <c r="LYZ76" s="49" t="s">
        <v>94</v>
      </c>
      <c r="LZA76" s="49" t="s">
        <v>93</v>
      </c>
      <c r="LZB76" s="49" t="s">
        <v>94</v>
      </c>
      <c r="LZC76" s="49" t="s">
        <v>93</v>
      </c>
      <c r="LZD76" s="49" t="s">
        <v>94</v>
      </c>
      <c r="LZE76" s="49" t="s">
        <v>93</v>
      </c>
      <c r="LZF76" s="49" t="s">
        <v>94</v>
      </c>
      <c r="LZG76" s="49" t="s">
        <v>93</v>
      </c>
      <c r="LZH76" s="49" t="s">
        <v>94</v>
      </c>
      <c r="LZI76" s="49" t="s">
        <v>93</v>
      </c>
      <c r="LZJ76" s="49" t="s">
        <v>94</v>
      </c>
      <c r="LZK76" s="49" t="s">
        <v>93</v>
      </c>
      <c r="LZL76" s="49" t="s">
        <v>94</v>
      </c>
      <c r="LZM76" s="49" t="s">
        <v>93</v>
      </c>
      <c r="LZN76" s="49" t="s">
        <v>94</v>
      </c>
      <c r="LZO76" s="49" t="s">
        <v>93</v>
      </c>
      <c r="LZP76" s="49" t="s">
        <v>94</v>
      </c>
      <c r="LZQ76" s="49" t="s">
        <v>93</v>
      </c>
      <c r="LZR76" s="49" t="s">
        <v>94</v>
      </c>
      <c r="LZS76" s="49" t="s">
        <v>93</v>
      </c>
      <c r="LZT76" s="49" t="s">
        <v>94</v>
      </c>
      <c r="LZU76" s="49" t="s">
        <v>93</v>
      </c>
      <c r="LZV76" s="49" t="s">
        <v>94</v>
      </c>
      <c r="LZW76" s="49" t="s">
        <v>93</v>
      </c>
      <c r="LZX76" s="49" t="s">
        <v>94</v>
      </c>
      <c r="LZY76" s="49" t="s">
        <v>93</v>
      </c>
      <c r="LZZ76" s="49" t="s">
        <v>94</v>
      </c>
      <c r="MAA76" s="49" t="s">
        <v>93</v>
      </c>
      <c r="MAB76" s="49" t="s">
        <v>94</v>
      </c>
      <c r="MAC76" s="49" t="s">
        <v>93</v>
      </c>
      <c r="MAD76" s="49" t="s">
        <v>94</v>
      </c>
      <c r="MAE76" s="49" t="s">
        <v>93</v>
      </c>
      <c r="MAF76" s="49" t="s">
        <v>94</v>
      </c>
      <c r="MAG76" s="49" t="s">
        <v>93</v>
      </c>
      <c r="MAH76" s="49" t="s">
        <v>94</v>
      </c>
      <c r="MAI76" s="49" t="s">
        <v>93</v>
      </c>
      <c r="MAJ76" s="49" t="s">
        <v>94</v>
      </c>
      <c r="MAK76" s="49" t="s">
        <v>93</v>
      </c>
      <c r="MAL76" s="49" t="s">
        <v>94</v>
      </c>
      <c r="MAM76" s="49" t="s">
        <v>93</v>
      </c>
      <c r="MAN76" s="49" t="s">
        <v>94</v>
      </c>
      <c r="MAO76" s="49" t="s">
        <v>93</v>
      </c>
      <c r="MAP76" s="49" t="s">
        <v>94</v>
      </c>
      <c r="MAQ76" s="49" t="s">
        <v>93</v>
      </c>
      <c r="MAR76" s="49" t="s">
        <v>94</v>
      </c>
      <c r="MAS76" s="49" t="s">
        <v>93</v>
      </c>
      <c r="MAT76" s="49" t="s">
        <v>94</v>
      </c>
      <c r="MAU76" s="49" t="s">
        <v>93</v>
      </c>
      <c r="MAV76" s="49" t="s">
        <v>94</v>
      </c>
      <c r="MAW76" s="49" t="s">
        <v>93</v>
      </c>
      <c r="MAX76" s="49" t="s">
        <v>94</v>
      </c>
      <c r="MAY76" s="49" t="s">
        <v>93</v>
      </c>
      <c r="MAZ76" s="49" t="s">
        <v>94</v>
      </c>
      <c r="MBA76" s="49" t="s">
        <v>93</v>
      </c>
      <c r="MBB76" s="49" t="s">
        <v>94</v>
      </c>
      <c r="MBC76" s="49" t="s">
        <v>93</v>
      </c>
      <c r="MBD76" s="49" t="s">
        <v>94</v>
      </c>
      <c r="MBE76" s="49" t="s">
        <v>93</v>
      </c>
      <c r="MBF76" s="49" t="s">
        <v>94</v>
      </c>
      <c r="MBG76" s="49" t="s">
        <v>93</v>
      </c>
      <c r="MBH76" s="49" t="s">
        <v>94</v>
      </c>
      <c r="MBI76" s="49" t="s">
        <v>93</v>
      </c>
      <c r="MBJ76" s="49" t="s">
        <v>94</v>
      </c>
      <c r="MBK76" s="49" t="s">
        <v>93</v>
      </c>
      <c r="MBL76" s="49" t="s">
        <v>94</v>
      </c>
      <c r="MBM76" s="49" t="s">
        <v>93</v>
      </c>
      <c r="MBN76" s="49" t="s">
        <v>94</v>
      </c>
      <c r="MBO76" s="49" t="s">
        <v>93</v>
      </c>
      <c r="MBP76" s="49" t="s">
        <v>94</v>
      </c>
      <c r="MBQ76" s="49" t="s">
        <v>93</v>
      </c>
      <c r="MBR76" s="49" t="s">
        <v>94</v>
      </c>
      <c r="MBS76" s="49" t="s">
        <v>93</v>
      </c>
      <c r="MBT76" s="49" t="s">
        <v>94</v>
      </c>
      <c r="MBU76" s="49" t="s">
        <v>93</v>
      </c>
      <c r="MBV76" s="49" t="s">
        <v>94</v>
      </c>
      <c r="MBW76" s="49" t="s">
        <v>93</v>
      </c>
      <c r="MBX76" s="49" t="s">
        <v>94</v>
      </c>
      <c r="MBY76" s="49" t="s">
        <v>93</v>
      </c>
      <c r="MBZ76" s="49" t="s">
        <v>94</v>
      </c>
      <c r="MCA76" s="49" t="s">
        <v>93</v>
      </c>
      <c r="MCB76" s="49" t="s">
        <v>94</v>
      </c>
      <c r="MCC76" s="49" t="s">
        <v>93</v>
      </c>
      <c r="MCD76" s="49" t="s">
        <v>94</v>
      </c>
      <c r="MCE76" s="49" t="s">
        <v>93</v>
      </c>
      <c r="MCF76" s="49" t="s">
        <v>94</v>
      </c>
      <c r="MCG76" s="49" t="s">
        <v>93</v>
      </c>
      <c r="MCH76" s="49" t="s">
        <v>94</v>
      </c>
      <c r="MCI76" s="49" t="s">
        <v>93</v>
      </c>
      <c r="MCJ76" s="49" t="s">
        <v>94</v>
      </c>
      <c r="MCK76" s="49" t="s">
        <v>93</v>
      </c>
      <c r="MCL76" s="49" t="s">
        <v>94</v>
      </c>
      <c r="MCM76" s="49" t="s">
        <v>93</v>
      </c>
      <c r="MCN76" s="49" t="s">
        <v>94</v>
      </c>
      <c r="MCO76" s="49" t="s">
        <v>93</v>
      </c>
      <c r="MCP76" s="49" t="s">
        <v>94</v>
      </c>
      <c r="MCQ76" s="49" t="s">
        <v>93</v>
      </c>
      <c r="MCR76" s="49" t="s">
        <v>94</v>
      </c>
      <c r="MCS76" s="49" t="s">
        <v>93</v>
      </c>
      <c r="MCT76" s="49" t="s">
        <v>94</v>
      </c>
      <c r="MCU76" s="49" t="s">
        <v>93</v>
      </c>
      <c r="MCV76" s="49" t="s">
        <v>94</v>
      </c>
      <c r="MCW76" s="49" t="s">
        <v>93</v>
      </c>
      <c r="MCX76" s="49" t="s">
        <v>94</v>
      </c>
      <c r="MCY76" s="49" t="s">
        <v>93</v>
      </c>
      <c r="MCZ76" s="49" t="s">
        <v>94</v>
      </c>
      <c r="MDA76" s="49" t="s">
        <v>93</v>
      </c>
      <c r="MDB76" s="49" t="s">
        <v>94</v>
      </c>
      <c r="MDC76" s="49" t="s">
        <v>93</v>
      </c>
      <c r="MDD76" s="49" t="s">
        <v>94</v>
      </c>
      <c r="MDE76" s="49" t="s">
        <v>93</v>
      </c>
      <c r="MDF76" s="49" t="s">
        <v>94</v>
      </c>
      <c r="MDG76" s="49" t="s">
        <v>93</v>
      </c>
      <c r="MDH76" s="49" t="s">
        <v>94</v>
      </c>
      <c r="MDI76" s="49" t="s">
        <v>93</v>
      </c>
      <c r="MDJ76" s="49" t="s">
        <v>94</v>
      </c>
      <c r="MDK76" s="49" t="s">
        <v>93</v>
      </c>
      <c r="MDL76" s="49" t="s">
        <v>94</v>
      </c>
      <c r="MDM76" s="49" t="s">
        <v>93</v>
      </c>
      <c r="MDN76" s="49" t="s">
        <v>94</v>
      </c>
      <c r="MDO76" s="49" t="s">
        <v>93</v>
      </c>
      <c r="MDP76" s="49" t="s">
        <v>94</v>
      </c>
      <c r="MDQ76" s="49" t="s">
        <v>93</v>
      </c>
      <c r="MDR76" s="49" t="s">
        <v>94</v>
      </c>
      <c r="MDS76" s="49" t="s">
        <v>93</v>
      </c>
      <c r="MDT76" s="49" t="s">
        <v>94</v>
      </c>
      <c r="MDU76" s="49" t="s">
        <v>93</v>
      </c>
      <c r="MDV76" s="49" t="s">
        <v>94</v>
      </c>
      <c r="MDW76" s="49" t="s">
        <v>93</v>
      </c>
      <c r="MDX76" s="49" t="s">
        <v>94</v>
      </c>
      <c r="MDY76" s="49" t="s">
        <v>93</v>
      </c>
      <c r="MDZ76" s="49" t="s">
        <v>94</v>
      </c>
      <c r="MEA76" s="49" t="s">
        <v>93</v>
      </c>
      <c r="MEB76" s="49" t="s">
        <v>94</v>
      </c>
      <c r="MEC76" s="49" t="s">
        <v>93</v>
      </c>
      <c r="MED76" s="49" t="s">
        <v>94</v>
      </c>
      <c r="MEE76" s="49" t="s">
        <v>93</v>
      </c>
      <c r="MEF76" s="49" t="s">
        <v>94</v>
      </c>
      <c r="MEG76" s="49" t="s">
        <v>93</v>
      </c>
      <c r="MEH76" s="49" t="s">
        <v>94</v>
      </c>
      <c r="MEI76" s="49" t="s">
        <v>93</v>
      </c>
      <c r="MEJ76" s="49" t="s">
        <v>94</v>
      </c>
      <c r="MEK76" s="49" t="s">
        <v>93</v>
      </c>
      <c r="MEL76" s="49" t="s">
        <v>94</v>
      </c>
      <c r="MEM76" s="49" t="s">
        <v>93</v>
      </c>
      <c r="MEN76" s="49" t="s">
        <v>94</v>
      </c>
      <c r="MEO76" s="49" t="s">
        <v>93</v>
      </c>
      <c r="MEP76" s="49" t="s">
        <v>94</v>
      </c>
      <c r="MEQ76" s="49" t="s">
        <v>93</v>
      </c>
      <c r="MER76" s="49" t="s">
        <v>94</v>
      </c>
      <c r="MES76" s="49" t="s">
        <v>93</v>
      </c>
      <c r="MET76" s="49" t="s">
        <v>94</v>
      </c>
      <c r="MEU76" s="49" t="s">
        <v>93</v>
      </c>
      <c r="MEV76" s="49" t="s">
        <v>94</v>
      </c>
      <c r="MEW76" s="49" t="s">
        <v>93</v>
      </c>
      <c r="MEX76" s="49" t="s">
        <v>94</v>
      </c>
      <c r="MEY76" s="49" t="s">
        <v>93</v>
      </c>
      <c r="MEZ76" s="49" t="s">
        <v>94</v>
      </c>
      <c r="MFA76" s="49" t="s">
        <v>93</v>
      </c>
      <c r="MFB76" s="49" t="s">
        <v>94</v>
      </c>
      <c r="MFC76" s="49" t="s">
        <v>93</v>
      </c>
      <c r="MFD76" s="49" t="s">
        <v>94</v>
      </c>
      <c r="MFE76" s="49" t="s">
        <v>93</v>
      </c>
      <c r="MFF76" s="49" t="s">
        <v>94</v>
      </c>
      <c r="MFG76" s="49" t="s">
        <v>93</v>
      </c>
      <c r="MFH76" s="49" t="s">
        <v>94</v>
      </c>
      <c r="MFI76" s="49" t="s">
        <v>93</v>
      </c>
      <c r="MFJ76" s="49" t="s">
        <v>94</v>
      </c>
      <c r="MFK76" s="49" t="s">
        <v>93</v>
      </c>
      <c r="MFL76" s="49" t="s">
        <v>94</v>
      </c>
      <c r="MFM76" s="49" t="s">
        <v>93</v>
      </c>
      <c r="MFN76" s="49" t="s">
        <v>94</v>
      </c>
      <c r="MFO76" s="49" t="s">
        <v>93</v>
      </c>
      <c r="MFP76" s="49" t="s">
        <v>94</v>
      </c>
      <c r="MFQ76" s="49" t="s">
        <v>93</v>
      </c>
      <c r="MFR76" s="49" t="s">
        <v>94</v>
      </c>
      <c r="MFS76" s="49" t="s">
        <v>93</v>
      </c>
      <c r="MFT76" s="49" t="s">
        <v>94</v>
      </c>
      <c r="MFU76" s="49" t="s">
        <v>93</v>
      </c>
      <c r="MFV76" s="49" t="s">
        <v>94</v>
      </c>
      <c r="MFW76" s="49" t="s">
        <v>93</v>
      </c>
      <c r="MFX76" s="49" t="s">
        <v>94</v>
      </c>
      <c r="MFY76" s="49" t="s">
        <v>93</v>
      </c>
      <c r="MFZ76" s="49" t="s">
        <v>94</v>
      </c>
      <c r="MGA76" s="49" t="s">
        <v>93</v>
      </c>
      <c r="MGB76" s="49" t="s">
        <v>94</v>
      </c>
      <c r="MGC76" s="49" t="s">
        <v>93</v>
      </c>
      <c r="MGD76" s="49" t="s">
        <v>94</v>
      </c>
      <c r="MGE76" s="49" t="s">
        <v>93</v>
      </c>
      <c r="MGF76" s="49" t="s">
        <v>94</v>
      </c>
      <c r="MGG76" s="49" t="s">
        <v>93</v>
      </c>
      <c r="MGH76" s="49" t="s">
        <v>94</v>
      </c>
      <c r="MGI76" s="49" t="s">
        <v>93</v>
      </c>
      <c r="MGJ76" s="49" t="s">
        <v>94</v>
      </c>
      <c r="MGK76" s="49" t="s">
        <v>93</v>
      </c>
      <c r="MGL76" s="49" t="s">
        <v>94</v>
      </c>
      <c r="MGM76" s="49" t="s">
        <v>93</v>
      </c>
      <c r="MGN76" s="49" t="s">
        <v>94</v>
      </c>
      <c r="MGO76" s="49" t="s">
        <v>93</v>
      </c>
      <c r="MGP76" s="49" t="s">
        <v>94</v>
      </c>
      <c r="MGQ76" s="49" t="s">
        <v>93</v>
      </c>
      <c r="MGR76" s="49" t="s">
        <v>94</v>
      </c>
      <c r="MGS76" s="49" t="s">
        <v>93</v>
      </c>
      <c r="MGT76" s="49" t="s">
        <v>94</v>
      </c>
      <c r="MGU76" s="49" t="s">
        <v>93</v>
      </c>
      <c r="MGV76" s="49" t="s">
        <v>94</v>
      </c>
      <c r="MGW76" s="49" t="s">
        <v>93</v>
      </c>
      <c r="MGX76" s="49" t="s">
        <v>94</v>
      </c>
      <c r="MGY76" s="49" t="s">
        <v>93</v>
      </c>
      <c r="MGZ76" s="49" t="s">
        <v>94</v>
      </c>
      <c r="MHA76" s="49" t="s">
        <v>93</v>
      </c>
      <c r="MHB76" s="49" t="s">
        <v>94</v>
      </c>
      <c r="MHC76" s="49" t="s">
        <v>93</v>
      </c>
      <c r="MHD76" s="49" t="s">
        <v>94</v>
      </c>
      <c r="MHE76" s="49" t="s">
        <v>93</v>
      </c>
      <c r="MHF76" s="49" t="s">
        <v>94</v>
      </c>
      <c r="MHG76" s="49" t="s">
        <v>93</v>
      </c>
      <c r="MHH76" s="49" t="s">
        <v>94</v>
      </c>
      <c r="MHI76" s="49" t="s">
        <v>93</v>
      </c>
      <c r="MHJ76" s="49" t="s">
        <v>94</v>
      </c>
      <c r="MHK76" s="49" t="s">
        <v>93</v>
      </c>
      <c r="MHL76" s="49" t="s">
        <v>94</v>
      </c>
      <c r="MHM76" s="49" t="s">
        <v>93</v>
      </c>
      <c r="MHN76" s="49" t="s">
        <v>94</v>
      </c>
      <c r="MHO76" s="49" t="s">
        <v>93</v>
      </c>
      <c r="MHP76" s="49" t="s">
        <v>94</v>
      </c>
      <c r="MHQ76" s="49" t="s">
        <v>93</v>
      </c>
      <c r="MHR76" s="49" t="s">
        <v>94</v>
      </c>
      <c r="MHS76" s="49" t="s">
        <v>93</v>
      </c>
      <c r="MHT76" s="49" t="s">
        <v>94</v>
      </c>
      <c r="MHU76" s="49" t="s">
        <v>93</v>
      </c>
      <c r="MHV76" s="49" t="s">
        <v>94</v>
      </c>
      <c r="MHW76" s="49" t="s">
        <v>93</v>
      </c>
      <c r="MHX76" s="49" t="s">
        <v>94</v>
      </c>
      <c r="MHY76" s="49" t="s">
        <v>93</v>
      </c>
      <c r="MHZ76" s="49" t="s">
        <v>94</v>
      </c>
      <c r="MIA76" s="49" t="s">
        <v>93</v>
      </c>
      <c r="MIB76" s="49" t="s">
        <v>94</v>
      </c>
      <c r="MIC76" s="49" t="s">
        <v>93</v>
      </c>
      <c r="MID76" s="49" t="s">
        <v>94</v>
      </c>
      <c r="MIE76" s="49" t="s">
        <v>93</v>
      </c>
      <c r="MIF76" s="49" t="s">
        <v>94</v>
      </c>
      <c r="MIG76" s="49" t="s">
        <v>93</v>
      </c>
      <c r="MIH76" s="49" t="s">
        <v>94</v>
      </c>
      <c r="MII76" s="49" t="s">
        <v>93</v>
      </c>
      <c r="MIJ76" s="49" t="s">
        <v>94</v>
      </c>
      <c r="MIK76" s="49" t="s">
        <v>93</v>
      </c>
      <c r="MIL76" s="49" t="s">
        <v>94</v>
      </c>
      <c r="MIM76" s="49" t="s">
        <v>93</v>
      </c>
      <c r="MIN76" s="49" t="s">
        <v>94</v>
      </c>
      <c r="MIO76" s="49" t="s">
        <v>93</v>
      </c>
      <c r="MIP76" s="49" t="s">
        <v>94</v>
      </c>
      <c r="MIQ76" s="49" t="s">
        <v>93</v>
      </c>
      <c r="MIR76" s="49" t="s">
        <v>94</v>
      </c>
      <c r="MIS76" s="49" t="s">
        <v>93</v>
      </c>
      <c r="MIT76" s="49" t="s">
        <v>94</v>
      </c>
      <c r="MIU76" s="49" t="s">
        <v>93</v>
      </c>
      <c r="MIV76" s="49" t="s">
        <v>94</v>
      </c>
      <c r="MIW76" s="49" t="s">
        <v>93</v>
      </c>
      <c r="MIX76" s="49" t="s">
        <v>94</v>
      </c>
      <c r="MIY76" s="49" t="s">
        <v>93</v>
      </c>
      <c r="MIZ76" s="49" t="s">
        <v>94</v>
      </c>
      <c r="MJA76" s="49" t="s">
        <v>93</v>
      </c>
      <c r="MJB76" s="49" t="s">
        <v>94</v>
      </c>
      <c r="MJC76" s="49" t="s">
        <v>93</v>
      </c>
      <c r="MJD76" s="49" t="s">
        <v>94</v>
      </c>
      <c r="MJE76" s="49" t="s">
        <v>93</v>
      </c>
      <c r="MJF76" s="49" t="s">
        <v>94</v>
      </c>
      <c r="MJG76" s="49" t="s">
        <v>93</v>
      </c>
      <c r="MJH76" s="49" t="s">
        <v>94</v>
      </c>
      <c r="MJI76" s="49" t="s">
        <v>93</v>
      </c>
      <c r="MJJ76" s="49" t="s">
        <v>94</v>
      </c>
      <c r="MJK76" s="49" t="s">
        <v>93</v>
      </c>
      <c r="MJL76" s="49" t="s">
        <v>94</v>
      </c>
      <c r="MJM76" s="49" t="s">
        <v>93</v>
      </c>
      <c r="MJN76" s="49" t="s">
        <v>94</v>
      </c>
      <c r="MJO76" s="49" t="s">
        <v>93</v>
      </c>
      <c r="MJP76" s="49" t="s">
        <v>94</v>
      </c>
      <c r="MJQ76" s="49" t="s">
        <v>93</v>
      </c>
      <c r="MJR76" s="49" t="s">
        <v>94</v>
      </c>
      <c r="MJS76" s="49" t="s">
        <v>93</v>
      </c>
      <c r="MJT76" s="49" t="s">
        <v>94</v>
      </c>
      <c r="MJU76" s="49" t="s">
        <v>93</v>
      </c>
      <c r="MJV76" s="49" t="s">
        <v>94</v>
      </c>
      <c r="MJW76" s="49" t="s">
        <v>93</v>
      </c>
      <c r="MJX76" s="49" t="s">
        <v>94</v>
      </c>
      <c r="MJY76" s="49" t="s">
        <v>93</v>
      </c>
      <c r="MJZ76" s="49" t="s">
        <v>94</v>
      </c>
      <c r="MKA76" s="49" t="s">
        <v>93</v>
      </c>
      <c r="MKB76" s="49" t="s">
        <v>94</v>
      </c>
      <c r="MKC76" s="49" t="s">
        <v>93</v>
      </c>
      <c r="MKD76" s="49" t="s">
        <v>94</v>
      </c>
      <c r="MKE76" s="49" t="s">
        <v>93</v>
      </c>
      <c r="MKF76" s="49" t="s">
        <v>94</v>
      </c>
      <c r="MKG76" s="49" t="s">
        <v>93</v>
      </c>
      <c r="MKH76" s="49" t="s">
        <v>94</v>
      </c>
      <c r="MKI76" s="49" t="s">
        <v>93</v>
      </c>
      <c r="MKJ76" s="49" t="s">
        <v>94</v>
      </c>
      <c r="MKK76" s="49" t="s">
        <v>93</v>
      </c>
      <c r="MKL76" s="49" t="s">
        <v>94</v>
      </c>
      <c r="MKM76" s="49" t="s">
        <v>93</v>
      </c>
      <c r="MKN76" s="49" t="s">
        <v>94</v>
      </c>
      <c r="MKO76" s="49" t="s">
        <v>93</v>
      </c>
      <c r="MKP76" s="49" t="s">
        <v>94</v>
      </c>
      <c r="MKQ76" s="49" t="s">
        <v>93</v>
      </c>
      <c r="MKR76" s="49" t="s">
        <v>94</v>
      </c>
      <c r="MKS76" s="49" t="s">
        <v>93</v>
      </c>
      <c r="MKT76" s="49" t="s">
        <v>94</v>
      </c>
      <c r="MKU76" s="49" t="s">
        <v>93</v>
      </c>
      <c r="MKV76" s="49" t="s">
        <v>94</v>
      </c>
      <c r="MKW76" s="49" t="s">
        <v>93</v>
      </c>
      <c r="MKX76" s="49" t="s">
        <v>94</v>
      </c>
      <c r="MKY76" s="49" t="s">
        <v>93</v>
      </c>
      <c r="MKZ76" s="49" t="s">
        <v>94</v>
      </c>
      <c r="MLA76" s="49" t="s">
        <v>93</v>
      </c>
      <c r="MLB76" s="49" t="s">
        <v>94</v>
      </c>
      <c r="MLC76" s="49" t="s">
        <v>93</v>
      </c>
      <c r="MLD76" s="49" t="s">
        <v>94</v>
      </c>
      <c r="MLE76" s="49" t="s">
        <v>93</v>
      </c>
      <c r="MLF76" s="49" t="s">
        <v>94</v>
      </c>
      <c r="MLG76" s="49" t="s">
        <v>93</v>
      </c>
      <c r="MLH76" s="49" t="s">
        <v>94</v>
      </c>
      <c r="MLI76" s="49" t="s">
        <v>93</v>
      </c>
      <c r="MLJ76" s="49" t="s">
        <v>94</v>
      </c>
      <c r="MLK76" s="49" t="s">
        <v>93</v>
      </c>
      <c r="MLL76" s="49" t="s">
        <v>94</v>
      </c>
      <c r="MLM76" s="49" t="s">
        <v>93</v>
      </c>
      <c r="MLN76" s="49" t="s">
        <v>94</v>
      </c>
      <c r="MLO76" s="49" t="s">
        <v>93</v>
      </c>
      <c r="MLP76" s="49" t="s">
        <v>94</v>
      </c>
      <c r="MLQ76" s="49" t="s">
        <v>93</v>
      </c>
      <c r="MLR76" s="49" t="s">
        <v>94</v>
      </c>
      <c r="MLS76" s="49" t="s">
        <v>93</v>
      </c>
      <c r="MLT76" s="49" t="s">
        <v>94</v>
      </c>
      <c r="MLU76" s="49" t="s">
        <v>93</v>
      </c>
      <c r="MLV76" s="49" t="s">
        <v>94</v>
      </c>
      <c r="MLW76" s="49" t="s">
        <v>93</v>
      </c>
      <c r="MLX76" s="49" t="s">
        <v>94</v>
      </c>
      <c r="MLY76" s="49" t="s">
        <v>93</v>
      </c>
      <c r="MLZ76" s="49" t="s">
        <v>94</v>
      </c>
      <c r="MMA76" s="49" t="s">
        <v>93</v>
      </c>
      <c r="MMB76" s="49" t="s">
        <v>94</v>
      </c>
      <c r="MMC76" s="49" t="s">
        <v>93</v>
      </c>
      <c r="MMD76" s="49" t="s">
        <v>94</v>
      </c>
      <c r="MME76" s="49" t="s">
        <v>93</v>
      </c>
      <c r="MMF76" s="49" t="s">
        <v>94</v>
      </c>
      <c r="MMG76" s="49" t="s">
        <v>93</v>
      </c>
      <c r="MMH76" s="49" t="s">
        <v>94</v>
      </c>
      <c r="MMI76" s="49" t="s">
        <v>93</v>
      </c>
      <c r="MMJ76" s="49" t="s">
        <v>94</v>
      </c>
      <c r="MMK76" s="49" t="s">
        <v>93</v>
      </c>
      <c r="MML76" s="49" t="s">
        <v>94</v>
      </c>
      <c r="MMM76" s="49" t="s">
        <v>93</v>
      </c>
      <c r="MMN76" s="49" t="s">
        <v>94</v>
      </c>
      <c r="MMO76" s="49" t="s">
        <v>93</v>
      </c>
      <c r="MMP76" s="49" t="s">
        <v>94</v>
      </c>
      <c r="MMQ76" s="49" t="s">
        <v>93</v>
      </c>
      <c r="MMR76" s="49" t="s">
        <v>94</v>
      </c>
      <c r="MMS76" s="49" t="s">
        <v>93</v>
      </c>
      <c r="MMT76" s="49" t="s">
        <v>94</v>
      </c>
      <c r="MMU76" s="49" t="s">
        <v>93</v>
      </c>
      <c r="MMV76" s="49" t="s">
        <v>94</v>
      </c>
      <c r="MMW76" s="49" t="s">
        <v>93</v>
      </c>
      <c r="MMX76" s="49" t="s">
        <v>94</v>
      </c>
      <c r="MMY76" s="49" t="s">
        <v>93</v>
      </c>
      <c r="MMZ76" s="49" t="s">
        <v>94</v>
      </c>
      <c r="MNA76" s="49" t="s">
        <v>93</v>
      </c>
      <c r="MNB76" s="49" t="s">
        <v>94</v>
      </c>
      <c r="MNC76" s="49" t="s">
        <v>93</v>
      </c>
      <c r="MND76" s="49" t="s">
        <v>94</v>
      </c>
      <c r="MNE76" s="49" t="s">
        <v>93</v>
      </c>
      <c r="MNF76" s="49" t="s">
        <v>94</v>
      </c>
      <c r="MNG76" s="49" t="s">
        <v>93</v>
      </c>
      <c r="MNH76" s="49" t="s">
        <v>94</v>
      </c>
      <c r="MNI76" s="49" t="s">
        <v>93</v>
      </c>
      <c r="MNJ76" s="49" t="s">
        <v>94</v>
      </c>
      <c r="MNK76" s="49" t="s">
        <v>93</v>
      </c>
      <c r="MNL76" s="49" t="s">
        <v>94</v>
      </c>
      <c r="MNM76" s="49" t="s">
        <v>93</v>
      </c>
      <c r="MNN76" s="49" t="s">
        <v>94</v>
      </c>
      <c r="MNO76" s="49" t="s">
        <v>93</v>
      </c>
      <c r="MNP76" s="49" t="s">
        <v>94</v>
      </c>
      <c r="MNQ76" s="49" t="s">
        <v>93</v>
      </c>
      <c r="MNR76" s="49" t="s">
        <v>94</v>
      </c>
      <c r="MNS76" s="49" t="s">
        <v>93</v>
      </c>
      <c r="MNT76" s="49" t="s">
        <v>94</v>
      </c>
      <c r="MNU76" s="49" t="s">
        <v>93</v>
      </c>
      <c r="MNV76" s="49" t="s">
        <v>94</v>
      </c>
      <c r="MNW76" s="49" t="s">
        <v>93</v>
      </c>
      <c r="MNX76" s="49" t="s">
        <v>94</v>
      </c>
      <c r="MNY76" s="49" t="s">
        <v>93</v>
      </c>
      <c r="MNZ76" s="49" t="s">
        <v>94</v>
      </c>
      <c r="MOA76" s="49" t="s">
        <v>93</v>
      </c>
      <c r="MOB76" s="49" t="s">
        <v>94</v>
      </c>
      <c r="MOC76" s="49" t="s">
        <v>93</v>
      </c>
      <c r="MOD76" s="49" t="s">
        <v>94</v>
      </c>
      <c r="MOE76" s="49" t="s">
        <v>93</v>
      </c>
      <c r="MOF76" s="49" t="s">
        <v>94</v>
      </c>
      <c r="MOG76" s="49" t="s">
        <v>93</v>
      </c>
      <c r="MOH76" s="49" t="s">
        <v>94</v>
      </c>
      <c r="MOI76" s="49" t="s">
        <v>93</v>
      </c>
      <c r="MOJ76" s="49" t="s">
        <v>94</v>
      </c>
      <c r="MOK76" s="49" t="s">
        <v>93</v>
      </c>
      <c r="MOL76" s="49" t="s">
        <v>94</v>
      </c>
      <c r="MOM76" s="49" t="s">
        <v>93</v>
      </c>
      <c r="MON76" s="49" t="s">
        <v>94</v>
      </c>
      <c r="MOO76" s="49" t="s">
        <v>93</v>
      </c>
      <c r="MOP76" s="49" t="s">
        <v>94</v>
      </c>
      <c r="MOQ76" s="49" t="s">
        <v>93</v>
      </c>
      <c r="MOR76" s="49" t="s">
        <v>94</v>
      </c>
      <c r="MOS76" s="49" t="s">
        <v>93</v>
      </c>
      <c r="MOT76" s="49" t="s">
        <v>94</v>
      </c>
      <c r="MOU76" s="49" t="s">
        <v>93</v>
      </c>
      <c r="MOV76" s="49" t="s">
        <v>94</v>
      </c>
      <c r="MOW76" s="49" t="s">
        <v>93</v>
      </c>
      <c r="MOX76" s="49" t="s">
        <v>94</v>
      </c>
      <c r="MOY76" s="49" t="s">
        <v>93</v>
      </c>
      <c r="MOZ76" s="49" t="s">
        <v>94</v>
      </c>
      <c r="MPA76" s="49" t="s">
        <v>93</v>
      </c>
      <c r="MPB76" s="49" t="s">
        <v>94</v>
      </c>
      <c r="MPC76" s="49" t="s">
        <v>93</v>
      </c>
      <c r="MPD76" s="49" t="s">
        <v>94</v>
      </c>
      <c r="MPE76" s="49" t="s">
        <v>93</v>
      </c>
      <c r="MPF76" s="49" t="s">
        <v>94</v>
      </c>
      <c r="MPG76" s="49" t="s">
        <v>93</v>
      </c>
      <c r="MPH76" s="49" t="s">
        <v>94</v>
      </c>
      <c r="MPI76" s="49" t="s">
        <v>93</v>
      </c>
      <c r="MPJ76" s="49" t="s">
        <v>94</v>
      </c>
      <c r="MPK76" s="49" t="s">
        <v>93</v>
      </c>
      <c r="MPL76" s="49" t="s">
        <v>94</v>
      </c>
      <c r="MPM76" s="49" t="s">
        <v>93</v>
      </c>
      <c r="MPN76" s="49" t="s">
        <v>94</v>
      </c>
      <c r="MPO76" s="49" t="s">
        <v>93</v>
      </c>
      <c r="MPP76" s="49" t="s">
        <v>94</v>
      </c>
      <c r="MPQ76" s="49" t="s">
        <v>93</v>
      </c>
      <c r="MPR76" s="49" t="s">
        <v>94</v>
      </c>
      <c r="MPS76" s="49" t="s">
        <v>93</v>
      </c>
      <c r="MPT76" s="49" t="s">
        <v>94</v>
      </c>
      <c r="MPU76" s="49" t="s">
        <v>93</v>
      </c>
      <c r="MPV76" s="49" t="s">
        <v>94</v>
      </c>
      <c r="MPW76" s="49" t="s">
        <v>93</v>
      </c>
      <c r="MPX76" s="49" t="s">
        <v>94</v>
      </c>
      <c r="MPY76" s="49" t="s">
        <v>93</v>
      </c>
      <c r="MPZ76" s="49" t="s">
        <v>94</v>
      </c>
      <c r="MQA76" s="49" t="s">
        <v>93</v>
      </c>
      <c r="MQB76" s="49" t="s">
        <v>94</v>
      </c>
      <c r="MQC76" s="49" t="s">
        <v>93</v>
      </c>
      <c r="MQD76" s="49" t="s">
        <v>94</v>
      </c>
      <c r="MQE76" s="49" t="s">
        <v>93</v>
      </c>
      <c r="MQF76" s="49" t="s">
        <v>94</v>
      </c>
      <c r="MQG76" s="49" t="s">
        <v>93</v>
      </c>
      <c r="MQH76" s="49" t="s">
        <v>94</v>
      </c>
      <c r="MQI76" s="49" t="s">
        <v>93</v>
      </c>
      <c r="MQJ76" s="49" t="s">
        <v>94</v>
      </c>
      <c r="MQK76" s="49" t="s">
        <v>93</v>
      </c>
      <c r="MQL76" s="49" t="s">
        <v>94</v>
      </c>
      <c r="MQM76" s="49" t="s">
        <v>93</v>
      </c>
      <c r="MQN76" s="49" t="s">
        <v>94</v>
      </c>
      <c r="MQO76" s="49" t="s">
        <v>93</v>
      </c>
      <c r="MQP76" s="49" t="s">
        <v>94</v>
      </c>
      <c r="MQQ76" s="49" t="s">
        <v>93</v>
      </c>
      <c r="MQR76" s="49" t="s">
        <v>94</v>
      </c>
      <c r="MQS76" s="49" t="s">
        <v>93</v>
      </c>
      <c r="MQT76" s="49" t="s">
        <v>94</v>
      </c>
      <c r="MQU76" s="49" t="s">
        <v>93</v>
      </c>
      <c r="MQV76" s="49" t="s">
        <v>94</v>
      </c>
      <c r="MQW76" s="49" t="s">
        <v>93</v>
      </c>
      <c r="MQX76" s="49" t="s">
        <v>94</v>
      </c>
      <c r="MQY76" s="49" t="s">
        <v>93</v>
      </c>
      <c r="MQZ76" s="49" t="s">
        <v>94</v>
      </c>
      <c r="MRA76" s="49" t="s">
        <v>93</v>
      </c>
      <c r="MRB76" s="49" t="s">
        <v>94</v>
      </c>
      <c r="MRC76" s="49" t="s">
        <v>93</v>
      </c>
      <c r="MRD76" s="49" t="s">
        <v>94</v>
      </c>
      <c r="MRE76" s="49" t="s">
        <v>93</v>
      </c>
      <c r="MRF76" s="49" t="s">
        <v>94</v>
      </c>
      <c r="MRG76" s="49" t="s">
        <v>93</v>
      </c>
      <c r="MRH76" s="49" t="s">
        <v>94</v>
      </c>
      <c r="MRI76" s="49" t="s">
        <v>93</v>
      </c>
      <c r="MRJ76" s="49" t="s">
        <v>94</v>
      </c>
      <c r="MRK76" s="49" t="s">
        <v>93</v>
      </c>
      <c r="MRL76" s="49" t="s">
        <v>94</v>
      </c>
      <c r="MRM76" s="49" t="s">
        <v>93</v>
      </c>
      <c r="MRN76" s="49" t="s">
        <v>94</v>
      </c>
      <c r="MRO76" s="49" t="s">
        <v>93</v>
      </c>
      <c r="MRP76" s="49" t="s">
        <v>94</v>
      </c>
      <c r="MRQ76" s="49" t="s">
        <v>93</v>
      </c>
      <c r="MRR76" s="49" t="s">
        <v>94</v>
      </c>
      <c r="MRS76" s="49" t="s">
        <v>93</v>
      </c>
      <c r="MRT76" s="49" t="s">
        <v>94</v>
      </c>
      <c r="MRU76" s="49" t="s">
        <v>93</v>
      </c>
      <c r="MRV76" s="49" t="s">
        <v>94</v>
      </c>
      <c r="MRW76" s="49" t="s">
        <v>93</v>
      </c>
      <c r="MRX76" s="49" t="s">
        <v>94</v>
      </c>
      <c r="MRY76" s="49" t="s">
        <v>93</v>
      </c>
      <c r="MRZ76" s="49" t="s">
        <v>94</v>
      </c>
      <c r="MSA76" s="49" t="s">
        <v>93</v>
      </c>
      <c r="MSB76" s="49" t="s">
        <v>94</v>
      </c>
      <c r="MSC76" s="49" t="s">
        <v>93</v>
      </c>
      <c r="MSD76" s="49" t="s">
        <v>94</v>
      </c>
      <c r="MSE76" s="49" t="s">
        <v>93</v>
      </c>
      <c r="MSF76" s="49" t="s">
        <v>94</v>
      </c>
      <c r="MSG76" s="49" t="s">
        <v>93</v>
      </c>
      <c r="MSH76" s="49" t="s">
        <v>94</v>
      </c>
      <c r="MSI76" s="49" t="s">
        <v>93</v>
      </c>
      <c r="MSJ76" s="49" t="s">
        <v>94</v>
      </c>
      <c r="MSK76" s="49" t="s">
        <v>93</v>
      </c>
      <c r="MSL76" s="49" t="s">
        <v>94</v>
      </c>
      <c r="MSM76" s="49" t="s">
        <v>93</v>
      </c>
      <c r="MSN76" s="49" t="s">
        <v>94</v>
      </c>
      <c r="MSO76" s="49" t="s">
        <v>93</v>
      </c>
      <c r="MSP76" s="49" t="s">
        <v>94</v>
      </c>
      <c r="MSQ76" s="49" t="s">
        <v>93</v>
      </c>
      <c r="MSR76" s="49" t="s">
        <v>94</v>
      </c>
      <c r="MSS76" s="49" t="s">
        <v>93</v>
      </c>
      <c r="MST76" s="49" t="s">
        <v>94</v>
      </c>
      <c r="MSU76" s="49" t="s">
        <v>93</v>
      </c>
      <c r="MSV76" s="49" t="s">
        <v>94</v>
      </c>
      <c r="MSW76" s="49" t="s">
        <v>93</v>
      </c>
      <c r="MSX76" s="49" t="s">
        <v>94</v>
      </c>
      <c r="MSY76" s="49" t="s">
        <v>93</v>
      </c>
      <c r="MSZ76" s="49" t="s">
        <v>94</v>
      </c>
      <c r="MTA76" s="49" t="s">
        <v>93</v>
      </c>
      <c r="MTB76" s="49" t="s">
        <v>94</v>
      </c>
      <c r="MTC76" s="49" t="s">
        <v>93</v>
      </c>
      <c r="MTD76" s="49" t="s">
        <v>94</v>
      </c>
      <c r="MTE76" s="49" t="s">
        <v>93</v>
      </c>
      <c r="MTF76" s="49" t="s">
        <v>94</v>
      </c>
      <c r="MTG76" s="49" t="s">
        <v>93</v>
      </c>
      <c r="MTH76" s="49" t="s">
        <v>94</v>
      </c>
      <c r="MTI76" s="49" t="s">
        <v>93</v>
      </c>
      <c r="MTJ76" s="49" t="s">
        <v>94</v>
      </c>
      <c r="MTK76" s="49" t="s">
        <v>93</v>
      </c>
      <c r="MTL76" s="49" t="s">
        <v>94</v>
      </c>
      <c r="MTM76" s="49" t="s">
        <v>93</v>
      </c>
      <c r="MTN76" s="49" t="s">
        <v>94</v>
      </c>
      <c r="MTO76" s="49" t="s">
        <v>93</v>
      </c>
      <c r="MTP76" s="49" t="s">
        <v>94</v>
      </c>
      <c r="MTQ76" s="49" t="s">
        <v>93</v>
      </c>
      <c r="MTR76" s="49" t="s">
        <v>94</v>
      </c>
      <c r="MTS76" s="49" t="s">
        <v>93</v>
      </c>
      <c r="MTT76" s="49" t="s">
        <v>94</v>
      </c>
      <c r="MTU76" s="49" t="s">
        <v>93</v>
      </c>
      <c r="MTV76" s="49" t="s">
        <v>94</v>
      </c>
      <c r="MTW76" s="49" t="s">
        <v>93</v>
      </c>
      <c r="MTX76" s="49" t="s">
        <v>94</v>
      </c>
      <c r="MTY76" s="49" t="s">
        <v>93</v>
      </c>
      <c r="MTZ76" s="49" t="s">
        <v>94</v>
      </c>
      <c r="MUA76" s="49" t="s">
        <v>93</v>
      </c>
      <c r="MUB76" s="49" t="s">
        <v>94</v>
      </c>
      <c r="MUC76" s="49" t="s">
        <v>93</v>
      </c>
      <c r="MUD76" s="49" t="s">
        <v>94</v>
      </c>
      <c r="MUE76" s="49" t="s">
        <v>93</v>
      </c>
      <c r="MUF76" s="49" t="s">
        <v>94</v>
      </c>
      <c r="MUG76" s="49" t="s">
        <v>93</v>
      </c>
      <c r="MUH76" s="49" t="s">
        <v>94</v>
      </c>
      <c r="MUI76" s="49" t="s">
        <v>93</v>
      </c>
      <c r="MUJ76" s="49" t="s">
        <v>94</v>
      </c>
      <c r="MUK76" s="49" t="s">
        <v>93</v>
      </c>
      <c r="MUL76" s="49" t="s">
        <v>94</v>
      </c>
      <c r="MUM76" s="49" t="s">
        <v>93</v>
      </c>
      <c r="MUN76" s="49" t="s">
        <v>94</v>
      </c>
      <c r="MUO76" s="49" t="s">
        <v>93</v>
      </c>
      <c r="MUP76" s="49" t="s">
        <v>94</v>
      </c>
      <c r="MUQ76" s="49" t="s">
        <v>93</v>
      </c>
      <c r="MUR76" s="49" t="s">
        <v>94</v>
      </c>
      <c r="MUS76" s="49" t="s">
        <v>93</v>
      </c>
      <c r="MUT76" s="49" t="s">
        <v>94</v>
      </c>
      <c r="MUU76" s="49" t="s">
        <v>93</v>
      </c>
      <c r="MUV76" s="49" t="s">
        <v>94</v>
      </c>
      <c r="MUW76" s="49" t="s">
        <v>93</v>
      </c>
      <c r="MUX76" s="49" t="s">
        <v>94</v>
      </c>
      <c r="MUY76" s="49" t="s">
        <v>93</v>
      </c>
      <c r="MUZ76" s="49" t="s">
        <v>94</v>
      </c>
      <c r="MVA76" s="49" t="s">
        <v>93</v>
      </c>
      <c r="MVB76" s="49" t="s">
        <v>94</v>
      </c>
      <c r="MVC76" s="49" t="s">
        <v>93</v>
      </c>
      <c r="MVD76" s="49" t="s">
        <v>94</v>
      </c>
      <c r="MVE76" s="49" t="s">
        <v>93</v>
      </c>
      <c r="MVF76" s="49" t="s">
        <v>94</v>
      </c>
      <c r="MVG76" s="49" t="s">
        <v>93</v>
      </c>
      <c r="MVH76" s="49" t="s">
        <v>94</v>
      </c>
      <c r="MVI76" s="49" t="s">
        <v>93</v>
      </c>
      <c r="MVJ76" s="49" t="s">
        <v>94</v>
      </c>
      <c r="MVK76" s="49" t="s">
        <v>93</v>
      </c>
      <c r="MVL76" s="49" t="s">
        <v>94</v>
      </c>
      <c r="MVM76" s="49" t="s">
        <v>93</v>
      </c>
      <c r="MVN76" s="49" t="s">
        <v>94</v>
      </c>
      <c r="MVO76" s="49" t="s">
        <v>93</v>
      </c>
      <c r="MVP76" s="49" t="s">
        <v>94</v>
      </c>
      <c r="MVQ76" s="49" t="s">
        <v>93</v>
      </c>
      <c r="MVR76" s="49" t="s">
        <v>94</v>
      </c>
      <c r="MVS76" s="49" t="s">
        <v>93</v>
      </c>
      <c r="MVT76" s="49" t="s">
        <v>94</v>
      </c>
      <c r="MVU76" s="49" t="s">
        <v>93</v>
      </c>
      <c r="MVV76" s="49" t="s">
        <v>94</v>
      </c>
      <c r="MVW76" s="49" t="s">
        <v>93</v>
      </c>
      <c r="MVX76" s="49" t="s">
        <v>94</v>
      </c>
      <c r="MVY76" s="49" t="s">
        <v>93</v>
      </c>
      <c r="MVZ76" s="49" t="s">
        <v>94</v>
      </c>
      <c r="MWA76" s="49" t="s">
        <v>93</v>
      </c>
      <c r="MWB76" s="49" t="s">
        <v>94</v>
      </c>
      <c r="MWC76" s="49" t="s">
        <v>93</v>
      </c>
      <c r="MWD76" s="49" t="s">
        <v>94</v>
      </c>
      <c r="MWE76" s="49" t="s">
        <v>93</v>
      </c>
      <c r="MWF76" s="49" t="s">
        <v>94</v>
      </c>
      <c r="MWG76" s="49" t="s">
        <v>93</v>
      </c>
      <c r="MWH76" s="49" t="s">
        <v>94</v>
      </c>
      <c r="MWI76" s="49" t="s">
        <v>93</v>
      </c>
      <c r="MWJ76" s="49" t="s">
        <v>94</v>
      </c>
      <c r="MWK76" s="49" t="s">
        <v>93</v>
      </c>
      <c r="MWL76" s="49" t="s">
        <v>94</v>
      </c>
      <c r="MWM76" s="49" t="s">
        <v>93</v>
      </c>
      <c r="MWN76" s="49" t="s">
        <v>94</v>
      </c>
      <c r="MWO76" s="49" t="s">
        <v>93</v>
      </c>
      <c r="MWP76" s="49" t="s">
        <v>94</v>
      </c>
      <c r="MWQ76" s="49" t="s">
        <v>93</v>
      </c>
      <c r="MWR76" s="49" t="s">
        <v>94</v>
      </c>
      <c r="MWS76" s="49" t="s">
        <v>93</v>
      </c>
      <c r="MWT76" s="49" t="s">
        <v>94</v>
      </c>
      <c r="MWU76" s="49" t="s">
        <v>93</v>
      </c>
      <c r="MWV76" s="49" t="s">
        <v>94</v>
      </c>
      <c r="MWW76" s="49" t="s">
        <v>93</v>
      </c>
      <c r="MWX76" s="49" t="s">
        <v>94</v>
      </c>
      <c r="MWY76" s="49" t="s">
        <v>93</v>
      </c>
      <c r="MWZ76" s="49" t="s">
        <v>94</v>
      </c>
      <c r="MXA76" s="49" t="s">
        <v>93</v>
      </c>
      <c r="MXB76" s="49" t="s">
        <v>94</v>
      </c>
      <c r="MXC76" s="49" t="s">
        <v>93</v>
      </c>
      <c r="MXD76" s="49" t="s">
        <v>94</v>
      </c>
      <c r="MXE76" s="49" t="s">
        <v>93</v>
      </c>
      <c r="MXF76" s="49" t="s">
        <v>94</v>
      </c>
      <c r="MXG76" s="49" t="s">
        <v>93</v>
      </c>
      <c r="MXH76" s="49" t="s">
        <v>94</v>
      </c>
      <c r="MXI76" s="49" t="s">
        <v>93</v>
      </c>
      <c r="MXJ76" s="49" t="s">
        <v>94</v>
      </c>
      <c r="MXK76" s="49" t="s">
        <v>93</v>
      </c>
      <c r="MXL76" s="49" t="s">
        <v>94</v>
      </c>
      <c r="MXM76" s="49" t="s">
        <v>93</v>
      </c>
      <c r="MXN76" s="49" t="s">
        <v>94</v>
      </c>
      <c r="MXO76" s="49" t="s">
        <v>93</v>
      </c>
      <c r="MXP76" s="49" t="s">
        <v>94</v>
      </c>
      <c r="MXQ76" s="49" t="s">
        <v>93</v>
      </c>
      <c r="MXR76" s="49" t="s">
        <v>94</v>
      </c>
      <c r="MXS76" s="49" t="s">
        <v>93</v>
      </c>
      <c r="MXT76" s="49" t="s">
        <v>94</v>
      </c>
      <c r="MXU76" s="49" t="s">
        <v>93</v>
      </c>
      <c r="MXV76" s="49" t="s">
        <v>94</v>
      </c>
      <c r="MXW76" s="49" t="s">
        <v>93</v>
      </c>
      <c r="MXX76" s="49" t="s">
        <v>94</v>
      </c>
      <c r="MXY76" s="49" t="s">
        <v>93</v>
      </c>
      <c r="MXZ76" s="49" t="s">
        <v>94</v>
      </c>
      <c r="MYA76" s="49" t="s">
        <v>93</v>
      </c>
      <c r="MYB76" s="49" t="s">
        <v>94</v>
      </c>
      <c r="MYC76" s="49" t="s">
        <v>93</v>
      </c>
      <c r="MYD76" s="49" t="s">
        <v>94</v>
      </c>
      <c r="MYE76" s="49" t="s">
        <v>93</v>
      </c>
      <c r="MYF76" s="49" t="s">
        <v>94</v>
      </c>
      <c r="MYG76" s="49" t="s">
        <v>93</v>
      </c>
      <c r="MYH76" s="49" t="s">
        <v>94</v>
      </c>
      <c r="MYI76" s="49" t="s">
        <v>93</v>
      </c>
      <c r="MYJ76" s="49" t="s">
        <v>94</v>
      </c>
      <c r="MYK76" s="49" t="s">
        <v>93</v>
      </c>
      <c r="MYL76" s="49" t="s">
        <v>94</v>
      </c>
      <c r="MYM76" s="49" t="s">
        <v>93</v>
      </c>
      <c r="MYN76" s="49" t="s">
        <v>94</v>
      </c>
      <c r="MYO76" s="49" t="s">
        <v>93</v>
      </c>
      <c r="MYP76" s="49" t="s">
        <v>94</v>
      </c>
      <c r="MYQ76" s="49" t="s">
        <v>93</v>
      </c>
      <c r="MYR76" s="49" t="s">
        <v>94</v>
      </c>
      <c r="MYS76" s="49" t="s">
        <v>93</v>
      </c>
      <c r="MYT76" s="49" t="s">
        <v>94</v>
      </c>
      <c r="MYU76" s="49" t="s">
        <v>93</v>
      </c>
      <c r="MYV76" s="49" t="s">
        <v>94</v>
      </c>
      <c r="MYW76" s="49" t="s">
        <v>93</v>
      </c>
      <c r="MYX76" s="49" t="s">
        <v>94</v>
      </c>
      <c r="MYY76" s="49" t="s">
        <v>93</v>
      </c>
      <c r="MYZ76" s="49" t="s">
        <v>94</v>
      </c>
      <c r="MZA76" s="49" t="s">
        <v>93</v>
      </c>
      <c r="MZB76" s="49" t="s">
        <v>94</v>
      </c>
      <c r="MZC76" s="49" t="s">
        <v>93</v>
      </c>
      <c r="MZD76" s="49" t="s">
        <v>94</v>
      </c>
      <c r="MZE76" s="49" t="s">
        <v>93</v>
      </c>
      <c r="MZF76" s="49" t="s">
        <v>94</v>
      </c>
      <c r="MZG76" s="49" t="s">
        <v>93</v>
      </c>
      <c r="MZH76" s="49" t="s">
        <v>94</v>
      </c>
      <c r="MZI76" s="49" t="s">
        <v>93</v>
      </c>
      <c r="MZJ76" s="49" t="s">
        <v>94</v>
      </c>
      <c r="MZK76" s="49" t="s">
        <v>93</v>
      </c>
      <c r="MZL76" s="49" t="s">
        <v>94</v>
      </c>
      <c r="MZM76" s="49" t="s">
        <v>93</v>
      </c>
      <c r="MZN76" s="49" t="s">
        <v>94</v>
      </c>
      <c r="MZO76" s="49" t="s">
        <v>93</v>
      </c>
      <c r="MZP76" s="49" t="s">
        <v>94</v>
      </c>
      <c r="MZQ76" s="49" t="s">
        <v>93</v>
      </c>
      <c r="MZR76" s="49" t="s">
        <v>94</v>
      </c>
      <c r="MZS76" s="49" t="s">
        <v>93</v>
      </c>
      <c r="MZT76" s="49" t="s">
        <v>94</v>
      </c>
      <c r="MZU76" s="49" t="s">
        <v>93</v>
      </c>
      <c r="MZV76" s="49" t="s">
        <v>94</v>
      </c>
      <c r="MZW76" s="49" t="s">
        <v>93</v>
      </c>
      <c r="MZX76" s="49" t="s">
        <v>94</v>
      </c>
      <c r="MZY76" s="49" t="s">
        <v>93</v>
      </c>
      <c r="MZZ76" s="49" t="s">
        <v>94</v>
      </c>
      <c r="NAA76" s="49" t="s">
        <v>93</v>
      </c>
      <c r="NAB76" s="49" t="s">
        <v>94</v>
      </c>
      <c r="NAC76" s="49" t="s">
        <v>93</v>
      </c>
      <c r="NAD76" s="49" t="s">
        <v>94</v>
      </c>
      <c r="NAE76" s="49" t="s">
        <v>93</v>
      </c>
      <c r="NAF76" s="49" t="s">
        <v>94</v>
      </c>
      <c r="NAG76" s="49" t="s">
        <v>93</v>
      </c>
      <c r="NAH76" s="49" t="s">
        <v>94</v>
      </c>
      <c r="NAI76" s="49" t="s">
        <v>93</v>
      </c>
      <c r="NAJ76" s="49" t="s">
        <v>94</v>
      </c>
      <c r="NAK76" s="49" t="s">
        <v>93</v>
      </c>
      <c r="NAL76" s="49" t="s">
        <v>94</v>
      </c>
      <c r="NAM76" s="49" t="s">
        <v>93</v>
      </c>
      <c r="NAN76" s="49" t="s">
        <v>94</v>
      </c>
      <c r="NAO76" s="49" t="s">
        <v>93</v>
      </c>
      <c r="NAP76" s="49" t="s">
        <v>94</v>
      </c>
      <c r="NAQ76" s="49" t="s">
        <v>93</v>
      </c>
      <c r="NAR76" s="49" t="s">
        <v>94</v>
      </c>
      <c r="NAS76" s="49" t="s">
        <v>93</v>
      </c>
      <c r="NAT76" s="49" t="s">
        <v>94</v>
      </c>
      <c r="NAU76" s="49" t="s">
        <v>93</v>
      </c>
      <c r="NAV76" s="49" t="s">
        <v>94</v>
      </c>
      <c r="NAW76" s="49" t="s">
        <v>93</v>
      </c>
      <c r="NAX76" s="49" t="s">
        <v>94</v>
      </c>
      <c r="NAY76" s="49" t="s">
        <v>93</v>
      </c>
      <c r="NAZ76" s="49" t="s">
        <v>94</v>
      </c>
      <c r="NBA76" s="49" t="s">
        <v>93</v>
      </c>
      <c r="NBB76" s="49" t="s">
        <v>94</v>
      </c>
      <c r="NBC76" s="49" t="s">
        <v>93</v>
      </c>
      <c r="NBD76" s="49" t="s">
        <v>94</v>
      </c>
      <c r="NBE76" s="49" t="s">
        <v>93</v>
      </c>
      <c r="NBF76" s="49" t="s">
        <v>94</v>
      </c>
      <c r="NBG76" s="49" t="s">
        <v>93</v>
      </c>
      <c r="NBH76" s="49" t="s">
        <v>94</v>
      </c>
      <c r="NBI76" s="49" t="s">
        <v>93</v>
      </c>
      <c r="NBJ76" s="49" t="s">
        <v>94</v>
      </c>
      <c r="NBK76" s="49" t="s">
        <v>93</v>
      </c>
      <c r="NBL76" s="49" t="s">
        <v>94</v>
      </c>
      <c r="NBM76" s="49" t="s">
        <v>93</v>
      </c>
      <c r="NBN76" s="49" t="s">
        <v>94</v>
      </c>
      <c r="NBO76" s="49" t="s">
        <v>93</v>
      </c>
      <c r="NBP76" s="49" t="s">
        <v>94</v>
      </c>
      <c r="NBQ76" s="49" t="s">
        <v>93</v>
      </c>
      <c r="NBR76" s="49" t="s">
        <v>94</v>
      </c>
      <c r="NBS76" s="49" t="s">
        <v>93</v>
      </c>
      <c r="NBT76" s="49" t="s">
        <v>94</v>
      </c>
      <c r="NBU76" s="49" t="s">
        <v>93</v>
      </c>
      <c r="NBV76" s="49" t="s">
        <v>94</v>
      </c>
      <c r="NBW76" s="49" t="s">
        <v>93</v>
      </c>
      <c r="NBX76" s="49" t="s">
        <v>94</v>
      </c>
      <c r="NBY76" s="49" t="s">
        <v>93</v>
      </c>
      <c r="NBZ76" s="49" t="s">
        <v>94</v>
      </c>
      <c r="NCA76" s="49" t="s">
        <v>93</v>
      </c>
      <c r="NCB76" s="49" t="s">
        <v>94</v>
      </c>
      <c r="NCC76" s="49" t="s">
        <v>93</v>
      </c>
      <c r="NCD76" s="49" t="s">
        <v>94</v>
      </c>
      <c r="NCE76" s="49" t="s">
        <v>93</v>
      </c>
      <c r="NCF76" s="49" t="s">
        <v>94</v>
      </c>
      <c r="NCG76" s="49" t="s">
        <v>93</v>
      </c>
      <c r="NCH76" s="49" t="s">
        <v>94</v>
      </c>
      <c r="NCI76" s="49" t="s">
        <v>93</v>
      </c>
      <c r="NCJ76" s="49" t="s">
        <v>94</v>
      </c>
      <c r="NCK76" s="49" t="s">
        <v>93</v>
      </c>
      <c r="NCL76" s="49" t="s">
        <v>94</v>
      </c>
      <c r="NCM76" s="49" t="s">
        <v>93</v>
      </c>
      <c r="NCN76" s="49" t="s">
        <v>94</v>
      </c>
      <c r="NCO76" s="49" t="s">
        <v>93</v>
      </c>
      <c r="NCP76" s="49" t="s">
        <v>94</v>
      </c>
      <c r="NCQ76" s="49" t="s">
        <v>93</v>
      </c>
      <c r="NCR76" s="49" t="s">
        <v>94</v>
      </c>
      <c r="NCS76" s="49" t="s">
        <v>93</v>
      </c>
      <c r="NCT76" s="49" t="s">
        <v>94</v>
      </c>
      <c r="NCU76" s="49" t="s">
        <v>93</v>
      </c>
      <c r="NCV76" s="49" t="s">
        <v>94</v>
      </c>
      <c r="NCW76" s="49" t="s">
        <v>93</v>
      </c>
      <c r="NCX76" s="49" t="s">
        <v>94</v>
      </c>
      <c r="NCY76" s="49" t="s">
        <v>93</v>
      </c>
      <c r="NCZ76" s="49" t="s">
        <v>94</v>
      </c>
      <c r="NDA76" s="49" t="s">
        <v>93</v>
      </c>
      <c r="NDB76" s="49" t="s">
        <v>94</v>
      </c>
      <c r="NDC76" s="49" t="s">
        <v>93</v>
      </c>
      <c r="NDD76" s="49" t="s">
        <v>94</v>
      </c>
      <c r="NDE76" s="49" t="s">
        <v>93</v>
      </c>
      <c r="NDF76" s="49" t="s">
        <v>94</v>
      </c>
      <c r="NDG76" s="49" t="s">
        <v>93</v>
      </c>
      <c r="NDH76" s="49" t="s">
        <v>94</v>
      </c>
      <c r="NDI76" s="49" t="s">
        <v>93</v>
      </c>
      <c r="NDJ76" s="49" t="s">
        <v>94</v>
      </c>
      <c r="NDK76" s="49" t="s">
        <v>93</v>
      </c>
      <c r="NDL76" s="49" t="s">
        <v>94</v>
      </c>
      <c r="NDM76" s="49" t="s">
        <v>93</v>
      </c>
      <c r="NDN76" s="49" t="s">
        <v>94</v>
      </c>
      <c r="NDO76" s="49" t="s">
        <v>93</v>
      </c>
      <c r="NDP76" s="49" t="s">
        <v>94</v>
      </c>
      <c r="NDQ76" s="49" t="s">
        <v>93</v>
      </c>
      <c r="NDR76" s="49" t="s">
        <v>94</v>
      </c>
      <c r="NDS76" s="49" t="s">
        <v>93</v>
      </c>
      <c r="NDT76" s="49" t="s">
        <v>94</v>
      </c>
      <c r="NDU76" s="49" t="s">
        <v>93</v>
      </c>
      <c r="NDV76" s="49" t="s">
        <v>94</v>
      </c>
      <c r="NDW76" s="49" t="s">
        <v>93</v>
      </c>
      <c r="NDX76" s="49" t="s">
        <v>94</v>
      </c>
      <c r="NDY76" s="49" t="s">
        <v>93</v>
      </c>
      <c r="NDZ76" s="49" t="s">
        <v>94</v>
      </c>
      <c r="NEA76" s="49" t="s">
        <v>93</v>
      </c>
      <c r="NEB76" s="49" t="s">
        <v>94</v>
      </c>
      <c r="NEC76" s="49" t="s">
        <v>93</v>
      </c>
      <c r="NED76" s="49" t="s">
        <v>94</v>
      </c>
      <c r="NEE76" s="49" t="s">
        <v>93</v>
      </c>
      <c r="NEF76" s="49" t="s">
        <v>94</v>
      </c>
      <c r="NEG76" s="49" t="s">
        <v>93</v>
      </c>
      <c r="NEH76" s="49" t="s">
        <v>94</v>
      </c>
      <c r="NEI76" s="49" t="s">
        <v>93</v>
      </c>
      <c r="NEJ76" s="49" t="s">
        <v>94</v>
      </c>
      <c r="NEK76" s="49" t="s">
        <v>93</v>
      </c>
      <c r="NEL76" s="49" t="s">
        <v>94</v>
      </c>
      <c r="NEM76" s="49" t="s">
        <v>93</v>
      </c>
      <c r="NEN76" s="49" t="s">
        <v>94</v>
      </c>
      <c r="NEO76" s="49" t="s">
        <v>93</v>
      </c>
      <c r="NEP76" s="49" t="s">
        <v>94</v>
      </c>
      <c r="NEQ76" s="49" t="s">
        <v>93</v>
      </c>
      <c r="NER76" s="49" t="s">
        <v>94</v>
      </c>
      <c r="NES76" s="49" t="s">
        <v>93</v>
      </c>
      <c r="NET76" s="49" t="s">
        <v>94</v>
      </c>
      <c r="NEU76" s="49" t="s">
        <v>93</v>
      </c>
      <c r="NEV76" s="49" t="s">
        <v>94</v>
      </c>
      <c r="NEW76" s="49" t="s">
        <v>93</v>
      </c>
      <c r="NEX76" s="49" t="s">
        <v>94</v>
      </c>
      <c r="NEY76" s="49" t="s">
        <v>93</v>
      </c>
      <c r="NEZ76" s="49" t="s">
        <v>94</v>
      </c>
      <c r="NFA76" s="49" t="s">
        <v>93</v>
      </c>
      <c r="NFB76" s="49" t="s">
        <v>94</v>
      </c>
      <c r="NFC76" s="49" t="s">
        <v>93</v>
      </c>
      <c r="NFD76" s="49" t="s">
        <v>94</v>
      </c>
      <c r="NFE76" s="49" t="s">
        <v>93</v>
      </c>
      <c r="NFF76" s="49" t="s">
        <v>94</v>
      </c>
      <c r="NFG76" s="49" t="s">
        <v>93</v>
      </c>
      <c r="NFH76" s="49" t="s">
        <v>94</v>
      </c>
      <c r="NFI76" s="49" t="s">
        <v>93</v>
      </c>
      <c r="NFJ76" s="49" t="s">
        <v>94</v>
      </c>
      <c r="NFK76" s="49" t="s">
        <v>93</v>
      </c>
      <c r="NFL76" s="49" t="s">
        <v>94</v>
      </c>
      <c r="NFM76" s="49" t="s">
        <v>93</v>
      </c>
      <c r="NFN76" s="49" t="s">
        <v>94</v>
      </c>
      <c r="NFO76" s="49" t="s">
        <v>93</v>
      </c>
      <c r="NFP76" s="49" t="s">
        <v>94</v>
      </c>
      <c r="NFQ76" s="49" t="s">
        <v>93</v>
      </c>
      <c r="NFR76" s="49" t="s">
        <v>94</v>
      </c>
      <c r="NFS76" s="49" t="s">
        <v>93</v>
      </c>
      <c r="NFT76" s="49" t="s">
        <v>94</v>
      </c>
      <c r="NFU76" s="49" t="s">
        <v>93</v>
      </c>
      <c r="NFV76" s="49" t="s">
        <v>94</v>
      </c>
      <c r="NFW76" s="49" t="s">
        <v>93</v>
      </c>
      <c r="NFX76" s="49" t="s">
        <v>94</v>
      </c>
      <c r="NFY76" s="49" t="s">
        <v>93</v>
      </c>
      <c r="NFZ76" s="49" t="s">
        <v>94</v>
      </c>
      <c r="NGA76" s="49" t="s">
        <v>93</v>
      </c>
      <c r="NGB76" s="49" t="s">
        <v>94</v>
      </c>
      <c r="NGC76" s="49" t="s">
        <v>93</v>
      </c>
      <c r="NGD76" s="49" t="s">
        <v>94</v>
      </c>
      <c r="NGE76" s="49" t="s">
        <v>93</v>
      </c>
      <c r="NGF76" s="49" t="s">
        <v>94</v>
      </c>
      <c r="NGG76" s="49" t="s">
        <v>93</v>
      </c>
      <c r="NGH76" s="49" t="s">
        <v>94</v>
      </c>
      <c r="NGI76" s="49" t="s">
        <v>93</v>
      </c>
      <c r="NGJ76" s="49" t="s">
        <v>94</v>
      </c>
      <c r="NGK76" s="49" t="s">
        <v>93</v>
      </c>
      <c r="NGL76" s="49" t="s">
        <v>94</v>
      </c>
      <c r="NGM76" s="49" t="s">
        <v>93</v>
      </c>
      <c r="NGN76" s="49" t="s">
        <v>94</v>
      </c>
      <c r="NGO76" s="49" t="s">
        <v>93</v>
      </c>
      <c r="NGP76" s="49" t="s">
        <v>94</v>
      </c>
      <c r="NGQ76" s="49" t="s">
        <v>93</v>
      </c>
      <c r="NGR76" s="49" t="s">
        <v>94</v>
      </c>
      <c r="NGS76" s="49" t="s">
        <v>93</v>
      </c>
      <c r="NGT76" s="49" t="s">
        <v>94</v>
      </c>
      <c r="NGU76" s="49" t="s">
        <v>93</v>
      </c>
      <c r="NGV76" s="49" t="s">
        <v>94</v>
      </c>
      <c r="NGW76" s="49" t="s">
        <v>93</v>
      </c>
      <c r="NGX76" s="49" t="s">
        <v>94</v>
      </c>
      <c r="NGY76" s="49" t="s">
        <v>93</v>
      </c>
      <c r="NGZ76" s="49" t="s">
        <v>94</v>
      </c>
      <c r="NHA76" s="49" t="s">
        <v>93</v>
      </c>
      <c r="NHB76" s="49" t="s">
        <v>94</v>
      </c>
      <c r="NHC76" s="49" t="s">
        <v>93</v>
      </c>
      <c r="NHD76" s="49" t="s">
        <v>94</v>
      </c>
      <c r="NHE76" s="49" t="s">
        <v>93</v>
      </c>
      <c r="NHF76" s="49" t="s">
        <v>94</v>
      </c>
      <c r="NHG76" s="49" t="s">
        <v>93</v>
      </c>
      <c r="NHH76" s="49" t="s">
        <v>94</v>
      </c>
      <c r="NHI76" s="49" t="s">
        <v>93</v>
      </c>
      <c r="NHJ76" s="49" t="s">
        <v>94</v>
      </c>
      <c r="NHK76" s="49" t="s">
        <v>93</v>
      </c>
      <c r="NHL76" s="49" t="s">
        <v>94</v>
      </c>
      <c r="NHM76" s="49" t="s">
        <v>93</v>
      </c>
      <c r="NHN76" s="49" t="s">
        <v>94</v>
      </c>
      <c r="NHO76" s="49" t="s">
        <v>93</v>
      </c>
      <c r="NHP76" s="49" t="s">
        <v>94</v>
      </c>
      <c r="NHQ76" s="49" t="s">
        <v>93</v>
      </c>
      <c r="NHR76" s="49" t="s">
        <v>94</v>
      </c>
      <c r="NHS76" s="49" t="s">
        <v>93</v>
      </c>
      <c r="NHT76" s="49" t="s">
        <v>94</v>
      </c>
      <c r="NHU76" s="49" t="s">
        <v>93</v>
      </c>
      <c r="NHV76" s="49" t="s">
        <v>94</v>
      </c>
      <c r="NHW76" s="49" t="s">
        <v>93</v>
      </c>
      <c r="NHX76" s="49" t="s">
        <v>94</v>
      </c>
      <c r="NHY76" s="49" t="s">
        <v>93</v>
      </c>
      <c r="NHZ76" s="49" t="s">
        <v>94</v>
      </c>
      <c r="NIA76" s="49" t="s">
        <v>93</v>
      </c>
      <c r="NIB76" s="49" t="s">
        <v>94</v>
      </c>
      <c r="NIC76" s="49" t="s">
        <v>93</v>
      </c>
      <c r="NID76" s="49" t="s">
        <v>94</v>
      </c>
      <c r="NIE76" s="49" t="s">
        <v>93</v>
      </c>
      <c r="NIF76" s="49" t="s">
        <v>94</v>
      </c>
      <c r="NIG76" s="49" t="s">
        <v>93</v>
      </c>
      <c r="NIH76" s="49" t="s">
        <v>94</v>
      </c>
      <c r="NII76" s="49" t="s">
        <v>93</v>
      </c>
      <c r="NIJ76" s="49" t="s">
        <v>94</v>
      </c>
      <c r="NIK76" s="49" t="s">
        <v>93</v>
      </c>
      <c r="NIL76" s="49" t="s">
        <v>94</v>
      </c>
      <c r="NIM76" s="49" t="s">
        <v>93</v>
      </c>
      <c r="NIN76" s="49" t="s">
        <v>94</v>
      </c>
      <c r="NIO76" s="49" t="s">
        <v>93</v>
      </c>
      <c r="NIP76" s="49" t="s">
        <v>94</v>
      </c>
      <c r="NIQ76" s="49" t="s">
        <v>93</v>
      </c>
      <c r="NIR76" s="49" t="s">
        <v>94</v>
      </c>
      <c r="NIS76" s="49" t="s">
        <v>93</v>
      </c>
      <c r="NIT76" s="49" t="s">
        <v>94</v>
      </c>
      <c r="NIU76" s="49" t="s">
        <v>93</v>
      </c>
      <c r="NIV76" s="49" t="s">
        <v>94</v>
      </c>
      <c r="NIW76" s="49" t="s">
        <v>93</v>
      </c>
      <c r="NIX76" s="49" t="s">
        <v>94</v>
      </c>
      <c r="NIY76" s="49" t="s">
        <v>93</v>
      </c>
      <c r="NIZ76" s="49" t="s">
        <v>94</v>
      </c>
      <c r="NJA76" s="49" t="s">
        <v>93</v>
      </c>
      <c r="NJB76" s="49" t="s">
        <v>94</v>
      </c>
      <c r="NJC76" s="49" t="s">
        <v>93</v>
      </c>
      <c r="NJD76" s="49" t="s">
        <v>94</v>
      </c>
      <c r="NJE76" s="49" t="s">
        <v>93</v>
      </c>
      <c r="NJF76" s="49" t="s">
        <v>94</v>
      </c>
      <c r="NJG76" s="49" t="s">
        <v>93</v>
      </c>
      <c r="NJH76" s="49" t="s">
        <v>94</v>
      </c>
      <c r="NJI76" s="49" t="s">
        <v>93</v>
      </c>
      <c r="NJJ76" s="49" t="s">
        <v>94</v>
      </c>
      <c r="NJK76" s="49" t="s">
        <v>93</v>
      </c>
      <c r="NJL76" s="49" t="s">
        <v>94</v>
      </c>
      <c r="NJM76" s="49" t="s">
        <v>93</v>
      </c>
      <c r="NJN76" s="49" t="s">
        <v>94</v>
      </c>
      <c r="NJO76" s="49" t="s">
        <v>93</v>
      </c>
      <c r="NJP76" s="49" t="s">
        <v>94</v>
      </c>
      <c r="NJQ76" s="49" t="s">
        <v>93</v>
      </c>
      <c r="NJR76" s="49" t="s">
        <v>94</v>
      </c>
      <c r="NJS76" s="49" t="s">
        <v>93</v>
      </c>
      <c r="NJT76" s="49" t="s">
        <v>94</v>
      </c>
      <c r="NJU76" s="49" t="s">
        <v>93</v>
      </c>
      <c r="NJV76" s="49" t="s">
        <v>94</v>
      </c>
      <c r="NJW76" s="49" t="s">
        <v>93</v>
      </c>
      <c r="NJX76" s="49" t="s">
        <v>94</v>
      </c>
      <c r="NJY76" s="49" t="s">
        <v>93</v>
      </c>
      <c r="NJZ76" s="49" t="s">
        <v>94</v>
      </c>
      <c r="NKA76" s="49" t="s">
        <v>93</v>
      </c>
      <c r="NKB76" s="49" t="s">
        <v>94</v>
      </c>
      <c r="NKC76" s="49" t="s">
        <v>93</v>
      </c>
      <c r="NKD76" s="49" t="s">
        <v>94</v>
      </c>
      <c r="NKE76" s="49" t="s">
        <v>93</v>
      </c>
      <c r="NKF76" s="49" t="s">
        <v>94</v>
      </c>
      <c r="NKG76" s="49" t="s">
        <v>93</v>
      </c>
      <c r="NKH76" s="49" t="s">
        <v>94</v>
      </c>
      <c r="NKI76" s="49" t="s">
        <v>93</v>
      </c>
      <c r="NKJ76" s="49" t="s">
        <v>94</v>
      </c>
      <c r="NKK76" s="49" t="s">
        <v>93</v>
      </c>
      <c r="NKL76" s="49" t="s">
        <v>94</v>
      </c>
      <c r="NKM76" s="49" t="s">
        <v>93</v>
      </c>
      <c r="NKN76" s="49" t="s">
        <v>94</v>
      </c>
      <c r="NKO76" s="49" t="s">
        <v>93</v>
      </c>
      <c r="NKP76" s="49" t="s">
        <v>94</v>
      </c>
      <c r="NKQ76" s="49" t="s">
        <v>93</v>
      </c>
      <c r="NKR76" s="49" t="s">
        <v>94</v>
      </c>
      <c r="NKS76" s="49" t="s">
        <v>93</v>
      </c>
      <c r="NKT76" s="49" t="s">
        <v>94</v>
      </c>
      <c r="NKU76" s="49" t="s">
        <v>93</v>
      </c>
      <c r="NKV76" s="49" t="s">
        <v>94</v>
      </c>
      <c r="NKW76" s="49" t="s">
        <v>93</v>
      </c>
      <c r="NKX76" s="49" t="s">
        <v>94</v>
      </c>
      <c r="NKY76" s="49" t="s">
        <v>93</v>
      </c>
      <c r="NKZ76" s="49" t="s">
        <v>94</v>
      </c>
      <c r="NLA76" s="49" t="s">
        <v>93</v>
      </c>
      <c r="NLB76" s="49" t="s">
        <v>94</v>
      </c>
      <c r="NLC76" s="49" t="s">
        <v>93</v>
      </c>
      <c r="NLD76" s="49" t="s">
        <v>94</v>
      </c>
      <c r="NLE76" s="49" t="s">
        <v>93</v>
      </c>
      <c r="NLF76" s="49" t="s">
        <v>94</v>
      </c>
      <c r="NLG76" s="49" t="s">
        <v>93</v>
      </c>
      <c r="NLH76" s="49" t="s">
        <v>94</v>
      </c>
      <c r="NLI76" s="49" t="s">
        <v>93</v>
      </c>
      <c r="NLJ76" s="49" t="s">
        <v>94</v>
      </c>
      <c r="NLK76" s="49" t="s">
        <v>93</v>
      </c>
      <c r="NLL76" s="49" t="s">
        <v>94</v>
      </c>
      <c r="NLM76" s="49" t="s">
        <v>93</v>
      </c>
      <c r="NLN76" s="49" t="s">
        <v>94</v>
      </c>
      <c r="NLO76" s="49" t="s">
        <v>93</v>
      </c>
      <c r="NLP76" s="49" t="s">
        <v>94</v>
      </c>
      <c r="NLQ76" s="49" t="s">
        <v>93</v>
      </c>
      <c r="NLR76" s="49" t="s">
        <v>94</v>
      </c>
      <c r="NLS76" s="49" t="s">
        <v>93</v>
      </c>
      <c r="NLT76" s="49" t="s">
        <v>94</v>
      </c>
      <c r="NLU76" s="49" t="s">
        <v>93</v>
      </c>
      <c r="NLV76" s="49" t="s">
        <v>94</v>
      </c>
      <c r="NLW76" s="49" t="s">
        <v>93</v>
      </c>
      <c r="NLX76" s="49" t="s">
        <v>94</v>
      </c>
      <c r="NLY76" s="49" t="s">
        <v>93</v>
      </c>
      <c r="NLZ76" s="49" t="s">
        <v>94</v>
      </c>
      <c r="NMA76" s="49" t="s">
        <v>93</v>
      </c>
      <c r="NMB76" s="49" t="s">
        <v>94</v>
      </c>
      <c r="NMC76" s="49" t="s">
        <v>93</v>
      </c>
      <c r="NMD76" s="49" t="s">
        <v>94</v>
      </c>
      <c r="NME76" s="49" t="s">
        <v>93</v>
      </c>
      <c r="NMF76" s="49" t="s">
        <v>94</v>
      </c>
      <c r="NMG76" s="49" t="s">
        <v>93</v>
      </c>
      <c r="NMH76" s="49" t="s">
        <v>94</v>
      </c>
      <c r="NMI76" s="49" t="s">
        <v>93</v>
      </c>
      <c r="NMJ76" s="49" t="s">
        <v>94</v>
      </c>
      <c r="NMK76" s="49" t="s">
        <v>93</v>
      </c>
      <c r="NML76" s="49" t="s">
        <v>94</v>
      </c>
      <c r="NMM76" s="49" t="s">
        <v>93</v>
      </c>
      <c r="NMN76" s="49" t="s">
        <v>94</v>
      </c>
      <c r="NMO76" s="49" t="s">
        <v>93</v>
      </c>
      <c r="NMP76" s="49" t="s">
        <v>94</v>
      </c>
      <c r="NMQ76" s="49" t="s">
        <v>93</v>
      </c>
      <c r="NMR76" s="49" t="s">
        <v>94</v>
      </c>
      <c r="NMS76" s="49" t="s">
        <v>93</v>
      </c>
      <c r="NMT76" s="49" t="s">
        <v>94</v>
      </c>
      <c r="NMU76" s="49" t="s">
        <v>93</v>
      </c>
      <c r="NMV76" s="49" t="s">
        <v>94</v>
      </c>
      <c r="NMW76" s="49" t="s">
        <v>93</v>
      </c>
      <c r="NMX76" s="49" t="s">
        <v>94</v>
      </c>
      <c r="NMY76" s="49" t="s">
        <v>93</v>
      </c>
      <c r="NMZ76" s="49" t="s">
        <v>94</v>
      </c>
      <c r="NNA76" s="49" t="s">
        <v>93</v>
      </c>
      <c r="NNB76" s="49" t="s">
        <v>94</v>
      </c>
      <c r="NNC76" s="49" t="s">
        <v>93</v>
      </c>
      <c r="NND76" s="49" t="s">
        <v>94</v>
      </c>
      <c r="NNE76" s="49" t="s">
        <v>93</v>
      </c>
      <c r="NNF76" s="49" t="s">
        <v>94</v>
      </c>
      <c r="NNG76" s="49" t="s">
        <v>93</v>
      </c>
      <c r="NNH76" s="49" t="s">
        <v>94</v>
      </c>
      <c r="NNI76" s="49" t="s">
        <v>93</v>
      </c>
      <c r="NNJ76" s="49" t="s">
        <v>94</v>
      </c>
      <c r="NNK76" s="49" t="s">
        <v>93</v>
      </c>
      <c r="NNL76" s="49" t="s">
        <v>94</v>
      </c>
      <c r="NNM76" s="49" t="s">
        <v>93</v>
      </c>
      <c r="NNN76" s="49" t="s">
        <v>94</v>
      </c>
      <c r="NNO76" s="49" t="s">
        <v>93</v>
      </c>
      <c r="NNP76" s="49" t="s">
        <v>94</v>
      </c>
      <c r="NNQ76" s="49" t="s">
        <v>93</v>
      </c>
      <c r="NNR76" s="49" t="s">
        <v>94</v>
      </c>
      <c r="NNS76" s="49" t="s">
        <v>93</v>
      </c>
      <c r="NNT76" s="49" t="s">
        <v>94</v>
      </c>
      <c r="NNU76" s="49" t="s">
        <v>93</v>
      </c>
      <c r="NNV76" s="49" t="s">
        <v>94</v>
      </c>
      <c r="NNW76" s="49" t="s">
        <v>93</v>
      </c>
      <c r="NNX76" s="49" t="s">
        <v>94</v>
      </c>
      <c r="NNY76" s="49" t="s">
        <v>93</v>
      </c>
      <c r="NNZ76" s="49" t="s">
        <v>94</v>
      </c>
      <c r="NOA76" s="49" t="s">
        <v>93</v>
      </c>
      <c r="NOB76" s="49" t="s">
        <v>94</v>
      </c>
      <c r="NOC76" s="49" t="s">
        <v>93</v>
      </c>
      <c r="NOD76" s="49" t="s">
        <v>94</v>
      </c>
      <c r="NOE76" s="49" t="s">
        <v>93</v>
      </c>
      <c r="NOF76" s="49" t="s">
        <v>94</v>
      </c>
      <c r="NOG76" s="49" t="s">
        <v>93</v>
      </c>
      <c r="NOH76" s="49" t="s">
        <v>94</v>
      </c>
      <c r="NOI76" s="49" t="s">
        <v>93</v>
      </c>
      <c r="NOJ76" s="49" t="s">
        <v>94</v>
      </c>
      <c r="NOK76" s="49" t="s">
        <v>93</v>
      </c>
      <c r="NOL76" s="49" t="s">
        <v>94</v>
      </c>
      <c r="NOM76" s="49" t="s">
        <v>93</v>
      </c>
      <c r="NON76" s="49" t="s">
        <v>94</v>
      </c>
      <c r="NOO76" s="49" t="s">
        <v>93</v>
      </c>
      <c r="NOP76" s="49" t="s">
        <v>94</v>
      </c>
      <c r="NOQ76" s="49" t="s">
        <v>93</v>
      </c>
      <c r="NOR76" s="49" t="s">
        <v>94</v>
      </c>
      <c r="NOS76" s="49" t="s">
        <v>93</v>
      </c>
      <c r="NOT76" s="49" t="s">
        <v>94</v>
      </c>
      <c r="NOU76" s="49" t="s">
        <v>93</v>
      </c>
      <c r="NOV76" s="49" t="s">
        <v>94</v>
      </c>
      <c r="NOW76" s="49" t="s">
        <v>93</v>
      </c>
      <c r="NOX76" s="49" t="s">
        <v>94</v>
      </c>
      <c r="NOY76" s="49" t="s">
        <v>93</v>
      </c>
      <c r="NOZ76" s="49" t="s">
        <v>94</v>
      </c>
      <c r="NPA76" s="49" t="s">
        <v>93</v>
      </c>
      <c r="NPB76" s="49" t="s">
        <v>94</v>
      </c>
      <c r="NPC76" s="49" t="s">
        <v>93</v>
      </c>
      <c r="NPD76" s="49" t="s">
        <v>94</v>
      </c>
      <c r="NPE76" s="49" t="s">
        <v>93</v>
      </c>
      <c r="NPF76" s="49" t="s">
        <v>94</v>
      </c>
      <c r="NPG76" s="49" t="s">
        <v>93</v>
      </c>
      <c r="NPH76" s="49" t="s">
        <v>94</v>
      </c>
      <c r="NPI76" s="49" t="s">
        <v>93</v>
      </c>
      <c r="NPJ76" s="49" t="s">
        <v>94</v>
      </c>
      <c r="NPK76" s="49" t="s">
        <v>93</v>
      </c>
      <c r="NPL76" s="49" t="s">
        <v>94</v>
      </c>
      <c r="NPM76" s="49" t="s">
        <v>93</v>
      </c>
      <c r="NPN76" s="49" t="s">
        <v>94</v>
      </c>
      <c r="NPO76" s="49" t="s">
        <v>93</v>
      </c>
      <c r="NPP76" s="49" t="s">
        <v>94</v>
      </c>
      <c r="NPQ76" s="49" t="s">
        <v>93</v>
      </c>
      <c r="NPR76" s="49" t="s">
        <v>94</v>
      </c>
      <c r="NPS76" s="49" t="s">
        <v>93</v>
      </c>
      <c r="NPT76" s="49" t="s">
        <v>94</v>
      </c>
      <c r="NPU76" s="49" t="s">
        <v>93</v>
      </c>
      <c r="NPV76" s="49" t="s">
        <v>94</v>
      </c>
      <c r="NPW76" s="49" t="s">
        <v>93</v>
      </c>
      <c r="NPX76" s="49" t="s">
        <v>94</v>
      </c>
      <c r="NPY76" s="49" t="s">
        <v>93</v>
      </c>
      <c r="NPZ76" s="49" t="s">
        <v>94</v>
      </c>
      <c r="NQA76" s="49" t="s">
        <v>93</v>
      </c>
      <c r="NQB76" s="49" t="s">
        <v>94</v>
      </c>
      <c r="NQC76" s="49" t="s">
        <v>93</v>
      </c>
      <c r="NQD76" s="49" t="s">
        <v>94</v>
      </c>
      <c r="NQE76" s="49" t="s">
        <v>93</v>
      </c>
      <c r="NQF76" s="49" t="s">
        <v>94</v>
      </c>
      <c r="NQG76" s="49" t="s">
        <v>93</v>
      </c>
      <c r="NQH76" s="49" t="s">
        <v>94</v>
      </c>
      <c r="NQI76" s="49" t="s">
        <v>93</v>
      </c>
      <c r="NQJ76" s="49" t="s">
        <v>94</v>
      </c>
      <c r="NQK76" s="49" t="s">
        <v>93</v>
      </c>
      <c r="NQL76" s="49" t="s">
        <v>94</v>
      </c>
      <c r="NQM76" s="49" t="s">
        <v>93</v>
      </c>
      <c r="NQN76" s="49" t="s">
        <v>94</v>
      </c>
      <c r="NQO76" s="49" t="s">
        <v>93</v>
      </c>
      <c r="NQP76" s="49" t="s">
        <v>94</v>
      </c>
      <c r="NQQ76" s="49" t="s">
        <v>93</v>
      </c>
      <c r="NQR76" s="49" t="s">
        <v>94</v>
      </c>
      <c r="NQS76" s="49" t="s">
        <v>93</v>
      </c>
      <c r="NQT76" s="49" t="s">
        <v>94</v>
      </c>
      <c r="NQU76" s="49" t="s">
        <v>93</v>
      </c>
      <c r="NQV76" s="49" t="s">
        <v>94</v>
      </c>
      <c r="NQW76" s="49" t="s">
        <v>93</v>
      </c>
      <c r="NQX76" s="49" t="s">
        <v>94</v>
      </c>
      <c r="NQY76" s="49" t="s">
        <v>93</v>
      </c>
      <c r="NQZ76" s="49" t="s">
        <v>94</v>
      </c>
      <c r="NRA76" s="49" t="s">
        <v>93</v>
      </c>
      <c r="NRB76" s="49" t="s">
        <v>94</v>
      </c>
      <c r="NRC76" s="49" t="s">
        <v>93</v>
      </c>
      <c r="NRD76" s="49" t="s">
        <v>94</v>
      </c>
      <c r="NRE76" s="49" t="s">
        <v>93</v>
      </c>
      <c r="NRF76" s="49" t="s">
        <v>94</v>
      </c>
      <c r="NRG76" s="49" t="s">
        <v>93</v>
      </c>
      <c r="NRH76" s="49" t="s">
        <v>94</v>
      </c>
      <c r="NRI76" s="49" t="s">
        <v>93</v>
      </c>
      <c r="NRJ76" s="49" t="s">
        <v>94</v>
      </c>
      <c r="NRK76" s="49" t="s">
        <v>93</v>
      </c>
      <c r="NRL76" s="49" t="s">
        <v>94</v>
      </c>
      <c r="NRM76" s="49" t="s">
        <v>93</v>
      </c>
      <c r="NRN76" s="49" t="s">
        <v>94</v>
      </c>
      <c r="NRO76" s="49" t="s">
        <v>93</v>
      </c>
      <c r="NRP76" s="49" t="s">
        <v>94</v>
      </c>
      <c r="NRQ76" s="49" t="s">
        <v>93</v>
      </c>
      <c r="NRR76" s="49" t="s">
        <v>94</v>
      </c>
      <c r="NRS76" s="49" t="s">
        <v>93</v>
      </c>
      <c r="NRT76" s="49" t="s">
        <v>94</v>
      </c>
      <c r="NRU76" s="49" t="s">
        <v>93</v>
      </c>
      <c r="NRV76" s="49" t="s">
        <v>94</v>
      </c>
      <c r="NRW76" s="49" t="s">
        <v>93</v>
      </c>
      <c r="NRX76" s="49" t="s">
        <v>94</v>
      </c>
      <c r="NRY76" s="49" t="s">
        <v>93</v>
      </c>
      <c r="NRZ76" s="49" t="s">
        <v>94</v>
      </c>
      <c r="NSA76" s="49" t="s">
        <v>93</v>
      </c>
      <c r="NSB76" s="49" t="s">
        <v>94</v>
      </c>
      <c r="NSC76" s="49" t="s">
        <v>93</v>
      </c>
      <c r="NSD76" s="49" t="s">
        <v>94</v>
      </c>
      <c r="NSE76" s="49" t="s">
        <v>93</v>
      </c>
      <c r="NSF76" s="49" t="s">
        <v>94</v>
      </c>
      <c r="NSG76" s="49" t="s">
        <v>93</v>
      </c>
      <c r="NSH76" s="49" t="s">
        <v>94</v>
      </c>
      <c r="NSI76" s="49" t="s">
        <v>93</v>
      </c>
      <c r="NSJ76" s="49" t="s">
        <v>94</v>
      </c>
      <c r="NSK76" s="49" t="s">
        <v>93</v>
      </c>
      <c r="NSL76" s="49" t="s">
        <v>94</v>
      </c>
      <c r="NSM76" s="49" t="s">
        <v>93</v>
      </c>
      <c r="NSN76" s="49" t="s">
        <v>94</v>
      </c>
      <c r="NSO76" s="49" t="s">
        <v>93</v>
      </c>
      <c r="NSP76" s="49" t="s">
        <v>94</v>
      </c>
      <c r="NSQ76" s="49" t="s">
        <v>93</v>
      </c>
      <c r="NSR76" s="49" t="s">
        <v>94</v>
      </c>
      <c r="NSS76" s="49" t="s">
        <v>93</v>
      </c>
      <c r="NST76" s="49" t="s">
        <v>94</v>
      </c>
      <c r="NSU76" s="49" t="s">
        <v>93</v>
      </c>
      <c r="NSV76" s="49" t="s">
        <v>94</v>
      </c>
      <c r="NSW76" s="49" t="s">
        <v>93</v>
      </c>
      <c r="NSX76" s="49" t="s">
        <v>94</v>
      </c>
      <c r="NSY76" s="49" t="s">
        <v>93</v>
      </c>
      <c r="NSZ76" s="49" t="s">
        <v>94</v>
      </c>
      <c r="NTA76" s="49" t="s">
        <v>93</v>
      </c>
      <c r="NTB76" s="49" t="s">
        <v>94</v>
      </c>
      <c r="NTC76" s="49" t="s">
        <v>93</v>
      </c>
      <c r="NTD76" s="49" t="s">
        <v>94</v>
      </c>
      <c r="NTE76" s="49" t="s">
        <v>93</v>
      </c>
      <c r="NTF76" s="49" t="s">
        <v>94</v>
      </c>
      <c r="NTG76" s="49" t="s">
        <v>93</v>
      </c>
      <c r="NTH76" s="49" t="s">
        <v>94</v>
      </c>
      <c r="NTI76" s="49" t="s">
        <v>93</v>
      </c>
      <c r="NTJ76" s="49" t="s">
        <v>94</v>
      </c>
      <c r="NTK76" s="49" t="s">
        <v>93</v>
      </c>
      <c r="NTL76" s="49" t="s">
        <v>94</v>
      </c>
      <c r="NTM76" s="49" t="s">
        <v>93</v>
      </c>
      <c r="NTN76" s="49" t="s">
        <v>94</v>
      </c>
      <c r="NTO76" s="49" t="s">
        <v>93</v>
      </c>
      <c r="NTP76" s="49" t="s">
        <v>94</v>
      </c>
      <c r="NTQ76" s="49" t="s">
        <v>93</v>
      </c>
      <c r="NTR76" s="49" t="s">
        <v>94</v>
      </c>
      <c r="NTS76" s="49" t="s">
        <v>93</v>
      </c>
      <c r="NTT76" s="49" t="s">
        <v>94</v>
      </c>
      <c r="NTU76" s="49" t="s">
        <v>93</v>
      </c>
      <c r="NTV76" s="49" t="s">
        <v>94</v>
      </c>
      <c r="NTW76" s="49" t="s">
        <v>93</v>
      </c>
      <c r="NTX76" s="49" t="s">
        <v>94</v>
      </c>
      <c r="NTY76" s="49" t="s">
        <v>93</v>
      </c>
      <c r="NTZ76" s="49" t="s">
        <v>94</v>
      </c>
      <c r="NUA76" s="49" t="s">
        <v>93</v>
      </c>
      <c r="NUB76" s="49" t="s">
        <v>94</v>
      </c>
      <c r="NUC76" s="49" t="s">
        <v>93</v>
      </c>
      <c r="NUD76" s="49" t="s">
        <v>94</v>
      </c>
      <c r="NUE76" s="49" t="s">
        <v>93</v>
      </c>
      <c r="NUF76" s="49" t="s">
        <v>94</v>
      </c>
      <c r="NUG76" s="49" t="s">
        <v>93</v>
      </c>
      <c r="NUH76" s="49" t="s">
        <v>94</v>
      </c>
      <c r="NUI76" s="49" t="s">
        <v>93</v>
      </c>
      <c r="NUJ76" s="49" t="s">
        <v>94</v>
      </c>
      <c r="NUK76" s="49" t="s">
        <v>93</v>
      </c>
      <c r="NUL76" s="49" t="s">
        <v>94</v>
      </c>
      <c r="NUM76" s="49" t="s">
        <v>93</v>
      </c>
      <c r="NUN76" s="49" t="s">
        <v>94</v>
      </c>
      <c r="NUO76" s="49" t="s">
        <v>93</v>
      </c>
      <c r="NUP76" s="49" t="s">
        <v>94</v>
      </c>
      <c r="NUQ76" s="49" t="s">
        <v>93</v>
      </c>
      <c r="NUR76" s="49" t="s">
        <v>94</v>
      </c>
      <c r="NUS76" s="49" t="s">
        <v>93</v>
      </c>
      <c r="NUT76" s="49" t="s">
        <v>94</v>
      </c>
      <c r="NUU76" s="49" t="s">
        <v>93</v>
      </c>
      <c r="NUV76" s="49" t="s">
        <v>94</v>
      </c>
      <c r="NUW76" s="49" t="s">
        <v>93</v>
      </c>
      <c r="NUX76" s="49" t="s">
        <v>94</v>
      </c>
      <c r="NUY76" s="49" t="s">
        <v>93</v>
      </c>
      <c r="NUZ76" s="49" t="s">
        <v>94</v>
      </c>
      <c r="NVA76" s="49" t="s">
        <v>93</v>
      </c>
      <c r="NVB76" s="49" t="s">
        <v>94</v>
      </c>
      <c r="NVC76" s="49" t="s">
        <v>93</v>
      </c>
      <c r="NVD76" s="49" t="s">
        <v>94</v>
      </c>
      <c r="NVE76" s="49" t="s">
        <v>93</v>
      </c>
      <c r="NVF76" s="49" t="s">
        <v>94</v>
      </c>
      <c r="NVG76" s="49" t="s">
        <v>93</v>
      </c>
      <c r="NVH76" s="49" t="s">
        <v>94</v>
      </c>
      <c r="NVI76" s="49" t="s">
        <v>93</v>
      </c>
      <c r="NVJ76" s="49" t="s">
        <v>94</v>
      </c>
      <c r="NVK76" s="49" t="s">
        <v>93</v>
      </c>
      <c r="NVL76" s="49" t="s">
        <v>94</v>
      </c>
      <c r="NVM76" s="49" t="s">
        <v>93</v>
      </c>
      <c r="NVN76" s="49" t="s">
        <v>94</v>
      </c>
      <c r="NVO76" s="49" t="s">
        <v>93</v>
      </c>
      <c r="NVP76" s="49" t="s">
        <v>94</v>
      </c>
      <c r="NVQ76" s="49" t="s">
        <v>93</v>
      </c>
      <c r="NVR76" s="49" t="s">
        <v>94</v>
      </c>
      <c r="NVS76" s="49" t="s">
        <v>93</v>
      </c>
      <c r="NVT76" s="49" t="s">
        <v>94</v>
      </c>
      <c r="NVU76" s="49" t="s">
        <v>93</v>
      </c>
      <c r="NVV76" s="49" t="s">
        <v>94</v>
      </c>
      <c r="NVW76" s="49" t="s">
        <v>93</v>
      </c>
      <c r="NVX76" s="49" t="s">
        <v>94</v>
      </c>
      <c r="NVY76" s="49" t="s">
        <v>93</v>
      </c>
      <c r="NVZ76" s="49" t="s">
        <v>94</v>
      </c>
      <c r="NWA76" s="49" t="s">
        <v>93</v>
      </c>
      <c r="NWB76" s="49" t="s">
        <v>94</v>
      </c>
      <c r="NWC76" s="49" t="s">
        <v>93</v>
      </c>
      <c r="NWD76" s="49" t="s">
        <v>94</v>
      </c>
      <c r="NWE76" s="49" t="s">
        <v>93</v>
      </c>
      <c r="NWF76" s="49" t="s">
        <v>94</v>
      </c>
      <c r="NWG76" s="49" t="s">
        <v>93</v>
      </c>
      <c r="NWH76" s="49" t="s">
        <v>94</v>
      </c>
      <c r="NWI76" s="49" t="s">
        <v>93</v>
      </c>
      <c r="NWJ76" s="49" t="s">
        <v>94</v>
      </c>
      <c r="NWK76" s="49" t="s">
        <v>93</v>
      </c>
      <c r="NWL76" s="49" t="s">
        <v>94</v>
      </c>
      <c r="NWM76" s="49" t="s">
        <v>93</v>
      </c>
      <c r="NWN76" s="49" t="s">
        <v>94</v>
      </c>
      <c r="NWO76" s="49" t="s">
        <v>93</v>
      </c>
      <c r="NWP76" s="49" t="s">
        <v>94</v>
      </c>
      <c r="NWQ76" s="49" t="s">
        <v>93</v>
      </c>
      <c r="NWR76" s="49" t="s">
        <v>94</v>
      </c>
      <c r="NWS76" s="49" t="s">
        <v>93</v>
      </c>
      <c r="NWT76" s="49" t="s">
        <v>94</v>
      </c>
      <c r="NWU76" s="49" t="s">
        <v>93</v>
      </c>
      <c r="NWV76" s="49" t="s">
        <v>94</v>
      </c>
      <c r="NWW76" s="49" t="s">
        <v>93</v>
      </c>
      <c r="NWX76" s="49" t="s">
        <v>94</v>
      </c>
      <c r="NWY76" s="49" t="s">
        <v>93</v>
      </c>
      <c r="NWZ76" s="49" t="s">
        <v>94</v>
      </c>
      <c r="NXA76" s="49" t="s">
        <v>93</v>
      </c>
      <c r="NXB76" s="49" t="s">
        <v>94</v>
      </c>
      <c r="NXC76" s="49" t="s">
        <v>93</v>
      </c>
      <c r="NXD76" s="49" t="s">
        <v>94</v>
      </c>
      <c r="NXE76" s="49" t="s">
        <v>93</v>
      </c>
      <c r="NXF76" s="49" t="s">
        <v>94</v>
      </c>
      <c r="NXG76" s="49" t="s">
        <v>93</v>
      </c>
      <c r="NXH76" s="49" t="s">
        <v>94</v>
      </c>
      <c r="NXI76" s="49" t="s">
        <v>93</v>
      </c>
      <c r="NXJ76" s="49" t="s">
        <v>94</v>
      </c>
      <c r="NXK76" s="49" t="s">
        <v>93</v>
      </c>
      <c r="NXL76" s="49" t="s">
        <v>94</v>
      </c>
      <c r="NXM76" s="49" t="s">
        <v>93</v>
      </c>
      <c r="NXN76" s="49" t="s">
        <v>94</v>
      </c>
      <c r="NXO76" s="49" t="s">
        <v>93</v>
      </c>
      <c r="NXP76" s="49" t="s">
        <v>94</v>
      </c>
      <c r="NXQ76" s="49" t="s">
        <v>93</v>
      </c>
      <c r="NXR76" s="49" t="s">
        <v>94</v>
      </c>
      <c r="NXS76" s="49" t="s">
        <v>93</v>
      </c>
      <c r="NXT76" s="49" t="s">
        <v>94</v>
      </c>
      <c r="NXU76" s="49" t="s">
        <v>93</v>
      </c>
      <c r="NXV76" s="49" t="s">
        <v>94</v>
      </c>
      <c r="NXW76" s="49" t="s">
        <v>93</v>
      </c>
      <c r="NXX76" s="49" t="s">
        <v>94</v>
      </c>
      <c r="NXY76" s="49" t="s">
        <v>93</v>
      </c>
      <c r="NXZ76" s="49" t="s">
        <v>94</v>
      </c>
      <c r="NYA76" s="49" t="s">
        <v>93</v>
      </c>
      <c r="NYB76" s="49" t="s">
        <v>94</v>
      </c>
      <c r="NYC76" s="49" t="s">
        <v>93</v>
      </c>
      <c r="NYD76" s="49" t="s">
        <v>94</v>
      </c>
      <c r="NYE76" s="49" t="s">
        <v>93</v>
      </c>
      <c r="NYF76" s="49" t="s">
        <v>94</v>
      </c>
      <c r="NYG76" s="49" t="s">
        <v>93</v>
      </c>
      <c r="NYH76" s="49" t="s">
        <v>94</v>
      </c>
      <c r="NYI76" s="49" t="s">
        <v>93</v>
      </c>
      <c r="NYJ76" s="49" t="s">
        <v>94</v>
      </c>
      <c r="NYK76" s="49" t="s">
        <v>93</v>
      </c>
      <c r="NYL76" s="49" t="s">
        <v>94</v>
      </c>
      <c r="NYM76" s="49" t="s">
        <v>93</v>
      </c>
      <c r="NYN76" s="49" t="s">
        <v>94</v>
      </c>
      <c r="NYO76" s="49" t="s">
        <v>93</v>
      </c>
      <c r="NYP76" s="49" t="s">
        <v>94</v>
      </c>
      <c r="NYQ76" s="49" t="s">
        <v>93</v>
      </c>
      <c r="NYR76" s="49" t="s">
        <v>94</v>
      </c>
      <c r="NYS76" s="49" t="s">
        <v>93</v>
      </c>
      <c r="NYT76" s="49" t="s">
        <v>94</v>
      </c>
      <c r="NYU76" s="49" t="s">
        <v>93</v>
      </c>
      <c r="NYV76" s="49" t="s">
        <v>94</v>
      </c>
      <c r="NYW76" s="49" t="s">
        <v>93</v>
      </c>
      <c r="NYX76" s="49" t="s">
        <v>94</v>
      </c>
      <c r="NYY76" s="49" t="s">
        <v>93</v>
      </c>
      <c r="NYZ76" s="49" t="s">
        <v>94</v>
      </c>
      <c r="NZA76" s="49" t="s">
        <v>93</v>
      </c>
      <c r="NZB76" s="49" t="s">
        <v>94</v>
      </c>
      <c r="NZC76" s="49" t="s">
        <v>93</v>
      </c>
      <c r="NZD76" s="49" t="s">
        <v>94</v>
      </c>
      <c r="NZE76" s="49" t="s">
        <v>93</v>
      </c>
      <c r="NZF76" s="49" t="s">
        <v>94</v>
      </c>
      <c r="NZG76" s="49" t="s">
        <v>93</v>
      </c>
      <c r="NZH76" s="49" t="s">
        <v>94</v>
      </c>
      <c r="NZI76" s="49" t="s">
        <v>93</v>
      </c>
      <c r="NZJ76" s="49" t="s">
        <v>94</v>
      </c>
      <c r="NZK76" s="49" t="s">
        <v>93</v>
      </c>
      <c r="NZL76" s="49" t="s">
        <v>94</v>
      </c>
      <c r="NZM76" s="49" t="s">
        <v>93</v>
      </c>
      <c r="NZN76" s="49" t="s">
        <v>94</v>
      </c>
      <c r="NZO76" s="49" t="s">
        <v>93</v>
      </c>
      <c r="NZP76" s="49" t="s">
        <v>94</v>
      </c>
      <c r="NZQ76" s="49" t="s">
        <v>93</v>
      </c>
      <c r="NZR76" s="49" t="s">
        <v>94</v>
      </c>
      <c r="NZS76" s="49" t="s">
        <v>93</v>
      </c>
      <c r="NZT76" s="49" t="s">
        <v>94</v>
      </c>
      <c r="NZU76" s="49" t="s">
        <v>93</v>
      </c>
      <c r="NZV76" s="49" t="s">
        <v>94</v>
      </c>
      <c r="NZW76" s="49" t="s">
        <v>93</v>
      </c>
      <c r="NZX76" s="49" t="s">
        <v>94</v>
      </c>
      <c r="NZY76" s="49" t="s">
        <v>93</v>
      </c>
      <c r="NZZ76" s="49" t="s">
        <v>94</v>
      </c>
      <c r="OAA76" s="49" t="s">
        <v>93</v>
      </c>
      <c r="OAB76" s="49" t="s">
        <v>94</v>
      </c>
      <c r="OAC76" s="49" t="s">
        <v>93</v>
      </c>
      <c r="OAD76" s="49" t="s">
        <v>94</v>
      </c>
      <c r="OAE76" s="49" t="s">
        <v>93</v>
      </c>
      <c r="OAF76" s="49" t="s">
        <v>94</v>
      </c>
      <c r="OAG76" s="49" t="s">
        <v>93</v>
      </c>
      <c r="OAH76" s="49" t="s">
        <v>94</v>
      </c>
      <c r="OAI76" s="49" t="s">
        <v>93</v>
      </c>
      <c r="OAJ76" s="49" t="s">
        <v>94</v>
      </c>
      <c r="OAK76" s="49" t="s">
        <v>93</v>
      </c>
      <c r="OAL76" s="49" t="s">
        <v>94</v>
      </c>
      <c r="OAM76" s="49" t="s">
        <v>93</v>
      </c>
      <c r="OAN76" s="49" t="s">
        <v>94</v>
      </c>
      <c r="OAO76" s="49" t="s">
        <v>93</v>
      </c>
      <c r="OAP76" s="49" t="s">
        <v>94</v>
      </c>
      <c r="OAQ76" s="49" t="s">
        <v>93</v>
      </c>
      <c r="OAR76" s="49" t="s">
        <v>94</v>
      </c>
      <c r="OAS76" s="49" t="s">
        <v>93</v>
      </c>
      <c r="OAT76" s="49" t="s">
        <v>94</v>
      </c>
      <c r="OAU76" s="49" t="s">
        <v>93</v>
      </c>
      <c r="OAV76" s="49" t="s">
        <v>94</v>
      </c>
      <c r="OAW76" s="49" t="s">
        <v>93</v>
      </c>
      <c r="OAX76" s="49" t="s">
        <v>94</v>
      </c>
      <c r="OAY76" s="49" t="s">
        <v>93</v>
      </c>
      <c r="OAZ76" s="49" t="s">
        <v>94</v>
      </c>
      <c r="OBA76" s="49" t="s">
        <v>93</v>
      </c>
      <c r="OBB76" s="49" t="s">
        <v>94</v>
      </c>
      <c r="OBC76" s="49" t="s">
        <v>93</v>
      </c>
      <c r="OBD76" s="49" t="s">
        <v>94</v>
      </c>
      <c r="OBE76" s="49" t="s">
        <v>93</v>
      </c>
      <c r="OBF76" s="49" t="s">
        <v>94</v>
      </c>
      <c r="OBG76" s="49" t="s">
        <v>93</v>
      </c>
      <c r="OBH76" s="49" t="s">
        <v>94</v>
      </c>
      <c r="OBI76" s="49" t="s">
        <v>93</v>
      </c>
      <c r="OBJ76" s="49" t="s">
        <v>94</v>
      </c>
      <c r="OBK76" s="49" t="s">
        <v>93</v>
      </c>
      <c r="OBL76" s="49" t="s">
        <v>94</v>
      </c>
      <c r="OBM76" s="49" t="s">
        <v>93</v>
      </c>
      <c r="OBN76" s="49" t="s">
        <v>94</v>
      </c>
      <c r="OBO76" s="49" t="s">
        <v>93</v>
      </c>
      <c r="OBP76" s="49" t="s">
        <v>94</v>
      </c>
      <c r="OBQ76" s="49" t="s">
        <v>93</v>
      </c>
      <c r="OBR76" s="49" t="s">
        <v>94</v>
      </c>
      <c r="OBS76" s="49" t="s">
        <v>93</v>
      </c>
      <c r="OBT76" s="49" t="s">
        <v>94</v>
      </c>
      <c r="OBU76" s="49" t="s">
        <v>93</v>
      </c>
      <c r="OBV76" s="49" t="s">
        <v>94</v>
      </c>
      <c r="OBW76" s="49" t="s">
        <v>93</v>
      </c>
      <c r="OBX76" s="49" t="s">
        <v>94</v>
      </c>
      <c r="OBY76" s="49" t="s">
        <v>93</v>
      </c>
      <c r="OBZ76" s="49" t="s">
        <v>94</v>
      </c>
      <c r="OCA76" s="49" t="s">
        <v>93</v>
      </c>
      <c r="OCB76" s="49" t="s">
        <v>94</v>
      </c>
      <c r="OCC76" s="49" t="s">
        <v>93</v>
      </c>
      <c r="OCD76" s="49" t="s">
        <v>94</v>
      </c>
      <c r="OCE76" s="49" t="s">
        <v>93</v>
      </c>
      <c r="OCF76" s="49" t="s">
        <v>94</v>
      </c>
      <c r="OCG76" s="49" t="s">
        <v>93</v>
      </c>
      <c r="OCH76" s="49" t="s">
        <v>94</v>
      </c>
      <c r="OCI76" s="49" t="s">
        <v>93</v>
      </c>
      <c r="OCJ76" s="49" t="s">
        <v>94</v>
      </c>
      <c r="OCK76" s="49" t="s">
        <v>93</v>
      </c>
      <c r="OCL76" s="49" t="s">
        <v>94</v>
      </c>
      <c r="OCM76" s="49" t="s">
        <v>93</v>
      </c>
      <c r="OCN76" s="49" t="s">
        <v>94</v>
      </c>
      <c r="OCO76" s="49" t="s">
        <v>93</v>
      </c>
      <c r="OCP76" s="49" t="s">
        <v>94</v>
      </c>
      <c r="OCQ76" s="49" t="s">
        <v>93</v>
      </c>
      <c r="OCR76" s="49" t="s">
        <v>94</v>
      </c>
      <c r="OCS76" s="49" t="s">
        <v>93</v>
      </c>
      <c r="OCT76" s="49" t="s">
        <v>94</v>
      </c>
      <c r="OCU76" s="49" t="s">
        <v>93</v>
      </c>
      <c r="OCV76" s="49" t="s">
        <v>94</v>
      </c>
      <c r="OCW76" s="49" t="s">
        <v>93</v>
      </c>
      <c r="OCX76" s="49" t="s">
        <v>94</v>
      </c>
      <c r="OCY76" s="49" t="s">
        <v>93</v>
      </c>
      <c r="OCZ76" s="49" t="s">
        <v>94</v>
      </c>
      <c r="ODA76" s="49" t="s">
        <v>93</v>
      </c>
      <c r="ODB76" s="49" t="s">
        <v>94</v>
      </c>
      <c r="ODC76" s="49" t="s">
        <v>93</v>
      </c>
      <c r="ODD76" s="49" t="s">
        <v>94</v>
      </c>
      <c r="ODE76" s="49" t="s">
        <v>93</v>
      </c>
      <c r="ODF76" s="49" t="s">
        <v>94</v>
      </c>
      <c r="ODG76" s="49" t="s">
        <v>93</v>
      </c>
      <c r="ODH76" s="49" t="s">
        <v>94</v>
      </c>
      <c r="ODI76" s="49" t="s">
        <v>93</v>
      </c>
      <c r="ODJ76" s="49" t="s">
        <v>94</v>
      </c>
      <c r="ODK76" s="49" t="s">
        <v>93</v>
      </c>
      <c r="ODL76" s="49" t="s">
        <v>94</v>
      </c>
      <c r="ODM76" s="49" t="s">
        <v>93</v>
      </c>
      <c r="ODN76" s="49" t="s">
        <v>94</v>
      </c>
      <c r="ODO76" s="49" t="s">
        <v>93</v>
      </c>
      <c r="ODP76" s="49" t="s">
        <v>94</v>
      </c>
      <c r="ODQ76" s="49" t="s">
        <v>93</v>
      </c>
      <c r="ODR76" s="49" t="s">
        <v>94</v>
      </c>
      <c r="ODS76" s="49" t="s">
        <v>93</v>
      </c>
      <c r="ODT76" s="49" t="s">
        <v>94</v>
      </c>
      <c r="ODU76" s="49" t="s">
        <v>93</v>
      </c>
      <c r="ODV76" s="49" t="s">
        <v>94</v>
      </c>
      <c r="ODW76" s="49" t="s">
        <v>93</v>
      </c>
      <c r="ODX76" s="49" t="s">
        <v>94</v>
      </c>
      <c r="ODY76" s="49" t="s">
        <v>93</v>
      </c>
      <c r="ODZ76" s="49" t="s">
        <v>94</v>
      </c>
      <c r="OEA76" s="49" t="s">
        <v>93</v>
      </c>
      <c r="OEB76" s="49" t="s">
        <v>94</v>
      </c>
      <c r="OEC76" s="49" t="s">
        <v>93</v>
      </c>
      <c r="OED76" s="49" t="s">
        <v>94</v>
      </c>
      <c r="OEE76" s="49" t="s">
        <v>93</v>
      </c>
      <c r="OEF76" s="49" t="s">
        <v>94</v>
      </c>
      <c r="OEG76" s="49" t="s">
        <v>93</v>
      </c>
      <c r="OEH76" s="49" t="s">
        <v>94</v>
      </c>
      <c r="OEI76" s="49" t="s">
        <v>93</v>
      </c>
      <c r="OEJ76" s="49" t="s">
        <v>94</v>
      </c>
      <c r="OEK76" s="49" t="s">
        <v>93</v>
      </c>
      <c r="OEL76" s="49" t="s">
        <v>94</v>
      </c>
      <c r="OEM76" s="49" t="s">
        <v>93</v>
      </c>
      <c r="OEN76" s="49" t="s">
        <v>94</v>
      </c>
      <c r="OEO76" s="49" t="s">
        <v>93</v>
      </c>
      <c r="OEP76" s="49" t="s">
        <v>94</v>
      </c>
      <c r="OEQ76" s="49" t="s">
        <v>93</v>
      </c>
      <c r="OER76" s="49" t="s">
        <v>94</v>
      </c>
      <c r="OES76" s="49" t="s">
        <v>93</v>
      </c>
      <c r="OET76" s="49" t="s">
        <v>94</v>
      </c>
      <c r="OEU76" s="49" t="s">
        <v>93</v>
      </c>
      <c r="OEV76" s="49" t="s">
        <v>94</v>
      </c>
      <c r="OEW76" s="49" t="s">
        <v>93</v>
      </c>
      <c r="OEX76" s="49" t="s">
        <v>94</v>
      </c>
      <c r="OEY76" s="49" t="s">
        <v>93</v>
      </c>
      <c r="OEZ76" s="49" t="s">
        <v>94</v>
      </c>
      <c r="OFA76" s="49" t="s">
        <v>93</v>
      </c>
      <c r="OFB76" s="49" t="s">
        <v>94</v>
      </c>
      <c r="OFC76" s="49" t="s">
        <v>93</v>
      </c>
      <c r="OFD76" s="49" t="s">
        <v>94</v>
      </c>
      <c r="OFE76" s="49" t="s">
        <v>93</v>
      </c>
      <c r="OFF76" s="49" t="s">
        <v>94</v>
      </c>
      <c r="OFG76" s="49" t="s">
        <v>93</v>
      </c>
      <c r="OFH76" s="49" t="s">
        <v>94</v>
      </c>
      <c r="OFI76" s="49" t="s">
        <v>93</v>
      </c>
      <c r="OFJ76" s="49" t="s">
        <v>94</v>
      </c>
      <c r="OFK76" s="49" t="s">
        <v>93</v>
      </c>
      <c r="OFL76" s="49" t="s">
        <v>94</v>
      </c>
      <c r="OFM76" s="49" t="s">
        <v>93</v>
      </c>
      <c r="OFN76" s="49" t="s">
        <v>94</v>
      </c>
      <c r="OFO76" s="49" t="s">
        <v>93</v>
      </c>
      <c r="OFP76" s="49" t="s">
        <v>94</v>
      </c>
      <c r="OFQ76" s="49" t="s">
        <v>93</v>
      </c>
      <c r="OFR76" s="49" t="s">
        <v>94</v>
      </c>
      <c r="OFS76" s="49" t="s">
        <v>93</v>
      </c>
      <c r="OFT76" s="49" t="s">
        <v>94</v>
      </c>
      <c r="OFU76" s="49" t="s">
        <v>93</v>
      </c>
      <c r="OFV76" s="49" t="s">
        <v>94</v>
      </c>
      <c r="OFW76" s="49" t="s">
        <v>93</v>
      </c>
      <c r="OFX76" s="49" t="s">
        <v>94</v>
      </c>
      <c r="OFY76" s="49" t="s">
        <v>93</v>
      </c>
      <c r="OFZ76" s="49" t="s">
        <v>94</v>
      </c>
      <c r="OGA76" s="49" t="s">
        <v>93</v>
      </c>
      <c r="OGB76" s="49" t="s">
        <v>94</v>
      </c>
      <c r="OGC76" s="49" t="s">
        <v>93</v>
      </c>
      <c r="OGD76" s="49" t="s">
        <v>94</v>
      </c>
      <c r="OGE76" s="49" t="s">
        <v>93</v>
      </c>
      <c r="OGF76" s="49" t="s">
        <v>94</v>
      </c>
      <c r="OGG76" s="49" t="s">
        <v>93</v>
      </c>
      <c r="OGH76" s="49" t="s">
        <v>94</v>
      </c>
      <c r="OGI76" s="49" t="s">
        <v>93</v>
      </c>
      <c r="OGJ76" s="49" t="s">
        <v>94</v>
      </c>
      <c r="OGK76" s="49" t="s">
        <v>93</v>
      </c>
      <c r="OGL76" s="49" t="s">
        <v>94</v>
      </c>
      <c r="OGM76" s="49" t="s">
        <v>93</v>
      </c>
      <c r="OGN76" s="49" t="s">
        <v>94</v>
      </c>
      <c r="OGO76" s="49" t="s">
        <v>93</v>
      </c>
      <c r="OGP76" s="49" t="s">
        <v>94</v>
      </c>
      <c r="OGQ76" s="49" t="s">
        <v>93</v>
      </c>
      <c r="OGR76" s="49" t="s">
        <v>94</v>
      </c>
      <c r="OGS76" s="49" t="s">
        <v>93</v>
      </c>
      <c r="OGT76" s="49" t="s">
        <v>94</v>
      </c>
      <c r="OGU76" s="49" t="s">
        <v>93</v>
      </c>
      <c r="OGV76" s="49" t="s">
        <v>94</v>
      </c>
      <c r="OGW76" s="49" t="s">
        <v>93</v>
      </c>
      <c r="OGX76" s="49" t="s">
        <v>94</v>
      </c>
      <c r="OGY76" s="49" t="s">
        <v>93</v>
      </c>
      <c r="OGZ76" s="49" t="s">
        <v>94</v>
      </c>
      <c r="OHA76" s="49" t="s">
        <v>93</v>
      </c>
      <c r="OHB76" s="49" t="s">
        <v>94</v>
      </c>
      <c r="OHC76" s="49" t="s">
        <v>93</v>
      </c>
      <c r="OHD76" s="49" t="s">
        <v>94</v>
      </c>
      <c r="OHE76" s="49" t="s">
        <v>93</v>
      </c>
      <c r="OHF76" s="49" t="s">
        <v>94</v>
      </c>
      <c r="OHG76" s="49" t="s">
        <v>93</v>
      </c>
      <c r="OHH76" s="49" t="s">
        <v>94</v>
      </c>
      <c r="OHI76" s="49" t="s">
        <v>93</v>
      </c>
      <c r="OHJ76" s="49" t="s">
        <v>94</v>
      </c>
      <c r="OHK76" s="49" t="s">
        <v>93</v>
      </c>
      <c r="OHL76" s="49" t="s">
        <v>94</v>
      </c>
      <c r="OHM76" s="49" t="s">
        <v>93</v>
      </c>
      <c r="OHN76" s="49" t="s">
        <v>94</v>
      </c>
      <c r="OHO76" s="49" t="s">
        <v>93</v>
      </c>
      <c r="OHP76" s="49" t="s">
        <v>94</v>
      </c>
      <c r="OHQ76" s="49" t="s">
        <v>93</v>
      </c>
      <c r="OHR76" s="49" t="s">
        <v>94</v>
      </c>
      <c r="OHS76" s="49" t="s">
        <v>93</v>
      </c>
      <c r="OHT76" s="49" t="s">
        <v>94</v>
      </c>
      <c r="OHU76" s="49" t="s">
        <v>93</v>
      </c>
      <c r="OHV76" s="49" t="s">
        <v>94</v>
      </c>
      <c r="OHW76" s="49" t="s">
        <v>93</v>
      </c>
      <c r="OHX76" s="49" t="s">
        <v>94</v>
      </c>
      <c r="OHY76" s="49" t="s">
        <v>93</v>
      </c>
      <c r="OHZ76" s="49" t="s">
        <v>94</v>
      </c>
      <c r="OIA76" s="49" t="s">
        <v>93</v>
      </c>
      <c r="OIB76" s="49" t="s">
        <v>94</v>
      </c>
      <c r="OIC76" s="49" t="s">
        <v>93</v>
      </c>
      <c r="OID76" s="49" t="s">
        <v>94</v>
      </c>
      <c r="OIE76" s="49" t="s">
        <v>93</v>
      </c>
      <c r="OIF76" s="49" t="s">
        <v>94</v>
      </c>
      <c r="OIG76" s="49" t="s">
        <v>93</v>
      </c>
      <c r="OIH76" s="49" t="s">
        <v>94</v>
      </c>
      <c r="OII76" s="49" t="s">
        <v>93</v>
      </c>
      <c r="OIJ76" s="49" t="s">
        <v>94</v>
      </c>
      <c r="OIK76" s="49" t="s">
        <v>93</v>
      </c>
      <c r="OIL76" s="49" t="s">
        <v>94</v>
      </c>
      <c r="OIM76" s="49" t="s">
        <v>93</v>
      </c>
      <c r="OIN76" s="49" t="s">
        <v>94</v>
      </c>
      <c r="OIO76" s="49" t="s">
        <v>93</v>
      </c>
      <c r="OIP76" s="49" t="s">
        <v>94</v>
      </c>
      <c r="OIQ76" s="49" t="s">
        <v>93</v>
      </c>
      <c r="OIR76" s="49" t="s">
        <v>94</v>
      </c>
      <c r="OIS76" s="49" t="s">
        <v>93</v>
      </c>
      <c r="OIT76" s="49" t="s">
        <v>94</v>
      </c>
      <c r="OIU76" s="49" t="s">
        <v>93</v>
      </c>
      <c r="OIV76" s="49" t="s">
        <v>94</v>
      </c>
      <c r="OIW76" s="49" t="s">
        <v>93</v>
      </c>
      <c r="OIX76" s="49" t="s">
        <v>94</v>
      </c>
      <c r="OIY76" s="49" t="s">
        <v>93</v>
      </c>
      <c r="OIZ76" s="49" t="s">
        <v>94</v>
      </c>
      <c r="OJA76" s="49" t="s">
        <v>93</v>
      </c>
      <c r="OJB76" s="49" t="s">
        <v>94</v>
      </c>
      <c r="OJC76" s="49" t="s">
        <v>93</v>
      </c>
      <c r="OJD76" s="49" t="s">
        <v>94</v>
      </c>
      <c r="OJE76" s="49" t="s">
        <v>93</v>
      </c>
      <c r="OJF76" s="49" t="s">
        <v>94</v>
      </c>
      <c r="OJG76" s="49" t="s">
        <v>93</v>
      </c>
      <c r="OJH76" s="49" t="s">
        <v>94</v>
      </c>
      <c r="OJI76" s="49" t="s">
        <v>93</v>
      </c>
      <c r="OJJ76" s="49" t="s">
        <v>94</v>
      </c>
      <c r="OJK76" s="49" t="s">
        <v>93</v>
      </c>
      <c r="OJL76" s="49" t="s">
        <v>94</v>
      </c>
      <c r="OJM76" s="49" t="s">
        <v>93</v>
      </c>
      <c r="OJN76" s="49" t="s">
        <v>94</v>
      </c>
      <c r="OJO76" s="49" t="s">
        <v>93</v>
      </c>
      <c r="OJP76" s="49" t="s">
        <v>94</v>
      </c>
      <c r="OJQ76" s="49" t="s">
        <v>93</v>
      </c>
      <c r="OJR76" s="49" t="s">
        <v>94</v>
      </c>
      <c r="OJS76" s="49" t="s">
        <v>93</v>
      </c>
      <c r="OJT76" s="49" t="s">
        <v>94</v>
      </c>
      <c r="OJU76" s="49" t="s">
        <v>93</v>
      </c>
      <c r="OJV76" s="49" t="s">
        <v>94</v>
      </c>
      <c r="OJW76" s="49" t="s">
        <v>93</v>
      </c>
      <c r="OJX76" s="49" t="s">
        <v>94</v>
      </c>
      <c r="OJY76" s="49" t="s">
        <v>93</v>
      </c>
      <c r="OJZ76" s="49" t="s">
        <v>94</v>
      </c>
      <c r="OKA76" s="49" t="s">
        <v>93</v>
      </c>
      <c r="OKB76" s="49" t="s">
        <v>94</v>
      </c>
      <c r="OKC76" s="49" t="s">
        <v>93</v>
      </c>
      <c r="OKD76" s="49" t="s">
        <v>94</v>
      </c>
      <c r="OKE76" s="49" t="s">
        <v>93</v>
      </c>
      <c r="OKF76" s="49" t="s">
        <v>94</v>
      </c>
      <c r="OKG76" s="49" t="s">
        <v>93</v>
      </c>
      <c r="OKH76" s="49" t="s">
        <v>94</v>
      </c>
      <c r="OKI76" s="49" t="s">
        <v>93</v>
      </c>
      <c r="OKJ76" s="49" t="s">
        <v>94</v>
      </c>
      <c r="OKK76" s="49" t="s">
        <v>93</v>
      </c>
      <c r="OKL76" s="49" t="s">
        <v>94</v>
      </c>
      <c r="OKM76" s="49" t="s">
        <v>93</v>
      </c>
      <c r="OKN76" s="49" t="s">
        <v>94</v>
      </c>
      <c r="OKO76" s="49" t="s">
        <v>93</v>
      </c>
      <c r="OKP76" s="49" t="s">
        <v>94</v>
      </c>
      <c r="OKQ76" s="49" t="s">
        <v>93</v>
      </c>
      <c r="OKR76" s="49" t="s">
        <v>94</v>
      </c>
      <c r="OKS76" s="49" t="s">
        <v>93</v>
      </c>
      <c r="OKT76" s="49" t="s">
        <v>94</v>
      </c>
      <c r="OKU76" s="49" t="s">
        <v>93</v>
      </c>
      <c r="OKV76" s="49" t="s">
        <v>94</v>
      </c>
      <c r="OKW76" s="49" t="s">
        <v>93</v>
      </c>
      <c r="OKX76" s="49" t="s">
        <v>94</v>
      </c>
      <c r="OKY76" s="49" t="s">
        <v>93</v>
      </c>
      <c r="OKZ76" s="49" t="s">
        <v>94</v>
      </c>
      <c r="OLA76" s="49" t="s">
        <v>93</v>
      </c>
      <c r="OLB76" s="49" t="s">
        <v>94</v>
      </c>
      <c r="OLC76" s="49" t="s">
        <v>93</v>
      </c>
      <c r="OLD76" s="49" t="s">
        <v>94</v>
      </c>
      <c r="OLE76" s="49" t="s">
        <v>93</v>
      </c>
      <c r="OLF76" s="49" t="s">
        <v>94</v>
      </c>
      <c r="OLG76" s="49" t="s">
        <v>93</v>
      </c>
      <c r="OLH76" s="49" t="s">
        <v>94</v>
      </c>
      <c r="OLI76" s="49" t="s">
        <v>93</v>
      </c>
      <c r="OLJ76" s="49" t="s">
        <v>94</v>
      </c>
      <c r="OLK76" s="49" t="s">
        <v>93</v>
      </c>
      <c r="OLL76" s="49" t="s">
        <v>94</v>
      </c>
      <c r="OLM76" s="49" t="s">
        <v>93</v>
      </c>
      <c r="OLN76" s="49" t="s">
        <v>94</v>
      </c>
      <c r="OLO76" s="49" t="s">
        <v>93</v>
      </c>
      <c r="OLP76" s="49" t="s">
        <v>94</v>
      </c>
      <c r="OLQ76" s="49" t="s">
        <v>93</v>
      </c>
      <c r="OLR76" s="49" t="s">
        <v>94</v>
      </c>
      <c r="OLS76" s="49" t="s">
        <v>93</v>
      </c>
      <c r="OLT76" s="49" t="s">
        <v>94</v>
      </c>
      <c r="OLU76" s="49" t="s">
        <v>93</v>
      </c>
      <c r="OLV76" s="49" t="s">
        <v>94</v>
      </c>
      <c r="OLW76" s="49" t="s">
        <v>93</v>
      </c>
      <c r="OLX76" s="49" t="s">
        <v>94</v>
      </c>
      <c r="OLY76" s="49" t="s">
        <v>93</v>
      </c>
      <c r="OLZ76" s="49" t="s">
        <v>94</v>
      </c>
      <c r="OMA76" s="49" t="s">
        <v>93</v>
      </c>
      <c r="OMB76" s="49" t="s">
        <v>94</v>
      </c>
      <c r="OMC76" s="49" t="s">
        <v>93</v>
      </c>
      <c r="OMD76" s="49" t="s">
        <v>94</v>
      </c>
      <c r="OME76" s="49" t="s">
        <v>93</v>
      </c>
      <c r="OMF76" s="49" t="s">
        <v>94</v>
      </c>
      <c r="OMG76" s="49" t="s">
        <v>93</v>
      </c>
      <c r="OMH76" s="49" t="s">
        <v>94</v>
      </c>
      <c r="OMI76" s="49" t="s">
        <v>93</v>
      </c>
      <c r="OMJ76" s="49" t="s">
        <v>94</v>
      </c>
      <c r="OMK76" s="49" t="s">
        <v>93</v>
      </c>
      <c r="OML76" s="49" t="s">
        <v>94</v>
      </c>
      <c r="OMM76" s="49" t="s">
        <v>93</v>
      </c>
      <c r="OMN76" s="49" t="s">
        <v>94</v>
      </c>
      <c r="OMO76" s="49" t="s">
        <v>93</v>
      </c>
      <c r="OMP76" s="49" t="s">
        <v>94</v>
      </c>
      <c r="OMQ76" s="49" t="s">
        <v>93</v>
      </c>
      <c r="OMR76" s="49" t="s">
        <v>94</v>
      </c>
      <c r="OMS76" s="49" t="s">
        <v>93</v>
      </c>
      <c r="OMT76" s="49" t="s">
        <v>94</v>
      </c>
      <c r="OMU76" s="49" t="s">
        <v>93</v>
      </c>
      <c r="OMV76" s="49" t="s">
        <v>94</v>
      </c>
      <c r="OMW76" s="49" t="s">
        <v>93</v>
      </c>
      <c r="OMX76" s="49" t="s">
        <v>94</v>
      </c>
      <c r="OMY76" s="49" t="s">
        <v>93</v>
      </c>
      <c r="OMZ76" s="49" t="s">
        <v>94</v>
      </c>
      <c r="ONA76" s="49" t="s">
        <v>93</v>
      </c>
      <c r="ONB76" s="49" t="s">
        <v>94</v>
      </c>
      <c r="ONC76" s="49" t="s">
        <v>93</v>
      </c>
      <c r="OND76" s="49" t="s">
        <v>94</v>
      </c>
      <c r="ONE76" s="49" t="s">
        <v>93</v>
      </c>
      <c r="ONF76" s="49" t="s">
        <v>94</v>
      </c>
      <c r="ONG76" s="49" t="s">
        <v>93</v>
      </c>
      <c r="ONH76" s="49" t="s">
        <v>94</v>
      </c>
      <c r="ONI76" s="49" t="s">
        <v>93</v>
      </c>
      <c r="ONJ76" s="49" t="s">
        <v>94</v>
      </c>
      <c r="ONK76" s="49" t="s">
        <v>93</v>
      </c>
      <c r="ONL76" s="49" t="s">
        <v>94</v>
      </c>
      <c r="ONM76" s="49" t="s">
        <v>93</v>
      </c>
      <c r="ONN76" s="49" t="s">
        <v>94</v>
      </c>
      <c r="ONO76" s="49" t="s">
        <v>93</v>
      </c>
      <c r="ONP76" s="49" t="s">
        <v>94</v>
      </c>
      <c r="ONQ76" s="49" t="s">
        <v>93</v>
      </c>
      <c r="ONR76" s="49" t="s">
        <v>94</v>
      </c>
      <c r="ONS76" s="49" t="s">
        <v>93</v>
      </c>
      <c r="ONT76" s="49" t="s">
        <v>94</v>
      </c>
      <c r="ONU76" s="49" t="s">
        <v>93</v>
      </c>
      <c r="ONV76" s="49" t="s">
        <v>94</v>
      </c>
      <c r="ONW76" s="49" t="s">
        <v>93</v>
      </c>
      <c r="ONX76" s="49" t="s">
        <v>94</v>
      </c>
      <c r="ONY76" s="49" t="s">
        <v>93</v>
      </c>
      <c r="ONZ76" s="49" t="s">
        <v>94</v>
      </c>
      <c r="OOA76" s="49" t="s">
        <v>93</v>
      </c>
      <c r="OOB76" s="49" t="s">
        <v>94</v>
      </c>
      <c r="OOC76" s="49" t="s">
        <v>93</v>
      </c>
      <c r="OOD76" s="49" t="s">
        <v>94</v>
      </c>
      <c r="OOE76" s="49" t="s">
        <v>93</v>
      </c>
      <c r="OOF76" s="49" t="s">
        <v>94</v>
      </c>
      <c r="OOG76" s="49" t="s">
        <v>93</v>
      </c>
      <c r="OOH76" s="49" t="s">
        <v>94</v>
      </c>
      <c r="OOI76" s="49" t="s">
        <v>93</v>
      </c>
      <c r="OOJ76" s="49" t="s">
        <v>94</v>
      </c>
      <c r="OOK76" s="49" t="s">
        <v>93</v>
      </c>
      <c r="OOL76" s="49" t="s">
        <v>94</v>
      </c>
      <c r="OOM76" s="49" t="s">
        <v>93</v>
      </c>
      <c r="OON76" s="49" t="s">
        <v>94</v>
      </c>
      <c r="OOO76" s="49" t="s">
        <v>93</v>
      </c>
      <c r="OOP76" s="49" t="s">
        <v>94</v>
      </c>
      <c r="OOQ76" s="49" t="s">
        <v>93</v>
      </c>
      <c r="OOR76" s="49" t="s">
        <v>94</v>
      </c>
      <c r="OOS76" s="49" t="s">
        <v>93</v>
      </c>
      <c r="OOT76" s="49" t="s">
        <v>94</v>
      </c>
      <c r="OOU76" s="49" t="s">
        <v>93</v>
      </c>
      <c r="OOV76" s="49" t="s">
        <v>94</v>
      </c>
      <c r="OOW76" s="49" t="s">
        <v>93</v>
      </c>
      <c r="OOX76" s="49" t="s">
        <v>94</v>
      </c>
      <c r="OOY76" s="49" t="s">
        <v>93</v>
      </c>
      <c r="OOZ76" s="49" t="s">
        <v>94</v>
      </c>
      <c r="OPA76" s="49" t="s">
        <v>93</v>
      </c>
      <c r="OPB76" s="49" t="s">
        <v>94</v>
      </c>
      <c r="OPC76" s="49" t="s">
        <v>93</v>
      </c>
      <c r="OPD76" s="49" t="s">
        <v>94</v>
      </c>
      <c r="OPE76" s="49" t="s">
        <v>93</v>
      </c>
      <c r="OPF76" s="49" t="s">
        <v>94</v>
      </c>
      <c r="OPG76" s="49" t="s">
        <v>93</v>
      </c>
      <c r="OPH76" s="49" t="s">
        <v>94</v>
      </c>
      <c r="OPI76" s="49" t="s">
        <v>93</v>
      </c>
      <c r="OPJ76" s="49" t="s">
        <v>94</v>
      </c>
      <c r="OPK76" s="49" t="s">
        <v>93</v>
      </c>
      <c r="OPL76" s="49" t="s">
        <v>94</v>
      </c>
      <c r="OPM76" s="49" t="s">
        <v>93</v>
      </c>
      <c r="OPN76" s="49" t="s">
        <v>94</v>
      </c>
      <c r="OPO76" s="49" t="s">
        <v>93</v>
      </c>
      <c r="OPP76" s="49" t="s">
        <v>94</v>
      </c>
      <c r="OPQ76" s="49" t="s">
        <v>93</v>
      </c>
      <c r="OPR76" s="49" t="s">
        <v>94</v>
      </c>
      <c r="OPS76" s="49" t="s">
        <v>93</v>
      </c>
      <c r="OPT76" s="49" t="s">
        <v>94</v>
      </c>
      <c r="OPU76" s="49" t="s">
        <v>93</v>
      </c>
      <c r="OPV76" s="49" t="s">
        <v>94</v>
      </c>
      <c r="OPW76" s="49" t="s">
        <v>93</v>
      </c>
      <c r="OPX76" s="49" t="s">
        <v>94</v>
      </c>
      <c r="OPY76" s="49" t="s">
        <v>93</v>
      </c>
      <c r="OPZ76" s="49" t="s">
        <v>94</v>
      </c>
      <c r="OQA76" s="49" t="s">
        <v>93</v>
      </c>
      <c r="OQB76" s="49" t="s">
        <v>94</v>
      </c>
      <c r="OQC76" s="49" t="s">
        <v>93</v>
      </c>
      <c r="OQD76" s="49" t="s">
        <v>94</v>
      </c>
      <c r="OQE76" s="49" t="s">
        <v>93</v>
      </c>
      <c r="OQF76" s="49" t="s">
        <v>94</v>
      </c>
      <c r="OQG76" s="49" t="s">
        <v>93</v>
      </c>
      <c r="OQH76" s="49" t="s">
        <v>94</v>
      </c>
      <c r="OQI76" s="49" t="s">
        <v>93</v>
      </c>
      <c r="OQJ76" s="49" t="s">
        <v>94</v>
      </c>
      <c r="OQK76" s="49" t="s">
        <v>93</v>
      </c>
      <c r="OQL76" s="49" t="s">
        <v>94</v>
      </c>
      <c r="OQM76" s="49" t="s">
        <v>93</v>
      </c>
      <c r="OQN76" s="49" t="s">
        <v>94</v>
      </c>
      <c r="OQO76" s="49" t="s">
        <v>93</v>
      </c>
      <c r="OQP76" s="49" t="s">
        <v>94</v>
      </c>
      <c r="OQQ76" s="49" t="s">
        <v>93</v>
      </c>
      <c r="OQR76" s="49" t="s">
        <v>94</v>
      </c>
      <c r="OQS76" s="49" t="s">
        <v>93</v>
      </c>
      <c r="OQT76" s="49" t="s">
        <v>94</v>
      </c>
      <c r="OQU76" s="49" t="s">
        <v>93</v>
      </c>
      <c r="OQV76" s="49" t="s">
        <v>94</v>
      </c>
      <c r="OQW76" s="49" t="s">
        <v>93</v>
      </c>
      <c r="OQX76" s="49" t="s">
        <v>94</v>
      </c>
      <c r="OQY76" s="49" t="s">
        <v>93</v>
      </c>
      <c r="OQZ76" s="49" t="s">
        <v>94</v>
      </c>
      <c r="ORA76" s="49" t="s">
        <v>93</v>
      </c>
      <c r="ORB76" s="49" t="s">
        <v>94</v>
      </c>
      <c r="ORC76" s="49" t="s">
        <v>93</v>
      </c>
      <c r="ORD76" s="49" t="s">
        <v>94</v>
      </c>
      <c r="ORE76" s="49" t="s">
        <v>93</v>
      </c>
      <c r="ORF76" s="49" t="s">
        <v>94</v>
      </c>
      <c r="ORG76" s="49" t="s">
        <v>93</v>
      </c>
      <c r="ORH76" s="49" t="s">
        <v>94</v>
      </c>
      <c r="ORI76" s="49" t="s">
        <v>93</v>
      </c>
      <c r="ORJ76" s="49" t="s">
        <v>94</v>
      </c>
      <c r="ORK76" s="49" t="s">
        <v>93</v>
      </c>
      <c r="ORL76" s="49" t="s">
        <v>94</v>
      </c>
      <c r="ORM76" s="49" t="s">
        <v>93</v>
      </c>
      <c r="ORN76" s="49" t="s">
        <v>94</v>
      </c>
      <c r="ORO76" s="49" t="s">
        <v>93</v>
      </c>
      <c r="ORP76" s="49" t="s">
        <v>94</v>
      </c>
      <c r="ORQ76" s="49" t="s">
        <v>93</v>
      </c>
      <c r="ORR76" s="49" t="s">
        <v>94</v>
      </c>
      <c r="ORS76" s="49" t="s">
        <v>93</v>
      </c>
      <c r="ORT76" s="49" t="s">
        <v>94</v>
      </c>
      <c r="ORU76" s="49" t="s">
        <v>93</v>
      </c>
      <c r="ORV76" s="49" t="s">
        <v>94</v>
      </c>
      <c r="ORW76" s="49" t="s">
        <v>93</v>
      </c>
      <c r="ORX76" s="49" t="s">
        <v>94</v>
      </c>
      <c r="ORY76" s="49" t="s">
        <v>93</v>
      </c>
      <c r="ORZ76" s="49" t="s">
        <v>94</v>
      </c>
      <c r="OSA76" s="49" t="s">
        <v>93</v>
      </c>
      <c r="OSB76" s="49" t="s">
        <v>94</v>
      </c>
      <c r="OSC76" s="49" t="s">
        <v>93</v>
      </c>
      <c r="OSD76" s="49" t="s">
        <v>94</v>
      </c>
      <c r="OSE76" s="49" t="s">
        <v>93</v>
      </c>
      <c r="OSF76" s="49" t="s">
        <v>94</v>
      </c>
      <c r="OSG76" s="49" t="s">
        <v>93</v>
      </c>
      <c r="OSH76" s="49" t="s">
        <v>94</v>
      </c>
      <c r="OSI76" s="49" t="s">
        <v>93</v>
      </c>
      <c r="OSJ76" s="49" t="s">
        <v>94</v>
      </c>
      <c r="OSK76" s="49" t="s">
        <v>93</v>
      </c>
      <c r="OSL76" s="49" t="s">
        <v>94</v>
      </c>
      <c r="OSM76" s="49" t="s">
        <v>93</v>
      </c>
      <c r="OSN76" s="49" t="s">
        <v>94</v>
      </c>
      <c r="OSO76" s="49" t="s">
        <v>93</v>
      </c>
      <c r="OSP76" s="49" t="s">
        <v>94</v>
      </c>
      <c r="OSQ76" s="49" t="s">
        <v>93</v>
      </c>
      <c r="OSR76" s="49" t="s">
        <v>94</v>
      </c>
      <c r="OSS76" s="49" t="s">
        <v>93</v>
      </c>
      <c r="OST76" s="49" t="s">
        <v>94</v>
      </c>
      <c r="OSU76" s="49" t="s">
        <v>93</v>
      </c>
      <c r="OSV76" s="49" t="s">
        <v>94</v>
      </c>
      <c r="OSW76" s="49" t="s">
        <v>93</v>
      </c>
      <c r="OSX76" s="49" t="s">
        <v>94</v>
      </c>
      <c r="OSY76" s="49" t="s">
        <v>93</v>
      </c>
      <c r="OSZ76" s="49" t="s">
        <v>94</v>
      </c>
      <c r="OTA76" s="49" t="s">
        <v>93</v>
      </c>
      <c r="OTB76" s="49" t="s">
        <v>94</v>
      </c>
      <c r="OTC76" s="49" t="s">
        <v>93</v>
      </c>
      <c r="OTD76" s="49" t="s">
        <v>94</v>
      </c>
      <c r="OTE76" s="49" t="s">
        <v>93</v>
      </c>
      <c r="OTF76" s="49" t="s">
        <v>94</v>
      </c>
      <c r="OTG76" s="49" t="s">
        <v>93</v>
      </c>
      <c r="OTH76" s="49" t="s">
        <v>94</v>
      </c>
      <c r="OTI76" s="49" t="s">
        <v>93</v>
      </c>
      <c r="OTJ76" s="49" t="s">
        <v>94</v>
      </c>
      <c r="OTK76" s="49" t="s">
        <v>93</v>
      </c>
      <c r="OTL76" s="49" t="s">
        <v>94</v>
      </c>
      <c r="OTM76" s="49" t="s">
        <v>93</v>
      </c>
      <c r="OTN76" s="49" t="s">
        <v>94</v>
      </c>
      <c r="OTO76" s="49" t="s">
        <v>93</v>
      </c>
      <c r="OTP76" s="49" t="s">
        <v>94</v>
      </c>
      <c r="OTQ76" s="49" t="s">
        <v>93</v>
      </c>
      <c r="OTR76" s="49" t="s">
        <v>94</v>
      </c>
      <c r="OTS76" s="49" t="s">
        <v>93</v>
      </c>
      <c r="OTT76" s="49" t="s">
        <v>94</v>
      </c>
      <c r="OTU76" s="49" t="s">
        <v>93</v>
      </c>
      <c r="OTV76" s="49" t="s">
        <v>94</v>
      </c>
      <c r="OTW76" s="49" t="s">
        <v>93</v>
      </c>
      <c r="OTX76" s="49" t="s">
        <v>94</v>
      </c>
      <c r="OTY76" s="49" t="s">
        <v>93</v>
      </c>
      <c r="OTZ76" s="49" t="s">
        <v>94</v>
      </c>
      <c r="OUA76" s="49" t="s">
        <v>93</v>
      </c>
      <c r="OUB76" s="49" t="s">
        <v>94</v>
      </c>
      <c r="OUC76" s="49" t="s">
        <v>93</v>
      </c>
      <c r="OUD76" s="49" t="s">
        <v>94</v>
      </c>
      <c r="OUE76" s="49" t="s">
        <v>93</v>
      </c>
      <c r="OUF76" s="49" t="s">
        <v>94</v>
      </c>
      <c r="OUG76" s="49" t="s">
        <v>93</v>
      </c>
      <c r="OUH76" s="49" t="s">
        <v>94</v>
      </c>
      <c r="OUI76" s="49" t="s">
        <v>93</v>
      </c>
      <c r="OUJ76" s="49" t="s">
        <v>94</v>
      </c>
      <c r="OUK76" s="49" t="s">
        <v>93</v>
      </c>
      <c r="OUL76" s="49" t="s">
        <v>94</v>
      </c>
      <c r="OUM76" s="49" t="s">
        <v>93</v>
      </c>
      <c r="OUN76" s="49" t="s">
        <v>94</v>
      </c>
      <c r="OUO76" s="49" t="s">
        <v>93</v>
      </c>
      <c r="OUP76" s="49" t="s">
        <v>94</v>
      </c>
      <c r="OUQ76" s="49" t="s">
        <v>93</v>
      </c>
      <c r="OUR76" s="49" t="s">
        <v>94</v>
      </c>
      <c r="OUS76" s="49" t="s">
        <v>93</v>
      </c>
      <c r="OUT76" s="49" t="s">
        <v>94</v>
      </c>
      <c r="OUU76" s="49" t="s">
        <v>93</v>
      </c>
      <c r="OUV76" s="49" t="s">
        <v>94</v>
      </c>
      <c r="OUW76" s="49" t="s">
        <v>93</v>
      </c>
      <c r="OUX76" s="49" t="s">
        <v>94</v>
      </c>
      <c r="OUY76" s="49" t="s">
        <v>93</v>
      </c>
      <c r="OUZ76" s="49" t="s">
        <v>94</v>
      </c>
      <c r="OVA76" s="49" t="s">
        <v>93</v>
      </c>
      <c r="OVB76" s="49" t="s">
        <v>94</v>
      </c>
      <c r="OVC76" s="49" t="s">
        <v>93</v>
      </c>
      <c r="OVD76" s="49" t="s">
        <v>94</v>
      </c>
      <c r="OVE76" s="49" t="s">
        <v>93</v>
      </c>
      <c r="OVF76" s="49" t="s">
        <v>94</v>
      </c>
      <c r="OVG76" s="49" t="s">
        <v>93</v>
      </c>
      <c r="OVH76" s="49" t="s">
        <v>94</v>
      </c>
      <c r="OVI76" s="49" t="s">
        <v>93</v>
      </c>
      <c r="OVJ76" s="49" t="s">
        <v>94</v>
      </c>
      <c r="OVK76" s="49" t="s">
        <v>93</v>
      </c>
      <c r="OVL76" s="49" t="s">
        <v>94</v>
      </c>
      <c r="OVM76" s="49" t="s">
        <v>93</v>
      </c>
      <c r="OVN76" s="49" t="s">
        <v>94</v>
      </c>
      <c r="OVO76" s="49" t="s">
        <v>93</v>
      </c>
      <c r="OVP76" s="49" t="s">
        <v>94</v>
      </c>
      <c r="OVQ76" s="49" t="s">
        <v>93</v>
      </c>
      <c r="OVR76" s="49" t="s">
        <v>94</v>
      </c>
      <c r="OVS76" s="49" t="s">
        <v>93</v>
      </c>
      <c r="OVT76" s="49" t="s">
        <v>94</v>
      </c>
      <c r="OVU76" s="49" t="s">
        <v>93</v>
      </c>
      <c r="OVV76" s="49" t="s">
        <v>94</v>
      </c>
      <c r="OVW76" s="49" t="s">
        <v>93</v>
      </c>
      <c r="OVX76" s="49" t="s">
        <v>94</v>
      </c>
      <c r="OVY76" s="49" t="s">
        <v>93</v>
      </c>
      <c r="OVZ76" s="49" t="s">
        <v>94</v>
      </c>
      <c r="OWA76" s="49" t="s">
        <v>93</v>
      </c>
      <c r="OWB76" s="49" t="s">
        <v>94</v>
      </c>
      <c r="OWC76" s="49" t="s">
        <v>93</v>
      </c>
      <c r="OWD76" s="49" t="s">
        <v>94</v>
      </c>
      <c r="OWE76" s="49" t="s">
        <v>93</v>
      </c>
      <c r="OWF76" s="49" t="s">
        <v>94</v>
      </c>
      <c r="OWG76" s="49" t="s">
        <v>93</v>
      </c>
      <c r="OWH76" s="49" t="s">
        <v>94</v>
      </c>
      <c r="OWI76" s="49" t="s">
        <v>93</v>
      </c>
      <c r="OWJ76" s="49" t="s">
        <v>94</v>
      </c>
      <c r="OWK76" s="49" t="s">
        <v>93</v>
      </c>
      <c r="OWL76" s="49" t="s">
        <v>94</v>
      </c>
      <c r="OWM76" s="49" t="s">
        <v>93</v>
      </c>
      <c r="OWN76" s="49" t="s">
        <v>94</v>
      </c>
      <c r="OWO76" s="49" t="s">
        <v>93</v>
      </c>
      <c r="OWP76" s="49" t="s">
        <v>94</v>
      </c>
      <c r="OWQ76" s="49" t="s">
        <v>93</v>
      </c>
      <c r="OWR76" s="49" t="s">
        <v>94</v>
      </c>
      <c r="OWS76" s="49" t="s">
        <v>93</v>
      </c>
      <c r="OWT76" s="49" t="s">
        <v>94</v>
      </c>
      <c r="OWU76" s="49" t="s">
        <v>93</v>
      </c>
      <c r="OWV76" s="49" t="s">
        <v>94</v>
      </c>
      <c r="OWW76" s="49" t="s">
        <v>93</v>
      </c>
      <c r="OWX76" s="49" t="s">
        <v>94</v>
      </c>
      <c r="OWY76" s="49" t="s">
        <v>93</v>
      </c>
      <c r="OWZ76" s="49" t="s">
        <v>94</v>
      </c>
      <c r="OXA76" s="49" t="s">
        <v>93</v>
      </c>
      <c r="OXB76" s="49" t="s">
        <v>94</v>
      </c>
      <c r="OXC76" s="49" t="s">
        <v>93</v>
      </c>
      <c r="OXD76" s="49" t="s">
        <v>94</v>
      </c>
      <c r="OXE76" s="49" t="s">
        <v>93</v>
      </c>
      <c r="OXF76" s="49" t="s">
        <v>94</v>
      </c>
      <c r="OXG76" s="49" t="s">
        <v>93</v>
      </c>
      <c r="OXH76" s="49" t="s">
        <v>94</v>
      </c>
      <c r="OXI76" s="49" t="s">
        <v>93</v>
      </c>
      <c r="OXJ76" s="49" t="s">
        <v>94</v>
      </c>
      <c r="OXK76" s="49" t="s">
        <v>93</v>
      </c>
      <c r="OXL76" s="49" t="s">
        <v>94</v>
      </c>
      <c r="OXM76" s="49" t="s">
        <v>93</v>
      </c>
      <c r="OXN76" s="49" t="s">
        <v>94</v>
      </c>
      <c r="OXO76" s="49" t="s">
        <v>93</v>
      </c>
      <c r="OXP76" s="49" t="s">
        <v>94</v>
      </c>
      <c r="OXQ76" s="49" t="s">
        <v>93</v>
      </c>
      <c r="OXR76" s="49" t="s">
        <v>94</v>
      </c>
      <c r="OXS76" s="49" t="s">
        <v>93</v>
      </c>
      <c r="OXT76" s="49" t="s">
        <v>94</v>
      </c>
      <c r="OXU76" s="49" t="s">
        <v>93</v>
      </c>
      <c r="OXV76" s="49" t="s">
        <v>94</v>
      </c>
      <c r="OXW76" s="49" t="s">
        <v>93</v>
      </c>
      <c r="OXX76" s="49" t="s">
        <v>94</v>
      </c>
      <c r="OXY76" s="49" t="s">
        <v>93</v>
      </c>
      <c r="OXZ76" s="49" t="s">
        <v>94</v>
      </c>
      <c r="OYA76" s="49" t="s">
        <v>93</v>
      </c>
      <c r="OYB76" s="49" t="s">
        <v>94</v>
      </c>
      <c r="OYC76" s="49" t="s">
        <v>93</v>
      </c>
      <c r="OYD76" s="49" t="s">
        <v>94</v>
      </c>
      <c r="OYE76" s="49" t="s">
        <v>93</v>
      </c>
      <c r="OYF76" s="49" t="s">
        <v>94</v>
      </c>
      <c r="OYG76" s="49" t="s">
        <v>93</v>
      </c>
      <c r="OYH76" s="49" t="s">
        <v>94</v>
      </c>
      <c r="OYI76" s="49" t="s">
        <v>93</v>
      </c>
      <c r="OYJ76" s="49" t="s">
        <v>94</v>
      </c>
      <c r="OYK76" s="49" t="s">
        <v>93</v>
      </c>
      <c r="OYL76" s="49" t="s">
        <v>94</v>
      </c>
      <c r="OYM76" s="49" t="s">
        <v>93</v>
      </c>
      <c r="OYN76" s="49" t="s">
        <v>94</v>
      </c>
      <c r="OYO76" s="49" t="s">
        <v>93</v>
      </c>
      <c r="OYP76" s="49" t="s">
        <v>94</v>
      </c>
      <c r="OYQ76" s="49" t="s">
        <v>93</v>
      </c>
      <c r="OYR76" s="49" t="s">
        <v>94</v>
      </c>
      <c r="OYS76" s="49" t="s">
        <v>93</v>
      </c>
      <c r="OYT76" s="49" t="s">
        <v>94</v>
      </c>
      <c r="OYU76" s="49" t="s">
        <v>93</v>
      </c>
      <c r="OYV76" s="49" t="s">
        <v>94</v>
      </c>
      <c r="OYW76" s="49" t="s">
        <v>93</v>
      </c>
      <c r="OYX76" s="49" t="s">
        <v>94</v>
      </c>
      <c r="OYY76" s="49" t="s">
        <v>93</v>
      </c>
      <c r="OYZ76" s="49" t="s">
        <v>94</v>
      </c>
      <c r="OZA76" s="49" t="s">
        <v>93</v>
      </c>
      <c r="OZB76" s="49" t="s">
        <v>94</v>
      </c>
      <c r="OZC76" s="49" t="s">
        <v>93</v>
      </c>
      <c r="OZD76" s="49" t="s">
        <v>94</v>
      </c>
      <c r="OZE76" s="49" t="s">
        <v>93</v>
      </c>
      <c r="OZF76" s="49" t="s">
        <v>94</v>
      </c>
      <c r="OZG76" s="49" t="s">
        <v>93</v>
      </c>
      <c r="OZH76" s="49" t="s">
        <v>94</v>
      </c>
      <c r="OZI76" s="49" t="s">
        <v>93</v>
      </c>
      <c r="OZJ76" s="49" t="s">
        <v>94</v>
      </c>
      <c r="OZK76" s="49" t="s">
        <v>93</v>
      </c>
      <c r="OZL76" s="49" t="s">
        <v>94</v>
      </c>
      <c r="OZM76" s="49" t="s">
        <v>93</v>
      </c>
      <c r="OZN76" s="49" t="s">
        <v>94</v>
      </c>
      <c r="OZO76" s="49" t="s">
        <v>93</v>
      </c>
      <c r="OZP76" s="49" t="s">
        <v>94</v>
      </c>
      <c r="OZQ76" s="49" t="s">
        <v>93</v>
      </c>
      <c r="OZR76" s="49" t="s">
        <v>94</v>
      </c>
      <c r="OZS76" s="49" t="s">
        <v>93</v>
      </c>
      <c r="OZT76" s="49" t="s">
        <v>94</v>
      </c>
      <c r="OZU76" s="49" t="s">
        <v>93</v>
      </c>
      <c r="OZV76" s="49" t="s">
        <v>94</v>
      </c>
      <c r="OZW76" s="49" t="s">
        <v>93</v>
      </c>
      <c r="OZX76" s="49" t="s">
        <v>94</v>
      </c>
      <c r="OZY76" s="49" t="s">
        <v>93</v>
      </c>
      <c r="OZZ76" s="49" t="s">
        <v>94</v>
      </c>
      <c r="PAA76" s="49" t="s">
        <v>93</v>
      </c>
      <c r="PAB76" s="49" t="s">
        <v>94</v>
      </c>
      <c r="PAC76" s="49" t="s">
        <v>93</v>
      </c>
      <c r="PAD76" s="49" t="s">
        <v>94</v>
      </c>
      <c r="PAE76" s="49" t="s">
        <v>93</v>
      </c>
      <c r="PAF76" s="49" t="s">
        <v>94</v>
      </c>
      <c r="PAG76" s="49" t="s">
        <v>93</v>
      </c>
      <c r="PAH76" s="49" t="s">
        <v>94</v>
      </c>
      <c r="PAI76" s="49" t="s">
        <v>93</v>
      </c>
      <c r="PAJ76" s="49" t="s">
        <v>94</v>
      </c>
      <c r="PAK76" s="49" t="s">
        <v>93</v>
      </c>
      <c r="PAL76" s="49" t="s">
        <v>94</v>
      </c>
      <c r="PAM76" s="49" t="s">
        <v>93</v>
      </c>
      <c r="PAN76" s="49" t="s">
        <v>94</v>
      </c>
      <c r="PAO76" s="49" t="s">
        <v>93</v>
      </c>
      <c r="PAP76" s="49" t="s">
        <v>94</v>
      </c>
      <c r="PAQ76" s="49" t="s">
        <v>93</v>
      </c>
      <c r="PAR76" s="49" t="s">
        <v>94</v>
      </c>
      <c r="PAS76" s="49" t="s">
        <v>93</v>
      </c>
      <c r="PAT76" s="49" t="s">
        <v>94</v>
      </c>
      <c r="PAU76" s="49" t="s">
        <v>93</v>
      </c>
      <c r="PAV76" s="49" t="s">
        <v>94</v>
      </c>
      <c r="PAW76" s="49" t="s">
        <v>93</v>
      </c>
      <c r="PAX76" s="49" t="s">
        <v>94</v>
      </c>
      <c r="PAY76" s="49" t="s">
        <v>93</v>
      </c>
      <c r="PAZ76" s="49" t="s">
        <v>94</v>
      </c>
      <c r="PBA76" s="49" t="s">
        <v>93</v>
      </c>
      <c r="PBB76" s="49" t="s">
        <v>94</v>
      </c>
      <c r="PBC76" s="49" t="s">
        <v>93</v>
      </c>
      <c r="PBD76" s="49" t="s">
        <v>94</v>
      </c>
      <c r="PBE76" s="49" t="s">
        <v>93</v>
      </c>
      <c r="PBF76" s="49" t="s">
        <v>94</v>
      </c>
      <c r="PBG76" s="49" t="s">
        <v>93</v>
      </c>
      <c r="PBH76" s="49" t="s">
        <v>94</v>
      </c>
      <c r="PBI76" s="49" t="s">
        <v>93</v>
      </c>
      <c r="PBJ76" s="49" t="s">
        <v>94</v>
      </c>
      <c r="PBK76" s="49" t="s">
        <v>93</v>
      </c>
      <c r="PBL76" s="49" t="s">
        <v>94</v>
      </c>
      <c r="PBM76" s="49" t="s">
        <v>93</v>
      </c>
      <c r="PBN76" s="49" t="s">
        <v>94</v>
      </c>
      <c r="PBO76" s="49" t="s">
        <v>93</v>
      </c>
      <c r="PBP76" s="49" t="s">
        <v>94</v>
      </c>
      <c r="PBQ76" s="49" t="s">
        <v>93</v>
      </c>
      <c r="PBR76" s="49" t="s">
        <v>94</v>
      </c>
      <c r="PBS76" s="49" t="s">
        <v>93</v>
      </c>
      <c r="PBT76" s="49" t="s">
        <v>94</v>
      </c>
      <c r="PBU76" s="49" t="s">
        <v>93</v>
      </c>
      <c r="PBV76" s="49" t="s">
        <v>94</v>
      </c>
      <c r="PBW76" s="49" t="s">
        <v>93</v>
      </c>
      <c r="PBX76" s="49" t="s">
        <v>94</v>
      </c>
      <c r="PBY76" s="49" t="s">
        <v>93</v>
      </c>
      <c r="PBZ76" s="49" t="s">
        <v>94</v>
      </c>
      <c r="PCA76" s="49" t="s">
        <v>93</v>
      </c>
      <c r="PCB76" s="49" t="s">
        <v>94</v>
      </c>
      <c r="PCC76" s="49" t="s">
        <v>93</v>
      </c>
      <c r="PCD76" s="49" t="s">
        <v>94</v>
      </c>
      <c r="PCE76" s="49" t="s">
        <v>93</v>
      </c>
      <c r="PCF76" s="49" t="s">
        <v>94</v>
      </c>
      <c r="PCG76" s="49" t="s">
        <v>93</v>
      </c>
      <c r="PCH76" s="49" t="s">
        <v>94</v>
      </c>
      <c r="PCI76" s="49" t="s">
        <v>93</v>
      </c>
      <c r="PCJ76" s="49" t="s">
        <v>94</v>
      </c>
      <c r="PCK76" s="49" t="s">
        <v>93</v>
      </c>
      <c r="PCL76" s="49" t="s">
        <v>94</v>
      </c>
      <c r="PCM76" s="49" t="s">
        <v>93</v>
      </c>
      <c r="PCN76" s="49" t="s">
        <v>94</v>
      </c>
      <c r="PCO76" s="49" t="s">
        <v>93</v>
      </c>
      <c r="PCP76" s="49" t="s">
        <v>94</v>
      </c>
      <c r="PCQ76" s="49" t="s">
        <v>93</v>
      </c>
      <c r="PCR76" s="49" t="s">
        <v>94</v>
      </c>
      <c r="PCS76" s="49" t="s">
        <v>93</v>
      </c>
      <c r="PCT76" s="49" t="s">
        <v>94</v>
      </c>
      <c r="PCU76" s="49" t="s">
        <v>93</v>
      </c>
      <c r="PCV76" s="49" t="s">
        <v>94</v>
      </c>
      <c r="PCW76" s="49" t="s">
        <v>93</v>
      </c>
      <c r="PCX76" s="49" t="s">
        <v>94</v>
      </c>
      <c r="PCY76" s="49" t="s">
        <v>93</v>
      </c>
      <c r="PCZ76" s="49" t="s">
        <v>94</v>
      </c>
      <c r="PDA76" s="49" t="s">
        <v>93</v>
      </c>
      <c r="PDB76" s="49" t="s">
        <v>94</v>
      </c>
      <c r="PDC76" s="49" t="s">
        <v>93</v>
      </c>
      <c r="PDD76" s="49" t="s">
        <v>94</v>
      </c>
      <c r="PDE76" s="49" t="s">
        <v>93</v>
      </c>
      <c r="PDF76" s="49" t="s">
        <v>94</v>
      </c>
      <c r="PDG76" s="49" t="s">
        <v>93</v>
      </c>
      <c r="PDH76" s="49" t="s">
        <v>94</v>
      </c>
      <c r="PDI76" s="49" t="s">
        <v>93</v>
      </c>
      <c r="PDJ76" s="49" t="s">
        <v>94</v>
      </c>
      <c r="PDK76" s="49" t="s">
        <v>93</v>
      </c>
      <c r="PDL76" s="49" t="s">
        <v>94</v>
      </c>
      <c r="PDM76" s="49" t="s">
        <v>93</v>
      </c>
      <c r="PDN76" s="49" t="s">
        <v>94</v>
      </c>
      <c r="PDO76" s="49" t="s">
        <v>93</v>
      </c>
      <c r="PDP76" s="49" t="s">
        <v>94</v>
      </c>
      <c r="PDQ76" s="49" t="s">
        <v>93</v>
      </c>
      <c r="PDR76" s="49" t="s">
        <v>94</v>
      </c>
      <c r="PDS76" s="49" t="s">
        <v>93</v>
      </c>
      <c r="PDT76" s="49" t="s">
        <v>94</v>
      </c>
      <c r="PDU76" s="49" t="s">
        <v>93</v>
      </c>
      <c r="PDV76" s="49" t="s">
        <v>94</v>
      </c>
      <c r="PDW76" s="49" t="s">
        <v>93</v>
      </c>
      <c r="PDX76" s="49" t="s">
        <v>94</v>
      </c>
      <c r="PDY76" s="49" t="s">
        <v>93</v>
      </c>
      <c r="PDZ76" s="49" t="s">
        <v>94</v>
      </c>
      <c r="PEA76" s="49" t="s">
        <v>93</v>
      </c>
      <c r="PEB76" s="49" t="s">
        <v>94</v>
      </c>
      <c r="PEC76" s="49" t="s">
        <v>93</v>
      </c>
      <c r="PED76" s="49" t="s">
        <v>94</v>
      </c>
      <c r="PEE76" s="49" t="s">
        <v>93</v>
      </c>
      <c r="PEF76" s="49" t="s">
        <v>94</v>
      </c>
      <c r="PEG76" s="49" t="s">
        <v>93</v>
      </c>
      <c r="PEH76" s="49" t="s">
        <v>94</v>
      </c>
      <c r="PEI76" s="49" t="s">
        <v>93</v>
      </c>
      <c r="PEJ76" s="49" t="s">
        <v>94</v>
      </c>
      <c r="PEK76" s="49" t="s">
        <v>93</v>
      </c>
      <c r="PEL76" s="49" t="s">
        <v>94</v>
      </c>
      <c r="PEM76" s="49" t="s">
        <v>93</v>
      </c>
      <c r="PEN76" s="49" t="s">
        <v>94</v>
      </c>
      <c r="PEO76" s="49" t="s">
        <v>93</v>
      </c>
      <c r="PEP76" s="49" t="s">
        <v>94</v>
      </c>
      <c r="PEQ76" s="49" t="s">
        <v>93</v>
      </c>
      <c r="PER76" s="49" t="s">
        <v>94</v>
      </c>
      <c r="PES76" s="49" t="s">
        <v>93</v>
      </c>
      <c r="PET76" s="49" t="s">
        <v>94</v>
      </c>
      <c r="PEU76" s="49" t="s">
        <v>93</v>
      </c>
      <c r="PEV76" s="49" t="s">
        <v>94</v>
      </c>
      <c r="PEW76" s="49" t="s">
        <v>93</v>
      </c>
      <c r="PEX76" s="49" t="s">
        <v>94</v>
      </c>
      <c r="PEY76" s="49" t="s">
        <v>93</v>
      </c>
      <c r="PEZ76" s="49" t="s">
        <v>94</v>
      </c>
      <c r="PFA76" s="49" t="s">
        <v>93</v>
      </c>
      <c r="PFB76" s="49" t="s">
        <v>94</v>
      </c>
      <c r="PFC76" s="49" t="s">
        <v>93</v>
      </c>
      <c r="PFD76" s="49" t="s">
        <v>94</v>
      </c>
      <c r="PFE76" s="49" t="s">
        <v>93</v>
      </c>
      <c r="PFF76" s="49" t="s">
        <v>94</v>
      </c>
      <c r="PFG76" s="49" t="s">
        <v>93</v>
      </c>
      <c r="PFH76" s="49" t="s">
        <v>94</v>
      </c>
      <c r="PFI76" s="49" t="s">
        <v>93</v>
      </c>
      <c r="PFJ76" s="49" t="s">
        <v>94</v>
      </c>
      <c r="PFK76" s="49" t="s">
        <v>93</v>
      </c>
      <c r="PFL76" s="49" t="s">
        <v>94</v>
      </c>
      <c r="PFM76" s="49" t="s">
        <v>93</v>
      </c>
      <c r="PFN76" s="49" t="s">
        <v>94</v>
      </c>
      <c r="PFO76" s="49" t="s">
        <v>93</v>
      </c>
      <c r="PFP76" s="49" t="s">
        <v>94</v>
      </c>
      <c r="PFQ76" s="49" t="s">
        <v>93</v>
      </c>
      <c r="PFR76" s="49" t="s">
        <v>94</v>
      </c>
      <c r="PFS76" s="49" t="s">
        <v>93</v>
      </c>
      <c r="PFT76" s="49" t="s">
        <v>94</v>
      </c>
      <c r="PFU76" s="49" t="s">
        <v>93</v>
      </c>
      <c r="PFV76" s="49" t="s">
        <v>94</v>
      </c>
      <c r="PFW76" s="49" t="s">
        <v>93</v>
      </c>
      <c r="PFX76" s="49" t="s">
        <v>94</v>
      </c>
      <c r="PFY76" s="49" t="s">
        <v>93</v>
      </c>
      <c r="PFZ76" s="49" t="s">
        <v>94</v>
      </c>
      <c r="PGA76" s="49" t="s">
        <v>93</v>
      </c>
      <c r="PGB76" s="49" t="s">
        <v>94</v>
      </c>
      <c r="PGC76" s="49" t="s">
        <v>93</v>
      </c>
      <c r="PGD76" s="49" t="s">
        <v>94</v>
      </c>
      <c r="PGE76" s="49" t="s">
        <v>93</v>
      </c>
      <c r="PGF76" s="49" t="s">
        <v>94</v>
      </c>
      <c r="PGG76" s="49" t="s">
        <v>93</v>
      </c>
      <c r="PGH76" s="49" t="s">
        <v>94</v>
      </c>
      <c r="PGI76" s="49" t="s">
        <v>93</v>
      </c>
      <c r="PGJ76" s="49" t="s">
        <v>94</v>
      </c>
      <c r="PGK76" s="49" t="s">
        <v>93</v>
      </c>
      <c r="PGL76" s="49" t="s">
        <v>94</v>
      </c>
      <c r="PGM76" s="49" t="s">
        <v>93</v>
      </c>
      <c r="PGN76" s="49" t="s">
        <v>94</v>
      </c>
      <c r="PGO76" s="49" t="s">
        <v>93</v>
      </c>
      <c r="PGP76" s="49" t="s">
        <v>94</v>
      </c>
      <c r="PGQ76" s="49" t="s">
        <v>93</v>
      </c>
      <c r="PGR76" s="49" t="s">
        <v>94</v>
      </c>
      <c r="PGS76" s="49" t="s">
        <v>93</v>
      </c>
      <c r="PGT76" s="49" t="s">
        <v>94</v>
      </c>
      <c r="PGU76" s="49" t="s">
        <v>93</v>
      </c>
      <c r="PGV76" s="49" t="s">
        <v>94</v>
      </c>
      <c r="PGW76" s="49" t="s">
        <v>93</v>
      </c>
      <c r="PGX76" s="49" t="s">
        <v>94</v>
      </c>
      <c r="PGY76" s="49" t="s">
        <v>93</v>
      </c>
      <c r="PGZ76" s="49" t="s">
        <v>94</v>
      </c>
      <c r="PHA76" s="49" t="s">
        <v>93</v>
      </c>
      <c r="PHB76" s="49" t="s">
        <v>94</v>
      </c>
      <c r="PHC76" s="49" t="s">
        <v>93</v>
      </c>
      <c r="PHD76" s="49" t="s">
        <v>94</v>
      </c>
      <c r="PHE76" s="49" t="s">
        <v>93</v>
      </c>
      <c r="PHF76" s="49" t="s">
        <v>94</v>
      </c>
      <c r="PHG76" s="49" t="s">
        <v>93</v>
      </c>
      <c r="PHH76" s="49" t="s">
        <v>94</v>
      </c>
      <c r="PHI76" s="49" t="s">
        <v>93</v>
      </c>
      <c r="PHJ76" s="49" t="s">
        <v>94</v>
      </c>
      <c r="PHK76" s="49" t="s">
        <v>93</v>
      </c>
      <c r="PHL76" s="49" t="s">
        <v>94</v>
      </c>
      <c r="PHM76" s="49" t="s">
        <v>93</v>
      </c>
      <c r="PHN76" s="49" t="s">
        <v>94</v>
      </c>
      <c r="PHO76" s="49" t="s">
        <v>93</v>
      </c>
      <c r="PHP76" s="49" t="s">
        <v>94</v>
      </c>
      <c r="PHQ76" s="49" t="s">
        <v>93</v>
      </c>
      <c r="PHR76" s="49" t="s">
        <v>94</v>
      </c>
      <c r="PHS76" s="49" t="s">
        <v>93</v>
      </c>
      <c r="PHT76" s="49" t="s">
        <v>94</v>
      </c>
      <c r="PHU76" s="49" t="s">
        <v>93</v>
      </c>
      <c r="PHV76" s="49" t="s">
        <v>94</v>
      </c>
      <c r="PHW76" s="49" t="s">
        <v>93</v>
      </c>
      <c r="PHX76" s="49" t="s">
        <v>94</v>
      </c>
      <c r="PHY76" s="49" t="s">
        <v>93</v>
      </c>
      <c r="PHZ76" s="49" t="s">
        <v>94</v>
      </c>
      <c r="PIA76" s="49" t="s">
        <v>93</v>
      </c>
      <c r="PIB76" s="49" t="s">
        <v>94</v>
      </c>
      <c r="PIC76" s="49" t="s">
        <v>93</v>
      </c>
      <c r="PID76" s="49" t="s">
        <v>94</v>
      </c>
      <c r="PIE76" s="49" t="s">
        <v>93</v>
      </c>
      <c r="PIF76" s="49" t="s">
        <v>94</v>
      </c>
      <c r="PIG76" s="49" t="s">
        <v>93</v>
      </c>
      <c r="PIH76" s="49" t="s">
        <v>94</v>
      </c>
      <c r="PII76" s="49" t="s">
        <v>93</v>
      </c>
      <c r="PIJ76" s="49" t="s">
        <v>94</v>
      </c>
      <c r="PIK76" s="49" t="s">
        <v>93</v>
      </c>
      <c r="PIL76" s="49" t="s">
        <v>94</v>
      </c>
      <c r="PIM76" s="49" t="s">
        <v>93</v>
      </c>
      <c r="PIN76" s="49" t="s">
        <v>94</v>
      </c>
      <c r="PIO76" s="49" t="s">
        <v>93</v>
      </c>
      <c r="PIP76" s="49" t="s">
        <v>94</v>
      </c>
      <c r="PIQ76" s="49" t="s">
        <v>93</v>
      </c>
      <c r="PIR76" s="49" t="s">
        <v>94</v>
      </c>
      <c r="PIS76" s="49" t="s">
        <v>93</v>
      </c>
      <c r="PIT76" s="49" t="s">
        <v>94</v>
      </c>
      <c r="PIU76" s="49" t="s">
        <v>93</v>
      </c>
      <c r="PIV76" s="49" t="s">
        <v>94</v>
      </c>
      <c r="PIW76" s="49" t="s">
        <v>93</v>
      </c>
      <c r="PIX76" s="49" t="s">
        <v>94</v>
      </c>
      <c r="PIY76" s="49" t="s">
        <v>93</v>
      </c>
      <c r="PIZ76" s="49" t="s">
        <v>94</v>
      </c>
      <c r="PJA76" s="49" t="s">
        <v>93</v>
      </c>
      <c r="PJB76" s="49" t="s">
        <v>94</v>
      </c>
      <c r="PJC76" s="49" t="s">
        <v>93</v>
      </c>
      <c r="PJD76" s="49" t="s">
        <v>94</v>
      </c>
      <c r="PJE76" s="49" t="s">
        <v>93</v>
      </c>
      <c r="PJF76" s="49" t="s">
        <v>94</v>
      </c>
      <c r="PJG76" s="49" t="s">
        <v>93</v>
      </c>
      <c r="PJH76" s="49" t="s">
        <v>94</v>
      </c>
      <c r="PJI76" s="49" t="s">
        <v>93</v>
      </c>
      <c r="PJJ76" s="49" t="s">
        <v>94</v>
      </c>
      <c r="PJK76" s="49" t="s">
        <v>93</v>
      </c>
      <c r="PJL76" s="49" t="s">
        <v>94</v>
      </c>
      <c r="PJM76" s="49" t="s">
        <v>93</v>
      </c>
      <c r="PJN76" s="49" t="s">
        <v>94</v>
      </c>
      <c r="PJO76" s="49" t="s">
        <v>93</v>
      </c>
      <c r="PJP76" s="49" t="s">
        <v>94</v>
      </c>
      <c r="PJQ76" s="49" t="s">
        <v>93</v>
      </c>
      <c r="PJR76" s="49" t="s">
        <v>94</v>
      </c>
      <c r="PJS76" s="49" t="s">
        <v>93</v>
      </c>
      <c r="PJT76" s="49" t="s">
        <v>94</v>
      </c>
      <c r="PJU76" s="49" t="s">
        <v>93</v>
      </c>
      <c r="PJV76" s="49" t="s">
        <v>94</v>
      </c>
      <c r="PJW76" s="49" t="s">
        <v>93</v>
      </c>
      <c r="PJX76" s="49" t="s">
        <v>94</v>
      </c>
      <c r="PJY76" s="49" t="s">
        <v>93</v>
      </c>
      <c r="PJZ76" s="49" t="s">
        <v>94</v>
      </c>
      <c r="PKA76" s="49" t="s">
        <v>93</v>
      </c>
      <c r="PKB76" s="49" t="s">
        <v>94</v>
      </c>
      <c r="PKC76" s="49" t="s">
        <v>93</v>
      </c>
      <c r="PKD76" s="49" t="s">
        <v>94</v>
      </c>
      <c r="PKE76" s="49" t="s">
        <v>93</v>
      </c>
      <c r="PKF76" s="49" t="s">
        <v>94</v>
      </c>
      <c r="PKG76" s="49" t="s">
        <v>93</v>
      </c>
      <c r="PKH76" s="49" t="s">
        <v>94</v>
      </c>
      <c r="PKI76" s="49" t="s">
        <v>93</v>
      </c>
      <c r="PKJ76" s="49" t="s">
        <v>94</v>
      </c>
      <c r="PKK76" s="49" t="s">
        <v>93</v>
      </c>
      <c r="PKL76" s="49" t="s">
        <v>94</v>
      </c>
      <c r="PKM76" s="49" t="s">
        <v>93</v>
      </c>
      <c r="PKN76" s="49" t="s">
        <v>94</v>
      </c>
      <c r="PKO76" s="49" t="s">
        <v>93</v>
      </c>
      <c r="PKP76" s="49" t="s">
        <v>94</v>
      </c>
      <c r="PKQ76" s="49" t="s">
        <v>93</v>
      </c>
      <c r="PKR76" s="49" t="s">
        <v>94</v>
      </c>
      <c r="PKS76" s="49" t="s">
        <v>93</v>
      </c>
      <c r="PKT76" s="49" t="s">
        <v>94</v>
      </c>
      <c r="PKU76" s="49" t="s">
        <v>93</v>
      </c>
      <c r="PKV76" s="49" t="s">
        <v>94</v>
      </c>
      <c r="PKW76" s="49" t="s">
        <v>93</v>
      </c>
      <c r="PKX76" s="49" t="s">
        <v>94</v>
      </c>
      <c r="PKY76" s="49" t="s">
        <v>93</v>
      </c>
      <c r="PKZ76" s="49" t="s">
        <v>94</v>
      </c>
      <c r="PLA76" s="49" t="s">
        <v>93</v>
      </c>
      <c r="PLB76" s="49" t="s">
        <v>94</v>
      </c>
      <c r="PLC76" s="49" t="s">
        <v>93</v>
      </c>
      <c r="PLD76" s="49" t="s">
        <v>94</v>
      </c>
      <c r="PLE76" s="49" t="s">
        <v>93</v>
      </c>
      <c r="PLF76" s="49" t="s">
        <v>94</v>
      </c>
      <c r="PLG76" s="49" t="s">
        <v>93</v>
      </c>
      <c r="PLH76" s="49" t="s">
        <v>94</v>
      </c>
      <c r="PLI76" s="49" t="s">
        <v>93</v>
      </c>
      <c r="PLJ76" s="49" t="s">
        <v>94</v>
      </c>
      <c r="PLK76" s="49" t="s">
        <v>93</v>
      </c>
      <c r="PLL76" s="49" t="s">
        <v>94</v>
      </c>
      <c r="PLM76" s="49" t="s">
        <v>93</v>
      </c>
      <c r="PLN76" s="49" t="s">
        <v>94</v>
      </c>
      <c r="PLO76" s="49" t="s">
        <v>93</v>
      </c>
      <c r="PLP76" s="49" t="s">
        <v>94</v>
      </c>
      <c r="PLQ76" s="49" t="s">
        <v>93</v>
      </c>
      <c r="PLR76" s="49" t="s">
        <v>94</v>
      </c>
      <c r="PLS76" s="49" t="s">
        <v>93</v>
      </c>
      <c r="PLT76" s="49" t="s">
        <v>94</v>
      </c>
      <c r="PLU76" s="49" t="s">
        <v>93</v>
      </c>
      <c r="PLV76" s="49" t="s">
        <v>94</v>
      </c>
      <c r="PLW76" s="49" t="s">
        <v>93</v>
      </c>
      <c r="PLX76" s="49" t="s">
        <v>94</v>
      </c>
      <c r="PLY76" s="49" t="s">
        <v>93</v>
      </c>
      <c r="PLZ76" s="49" t="s">
        <v>94</v>
      </c>
      <c r="PMA76" s="49" t="s">
        <v>93</v>
      </c>
      <c r="PMB76" s="49" t="s">
        <v>94</v>
      </c>
      <c r="PMC76" s="49" t="s">
        <v>93</v>
      </c>
      <c r="PMD76" s="49" t="s">
        <v>94</v>
      </c>
      <c r="PME76" s="49" t="s">
        <v>93</v>
      </c>
      <c r="PMF76" s="49" t="s">
        <v>94</v>
      </c>
      <c r="PMG76" s="49" t="s">
        <v>93</v>
      </c>
      <c r="PMH76" s="49" t="s">
        <v>94</v>
      </c>
      <c r="PMI76" s="49" t="s">
        <v>93</v>
      </c>
      <c r="PMJ76" s="49" t="s">
        <v>94</v>
      </c>
      <c r="PMK76" s="49" t="s">
        <v>93</v>
      </c>
      <c r="PML76" s="49" t="s">
        <v>94</v>
      </c>
      <c r="PMM76" s="49" t="s">
        <v>93</v>
      </c>
      <c r="PMN76" s="49" t="s">
        <v>94</v>
      </c>
      <c r="PMO76" s="49" t="s">
        <v>93</v>
      </c>
      <c r="PMP76" s="49" t="s">
        <v>94</v>
      </c>
      <c r="PMQ76" s="49" t="s">
        <v>93</v>
      </c>
      <c r="PMR76" s="49" t="s">
        <v>94</v>
      </c>
      <c r="PMS76" s="49" t="s">
        <v>93</v>
      </c>
      <c r="PMT76" s="49" t="s">
        <v>94</v>
      </c>
      <c r="PMU76" s="49" t="s">
        <v>93</v>
      </c>
      <c r="PMV76" s="49" t="s">
        <v>94</v>
      </c>
      <c r="PMW76" s="49" t="s">
        <v>93</v>
      </c>
      <c r="PMX76" s="49" t="s">
        <v>94</v>
      </c>
      <c r="PMY76" s="49" t="s">
        <v>93</v>
      </c>
      <c r="PMZ76" s="49" t="s">
        <v>94</v>
      </c>
      <c r="PNA76" s="49" t="s">
        <v>93</v>
      </c>
      <c r="PNB76" s="49" t="s">
        <v>94</v>
      </c>
      <c r="PNC76" s="49" t="s">
        <v>93</v>
      </c>
      <c r="PND76" s="49" t="s">
        <v>94</v>
      </c>
      <c r="PNE76" s="49" t="s">
        <v>93</v>
      </c>
      <c r="PNF76" s="49" t="s">
        <v>94</v>
      </c>
      <c r="PNG76" s="49" t="s">
        <v>93</v>
      </c>
      <c r="PNH76" s="49" t="s">
        <v>94</v>
      </c>
      <c r="PNI76" s="49" t="s">
        <v>93</v>
      </c>
      <c r="PNJ76" s="49" t="s">
        <v>94</v>
      </c>
      <c r="PNK76" s="49" t="s">
        <v>93</v>
      </c>
      <c r="PNL76" s="49" t="s">
        <v>94</v>
      </c>
      <c r="PNM76" s="49" t="s">
        <v>93</v>
      </c>
      <c r="PNN76" s="49" t="s">
        <v>94</v>
      </c>
      <c r="PNO76" s="49" t="s">
        <v>93</v>
      </c>
      <c r="PNP76" s="49" t="s">
        <v>94</v>
      </c>
      <c r="PNQ76" s="49" t="s">
        <v>93</v>
      </c>
      <c r="PNR76" s="49" t="s">
        <v>94</v>
      </c>
      <c r="PNS76" s="49" t="s">
        <v>93</v>
      </c>
      <c r="PNT76" s="49" t="s">
        <v>94</v>
      </c>
      <c r="PNU76" s="49" t="s">
        <v>93</v>
      </c>
      <c r="PNV76" s="49" t="s">
        <v>94</v>
      </c>
      <c r="PNW76" s="49" t="s">
        <v>93</v>
      </c>
      <c r="PNX76" s="49" t="s">
        <v>94</v>
      </c>
      <c r="PNY76" s="49" t="s">
        <v>93</v>
      </c>
      <c r="PNZ76" s="49" t="s">
        <v>94</v>
      </c>
      <c r="POA76" s="49" t="s">
        <v>93</v>
      </c>
      <c r="POB76" s="49" t="s">
        <v>94</v>
      </c>
      <c r="POC76" s="49" t="s">
        <v>93</v>
      </c>
      <c r="POD76" s="49" t="s">
        <v>94</v>
      </c>
      <c r="POE76" s="49" t="s">
        <v>93</v>
      </c>
      <c r="POF76" s="49" t="s">
        <v>94</v>
      </c>
      <c r="POG76" s="49" t="s">
        <v>93</v>
      </c>
      <c r="POH76" s="49" t="s">
        <v>94</v>
      </c>
      <c r="POI76" s="49" t="s">
        <v>93</v>
      </c>
      <c r="POJ76" s="49" t="s">
        <v>94</v>
      </c>
      <c r="POK76" s="49" t="s">
        <v>93</v>
      </c>
      <c r="POL76" s="49" t="s">
        <v>94</v>
      </c>
      <c r="POM76" s="49" t="s">
        <v>93</v>
      </c>
      <c r="PON76" s="49" t="s">
        <v>94</v>
      </c>
      <c r="POO76" s="49" t="s">
        <v>93</v>
      </c>
      <c r="POP76" s="49" t="s">
        <v>94</v>
      </c>
      <c r="POQ76" s="49" t="s">
        <v>93</v>
      </c>
      <c r="POR76" s="49" t="s">
        <v>94</v>
      </c>
      <c r="POS76" s="49" t="s">
        <v>93</v>
      </c>
      <c r="POT76" s="49" t="s">
        <v>94</v>
      </c>
      <c r="POU76" s="49" t="s">
        <v>93</v>
      </c>
      <c r="POV76" s="49" t="s">
        <v>94</v>
      </c>
      <c r="POW76" s="49" t="s">
        <v>93</v>
      </c>
      <c r="POX76" s="49" t="s">
        <v>94</v>
      </c>
      <c r="POY76" s="49" t="s">
        <v>93</v>
      </c>
      <c r="POZ76" s="49" t="s">
        <v>94</v>
      </c>
      <c r="PPA76" s="49" t="s">
        <v>93</v>
      </c>
      <c r="PPB76" s="49" t="s">
        <v>94</v>
      </c>
      <c r="PPC76" s="49" t="s">
        <v>93</v>
      </c>
      <c r="PPD76" s="49" t="s">
        <v>94</v>
      </c>
      <c r="PPE76" s="49" t="s">
        <v>93</v>
      </c>
      <c r="PPF76" s="49" t="s">
        <v>94</v>
      </c>
      <c r="PPG76" s="49" t="s">
        <v>93</v>
      </c>
      <c r="PPH76" s="49" t="s">
        <v>94</v>
      </c>
      <c r="PPI76" s="49" t="s">
        <v>93</v>
      </c>
      <c r="PPJ76" s="49" t="s">
        <v>94</v>
      </c>
      <c r="PPK76" s="49" t="s">
        <v>93</v>
      </c>
      <c r="PPL76" s="49" t="s">
        <v>94</v>
      </c>
      <c r="PPM76" s="49" t="s">
        <v>93</v>
      </c>
      <c r="PPN76" s="49" t="s">
        <v>94</v>
      </c>
      <c r="PPO76" s="49" t="s">
        <v>93</v>
      </c>
      <c r="PPP76" s="49" t="s">
        <v>94</v>
      </c>
      <c r="PPQ76" s="49" t="s">
        <v>93</v>
      </c>
      <c r="PPR76" s="49" t="s">
        <v>94</v>
      </c>
      <c r="PPS76" s="49" t="s">
        <v>93</v>
      </c>
      <c r="PPT76" s="49" t="s">
        <v>94</v>
      </c>
      <c r="PPU76" s="49" t="s">
        <v>93</v>
      </c>
      <c r="PPV76" s="49" t="s">
        <v>94</v>
      </c>
      <c r="PPW76" s="49" t="s">
        <v>93</v>
      </c>
      <c r="PPX76" s="49" t="s">
        <v>94</v>
      </c>
      <c r="PPY76" s="49" t="s">
        <v>93</v>
      </c>
      <c r="PPZ76" s="49" t="s">
        <v>94</v>
      </c>
      <c r="PQA76" s="49" t="s">
        <v>93</v>
      </c>
      <c r="PQB76" s="49" t="s">
        <v>94</v>
      </c>
      <c r="PQC76" s="49" t="s">
        <v>93</v>
      </c>
      <c r="PQD76" s="49" t="s">
        <v>94</v>
      </c>
      <c r="PQE76" s="49" t="s">
        <v>93</v>
      </c>
      <c r="PQF76" s="49" t="s">
        <v>94</v>
      </c>
      <c r="PQG76" s="49" t="s">
        <v>93</v>
      </c>
      <c r="PQH76" s="49" t="s">
        <v>94</v>
      </c>
      <c r="PQI76" s="49" t="s">
        <v>93</v>
      </c>
      <c r="PQJ76" s="49" t="s">
        <v>94</v>
      </c>
      <c r="PQK76" s="49" t="s">
        <v>93</v>
      </c>
      <c r="PQL76" s="49" t="s">
        <v>94</v>
      </c>
      <c r="PQM76" s="49" t="s">
        <v>93</v>
      </c>
      <c r="PQN76" s="49" t="s">
        <v>94</v>
      </c>
      <c r="PQO76" s="49" t="s">
        <v>93</v>
      </c>
      <c r="PQP76" s="49" t="s">
        <v>94</v>
      </c>
      <c r="PQQ76" s="49" t="s">
        <v>93</v>
      </c>
      <c r="PQR76" s="49" t="s">
        <v>94</v>
      </c>
      <c r="PQS76" s="49" t="s">
        <v>93</v>
      </c>
      <c r="PQT76" s="49" t="s">
        <v>94</v>
      </c>
      <c r="PQU76" s="49" t="s">
        <v>93</v>
      </c>
      <c r="PQV76" s="49" t="s">
        <v>94</v>
      </c>
      <c r="PQW76" s="49" t="s">
        <v>93</v>
      </c>
      <c r="PQX76" s="49" t="s">
        <v>94</v>
      </c>
      <c r="PQY76" s="49" t="s">
        <v>93</v>
      </c>
      <c r="PQZ76" s="49" t="s">
        <v>94</v>
      </c>
      <c r="PRA76" s="49" t="s">
        <v>93</v>
      </c>
      <c r="PRB76" s="49" t="s">
        <v>94</v>
      </c>
      <c r="PRC76" s="49" t="s">
        <v>93</v>
      </c>
      <c r="PRD76" s="49" t="s">
        <v>94</v>
      </c>
      <c r="PRE76" s="49" t="s">
        <v>93</v>
      </c>
      <c r="PRF76" s="49" t="s">
        <v>94</v>
      </c>
      <c r="PRG76" s="49" t="s">
        <v>93</v>
      </c>
      <c r="PRH76" s="49" t="s">
        <v>94</v>
      </c>
      <c r="PRI76" s="49" t="s">
        <v>93</v>
      </c>
      <c r="PRJ76" s="49" t="s">
        <v>94</v>
      </c>
      <c r="PRK76" s="49" t="s">
        <v>93</v>
      </c>
      <c r="PRL76" s="49" t="s">
        <v>94</v>
      </c>
      <c r="PRM76" s="49" t="s">
        <v>93</v>
      </c>
      <c r="PRN76" s="49" t="s">
        <v>94</v>
      </c>
      <c r="PRO76" s="49" t="s">
        <v>93</v>
      </c>
      <c r="PRP76" s="49" t="s">
        <v>94</v>
      </c>
      <c r="PRQ76" s="49" t="s">
        <v>93</v>
      </c>
      <c r="PRR76" s="49" t="s">
        <v>94</v>
      </c>
      <c r="PRS76" s="49" t="s">
        <v>93</v>
      </c>
      <c r="PRT76" s="49" t="s">
        <v>94</v>
      </c>
      <c r="PRU76" s="49" t="s">
        <v>93</v>
      </c>
      <c r="PRV76" s="49" t="s">
        <v>94</v>
      </c>
      <c r="PRW76" s="49" t="s">
        <v>93</v>
      </c>
      <c r="PRX76" s="49" t="s">
        <v>94</v>
      </c>
      <c r="PRY76" s="49" t="s">
        <v>93</v>
      </c>
      <c r="PRZ76" s="49" t="s">
        <v>94</v>
      </c>
      <c r="PSA76" s="49" t="s">
        <v>93</v>
      </c>
      <c r="PSB76" s="49" t="s">
        <v>94</v>
      </c>
      <c r="PSC76" s="49" t="s">
        <v>93</v>
      </c>
      <c r="PSD76" s="49" t="s">
        <v>94</v>
      </c>
      <c r="PSE76" s="49" t="s">
        <v>93</v>
      </c>
      <c r="PSF76" s="49" t="s">
        <v>94</v>
      </c>
      <c r="PSG76" s="49" t="s">
        <v>93</v>
      </c>
      <c r="PSH76" s="49" t="s">
        <v>94</v>
      </c>
      <c r="PSI76" s="49" t="s">
        <v>93</v>
      </c>
      <c r="PSJ76" s="49" t="s">
        <v>94</v>
      </c>
      <c r="PSK76" s="49" t="s">
        <v>93</v>
      </c>
      <c r="PSL76" s="49" t="s">
        <v>94</v>
      </c>
      <c r="PSM76" s="49" t="s">
        <v>93</v>
      </c>
      <c r="PSN76" s="49" t="s">
        <v>94</v>
      </c>
      <c r="PSO76" s="49" t="s">
        <v>93</v>
      </c>
      <c r="PSP76" s="49" t="s">
        <v>94</v>
      </c>
      <c r="PSQ76" s="49" t="s">
        <v>93</v>
      </c>
      <c r="PSR76" s="49" t="s">
        <v>94</v>
      </c>
      <c r="PSS76" s="49" t="s">
        <v>93</v>
      </c>
      <c r="PST76" s="49" t="s">
        <v>94</v>
      </c>
      <c r="PSU76" s="49" t="s">
        <v>93</v>
      </c>
      <c r="PSV76" s="49" t="s">
        <v>94</v>
      </c>
      <c r="PSW76" s="49" t="s">
        <v>93</v>
      </c>
      <c r="PSX76" s="49" t="s">
        <v>94</v>
      </c>
      <c r="PSY76" s="49" t="s">
        <v>93</v>
      </c>
      <c r="PSZ76" s="49" t="s">
        <v>94</v>
      </c>
      <c r="PTA76" s="49" t="s">
        <v>93</v>
      </c>
      <c r="PTB76" s="49" t="s">
        <v>94</v>
      </c>
      <c r="PTC76" s="49" t="s">
        <v>93</v>
      </c>
      <c r="PTD76" s="49" t="s">
        <v>94</v>
      </c>
      <c r="PTE76" s="49" t="s">
        <v>93</v>
      </c>
      <c r="PTF76" s="49" t="s">
        <v>94</v>
      </c>
      <c r="PTG76" s="49" t="s">
        <v>93</v>
      </c>
      <c r="PTH76" s="49" t="s">
        <v>94</v>
      </c>
      <c r="PTI76" s="49" t="s">
        <v>93</v>
      </c>
      <c r="PTJ76" s="49" t="s">
        <v>94</v>
      </c>
      <c r="PTK76" s="49" t="s">
        <v>93</v>
      </c>
      <c r="PTL76" s="49" t="s">
        <v>94</v>
      </c>
      <c r="PTM76" s="49" t="s">
        <v>93</v>
      </c>
      <c r="PTN76" s="49" t="s">
        <v>94</v>
      </c>
      <c r="PTO76" s="49" t="s">
        <v>93</v>
      </c>
      <c r="PTP76" s="49" t="s">
        <v>94</v>
      </c>
      <c r="PTQ76" s="49" t="s">
        <v>93</v>
      </c>
      <c r="PTR76" s="49" t="s">
        <v>94</v>
      </c>
      <c r="PTS76" s="49" t="s">
        <v>93</v>
      </c>
      <c r="PTT76" s="49" t="s">
        <v>94</v>
      </c>
      <c r="PTU76" s="49" t="s">
        <v>93</v>
      </c>
      <c r="PTV76" s="49" t="s">
        <v>94</v>
      </c>
      <c r="PTW76" s="49" t="s">
        <v>93</v>
      </c>
      <c r="PTX76" s="49" t="s">
        <v>94</v>
      </c>
      <c r="PTY76" s="49" t="s">
        <v>93</v>
      </c>
      <c r="PTZ76" s="49" t="s">
        <v>94</v>
      </c>
      <c r="PUA76" s="49" t="s">
        <v>93</v>
      </c>
      <c r="PUB76" s="49" t="s">
        <v>94</v>
      </c>
      <c r="PUC76" s="49" t="s">
        <v>93</v>
      </c>
      <c r="PUD76" s="49" t="s">
        <v>94</v>
      </c>
      <c r="PUE76" s="49" t="s">
        <v>93</v>
      </c>
      <c r="PUF76" s="49" t="s">
        <v>94</v>
      </c>
      <c r="PUG76" s="49" t="s">
        <v>93</v>
      </c>
      <c r="PUH76" s="49" t="s">
        <v>94</v>
      </c>
      <c r="PUI76" s="49" t="s">
        <v>93</v>
      </c>
      <c r="PUJ76" s="49" t="s">
        <v>94</v>
      </c>
      <c r="PUK76" s="49" t="s">
        <v>93</v>
      </c>
      <c r="PUL76" s="49" t="s">
        <v>94</v>
      </c>
      <c r="PUM76" s="49" t="s">
        <v>93</v>
      </c>
      <c r="PUN76" s="49" t="s">
        <v>94</v>
      </c>
      <c r="PUO76" s="49" t="s">
        <v>93</v>
      </c>
      <c r="PUP76" s="49" t="s">
        <v>94</v>
      </c>
      <c r="PUQ76" s="49" t="s">
        <v>93</v>
      </c>
      <c r="PUR76" s="49" t="s">
        <v>94</v>
      </c>
      <c r="PUS76" s="49" t="s">
        <v>93</v>
      </c>
      <c r="PUT76" s="49" t="s">
        <v>94</v>
      </c>
      <c r="PUU76" s="49" t="s">
        <v>93</v>
      </c>
      <c r="PUV76" s="49" t="s">
        <v>94</v>
      </c>
      <c r="PUW76" s="49" t="s">
        <v>93</v>
      </c>
      <c r="PUX76" s="49" t="s">
        <v>94</v>
      </c>
      <c r="PUY76" s="49" t="s">
        <v>93</v>
      </c>
      <c r="PUZ76" s="49" t="s">
        <v>94</v>
      </c>
      <c r="PVA76" s="49" t="s">
        <v>93</v>
      </c>
      <c r="PVB76" s="49" t="s">
        <v>94</v>
      </c>
      <c r="PVC76" s="49" t="s">
        <v>93</v>
      </c>
      <c r="PVD76" s="49" t="s">
        <v>94</v>
      </c>
      <c r="PVE76" s="49" t="s">
        <v>93</v>
      </c>
      <c r="PVF76" s="49" t="s">
        <v>94</v>
      </c>
      <c r="PVG76" s="49" t="s">
        <v>93</v>
      </c>
      <c r="PVH76" s="49" t="s">
        <v>94</v>
      </c>
      <c r="PVI76" s="49" t="s">
        <v>93</v>
      </c>
      <c r="PVJ76" s="49" t="s">
        <v>94</v>
      </c>
      <c r="PVK76" s="49" t="s">
        <v>93</v>
      </c>
      <c r="PVL76" s="49" t="s">
        <v>94</v>
      </c>
      <c r="PVM76" s="49" t="s">
        <v>93</v>
      </c>
      <c r="PVN76" s="49" t="s">
        <v>94</v>
      </c>
      <c r="PVO76" s="49" t="s">
        <v>93</v>
      </c>
      <c r="PVP76" s="49" t="s">
        <v>94</v>
      </c>
      <c r="PVQ76" s="49" t="s">
        <v>93</v>
      </c>
      <c r="PVR76" s="49" t="s">
        <v>94</v>
      </c>
      <c r="PVS76" s="49" t="s">
        <v>93</v>
      </c>
      <c r="PVT76" s="49" t="s">
        <v>94</v>
      </c>
      <c r="PVU76" s="49" t="s">
        <v>93</v>
      </c>
      <c r="PVV76" s="49" t="s">
        <v>94</v>
      </c>
      <c r="PVW76" s="49" t="s">
        <v>93</v>
      </c>
      <c r="PVX76" s="49" t="s">
        <v>94</v>
      </c>
      <c r="PVY76" s="49" t="s">
        <v>93</v>
      </c>
      <c r="PVZ76" s="49" t="s">
        <v>94</v>
      </c>
      <c r="PWA76" s="49" t="s">
        <v>93</v>
      </c>
      <c r="PWB76" s="49" t="s">
        <v>94</v>
      </c>
      <c r="PWC76" s="49" t="s">
        <v>93</v>
      </c>
      <c r="PWD76" s="49" t="s">
        <v>94</v>
      </c>
      <c r="PWE76" s="49" t="s">
        <v>93</v>
      </c>
      <c r="PWF76" s="49" t="s">
        <v>94</v>
      </c>
      <c r="PWG76" s="49" t="s">
        <v>93</v>
      </c>
      <c r="PWH76" s="49" t="s">
        <v>94</v>
      </c>
      <c r="PWI76" s="49" t="s">
        <v>93</v>
      </c>
      <c r="PWJ76" s="49" t="s">
        <v>94</v>
      </c>
      <c r="PWK76" s="49" t="s">
        <v>93</v>
      </c>
      <c r="PWL76" s="49" t="s">
        <v>94</v>
      </c>
      <c r="PWM76" s="49" t="s">
        <v>93</v>
      </c>
      <c r="PWN76" s="49" t="s">
        <v>94</v>
      </c>
      <c r="PWO76" s="49" t="s">
        <v>93</v>
      </c>
      <c r="PWP76" s="49" t="s">
        <v>94</v>
      </c>
      <c r="PWQ76" s="49" t="s">
        <v>93</v>
      </c>
      <c r="PWR76" s="49" t="s">
        <v>94</v>
      </c>
      <c r="PWS76" s="49" t="s">
        <v>93</v>
      </c>
      <c r="PWT76" s="49" t="s">
        <v>94</v>
      </c>
      <c r="PWU76" s="49" t="s">
        <v>93</v>
      </c>
      <c r="PWV76" s="49" t="s">
        <v>94</v>
      </c>
      <c r="PWW76" s="49" t="s">
        <v>93</v>
      </c>
      <c r="PWX76" s="49" t="s">
        <v>94</v>
      </c>
      <c r="PWY76" s="49" t="s">
        <v>93</v>
      </c>
      <c r="PWZ76" s="49" t="s">
        <v>94</v>
      </c>
      <c r="PXA76" s="49" t="s">
        <v>93</v>
      </c>
      <c r="PXB76" s="49" t="s">
        <v>94</v>
      </c>
      <c r="PXC76" s="49" t="s">
        <v>93</v>
      </c>
      <c r="PXD76" s="49" t="s">
        <v>94</v>
      </c>
      <c r="PXE76" s="49" t="s">
        <v>93</v>
      </c>
      <c r="PXF76" s="49" t="s">
        <v>94</v>
      </c>
      <c r="PXG76" s="49" t="s">
        <v>93</v>
      </c>
      <c r="PXH76" s="49" t="s">
        <v>94</v>
      </c>
      <c r="PXI76" s="49" t="s">
        <v>93</v>
      </c>
      <c r="PXJ76" s="49" t="s">
        <v>94</v>
      </c>
      <c r="PXK76" s="49" t="s">
        <v>93</v>
      </c>
      <c r="PXL76" s="49" t="s">
        <v>94</v>
      </c>
      <c r="PXM76" s="49" t="s">
        <v>93</v>
      </c>
      <c r="PXN76" s="49" t="s">
        <v>94</v>
      </c>
      <c r="PXO76" s="49" t="s">
        <v>93</v>
      </c>
      <c r="PXP76" s="49" t="s">
        <v>94</v>
      </c>
      <c r="PXQ76" s="49" t="s">
        <v>93</v>
      </c>
      <c r="PXR76" s="49" t="s">
        <v>94</v>
      </c>
      <c r="PXS76" s="49" t="s">
        <v>93</v>
      </c>
      <c r="PXT76" s="49" t="s">
        <v>94</v>
      </c>
      <c r="PXU76" s="49" t="s">
        <v>93</v>
      </c>
      <c r="PXV76" s="49" t="s">
        <v>94</v>
      </c>
      <c r="PXW76" s="49" t="s">
        <v>93</v>
      </c>
      <c r="PXX76" s="49" t="s">
        <v>94</v>
      </c>
      <c r="PXY76" s="49" t="s">
        <v>93</v>
      </c>
      <c r="PXZ76" s="49" t="s">
        <v>94</v>
      </c>
      <c r="PYA76" s="49" t="s">
        <v>93</v>
      </c>
      <c r="PYB76" s="49" t="s">
        <v>94</v>
      </c>
      <c r="PYC76" s="49" t="s">
        <v>93</v>
      </c>
      <c r="PYD76" s="49" t="s">
        <v>94</v>
      </c>
      <c r="PYE76" s="49" t="s">
        <v>93</v>
      </c>
      <c r="PYF76" s="49" t="s">
        <v>94</v>
      </c>
      <c r="PYG76" s="49" t="s">
        <v>93</v>
      </c>
      <c r="PYH76" s="49" t="s">
        <v>94</v>
      </c>
      <c r="PYI76" s="49" t="s">
        <v>93</v>
      </c>
      <c r="PYJ76" s="49" t="s">
        <v>94</v>
      </c>
      <c r="PYK76" s="49" t="s">
        <v>93</v>
      </c>
      <c r="PYL76" s="49" t="s">
        <v>94</v>
      </c>
      <c r="PYM76" s="49" t="s">
        <v>93</v>
      </c>
      <c r="PYN76" s="49" t="s">
        <v>94</v>
      </c>
      <c r="PYO76" s="49" t="s">
        <v>93</v>
      </c>
      <c r="PYP76" s="49" t="s">
        <v>94</v>
      </c>
      <c r="PYQ76" s="49" t="s">
        <v>93</v>
      </c>
      <c r="PYR76" s="49" t="s">
        <v>94</v>
      </c>
      <c r="PYS76" s="49" t="s">
        <v>93</v>
      </c>
      <c r="PYT76" s="49" t="s">
        <v>94</v>
      </c>
      <c r="PYU76" s="49" t="s">
        <v>93</v>
      </c>
      <c r="PYV76" s="49" t="s">
        <v>94</v>
      </c>
      <c r="PYW76" s="49" t="s">
        <v>93</v>
      </c>
      <c r="PYX76" s="49" t="s">
        <v>94</v>
      </c>
      <c r="PYY76" s="49" t="s">
        <v>93</v>
      </c>
      <c r="PYZ76" s="49" t="s">
        <v>94</v>
      </c>
      <c r="PZA76" s="49" t="s">
        <v>93</v>
      </c>
      <c r="PZB76" s="49" t="s">
        <v>94</v>
      </c>
      <c r="PZC76" s="49" t="s">
        <v>93</v>
      </c>
      <c r="PZD76" s="49" t="s">
        <v>94</v>
      </c>
      <c r="PZE76" s="49" t="s">
        <v>93</v>
      </c>
      <c r="PZF76" s="49" t="s">
        <v>94</v>
      </c>
      <c r="PZG76" s="49" t="s">
        <v>93</v>
      </c>
      <c r="PZH76" s="49" t="s">
        <v>94</v>
      </c>
      <c r="PZI76" s="49" t="s">
        <v>93</v>
      </c>
      <c r="PZJ76" s="49" t="s">
        <v>94</v>
      </c>
      <c r="PZK76" s="49" t="s">
        <v>93</v>
      </c>
      <c r="PZL76" s="49" t="s">
        <v>94</v>
      </c>
      <c r="PZM76" s="49" t="s">
        <v>93</v>
      </c>
      <c r="PZN76" s="49" t="s">
        <v>94</v>
      </c>
      <c r="PZO76" s="49" t="s">
        <v>93</v>
      </c>
      <c r="PZP76" s="49" t="s">
        <v>94</v>
      </c>
      <c r="PZQ76" s="49" t="s">
        <v>93</v>
      </c>
      <c r="PZR76" s="49" t="s">
        <v>94</v>
      </c>
      <c r="PZS76" s="49" t="s">
        <v>93</v>
      </c>
      <c r="PZT76" s="49" t="s">
        <v>94</v>
      </c>
      <c r="PZU76" s="49" t="s">
        <v>93</v>
      </c>
      <c r="PZV76" s="49" t="s">
        <v>94</v>
      </c>
      <c r="PZW76" s="49" t="s">
        <v>93</v>
      </c>
      <c r="PZX76" s="49" t="s">
        <v>94</v>
      </c>
      <c r="PZY76" s="49" t="s">
        <v>93</v>
      </c>
      <c r="PZZ76" s="49" t="s">
        <v>94</v>
      </c>
      <c r="QAA76" s="49" t="s">
        <v>93</v>
      </c>
      <c r="QAB76" s="49" t="s">
        <v>94</v>
      </c>
      <c r="QAC76" s="49" t="s">
        <v>93</v>
      </c>
      <c r="QAD76" s="49" t="s">
        <v>94</v>
      </c>
      <c r="QAE76" s="49" t="s">
        <v>93</v>
      </c>
      <c r="QAF76" s="49" t="s">
        <v>94</v>
      </c>
      <c r="QAG76" s="49" t="s">
        <v>93</v>
      </c>
      <c r="QAH76" s="49" t="s">
        <v>94</v>
      </c>
      <c r="QAI76" s="49" t="s">
        <v>93</v>
      </c>
      <c r="QAJ76" s="49" t="s">
        <v>94</v>
      </c>
      <c r="QAK76" s="49" t="s">
        <v>93</v>
      </c>
      <c r="QAL76" s="49" t="s">
        <v>94</v>
      </c>
      <c r="QAM76" s="49" t="s">
        <v>93</v>
      </c>
      <c r="QAN76" s="49" t="s">
        <v>94</v>
      </c>
      <c r="QAO76" s="49" t="s">
        <v>93</v>
      </c>
      <c r="QAP76" s="49" t="s">
        <v>94</v>
      </c>
      <c r="QAQ76" s="49" t="s">
        <v>93</v>
      </c>
      <c r="QAR76" s="49" t="s">
        <v>94</v>
      </c>
      <c r="QAS76" s="49" t="s">
        <v>93</v>
      </c>
      <c r="QAT76" s="49" t="s">
        <v>94</v>
      </c>
      <c r="QAU76" s="49" t="s">
        <v>93</v>
      </c>
      <c r="QAV76" s="49" t="s">
        <v>94</v>
      </c>
      <c r="QAW76" s="49" t="s">
        <v>93</v>
      </c>
      <c r="QAX76" s="49" t="s">
        <v>94</v>
      </c>
      <c r="QAY76" s="49" t="s">
        <v>93</v>
      </c>
      <c r="QAZ76" s="49" t="s">
        <v>94</v>
      </c>
      <c r="QBA76" s="49" t="s">
        <v>93</v>
      </c>
      <c r="QBB76" s="49" t="s">
        <v>94</v>
      </c>
      <c r="QBC76" s="49" t="s">
        <v>93</v>
      </c>
      <c r="QBD76" s="49" t="s">
        <v>94</v>
      </c>
      <c r="QBE76" s="49" t="s">
        <v>93</v>
      </c>
      <c r="QBF76" s="49" t="s">
        <v>94</v>
      </c>
      <c r="QBG76" s="49" t="s">
        <v>93</v>
      </c>
      <c r="QBH76" s="49" t="s">
        <v>94</v>
      </c>
      <c r="QBI76" s="49" t="s">
        <v>93</v>
      </c>
      <c r="QBJ76" s="49" t="s">
        <v>94</v>
      </c>
      <c r="QBK76" s="49" t="s">
        <v>93</v>
      </c>
      <c r="QBL76" s="49" t="s">
        <v>94</v>
      </c>
      <c r="QBM76" s="49" t="s">
        <v>93</v>
      </c>
      <c r="QBN76" s="49" t="s">
        <v>94</v>
      </c>
      <c r="QBO76" s="49" t="s">
        <v>93</v>
      </c>
      <c r="QBP76" s="49" t="s">
        <v>94</v>
      </c>
      <c r="QBQ76" s="49" t="s">
        <v>93</v>
      </c>
      <c r="QBR76" s="49" t="s">
        <v>94</v>
      </c>
      <c r="QBS76" s="49" t="s">
        <v>93</v>
      </c>
      <c r="QBT76" s="49" t="s">
        <v>94</v>
      </c>
      <c r="QBU76" s="49" t="s">
        <v>93</v>
      </c>
      <c r="QBV76" s="49" t="s">
        <v>94</v>
      </c>
      <c r="QBW76" s="49" t="s">
        <v>93</v>
      </c>
      <c r="QBX76" s="49" t="s">
        <v>94</v>
      </c>
      <c r="QBY76" s="49" t="s">
        <v>93</v>
      </c>
      <c r="QBZ76" s="49" t="s">
        <v>94</v>
      </c>
      <c r="QCA76" s="49" t="s">
        <v>93</v>
      </c>
      <c r="QCB76" s="49" t="s">
        <v>94</v>
      </c>
      <c r="QCC76" s="49" t="s">
        <v>93</v>
      </c>
      <c r="QCD76" s="49" t="s">
        <v>94</v>
      </c>
      <c r="QCE76" s="49" t="s">
        <v>93</v>
      </c>
      <c r="QCF76" s="49" t="s">
        <v>94</v>
      </c>
      <c r="QCG76" s="49" t="s">
        <v>93</v>
      </c>
      <c r="QCH76" s="49" t="s">
        <v>94</v>
      </c>
      <c r="QCI76" s="49" t="s">
        <v>93</v>
      </c>
      <c r="QCJ76" s="49" t="s">
        <v>94</v>
      </c>
      <c r="QCK76" s="49" t="s">
        <v>93</v>
      </c>
      <c r="QCL76" s="49" t="s">
        <v>94</v>
      </c>
      <c r="QCM76" s="49" t="s">
        <v>93</v>
      </c>
      <c r="QCN76" s="49" t="s">
        <v>94</v>
      </c>
      <c r="QCO76" s="49" t="s">
        <v>93</v>
      </c>
      <c r="QCP76" s="49" t="s">
        <v>94</v>
      </c>
      <c r="QCQ76" s="49" t="s">
        <v>93</v>
      </c>
      <c r="QCR76" s="49" t="s">
        <v>94</v>
      </c>
      <c r="QCS76" s="49" t="s">
        <v>93</v>
      </c>
      <c r="QCT76" s="49" t="s">
        <v>94</v>
      </c>
      <c r="QCU76" s="49" t="s">
        <v>93</v>
      </c>
      <c r="QCV76" s="49" t="s">
        <v>94</v>
      </c>
      <c r="QCW76" s="49" t="s">
        <v>93</v>
      </c>
      <c r="QCX76" s="49" t="s">
        <v>94</v>
      </c>
      <c r="QCY76" s="49" t="s">
        <v>93</v>
      </c>
      <c r="QCZ76" s="49" t="s">
        <v>94</v>
      </c>
      <c r="QDA76" s="49" t="s">
        <v>93</v>
      </c>
      <c r="QDB76" s="49" t="s">
        <v>94</v>
      </c>
      <c r="QDC76" s="49" t="s">
        <v>93</v>
      </c>
      <c r="QDD76" s="49" t="s">
        <v>94</v>
      </c>
      <c r="QDE76" s="49" t="s">
        <v>93</v>
      </c>
      <c r="QDF76" s="49" t="s">
        <v>94</v>
      </c>
      <c r="QDG76" s="49" t="s">
        <v>93</v>
      </c>
      <c r="QDH76" s="49" t="s">
        <v>94</v>
      </c>
      <c r="QDI76" s="49" t="s">
        <v>93</v>
      </c>
      <c r="QDJ76" s="49" t="s">
        <v>94</v>
      </c>
      <c r="QDK76" s="49" t="s">
        <v>93</v>
      </c>
      <c r="QDL76" s="49" t="s">
        <v>94</v>
      </c>
      <c r="QDM76" s="49" t="s">
        <v>93</v>
      </c>
      <c r="QDN76" s="49" t="s">
        <v>94</v>
      </c>
      <c r="QDO76" s="49" t="s">
        <v>93</v>
      </c>
      <c r="QDP76" s="49" t="s">
        <v>94</v>
      </c>
      <c r="QDQ76" s="49" t="s">
        <v>93</v>
      </c>
      <c r="QDR76" s="49" t="s">
        <v>94</v>
      </c>
      <c r="QDS76" s="49" t="s">
        <v>93</v>
      </c>
      <c r="QDT76" s="49" t="s">
        <v>94</v>
      </c>
      <c r="QDU76" s="49" t="s">
        <v>93</v>
      </c>
      <c r="QDV76" s="49" t="s">
        <v>94</v>
      </c>
      <c r="QDW76" s="49" t="s">
        <v>93</v>
      </c>
      <c r="QDX76" s="49" t="s">
        <v>94</v>
      </c>
      <c r="QDY76" s="49" t="s">
        <v>93</v>
      </c>
      <c r="QDZ76" s="49" t="s">
        <v>94</v>
      </c>
      <c r="QEA76" s="49" t="s">
        <v>93</v>
      </c>
      <c r="QEB76" s="49" t="s">
        <v>94</v>
      </c>
      <c r="QEC76" s="49" t="s">
        <v>93</v>
      </c>
      <c r="QED76" s="49" t="s">
        <v>94</v>
      </c>
      <c r="QEE76" s="49" t="s">
        <v>93</v>
      </c>
      <c r="QEF76" s="49" t="s">
        <v>94</v>
      </c>
      <c r="QEG76" s="49" t="s">
        <v>93</v>
      </c>
      <c r="QEH76" s="49" t="s">
        <v>94</v>
      </c>
      <c r="QEI76" s="49" t="s">
        <v>93</v>
      </c>
      <c r="QEJ76" s="49" t="s">
        <v>94</v>
      </c>
      <c r="QEK76" s="49" t="s">
        <v>93</v>
      </c>
      <c r="QEL76" s="49" t="s">
        <v>94</v>
      </c>
      <c r="QEM76" s="49" t="s">
        <v>93</v>
      </c>
      <c r="QEN76" s="49" t="s">
        <v>94</v>
      </c>
      <c r="QEO76" s="49" t="s">
        <v>93</v>
      </c>
      <c r="QEP76" s="49" t="s">
        <v>94</v>
      </c>
      <c r="QEQ76" s="49" t="s">
        <v>93</v>
      </c>
      <c r="QER76" s="49" t="s">
        <v>94</v>
      </c>
      <c r="QES76" s="49" t="s">
        <v>93</v>
      </c>
      <c r="QET76" s="49" t="s">
        <v>94</v>
      </c>
      <c r="QEU76" s="49" t="s">
        <v>93</v>
      </c>
      <c r="QEV76" s="49" t="s">
        <v>94</v>
      </c>
      <c r="QEW76" s="49" t="s">
        <v>93</v>
      </c>
      <c r="QEX76" s="49" t="s">
        <v>94</v>
      </c>
      <c r="QEY76" s="49" t="s">
        <v>93</v>
      </c>
      <c r="QEZ76" s="49" t="s">
        <v>94</v>
      </c>
      <c r="QFA76" s="49" t="s">
        <v>93</v>
      </c>
      <c r="QFB76" s="49" t="s">
        <v>94</v>
      </c>
      <c r="QFC76" s="49" t="s">
        <v>93</v>
      </c>
      <c r="QFD76" s="49" t="s">
        <v>94</v>
      </c>
      <c r="QFE76" s="49" t="s">
        <v>93</v>
      </c>
      <c r="QFF76" s="49" t="s">
        <v>94</v>
      </c>
      <c r="QFG76" s="49" t="s">
        <v>93</v>
      </c>
      <c r="QFH76" s="49" t="s">
        <v>94</v>
      </c>
      <c r="QFI76" s="49" t="s">
        <v>93</v>
      </c>
      <c r="QFJ76" s="49" t="s">
        <v>94</v>
      </c>
      <c r="QFK76" s="49" t="s">
        <v>93</v>
      </c>
      <c r="QFL76" s="49" t="s">
        <v>94</v>
      </c>
      <c r="QFM76" s="49" t="s">
        <v>93</v>
      </c>
      <c r="QFN76" s="49" t="s">
        <v>94</v>
      </c>
      <c r="QFO76" s="49" t="s">
        <v>93</v>
      </c>
      <c r="QFP76" s="49" t="s">
        <v>94</v>
      </c>
      <c r="QFQ76" s="49" t="s">
        <v>93</v>
      </c>
      <c r="QFR76" s="49" t="s">
        <v>94</v>
      </c>
      <c r="QFS76" s="49" t="s">
        <v>93</v>
      </c>
      <c r="QFT76" s="49" t="s">
        <v>94</v>
      </c>
      <c r="QFU76" s="49" t="s">
        <v>93</v>
      </c>
      <c r="QFV76" s="49" t="s">
        <v>94</v>
      </c>
      <c r="QFW76" s="49" t="s">
        <v>93</v>
      </c>
      <c r="QFX76" s="49" t="s">
        <v>94</v>
      </c>
      <c r="QFY76" s="49" t="s">
        <v>93</v>
      </c>
      <c r="QFZ76" s="49" t="s">
        <v>94</v>
      </c>
      <c r="QGA76" s="49" t="s">
        <v>93</v>
      </c>
      <c r="QGB76" s="49" t="s">
        <v>94</v>
      </c>
      <c r="QGC76" s="49" t="s">
        <v>93</v>
      </c>
      <c r="QGD76" s="49" t="s">
        <v>94</v>
      </c>
      <c r="QGE76" s="49" t="s">
        <v>93</v>
      </c>
      <c r="QGF76" s="49" t="s">
        <v>94</v>
      </c>
      <c r="QGG76" s="49" t="s">
        <v>93</v>
      </c>
      <c r="QGH76" s="49" t="s">
        <v>94</v>
      </c>
      <c r="QGI76" s="49" t="s">
        <v>93</v>
      </c>
      <c r="QGJ76" s="49" t="s">
        <v>94</v>
      </c>
      <c r="QGK76" s="49" t="s">
        <v>93</v>
      </c>
      <c r="QGL76" s="49" t="s">
        <v>94</v>
      </c>
      <c r="QGM76" s="49" t="s">
        <v>93</v>
      </c>
      <c r="QGN76" s="49" t="s">
        <v>94</v>
      </c>
      <c r="QGO76" s="49" t="s">
        <v>93</v>
      </c>
      <c r="QGP76" s="49" t="s">
        <v>94</v>
      </c>
      <c r="QGQ76" s="49" t="s">
        <v>93</v>
      </c>
      <c r="QGR76" s="49" t="s">
        <v>94</v>
      </c>
      <c r="QGS76" s="49" t="s">
        <v>93</v>
      </c>
      <c r="QGT76" s="49" t="s">
        <v>94</v>
      </c>
      <c r="QGU76" s="49" t="s">
        <v>93</v>
      </c>
      <c r="QGV76" s="49" t="s">
        <v>94</v>
      </c>
      <c r="QGW76" s="49" t="s">
        <v>93</v>
      </c>
      <c r="QGX76" s="49" t="s">
        <v>94</v>
      </c>
      <c r="QGY76" s="49" t="s">
        <v>93</v>
      </c>
      <c r="QGZ76" s="49" t="s">
        <v>94</v>
      </c>
      <c r="QHA76" s="49" t="s">
        <v>93</v>
      </c>
      <c r="QHB76" s="49" t="s">
        <v>94</v>
      </c>
      <c r="QHC76" s="49" t="s">
        <v>93</v>
      </c>
      <c r="QHD76" s="49" t="s">
        <v>94</v>
      </c>
      <c r="QHE76" s="49" t="s">
        <v>93</v>
      </c>
      <c r="QHF76" s="49" t="s">
        <v>94</v>
      </c>
      <c r="QHG76" s="49" t="s">
        <v>93</v>
      </c>
      <c r="QHH76" s="49" t="s">
        <v>94</v>
      </c>
      <c r="QHI76" s="49" t="s">
        <v>93</v>
      </c>
      <c r="QHJ76" s="49" t="s">
        <v>94</v>
      </c>
      <c r="QHK76" s="49" t="s">
        <v>93</v>
      </c>
      <c r="QHL76" s="49" t="s">
        <v>94</v>
      </c>
      <c r="QHM76" s="49" t="s">
        <v>93</v>
      </c>
      <c r="QHN76" s="49" t="s">
        <v>94</v>
      </c>
      <c r="QHO76" s="49" t="s">
        <v>93</v>
      </c>
      <c r="QHP76" s="49" t="s">
        <v>94</v>
      </c>
      <c r="QHQ76" s="49" t="s">
        <v>93</v>
      </c>
      <c r="QHR76" s="49" t="s">
        <v>94</v>
      </c>
      <c r="QHS76" s="49" t="s">
        <v>93</v>
      </c>
      <c r="QHT76" s="49" t="s">
        <v>94</v>
      </c>
      <c r="QHU76" s="49" t="s">
        <v>93</v>
      </c>
      <c r="QHV76" s="49" t="s">
        <v>94</v>
      </c>
      <c r="QHW76" s="49" t="s">
        <v>93</v>
      </c>
      <c r="QHX76" s="49" t="s">
        <v>94</v>
      </c>
      <c r="QHY76" s="49" t="s">
        <v>93</v>
      </c>
      <c r="QHZ76" s="49" t="s">
        <v>94</v>
      </c>
      <c r="QIA76" s="49" t="s">
        <v>93</v>
      </c>
      <c r="QIB76" s="49" t="s">
        <v>94</v>
      </c>
      <c r="QIC76" s="49" t="s">
        <v>93</v>
      </c>
      <c r="QID76" s="49" t="s">
        <v>94</v>
      </c>
      <c r="QIE76" s="49" t="s">
        <v>93</v>
      </c>
      <c r="QIF76" s="49" t="s">
        <v>94</v>
      </c>
      <c r="QIG76" s="49" t="s">
        <v>93</v>
      </c>
      <c r="QIH76" s="49" t="s">
        <v>94</v>
      </c>
      <c r="QII76" s="49" t="s">
        <v>93</v>
      </c>
      <c r="QIJ76" s="49" t="s">
        <v>94</v>
      </c>
      <c r="QIK76" s="49" t="s">
        <v>93</v>
      </c>
      <c r="QIL76" s="49" t="s">
        <v>94</v>
      </c>
      <c r="QIM76" s="49" t="s">
        <v>93</v>
      </c>
      <c r="QIN76" s="49" t="s">
        <v>94</v>
      </c>
      <c r="QIO76" s="49" t="s">
        <v>93</v>
      </c>
      <c r="QIP76" s="49" t="s">
        <v>94</v>
      </c>
      <c r="QIQ76" s="49" t="s">
        <v>93</v>
      </c>
      <c r="QIR76" s="49" t="s">
        <v>94</v>
      </c>
      <c r="QIS76" s="49" t="s">
        <v>93</v>
      </c>
      <c r="QIT76" s="49" t="s">
        <v>94</v>
      </c>
      <c r="QIU76" s="49" t="s">
        <v>93</v>
      </c>
      <c r="QIV76" s="49" t="s">
        <v>94</v>
      </c>
      <c r="QIW76" s="49" t="s">
        <v>93</v>
      </c>
      <c r="QIX76" s="49" t="s">
        <v>94</v>
      </c>
      <c r="QIY76" s="49" t="s">
        <v>93</v>
      </c>
      <c r="QIZ76" s="49" t="s">
        <v>94</v>
      </c>
      <c r="QJA76" s="49" t="s">
        <v>93</v>
      </c>
      <c r="QJB76" s="49" t="s">
        <v>94</v>
      </c>
      <c r="QJC76" s="49" t="s">
        <v>93</v>
      </c>
      <c r="QJD76" s="49" t="s">
        <v>94</v>
      </c>
      <c r="QJE76" s="49" t="s">
        <v>93</v>
      </c>
      <c r="QJF76" s="49" t="s">
        <v>94</v>
      </c>
      <c r="QJG76" s="49" t="s">
        <v>93</v>
      </c>
      <c r="QJH76" s="49" t="s">
        <v>94</v>
      </c>
      <c r="QJI76" s="49" t="s">
        <v>93</v>
      </c>
      <c r="QJJ76" s="49" t="s">
        <v>94</v>
      </c>
      <c r="QJK76" s="49" t="s">
        <v>93</v>
      </c>
      <c r="QJL76" s="49" t="s">
        <v>94</v>
      </c>
      <c r="QJM76" s="49" t="s">
        <v>93</v>
      </c>
      <c r="QJN76" s="49" t="s">
        <v>94</v>
      </c>
      <c r="QJO76" s="49" t="s">
        <v>93</v>
      </c>
      <c r="QJP76" s="49" t="s">
        <v>94</v>
      </c>
      <c r="QJQ76" s="49" t="s">
        <v>93</v>
      </c>
      <c r="QJR76" s="49" t="s">
        <v>94</v>
      </c>
      <c r="QJS76" s="49" t="s">
        <v>93</v>
      </c>
      <c r="QJT76" s="49" t="s">
        <v>94</v>
      </c>
      <c r="QJU76" s="49" t="s">
        <v>93</v>
      </c>
      <c r="QJV76" s="49" t="s">
        <v>94</v>
      </c>
      <c r="QJW76" s="49" t="s">
        <v>93</v>
      </c>
      <c r="QJX76" s="49" t="s">
        <v>94</v>
      </c>
      <c r="QJY76" s="49" t="s">
        <v>93</v>
      </c>
      <c r="QJZ76" s="49" t="s">
        <v>94</v>
      </c>
      <c r="QKA76" s="49" t="s">
        <v>93</v>
      </c>
      <c r="QKB76" s="49" t="s">
        <v>94</v>
      </c>
      <c r="QKC76" s="49" t="s">
        <v>93</v>
      </c>
      <c r="QKD76" s="49" t="s">
        <v>94</v>
      </c>
      <c r="QKE76" s="49" t="s">
        <v>93</v>
      </c>
      <c r="QKF76" s="49" t="s">
        <v>94</v>
      </c>
      <c r="QKG76" s="49" t="s">
        <v>93</v>
      </c>
      <c r="QKH76" s="49" t="s">
        <v>94</v>
      </c>
      <c r="QKI76" s="49" t="s">
        <v>93</v>
      </c>
      <c r="QKJ76" s="49" t="s">
        <v>94</v>
      </c>
      <c r="QKK76" s="49" t="s">
        <v>93</v>
      </c>
      <c r="QKL76" s="49" t="s">
        <v>94</v>
      </c>
      <c r="QKM76" s="49" t="s">
        <v>93</v>
      </c>
      <c r="QKN76" s="49" t="s">
        <v>94</v>
      </c>
      <c r="QKO76" s="49" t="s">
        <v>93</v>
      </c>
      <c r="QKP76" s="49" t="s">
        <v>94</v>
      </c>
      <c r="QKQ76" s="49" t="s">
        <v>93</v>
      </c>
      <c r="QKR76" s="49" t="s">
        <v>94</v>
      </c>
      <c r="QKS76" s="49" t="s">
        <v>93</v>
      </c>
      <c r="QKT76" s="49" t="s">
        <v>94</v>
      </c>
      <c r="QKU76" s="49" t="s">
        <v>93</v>
      </c>
      <c r="QKV76" s="49" t="s">
        <v>94</v>
      </c>
      <c r="QKW76" s="49" t="s">
        <v>93</v>
      </c>
      <c r="QKX76" s="49" t="s">
        <v>94</v>
      </c>
      <c r="QKY76" s="49" t="s">
        <v>93</v>
      </c>
      <c r="QKZ76" s="49" t="s">
        <v>94</v>
      </c>
      <c r="QLA76" s="49" t="s">
        <v>93</v>
      </c>
      <c r="QLB76" s="49" t="s">
        <v>94</v>
      </c>
      <c r="QLC76" s="49" t="s">
        <v>93</v>
      </c>
      <c r="QLD76" s="49" t="s">
        <v>94</v>
      </c>
      <c r="QLE76" s="49" t="s">
        <v>93</v>
      </c>
      <c r="QLF76" s="49" t="s">
        <v>94</v>
      </c>
      <c r="QLG76" s="49" t="s">
        <v>93</v>
      </c>
      <c r="QLH76" s="49" t="s">
        <v>94</v>
      </c>
      <c r="QLI76" s="49" t="s">
        <v>93</v>
      </c>
      <c r="QLJ76" s="49" t="s">
        <v>94</v>
      </c>
      <c r="QLK76" s="49" t="s">
        <v>93</v>
      </c>
      <c r="QLL76" s="49" t="s">
        <v>94</v>
      </c>
      <c r="QLM76" s="49" t="s">
        <v>93</v>
      </c>
      <c r="QLN76" s="49" t="s">
        <v>94</v>
      </c>
      <c r="QLO76" s="49" t="s">
        <v>93</v>
      </c>
      <c r="QLP76" s="49" t="s">
        <v>94</v>
      </c>
      <c r="QLQ76" s="49" t="s">
        <v>93</v>
      </c>
      <c r="QLR76" s="49" t="s">
        <v>94</v>
      </c>
      <c r="QLS76" s="49" t="s">
        <v>93</v>
      </c>
      <c r="QLT76" s="49" t="s">
        <v>94</v>
      </c>
      <c r="QLU76" s="49" t="s">
        <v>93</v>
      </c>
      <c r="QLV76" s="49" t="s">
        <v>94</v>
      </c>
      <c r="QLW76" s="49" t="s">
        <v>93</v>
      </c>
      <c r="QLX76" s="49" t="s">
        <v>94</v>
      </c>
      <c r="QLY76" s="49" t="s">
        <v>93</v>
      </c>
      <c r="QLZ76" s="49" t="s">
        <v>94</v>
      </c>
      <c r="QMA76" s="49" t="s">
        <v>93</v>
      </c>
      <c r="QMB76" s="49" t="s">
        <v>94</v>
      </c>
      <c r="QMC76" s="49" t="s">
        <v>93</v>
      </c>
      <c r="QMD76" s="49" t="s">
        <v>94</v>
      </c>
      <c r="QME76" s="49" t="s">
        <v>93</v>
      </c>
      <c r="QMF76" s="49" t="s">
        <v>94</v>
      </c>
      <c r="QMG76" s="49" t="s">
        <v>93</v>
      </c>
      <c r="QMH76" s="49" t="s">
        <v>94</v>
      </c>
      <c r="QMI76" s="49" t="s">
        <v>93</v>
      </c>
      <c r="QMJ76" s="49" t="s">
        <v>94</v>
      </c>
      <c r="QMK76" s="49" t="s">
        <v>93</v>
      </c>
      <c r="QML76" s="49" t="s">
        <v>94</v>
      </c>
      <c r="QMM76" s="49" t="s">
        <v>93</v>
      </c>
      <c r="QMN76" s="49" t="s">
        <v>94</v>
      </c>
      <c r="QMO76" s="49" t="s">
        <v>93</v>
      </c>
      <c r="QMP76" s="49" t="s">
        <v>94</v>
      </c>
      <c r="QMQ76" s="49" t="s">
        <v>93</v>
      </c>
      <c r="QMR76" s="49" t="s">
        <v>94</v>
      </c>
      <c r="QMS76" s="49" t="s">
        <v>93</v>
      </c>
      <c r="QMT76" s="49" t="s">
        <v>94</v>
      </c>
      <c r="QMU76" s="49" t="s">
        <v>93</v>
      </c>
      <c r="QMV76" s="49" t="s">
        <v>94</v>
      </c>
      <c r="QMW76" s="49" t="s">
        <v>93</v>
      </c>
      <c r="QMX76" s="49" t="s">
        <v>94</v>
      </c>
      <c r="QMY76" s="49" t="s">
        <v>93</v>
      </c>
      <c r="QMZ76" s="49" t="s">
        <v>94</v>
      </c>
      <c r="QNA76" s="49" t="s">
        <v>93</v>
      </c>
      <c r="QNB76" s="49" t="s">
        <v>94</v>
      </c>
      <c r="QNC76" s="49" t="s">
        <v>93</v>
      </c>
      <c r="QND76" s="49" t="s">
        <v>94</v>
      </c>
      <c r="QNE76" s="49" t="s">
        <v>93</v>
      </c>
      <c r="QNF76" s="49" t="s">
        <v>94</v>
      </c>
      <c r="QNG76" s="49" t="s">
        <v>93</v>
      </c>
      <c r="QNH76" s="49" t="s">
        <v>94</v>
      </c>
      <c r="QNI76" s="49" t="s">
        <v>93</v>
      </c>
      <c r="QNJ76" s="49" t="s">
        <v>94</v>
      </c>
      <c r="QNK76" s="49" t="s">
        <v>93</v>
      </c>
      <c r="QNL76" s="49" t="s">
        <v>94</v>
      </c>
      <c r="QNM76" s="49" t="s">
        <v>93</v>
      </c>
      <c r="QNN76" s="49" t="s">
        <v>94</v>
      </c>
      <c r="QNO76" s="49" t="s">
        <v>93</v>
      </c>
      <c r="QNP76" s="49" t="s">
        <v>94</v>
      </c>
      <c r="QNQ76" s="49" t="s">
        <v>93</v>
      </c>
      <c r="QNR76" s="49" t="s">
        <v>94</v>
      </c>
      <c r="QNS76" s="49" t="s">
        <v>93</v>
      </c>
      <c r="QNT76" s="49" t="s">
        <v>94</v>
      </c>
      <c r="QNU76" s="49" t="s">
        <v>93</v>
      </c>
      <c r="QNV76" s="49" t="s">
        <v>94</v>
      </c>
      <c r="QNW76" s="49" t="s">
        <v>93</v>
      </c>
      <c r="QNX76" s="49" t="s">
        <v>94</v>
      </c>
      <c r="QNY76" s="49" t="s">
        <v>93</v>
      </c>
      <c r="QNZ76" s="49" t="s">
        <v>94</v>
      </c>
      <c r="QOA76" s="49" t="s">
        <v>93</v>
      </c>
      <c r="QOB76" s="49" t="s">
        <v>94</v>
      </c>
      <c r="QOC76" s="49" t="s">
        <v>93</v>
      </c>
      <c r="QOD76" s="49" t="s">
        <v>94</v>
      </c>
      <c r="QOE76" s="49" t="s">
        <v>93</v>
      </c>
      <c r="QOF76" s="49" t="s">
        <v>94</v>
      </c>
      <c r="QOG76" s="49" t="s">
        <v>93</v>
      </c>
      <c r="QOH76" s="49" t="s">
        <v>94</v>
      </c>
      <c r="QOI76" s="49" t="s">
        <v>93</v>
      </c>
      <c r="QOJ76" s="49" t="s">
        <v>94</v>
      </c>
      <c r="QOK76" s="49" t="s">
        <v>93</v>
      </c>
      <c r="QOL76" s="49" t="s">
        <v>94</v>
      </c>
      <c r="QOM76" s="49" t="s">
        <v>93</v>
      </c>
      <c r="QON76" s="49" t="s">
        <v>94</v>
      </c>
      <c r="QOO76" s="49" t="s">
        <v>93</v>
      </c>
      <c r="QOP76" s="49" t="s">
        <v>94</v>
      </c>
      <c r="QOQ76" s="49" t="s">
        <v>93</v>
      </c>
      <c r="QOR76" s="49" t="s">
        <v>94</v>
      </c>
      <c r="QOS76" s="49" t="s">
        <v>93</v>
      </c>
      <c r="QOT76" s="49" t="s">
        <v>94</v>
      </c>
      <c r="QOU76" s="49" t="s">
        <v>93</v>
      </c>
      <c r="QOV76" s="49" t="s">
        <v>94</v>
      </c>
      <c r="QOW76" s="49" t="s">
        <v>93</v>
      </c>
      <c r="QOX76" s="49" t="s">
        <v>94</v>
      </c>
      <c r="QOY76" s="49" t="s">
        <v>93</v>
      </c>
      <c r="QOZ76" s="49" t="s">
        <v>94</v>
      </c>
      <c r="QPA76" s="49" t="s">
        <v>93</v>
      </c>
      <c r="QPB76" s="49" t="s">
        <v>94</v>
      </c>
      <c r="QPC76" s="49" t="s">
        <v>93</v>
      </c>
      <c r="QPD76" s="49" t="s">
        <v>94</v>
      </c>
      <c r="QPE76" s="49" t="s">
        <v>93</v>
      </c>
      <c r="QPF76" s="49" t="s">
        <v>94</v>
      </c>
      <c r="QPG76" s="49" t="s">
        <v>93</v>
      </c>
      <c r="QPH76" s="49" t="s">
        <v>94</v>
      </c>
      <c r="QPI76" s="49" t="s">
        <v>93</v>
      </c>
      <c r="QPJ76" s="49" t="s">
        <v>94</v>
      </c>
      <c r="QPK76" s="49" t="s">
        <v>93</v>
      </c>
      <c r="QPL76" s="49" t="s">
        <v>94</v>
      </c>
      <c r="QPM76" s="49" t="s">
        <v>93</v>
      </c>
      <c r="QPN76" s="49" t="s">
        <v>94</v>
      </c>
      <c r="QPO76" s="49" t="s">
        <v>93</v>
      </c>
      <c r="QPP76" s="49" t="s">
        <v>94</v>
      </c>
      <c r="QPQ76" s="49" t="s">
        <v>93</v>
      </c>
      <c r="QPR76" s="49" t="s">
        <v>94</v>
      </c>
      <c r="QPS76" s="49" t="s">
        <v>93</v>
      </c>
      <c r="QPT76" s="49" t="s">
        <v>94</v>
      </c>
      <c r="QPU76" s="49" t="s">
        <v>93</v>
      </c>
      <c r="QPV76" s="49" t="s">
        <v>94</v>
      </c>
      <c r="QPW76" s="49" t="s">
        <v>93</v>
      </c>
      <c r="QPX76" s="49" t="s">
        <v>94</v>
      </c>
      <c r="QPY76" s="49" t="s">
        <v>93</v>
      </c>
      <c r="QPZ76" s="49" t="s">
        <v>94</v>
      </c>
      <c r="QQA76" s="49" t="s">
        <v>93</v>
      </c>
      <c r="QQB76" s="49" t="s">
        <v>94</v>
      </c>
      <c r="QQC76" s="49" t="s">
        <v>93</v>
      </c>
      <c r="QQD76" s="49" t="s">
        <v>94</v>
      </c>
      <c r="QQE76" s="49" t="s">
        <v>93</v>
      </c>
      <c r="QQF76" s="49" t="s">
        <v>94</v>
      </c>
      <c r="QQG76" s="49" t="s">
        <v>93</v>
      </c>
      <c r="QQH76" s="49" t="s">
        <v>94</v>
      </c>
      <c r="QQI76" s="49" t="s">
        <v>93</v>
      </c>
      <c r="QQJ76" s="49" t="s">
        <v>94</v>
      </c>
      <c r="QQK76" s="49" t="s">
        <v>93</v>
      </c>
      <c r="QQL76" s="49" t="s">
        <v>94</v>
      </c>
      <c r="QQM76" s="49" t="s">
        <v>93</v>
      </c>
      <c r="QQN76" s="49" t="s">
        <v>94</v>
      </c>
      <c r="QQO76" s="49" t="s">
        <v>93</v>
      </c>
      <c r="QQP76" s="49" t="s">
        <v>94</v>
      </c>
      <c r="QQQ76" s="49" t="s">
        <v>93</v>
      </c>
      <c r="QQR76" s="49" t="s">
        <v>94</v>
      </c>
      <c r="QQS76" s="49" t="s">
        <v>93</v>
      </c>
      <c r="QQT76" s="49" t="s">
        <v>94</v>
      </c>
      <c r="QQU76" s="49" t="s">
        <v>93</v>
      </c>
      <c r="QQV76" s="49" t="s">
        <v>94</v>
      </c>
      <c r="QQW76" s="49" t="s">
        <v>93</v>
      </c>
      <c r="QQX76" s="49" t="s">
        <v>94</v>
      </c>
      <c r="QQY76" s="49" t="s">
        <v>93</v>
      </c>
      <c r="QQZ76" s="49" t="s">
        <v>94</v>
      </c>
      <c r="QRA76" s="49" t="s">
        <v>93</v>
      </c>
      <c r="QRB76" s="49" t="s">
        <v>94</v>
      </c>
      <c r="QRC76" s="49" t="s">
        <v>93</v>
      </c>
      <c r="QRD76" s="49" t="s">
        <v>94</v>
      </c>
      <c r="QRE76" s="49" t="s">
        <v>93</v>
      </c>
      <c r="QRF76" s="49" t="s">
        <v>94</v>
      </c>
      <c r="QRG76" s="49" t="s">
        <v>93</v>
      </c>
      <c r="QRH76" s="49" t="s">
        <v>94</v>
      </c>
      <c r="QRI76" s="49" t="s">
        <v>93</v>
      </c>
      <c r="QRJ76" s="49" t="s">
        <v>94</v>
      </c>
      <c r="QRK76" s="49" t="s">
        <v>93</v>
      </c>
      <c r="QRL76" s="49" t="s">
        <v>94</v>
      </c>
      <c r="QRM76" s="49" t="s">
        <v>93</v>
      </c>
      <c r="QRN76" s="49" t="s">
        <v>94</v>
      </c>
      <c r="QRO76" s="49" t="s">
        <v>93</v>
      </c>
      <c r="QRP76" s="49" t="s">
        <v>94</v>
      </c>
      <c r="QRQ76" s="49" t="s">
        <v>93</v>
      </c>
      <c r="QRR76" s="49" t="s">
        <v>94</v>
      </c>
      <c r="QRS76" s="49" t="s">
        <v>93</v>
      </c>
      <c r="QRT76" s="49" t="s">
        <v>94</v>
      </c>
      <c r="QRU76" s="49" t="s">
        <v>93</v>
      </c>
      <c r="QRV76" s="49" t="s">
        <v>94</v>
      </c>
      <c r="QRW76" s="49" t="s">
        <v>93</v>
      </c>
      <c r="QRX76" s="49" t="s">
        <v>94</v>
      </c>
      <c r="QRY76" s="49" t="s">
        <v>93</v>
      </c>
      <c r="QRZ76" s="49" t="s">
        <v>94</v>
      </c>
      <c r="QSA76" s="49" t="s">
        <v>93</v>
      </c>
      <c r="QSB76" s="49" t="s">
        <v>94</v>
      </c>
      <c r="QSC76" s="49" t="s">
        <v>93</v>
      </c>
      <c r="QSD76" s="49" t="s">
        <v>94</v>
      </c>
      <c r="QSE76" s="49" t="s">
        <v>93</v>
      </c>
      <c r="QSF76" s="49" t="s">
        <v>94</v>
      </c>
      <c r="QSG76" s="49" t="s">
        <v>93</v>
      </c>
      <c r="QSH76" s="49" t="s">
        <v>94</v>
      </c>
      <c r="QSI76" s="49" t="s">
        <v>93</v>
      </c>
      <c r="QSJ76" s="49" t="s">
        <v>94</v>
      </c>
      <c r="QSK76" s="49" t="s">
        <v>93</v>
      </c>
      <c r="QSL76" s="49" t="s">
        <v>94</v>
      </c>
      <c r="QSM76" s="49" t="s">
        <v>93</v>
      </c>
      <c r="QSN76" s="49" t="s">
        <v>94</v>
      </c>
      <c r="QSO76" s="49" t="s">
        <v>93</v>
      </c>
      <c r="QSP76" s="49" t="s">
        <v>94</v>
      </c>
      <c r="QSQ76" s="49" t="s">
        <v>93</v>
      </c>
      <c r="QSR76" s="49" t="s">
        <v>94</v>
      </c>
      <c r="QSS76" s="49" t="s">
        <v>93</v>
      </c>
      <c r="QST76" s="49" t="s">
        <v>94</v>
      </c>
      <c r="QSU76" s="49" t="s">
        <v>93</v>
      </c>
      <c r="QSV76" s="49" t="s">
        <v>94</v>
      </c>
      <c r="QSW76" s="49" t="s">
        <v>93</v>
      </c>
      <c r="QSX76" s="49" t="s">
        <v>94</v>
      </c>
      <c r="QSY76" s="49" t="s">
        <v>93</v>
      </c>
      <c r="QSZ76" s="49" t="s">
        <v>94</v>
      </c>
      <c r="QTA76" s="49" t="s">
        <v>93</v>
      </c>
      <c r="QTB76" s="49" t="s">
        <v>94</v>
      </c>
      <c r="QTC76" s="49" t="s">
        <v>93</v>
      </c>
      <c r="QTD76" s="49" t="s">
        <v>94</v>
      </c>
      <c r="QTE76" s="49" t="s">
        <v>93</v>
      </c>
      <c r="QTF76" s="49" t="s">
        <v>94</v>
      </c>
      <c r="QTG76" s="49" t="s">
        <v>93</v>
      </c>
      <c r="QTH76" s="49" t="s">
        <v>94</v>
      </c>
      <c r="QTI76" s="49" t="s">
        <v>93</v>
      </c>
      <c r="QTJ76" s="49" t="s">
        <v>94</v>
      </c>
      <c r="QTK76" s="49" t="s">
        <v>93</v>
      </c>
      <c r="QTL76" s="49" t="s">
        <v>94</v>
      </c>
      <c r="QTM76" s="49" t="s">
        <v>93</v>
      </c>
      <c r="QTN76" s="49" t="s">
        <v>94</v>
      </c>
      <c r="QTO76" s="49" t="s">
        <v>93</v>
      </c>
      <c r="QTP76" s="49" t="s">
        <v>94</v>
      </c>
      <c r="QTQ76" s="49" t="s">
        <v>93</v>
      </c>
      <c r="QTR76" s="49" t="s">
        <v>94</v>
      </c>
      <c r="QTS76" s="49" t="s">
        <v>93</v>
      </c>
      <c r="QTT76" s="49" t="s">
        <v>94</v>
      </c>
      <c r="QTU76" s="49" t="s">
        <v>93</v>
      </c>
      <c r="QTV76" s="49" t="s">
        <v>94</v>
      </c>
      <c r="QTW76" s="49" t="s">
        <v>93</v>
      </c>
      <c r="QTX76" s="49" t="s">
        <v>94</v>
      </c>
      <c r="QTY76" s="49" t="s">
        <v>93</v>
      </c>
      <c r="QTZ76" s="49" t="s">
        <v>94</v>
      </c>
      <c r="QUA76" s="49" t="s">
        <v>93</v>
      </c>
      <c r="QUB76" s="49" t="s">
        <v>94</v>
      </c>
      <c r="QUC76" s="49" t="s">
        <v>93</v>
      </c>
      <c r="QUD76" s="49" t="s">
        <v>94</v>
      </c>
      <c r="QUE76" s="49" t="s">
        <v>93</v>
      </c>
      <c r="QUF76" s="49" t="s">
        <v>94</v>
      </c>
      <c r="QUG76" s="49" t="s">
        <v>93</v>
      </c>
      <c r="QUH76" s="49" t="s">
        <v>94</v>
      </c>
      <c r="QUI76" s="49" t="s">
        <v>93</v>
      </c>
      <c r="QUJ76" s="49" t="s">
        <v>94</v>
      </c>
      <c r="QUK76" s="49" t="s">
        <v>93</v>
      </c>
      <c r="QUL76" s="49" t="s">
        <v>94</v>
      </c>
      <c r="QUM76" s="49" t="s">
        <v>93</v>
      </c>
      <c r="QUN76" s="49" t="s">
        <v>94</v>
      </c>
      <c r="QUO76" s="49" t="s">
        <v>93</v>
      </c>
      <c r="QUP76" s="49" t="s">
        <v>94</v>
      </c>
      <c r="QUQ76" s="49" t="s">
        <v>93</v>
      </c>
      <c r="QUR76" s="49" t="s">
        <v>94</v>
      </c>
      <c r="QUS76" s="49" t="s">
        <v>93</v>
      </c>
      <c r="QUT76" s="49" t="s">
        <v>94</v>
      </c>
      <c r="QUU76" s="49" t="s">
        <v>93</v>
      </c>
      <c r="QUV76" s="49" t="s">
        <v>94</v>
      </c>
      <c r="QUW76" s="49" t="s">
        <v>93</v>
      </c>
      <c r="QUX76" s="49" t="s">
        <v>94</v>
      </c>
      <c r="QUY76" s="49" t="s">
        <v>93</v>
      </c>
      <c r="QUZ76" s="49" t="s">
        <v>94</v>
      </c>
      <c r="QVA76" s="49" t="s">
        <v>93</v>
      </c>
      <c r="QVB76" s="49" t="s">
        <v>94</v>
      </c>
      <c r="QVC76" s="49" t="s">
        <v>93</v>
      </c>
      <c r="QVD76" s="49" t="s">
        <v>94</v>
      </c>
      <c r="QVE76" s="49" t="s">
        <v>93</v>
      </c>
      <c r="QVF76" s="49" t="s">
        <v>94</v>
      </c>
      <c r="QVG76" s="49" t="s">
        <v>93</v>
      </c>
      <c r="QVH76" s="49" t="s">
        <v>94</v>
      </c>
      <c r="QVI76" s="49" t="s">
        <v>93</v>
      </c>
      <c r="QVJ76" s="49" t="s">
        <v>94</v>
      </c>
      <c r="QVK76" s="49" t="s">
        <v>93</v>
      </c>
      <c r="QVL76" s="49" t="s">
        <v>94</v>
      </c>
      <c r="QVM76" s="49" t="s">
        <v>93</v>
      </c>
      <c r="QVN76" s="49" t="s">
        <v>94</v>
      </c>
      <c r="QVO76" s="49" t="s">
        <v>93</v>
      </c>
      <c r="QVP76" s="49" t="s">
        <v>94</v>
      </c>
      <c r="QVQ76" s="49" t="s">
        <v>93</v>
      </c>
      <c r="QVR76" s="49" t="s">
        <v>94</v>
      </c>
      <c r="QVS76" s="49" t="s">
        <v>93</v>
      </c>
      <c r="QVT76" s="49" t="s">
        <v>94</v>
      </c>
      <c r="QVU76" s="49" t="s">
        <v>93</v>
      </c>
      <c r="QVV76" s="49" t="s">
        <v>94</v>
      </c>
      <c r="QVW76" s="49" t="s">
        <v>93</v>
      </c>
      <c r="QVX76" s="49" t="s">
        <v>94</v>
      </c>
      <c r="QVY76" s="49" t="s">
        <v>93</v>
      </c>
      <c r="QVZ76" s="49" t="s">
        <v>94</v>
      </c>
      <c r="QWA76" s="49" t="s">
        <v>93</v>
      </c>
      <c r="QWB76" s="49" t="s">
        <v>94</v>
      </c>
      <c r="QWC76" s="49" t="s">
        <v>93</v>
      </c>
      <c r="QWD76" s="49" t="s">
        <v>94</v>
      </c>
      <c r="QWE76" s="49" t="s">
        <v>93</v>
      </c>
      <c r="QWF76" s="49" t="s">
        <v>94</v>
      </c>
      <c r="QWG76" s="49" t="s">
        <v>93</v>
      </c>
      <c r="QWH76" s="49" t="s">
        <v>94</v>
      </c>
      <c r="QWI76" s="49" t="s">
        <v>93</v>
      </c>
      <c r="QWJ76" s="49" t="s">
        <v>94</v>
      </c>
      <c r="QWK76" s="49" t="s">
        <v>93</v>
      </c>
      <c r="QWL76" s="49" t="s">
        <v>94</v>
      </c>
      <c r="QWM76" s="49" t="s">
        <v>93</v>
      </c>
      <c r="QWN76" s="49" t="s">
        <v>94</v>
      </c>
      <c r="QWO76" s="49" t="s">
        <v>93</v>
      </c>
      <c r="QWP76" s="49" t="s">
        <v>94</v>
      </c>
      <c r="QWQ76" s="49" t="s">
        <v>93</v>
      </c>
      <c r="QWR76" s="49" t="s">
        <v>94</v>
      </c>
      <c r="QWS76" s="49" t="s">
        <v>93</v>
      </c>
      <c r="QWT76" s="49" t="s">
        <v>94</v>
      </c>
      <c r="QWU76" s="49" t="s">
        <v>93</v>
      </c>
      <c r="QWV76" s="49" t="s">
        <v>94</v>
      </c>
      <c r="QWW76" s="49" t="s">
        <v>93</v>
      </c>
      <c r="QWX76" s="49" t="s">
        <v>94</v>
      </c>
      <c r="QWY76" s="49" t="s">
        <v>93</v>
      </c>
      <c r="QWZ76" s="49" t="s">
        <v>94</v>
      </c>
      <c r="QXA76" s="49" t="s">
        <v>93</v>
      </c>
      <c r="QXB76" s="49" t="s">
        <v>94</v>
      </c>
      <c r="QXC76" s="49" t="s">
        <v>93</v>
      </c>
      <c r="QXD76" s="49" t="s">
        <v>94</v>
      </c>
      <c r="QXE76" s="49" t="s">
        <v>93</v>
      </c>
      <c r="QXF76" s="49" t="s">
        <v>94</v>
      </c>
      <c r="QXG76" s="49" t="s">
        <v>93</v>
      </c>
      <c r="QXH76" s="49" t="s">
        <v>94</v>
      </c>
      <c r="QXI76" s="49" t="s">
        <v>93</v>
      </c>
      <c r="QXJ76" s="49" t="s">
        <v>94</v>
      </c>
      <c r="QXK76" s="49" t="s">
        <v>93</v>
      </c>
      <c r="QXL76" s="49" t="s">
        <v>94</v>
      </c>
      <c r="QXM76" s="49" t="s">
        <v>93</v>
      </c>
      <c r="QXN76" s="49" t="s">
        <v>94</v>
      </c>
      <c r="QXO76" s="49" t="s">
        <v>93</v>
      </c>
      <c r="QXP76" s="49" t="s">
        <v>94</v>
      </c>
      <c r="QXQ76" s="49" t="s">
        <v>93</v>
      </c>
      <c r="QXR76" s="49" t="s">
        <v>94</v>
      </c>
      <c r="QXS76" s="49" t="s">
        <v>93</v>
      </c>
      <c r="QXT76" s="49" t="s">
        <v>94</v>
      </c>
      <c r="QXU76" s="49" t="s">
        <v>93</v>
      </c>
      <c r="QXV76" s="49" t="s">
        <v>94</v>
      </c>
      <c r="QXW76" s="49" t="s">
        <v>93</v>
      </c>
      <c r="QXX76" s="49" t="s">
        <v>94</v>
      </c>
      <c r="QXY76" s="49" t="s">
        <v>93</v>
      </c>
      <c r="QXZ76" s="49" t="s">
        <v>94</v>
      </c>
      <c r="QYA76" s="49" t="s">
        <v>93</v>
      </c>
      <c r="QYB76" s="49" t="s">
        <v>94</v>
      </c>
      <c r="QYC76" s="49" t="s">
        <v>93</v>
      </c>
      <c r="QYD76" s="49" t="s">
        <v>94</v>
      </c>
      <c r="QYE76" s="49" t="s">
        <v>93</v>
      </c>
      <c r="QYF76" s="49" t="s">
        <v>94</v>
      </c>
      <c r="QYG76" s="49" t="s">
        <v>93</v>
      </c>
      <c r="QYH76" s="49" t="s">
        <v>94</v>
      </c>
      <c r="QYI76" s="49" t="s">
        <v>93</v>
      </c>
      <c r="QYJ76" s="49" t="s">
        <v>94</v>
      </c>
      <c r="QYK76" s="49" t="s">
        <v>93</v>
      </c>
      <c r="QYL76" s="49" t="s">
        <v>94</v>
      </c>
      <c r="QYM76" s="49" t="s">
        <v>93</v>
      </c>
      <c r="QYN76" s="49" t="s">
        <v>94</v>
      </c>
      <c r="QYO76" s="49" t="s">
        <v>93</v>
      </c>
      <c r="QYP76" s="49" t="s">
        <v>94</v>
      </c>
      <c r="QYQ76" s="49" t="s">
        <v>93</v>
      </c>
      <c r="QYR76" s="49" t="s">
        <v>94</v>
      </c>
      <c r="QYS76" s="49" t="s">
        <v>93</v>
      </c>
      <c r="QYT76" s="49" t="s">
        <v>94</v>
      </c>
      <c r="QYU76" s="49" t="s">
        <v>93</v>
      </c>
      <c r="QYV76" s="49" t="s">
        <v>94</v>
      </c>
      <c r="QYW76" s="49" t="s">
        <v>93</v>
      </c>
      <c r="QYX76" s="49" t="s">
        <v>94</v>
      </c>
      <c r="QYY76" s="49" t="s">
        <v>93</v>
      </c>
      <c r="QYZ76" s="49" t="s">
        <v>94</v>
      </c>
      <c r="QZA76" s="49" t="s">
        <v>93</v>
      </c>
      <c r="QZB76" s="49" t="s">
        <v>94</v>
      </c>
      <c r="QZC76" s="49" t="s">
        <v>93</v>
      </c>
      <c r="QZD76" s="49" t="s">
        <v>94</v>
      </c>
      <c r="QZE76" s="49" t="s">
        <v>93</v>
      </c>
      <c r="QZF76" s="49" t="s">
        <v>94</v>
      </c>
      <c r="QZG76" s="49" t="s">
        <v>93</v>
      </c>
      <c r="QZH76" s="49" t="s">
        <v>94</v>
      </c>
      <c r="QZI76" s="49" t="s">
        <v>93</v>
      </c>
      <c r="QZJ76" s="49" t="s">
        <v>94</v>
      </c>
      <c r="QZK76" s="49" t="s">
        <v>93</v>
      </c>
      <c r="QZL76" s="49" t="s">
        <v>94</v>
      </c>
      <c r="QZM76" s="49" t="s">
        <v>93</v>
      </c>
      <c r="QZN76" s="49" t="s">
        <v>94</v>
      </c>
      <c r="QZO76" s="49" t="s">
        <v>93</v>
      </c>
      <c r="QZP76" s="49" t="s">
        <v>94</v>
      </c>
      <c r="QZQ76" s="49" t="s">
        <v>93</v>
      </c>
      <c r="QZR76" s="49" t="s">
        <v>94</v>
      </c>
      <c r="QZS76" s="49" t="s">
        <v>93</v>
      </c>
      <c r="QZT76" s="49" t="s">
        <v>94</v>
      </c>
      <c r="QZU76" s="49" t="s">
        <v>93</v>
      </c>
      <c r="QZV76" s="49" t="s">
        <v>94</v>
      </c>
      <c r="QZW76" s="49" t="s">
        <v>93</v>
      </c>
      <c r="QZX76" s="49" t="s">
        <v>94</v>
      </c>
      <c r="QZY76" s="49" t="s">
        <v>93</v>
      </c>
      <c r="QZZ76" s="49" t="s">
        <v>94</v>
      </c>
      <c r="RAA76" s="49" t="s">
        <v>93</v>
      </c>
      <c r="RAB76" s="49" t="s">
        <v>94</v>
      </c>
      <c r="RAC76" s="49" t="s">
        <v>93</v>
      </c>
      <c r="RAD76" s="49" t="s">
        <v>94</v>
      </c>
      <c r="RAE76" s="49" t="s">
        <v>93</v>
      </c>
      <c r="RAF76" s="49" t="s">
        <v>94</v>
      </c>
      <c r="RAG76" s="49" t="s">
        <v>93</v>
      </c>
      <c r="RAH76" s="49" t="s">
        <v>94</v>
      </c>
      <c r="RAI76" s="49" t="s">
        <v>93</v>
      </c>
      <c r="RAJ76" s="49" t="s">
        <v>94</v>
      </c>
      <c r="RAK76" s="49" t="s">
        <v>93</v>
      </c>
      <c r="RAL76" s="49" t="s">
        <v>94</v>
      </c>
      <c r="RAM76" s="49" t="s">
        <v>93</v>
      </c>
      <c r="RAN76" s="49" t="s">
        <v>94</v>
      </c>
      <c r="RAO76" s="49" t="s">
        <v>93</v>
      </c>
      <c r="RAP76" s="49" t="s">
        <v>94</v>
      </c>
      <c r="RAQ76" s="49" t="s">
        <v>93</v>
      </c>
      <c r="RAR76" s="49" t="s">
        <v>94</v>
      </c>
      <c r="RAS76" s="49" t="s">
        <v>93</v>
      </c>
      <c r="RAT76" s="49" t="s">
        <v>94</v>
      </c>
      <c r="RAU76" s="49" t="s">
        <v>93</v>
      </c>
      <c r="RAV76" s="49" t="s">
        <v>94</v>
      </c>
      <c r="RAW76" s="49" t="s">
        <v>93</v>
      </c>
      <c r="RAX76" s="49" t="s">
        <v>94</v>
      </c>
      <c r="RAY76" s="49" t="s">
        <v>93</v>
      </c>
      <c r="RAZ76" s="49" t="s">
        <v>94</v>
      </c>
      <c r="RBA76" s="49" t="s">
        <v>93</v>
      </c>
      <c r="RBB76" s="49" t="s">
        <v>94</v>
      </c>
      <c r="RBC76" s="49" t="s">
        <v>93</v>
      </c>
      <c r="RBD76" s="49" t="s">
        <v>94</v>
      </c>
      <c r="RBE76" s="49" t="s">
        <v>93</v>
      </c>
      <c r="RBF76" s="49" t="s">
        <v>94</v>
      </c>
      <c r="RBG76" s="49" t="s">
        <v>93</v>
      </c>
      <c r="RBH76" s="49" t="s">
        <v>94</v>
      </c>
      <c r="RBI76" s="49" t="s">
        <v>93</v>
      </c>
      <c r="RBJ76" s="49" t="s">
        <v>94</v>
      </c>
      <c r="RBK76" s="49" t="s">
        <v>93</v>
      </c>
      <c r="RBL76" s="49" t="s">
        <v>94</v>
      </c>
      <c r="RBM76" s="49" t="s">
        <v>93</v>
      </c>
      <c r="RBN76" s="49" t="s">
        <v>94</v>
      </c>
      <c r="RBO76" s="49" t="s">
        <v>93</v>
      </c>
      <c r="RBP76" s="49" t="s">
        <v>94</v>
      </c>
      <c r="RBQ76" s="49" t="s">
        <v>93</v>
      </c>
      <c r="RBR76" s="49" t="s">
        <v>94</v>
      </c>
      <c r="RBS76" s="49" t="s">
        <v>93</v>
      </c>
      <c r="RBT76" s="49" t="s">
        <v>94</v>
      </c>
      <c r="RBU76" s="49" t="s">
        <v>93</v>
      </c>
      <c r="RBV76" s="49" t="s">
        <v>94</v>
      </c>
      <c r="RBW76" s="49" t="s">
        <v>93</v>
      </c>
      <c r="RBX76" s="49" t="s">
        <v>94</v>
      </c>
      <c r="RBY76" s="49" t="s">
        <v>93</v>
      </c>
      <c r="RBZ76" s="49" t="s">
        <v>94</v>
      </c>
      <c r="RCA76" s="49" t="s">
        <v>93</v>
      </c>
      <c r="RCB76" s="49" t="s">
        <v>94</v>
      </c>
      <c r="RCC76" s="49" t="s">
        <v>93</v>
      </c>
      <c r="RCD76" s="49" t="s">
        <v>94</v>
      </c>
      <c r="RCE76" s="49" t="s">
        <v>93</v>
      </c>
      <c r="RCF76" s="49" t="s">
        <v>94</v>
      </c>
      <c r="RCG76" s="49" t="s">
        <v>93</v>
      </c>
      <c r="RCH76" s="49" t="s">
        <v>94</v>
      </c>
      <c r="RCI76" s="49" t="s">
        <v>93</v>
      </c>
      <c r="RCJ76" s="49" t="s">
        <v>94</v>
      </c>
      <c r="RCK76" s="49" t="s">
        <v>93</v>
      </c>
      <c r="RCL76" s="49" t="s">
        <v>94</v>
      </c>
      <c r="RCM76" s="49" t="s">
        <v>93</v>
      </c>
      <c r="RCN76" s="49" t="s">
        <v>94</v>
      </c>
      <c r="RCO76" s="49" t="s">
        <v>93</v>
      </c>
      <c r="RCP76" s="49" t="s">
        <v>94</v>
      </c>
      <c r="RCQ76" s="49" t="s">
        <v>93</v>
      </c>
      <c r="RCR76" s="49" t="s">
        <v>94</v>
      </c>
      <c r="RCS76" s="49" t="s">
        <v>93</v>
      </c>
      <c r="RCT76" s="49" t="s">
        <v>94</v>
      </c>
      <c r="RCU76" s="49" t="s">
        <v>93</v>
      </c>
      <c r="RCV76" s="49" t="s">
        <v>94</v>
      </c>
      <c r="RCW76" s="49" t="s">
        <v>93</v>
      </c>
      <c r="RCX76" s="49" t="s">
        <v>94</v>
      </c>
      <c r="RCY76" s="49" t="s">
        <v>93</v>
      </c>
      <c r="RCZ76" s="49" t="s">
        <v>94</v>
      </c>
      <c r="RDA76" s="49" t="s">
        <v>93</v>
      </c>
      <c r="RDB76" s="49" t="s">
        <v>94</v>
      </c>
      <c r="RDC76" s="49" t="s">
        <v>93</v>
      </c>
      <c r="RDD76" s="49" t="s">
        <v>94</v>
      </c>
      <c r="RDE76" s="49" t="s">
        <v>93</v>
      </c>
      <c r="RDF76" s="49" t="s">
        <v>94</v>
      </c>
      <c r="RDG76" s="49" t="s">
        <v>93</v>
      </c>
      <c r="RDH76" s="49" t="s">
        <v>94</v>
      </c>
      <c r="RDI76" s="49" t="s">
        <v>93</v>
      </c>
      <c r="RDJ76" s="49" t="s">
        <v>94</v>
      </c>
      <c r="RDK76" s="49" t="s">
        <v>93</v>
      </c>
      <c r="RDL76" s="49" t="s">
        <v>94</v>
      </c>
      <c r="RDM76" s="49" t="s">
        <v>93</v>
      </c>
      <c r="RDN76" s="49" t="s">
        <v>94</v>
      </c>
      <c r="RDO76" s="49" t="s">
        <v>93</v>
      </c>
      <c r="RDP76" s="49" t="s">
        <v>94</v>
      </c>
      <c r="RDQ76" s="49" t="s">
        <v>93</v>
      </c>
      <c r="RDR76" s="49" t="s">
        <v>94</v>
      </c>
      <c r="RDS76" s="49" t="s">
        <v>93</v>
      </c>
      <c r="RDT76" s="49" t="s">
        <v>94</v>
      </c>
      <c r="RDU76" s="49" t="s">
        <v>93</v>
      </c>
      <c r="RDV76" s="49" t="s">
        <v>94</v>
      </c>
      <c r="RDW76" s="49" t="s">
        <v>93</v>
      </c>
      <c r="RDX76" s="49" t="s">
        <v>94</v>
      </c>
      <c r="RDY76" s="49" t="s">
        <v>93</v>
      </c>
      <c r="RDZ76" s="49" t="s">
        <v>94</v>
      </c>
      <c r="REA76" s="49" t="s">
        <v>93</v>
      </c>
      <c r="REB76" s="49" t="s">
        <v>94</v>
      </c>
      <c r="REC76" s="49" t="s">
        <v>93</v>
      </c>
      <c r="RED76" s="49" t="s">
        <v>94</v>
      </c>
      <c r="REE76" s="49" t="s">
        <v>93</v>
      </c>
      <c r="REF76" s="49" t="s">
        <v>94</v>
      </c>
      <c r="REG76" s="49" t="s">
        <v>93</v>
      </c>
      <c r="REH76" s="49" t="s">
        <v>94</v>
      </c>
      <c r="REI76" s="49" t="s">
        <v>93</v>
      </c>
      <c r="REJ76" s="49" t="s">
        <v>94</v>
      </c>
      <c r="REK76" s="49" t="s">
        <v>93</v>
      </c>
      <c r="REL76" s="49" t="s">
        <v>94</v>
      </c>
      <c r="REM76" s="49" t="s">
        <v>93</v>
      </c>
      <c r="REN76" s="49" t="s">
        <v>94</v>
      </c>
      <c r="REO76" s="49" t="s">
        <v>93</v>
      </c>
      <c r="REP76" s="49" t="s">
        <v>94</v>
      </c>
      <c r="REQ76" s="49" t="s">
        <v>93</v>
      </c>
      <c r="RER76" s="49" t="s">
        <v>94</v>
      </c>
      <c r="RES76" s="49" t="s">
        <v>93</v>
      </c>
      <c r="RET76" s="49" t="s">
        <v>94</v>
      </c>
      <c r="REU76" s="49" t="s">
        <v>93</v>
      </c>
      <c r="REV76" s="49" t="s">
        <v>94</v>
      </c>
      <c r="REW76" s="49" t="s">
        <v>93</v>
      </c>
      <c r="REX76" s="49" t="s">
        <v>94</v>
      </c>
      <c r="REY76" s="49" t="s">
        <v>93</v>
      </c>
      <c r="REZ76" s="49" t="s">
        <v>94</v>
      </c>
      <c r="RFA76" s="49" t="s">
        <v>93</v>
      </c>
      <c r="RFB76" s="49" t="s">
        <v>94</v>
      </c>
      <c r="RFC76" s="49" t="s">
        <v>93</v>
      </c>
      <c r="RFD76" s="49" t="s">
        <v>94</v>
      </c>
      <c r="RFE76" s="49" t="s">
        <v>93</v>
      </c>
      <c r="RFF76" s="49" t="s">
        <v>94</v>
      </c>
      <c r="RFG76" s="49" t="s">
        <v>93</v>
      </c>
      <c r="RFH76" s="49" t="s">
        <v>94</v>
      </c>
      <c r="RFI76" s="49" t="s">
        <v>93</v>
      </c>
      <c r="RFJ76" s="49" t="s">
        <v>94</v>
      </c>
      <c r="RFK76" s="49" t="s">
        <v>93</v>
      </c>
      <c r="RFL76" s="49" t="s">
        <v>94</v>
      </c>
      <c r="RFM76" s="49" t="s">
        <v>93</v>
      </c>
      <c r="RFN76" s="49" t="s">
        <v>94</v>
      </c>
      <c r="RFO76" s="49" t="s">
        <v>93</v>
      </c>
      <c r="RFP76" s="49" t="s">
        <v>94</v>
      </c>
      <c r="RFQ76" s="49" t="s">
        <v>93</v>
      </c>
      <c r="RFR76" s="49" t="s">
        <v>94</v>
      </c>
      <c r="RFS76" s="49" t="s">
        <v>93</v>
      </c>
      <c r="RFT76" s="49" t="s">
        <v>94</v>
      </c>
      <c r="RFU76" s="49" t="s">
        <v>93</v>
      </c>
      <c r="RFV76" s="49" t="s">
        <v>94</v>
      </c>
      <c r="RFW76" s="49" t="s">
        <v>93</v>
      </c>
      <c r="RFX76" s="49" t="s">
        <v>94</v>
      </c>
      <c r="RFY76" s="49" t="s">
        <v>93</v>
      </c>
      <c r="RFZ76" s="49" t="s">
        <v>94</v>
      </c>
      <c r="RGA76" s="49" t="s">
        <v>93</v>
      </c>
      <c r="RGB76" s="49" t="s">
        <v>94</v>
      </c>
      <c r="RGC76" s="49" t="s">
        <v>93</v>
      </c>
      <c r="RGD76" s="49" t="s">
        <v>94</v>
      </c>
      <c r="RGE76" s="49" t="s">
        <v>93</v>
      </c>
      <c r="RGF76" s="49" t="s">
        <v>94</v>
      </c>
      <c r="RGG76" s="49" t="s">
        <v>93</v>
      </c>
      <c r="RGH76" s="49" t="s">
        <v>94</v>
      </c>
      <c r="RGI76" s="49" t="s">
        <v>93</v>
      </c>
      <c r="RGJ76" s="49" t="s">
        <v>94</v>
      </c>
      <c r="RGK76" s="49" t="s">
        <v>93</v>
      </c>
      <c r="RGL76" s="49" t="s">
        <v>94</v>
      </c>
      <c r="RGM76" s="49" t="s">
        <v>93</v>
      </c>
      <c r="RGN76" s="49" t="s">
        <v>94</v>
      </c>
      <c r="RGO76" s="49" t="s">
        <v>93</v>
      </c>
      <c r="RGP76" s="49" t="s">
        <v>94</v>
      </c>
      <c r="RGQ76" s="49" t="s">
        <v>93</v>
      </c>
      <c r="RGR76" s="49" t="s">
        <v>94</v>
      </c>
      <c r="RGS76" s="49" t="s">
        <v>93</v>
      </c>
      <c r="RGT76" s="49" t="s">
        <v>94</v>
      </c>
      <c r="RGU76" s="49" t="s">
        <v>93</v>
      </c>
      <c r="RGV76" s="49" t="s">
        <v>94</v>
      </c>
      <c r="RGW76" s="49" t="s">
        <v>93</v>
      </c>
      <c r="RGX76" s="49" t="s">
        <v>94</v>
      </c>
      <c r="RGY76" s="49" t="s">
        <v>93</v>
      </c>
      <c r="RGZ76" s="49" t="s">
        <v>94</v>
      </c>
      <c r="RHA76" s="49" t="s">
        <v>93</v>
      </c>
      <c r="RHB76" s="49" t="s">
        <v>94</v>
      </c>
      <c r="RHC76" s="49" t="s">
        <v>93</v>
      </c>
      <c r="RHD76" s="49" t="s">
        <v>94</v>
      </c>
      <c r="RHE76" s="49" t="s">
        <v>93</v>
      </c>
      <c r="RHF76" s="49" t="s">
        <v>94</v>
      </c>
      <c r="RHG76" s="49" t="s">
        <v>93</v>
      </c>
      <c r="RHH76" s="49" t="s">
        <v>94</v>
      </c>
      <c r="RHI76" s="49" t="s">
        <v>93</v>
      </c>
      <c r="RHJ76" s="49" t="s">
        <v>94</v>
      </c>
      <c r="RHK76" s="49" t="s">
        <v>93</v>
      </c>
      <c r="RHL76" s="49" t="s">
        <v>94</v>
      </c>
      <c r="RHM76" s="49" t="s">
        <v>93</v>
      </c>
      <c r="RHN76" s="49" t="s">
        <v>94</v>
      </c>
      <c r="RHO76" s="49" t="s">
        <v>93</v>
      </c>
      <c r="RHP76" s="49" t="s">
        <v>94</v>
      </c>
      <c r="RHQ76" s="49" t="s">
        <v>93</v>
      </c>
      <c r="RHR76" s="49" t="s">
        <v>94</v>
      </c>
      <c r="RHS76" s="49" t="s">
        <v>93</v>
      </c>
      <c r="RHT76" s="49" t="s">
        <v>94</v>
      </c>
      <c r="RHU76" s="49" t="s">
        <v>93</v>
      </c>
      <c r="RHV76" s="49" t="s">
        <v>94</v>
      </c>
      <c r="RHW76" s="49" t="s">
        <v>93</v>
      </c>
      <c r="RHX76" s="49" t="s">
        <v>94</v>
      </c>
      <c r="RHY76" s="49" t="s">
        <v>93</v>
      </c>
      <c r="RHZ76" s="49" t="s">
        <v>94</v>
      </c>
      <c r="RIA76" s="49" t="s">
        <v>93</v>
      </c>
      <c r="RIB76" s="49" t="s">
        <v>94</v>
      </c>
      <c r="RIC76" s="49" t="s">
        <v>93</v>
      </c>
      <c r="RID76" s="49" t="s">
        <v>94</v>
      </c>
      <c r="RIE76" s="49" t="s">
        <v>93</v>
      </c>
      <c r="RIF76" s="49" t="s">
        <v>94</v>
      </c>
      <c r="RIG76" s="49" t="s">
        <v>93</v>
      </c>
      <c r="RIH76" s="49" t="s">
        <v>94</v>
      </c>
      <c r="RII76" s="49" t="s">
        <v>93</v>
      </c>
      <c r="RIJ76" s="49" t="s">
        <v>94</v>
      </c>
      <c r="RIK76" s="49" t="s">
        <v>93</v>
      </c>
      <c r="RIL76" s="49" t="s">
        <v>94</v>
      </c>
      <c r="RIM76" s="49" t="s">
        <v>93</v>
      </c>
      <c r="RIN76" s="49" t="s">
        <v>94</v>
      </c>
      <c r="RIO76" s="49" t="s">
        <v>93</v>
      </c>
      <c r="RIP76" s="49" t="s">
        <v>94</v>
      </c>
      <c r="RIQ76" s="49" t="s">
        <v>93</v>
      </c>
      <c r="RIR76" s="49" t="s">
        <v>94</v>
      </c>
      <c r="RIS76" s="49" t="s">
        <v>93</v>
      </c>
      <c r="RIT76" s="49" t="s">
        <v>94</v>
      </c>
      <c r="RIU76" s="49" t="s">
        <v>93</v>
      </c>
      <c r="RIV76" s="49" t="s">
        <v>94</v>
      </c>
      <c r="RIW76" s="49" t="s">
        <v>93</v>
      </c>
      <c r="RIX76" s="49" t="s">
        <v>94</v>
      </c>
      <c r="RIY76" s="49" t="s">
        <v>93</v>
      </c>
      <c r="RIZ76" s="49" t="s">
        <v>94</v>
      </c>
      <c r="RJA76" s="49" t="s">
        <v>93</v>
      </c>
      <c r="RJB76" s="49" t="s">
        <v>94</v>
      </c>
      <c r="RJC76" s="49" t="s">
        <v>93</v>
      </c>
      <c r="RJD76" s="49" t="s">
        <v>94</v>
      </c>
      <c r="RJE76" s="49" t="s">
        <v>93</v>
      </c>
      <c r="RJF76" s="49" t="s">
        <v>94</v>
      </c>
      <c r="RJG76" s="49" t="s">
        <v>93</v>
      </c>
      <c r="RJH76" s="49" t="s">
        <v>94</v>
      </c>
      <c r="RJI76" s="49" t="s">
        <v>93</v>
      </c>
      <c r="RJJ76" s="49" t="s">
        <v>94</v>
      </c>
      <c r="RJK76" s="49" t="s">
        <v>93</v>
      </c>
      <c r="RJL76" s="49" t="s">
        <v>94</v>
      </c>
      <c r="RJM76" s="49" t="s">
        <v>93</v>
      </c>
      <c r="RJN76" s="49" t="s">
        <v>94</v>
      </c>
      <c r="RJO76" s="49" t="s">
        <v>93</v>
      </c>
      <c r="RJP76" s="49" t="s">
        <v>94</v>
      </c>
      <c r="RJQ76" s="49" t="s">
        <v>93</v>
      </c>
      <c r="RJR76" s="49" t="s">
        <v>94</v>
      </c>
      <c r="RJS76" s="49" t="s">
        <v>93</v>
      </c>
      <c r="RJT76" s="49" t="s">
        <v>94</v>
      </c>
      <c r="RJU76" s="49" t="s">
        <v>93</v>
      </c>
      <c r="RJV76" s="49" t="s">
        <v>94</v>
      </c>
      <c r="RJW76" s="49" t="s">
        <v>93</v>
      </c>
      <c r="RJX76" s="49" t="s">
        <v>94</v>
      </c>
      <c r="RJY76" s="49" t="s">
        <v>93</v>
      </c>
      <c r="RJZ76" s="49" t="s">
        <v>94</v>
      </c>
      <c r="RKA76" s="49" t="s">
        <v>93</v>
      </c>
      <c r="RKB76" s="49" t="s">
        <v>94</v>
      </c>
      <c r="RKC76" s="49" t="s">
        <v>93</v>
      </c>
      <c r="RKD76" s="49" t="s">
        <v>94</v>
      </c>
      <c r="RKE76" s="49" t="s">
        <v>93</v>
      </c>
      <c r="RKF76" s="49" t="s">
        <v>94</v>
      </c>
      <c r="RKG76" s="49" t="s">
        <v>93</v>
      </c>
      <c r="RKH76" s="49" t="s">
        <v>94</v>
      </c>
      <c r="RKI76" s="49" t="s">
        <v>93</v>
      </c>
      <c r="RKJ76" s="49" t="s">
        <v>94</v>
      </c>
      <c r="RKK76" s="49" t="s">
        <v>93</v>
      </c>
      <c r="RKL76" s="49" t="s">
        <v>94</v>
      </c>
      <c r="RKM76" s="49" t="s">
        <v>93</v>
      </c>
      <c r="RKN76" s="49" t="s">
        <v>94</v>
      </c>
      <c r="RKO76" s="49" t="s">
        <v>93</v>
      </c>
      <c r="RKP76" s="49" t="s">
        <v>94</v>
      </c>
      <c r="RKQ76" s="49" t="s">
        <v>93</v>
      </c>
      <c r="RKR76" s="49" t="s">
        <v>94</v>
      </c>
      <c r="RKS76" s="49" t="s">
        <v>93</v>
      </c>
      <c r="RKT76" s="49" t="s">
        <v>94</v>
      </c>
      <c r="RKU76" s="49" t="s">
        <v>93</v>
      </c>
      <c r="RKV76" s="49" t="s">
        <v>94</v>
      </c>
      <c r="RKW76" s="49" t="s">
        <v>93</v>
      </c>
      <c r="RKX76" s="49" t="s">
        <v>94</v>
      </c>
      <c r="RKY76" s="49" t="s">
        <v>93</v>
      </c>
      <c r="RKZ76" s="49" t="s">
        <v>94</v>
      </c>
      <c r="RLA76" s="49" t="s">
        <v>93</v>
      </c>
      <c r="RLB76" s="49" t="s">
        <v>94</v>
      </c>
      <c r="RLC76" s="49" t="s">
        <v>93</v>
      </c>
      <c r="RLD76" s="49" t="s">
        <v>94</v>
      </c>
      <c r="RLE76" s="49" t="s">
        <v>93</v>
      </c>
      <c r="RLF76" s="49" t="s">
        <v>94</v>
      </c>
      <c r="RLG76" s="49" t="s">
        <v>93</v>
      </c>
      <c r="RLH76" s="49" t="s">
        <v>94</v>
      </c>
      <c r="RLI76" s="49" t="s">
        <v>93</v>
      </c>
      <c r="RLJ76" s="49" t="s">
        <v>94</v>
      </c>
      <c r="RLK76" s="49" t="s">
        <v>93</v>
      </c>
      <c r="RLL76" s="49" t="s">
        <v>94</v>
      </c>
      <c r="RLM76" s="49" t="s">
        <v>93</v>
      </c>
      <c r="RLN76" s="49" t="s">
        <v>94</v>
      </c>
      <c r="RLO76" s="49" t="s">
        <v>93</v>
      </c>
      <c r="RLP76" s="49" t="s">
        <v>94</v>
      </c>
      <c r="RLQ76" s="49" t="s">
        <v>93</v>
      </c>
      <c r="RLR76" s="49" t="s">
        <v>94</v>
      </c>
      <c r="RLS76" s="49" t="s">
        <v>93</v>
      </c>
      <c r="RLT76" s="49" t="s">
        <v>94</v>
      </c>
      <c r="RLU76" s="49" t="s">
        <v>93</v>
      </c>
      <c r="RLV76" s="49" t="s">
        <v>94</v>
      </c>
      <c r="RLW76" s="49" t="s">
        <v>93</v>
      </c>
      <c r="RLX76" s="49" t="s">
        <v>94</v>
      </c>
      <c r="RLY76" s="49" t="s">
        <v>93</v>
      </c>
      <c r="RLZ76" s="49" t="s">
        <v>94</v>
      </c>
      <c r="RMA76" s="49" t="s">
        <v>93</v>
      </c>
      <c r="RMB76" s="49" t="s">
        <v>94</v>
      </c>
      <c r="RMC76" s="49" t="s">
        <v>93</v>
      </c>
      <c r="RMD76" s="49" t="s">
        <v>94</v>
      </c>
      <c r="RME76" s="49" t="s">
        <v>93</v>
      </c>
      <c r="RMF76" s="49" t="s">
        <v>94</v>
      </c>
      <c r="RMG76" s="49" t="s">
        <v>93</v>
      </c>
      <c r="RMH76" s="49" t="s">
        <v>94</v>
      </c>
      <c r="RMI76" s="49" t="s">
        <v>93</v>
      </c>
      <c r="RMJ76" s="49" t="s">
        <v>94</v>
      </c>
      <c r="RMK76" s="49" t="s">
        <v>93</v>
      </c>
      <c r="RML76" s="49" t="s">
        <v>94</v>
      </c>
      <c r="RMM76" s="49" t="s">
        <v>93</v>
      </c>
      <c r="RMN76" s="49" t="s">
        <v>94</v>
      </c>
      <c r="RMO76" s="49" t="s">
        <v>93</v>
      </c>
      <c r="RMP76" s="49" t="s">
        <v>94</v>
      </c>
      <c r="RMQ76" s="49" t="s">
        <v>93</v>
      </c>
      <c r="RMR76" s="49" t="s">
        <v>94</v>
      </c>
      <c r="RMS76" s="49" t="s">
        <v>93</v>
      </c>
      <c r="RMT76" s="49" t="s">
        <v>94</v>
      </c>
      <c r="RMU76" s="49" t="s">
        <v>93</v>
      </c>
      <c r="RMV76" s="49" t="s">
        <v>94</v>
      </c>
      <c r="RMW76" s="49" t="s">
        <v>93</v>
      </c>
      <c r="RMX76" s="49" t="s">
        <v>94</v>
      </c>
      <c r="RMY76" s="49" t="s">
        <v>93</v>
      </c>
      <c r="RMZ76" s="49" t="s">
        <v>94</v>
      </c>
      <c r="RNA76" s="49" t="s">
        <v>93</v>
      </c>
      <c r="RNB76" s="49" t="s">
        <v>94</v>
      </c>
      <c r="RNC76" s="49" t="s">
        <v>93</v>
      </c>
      <c r="RND76" s="49" t="s">
        <v>94</v>
      </c>
      <c r="RNE76" s="49" t="s">
        <v>93</v>
      </c>
      <c r="RNF76" s="49" t="s">
        <v>94</v>
      </c>
      <c r="RNG76" s="49" t="s">
        <v>93</v>
      </c>
      <c r="RNH76" s="49" t="s">
        <v>94</v>
      </c>
      <c r="RNI76" s="49" t="s">
        <v>93</v>
      </c>
      <c r="RNJ76" s="49" t="s">
        <v>94</v>
      </c>
      <c r="RNK76" s="49" t="s">
        <v>93</v>
      </c>
      <c r="RNL76" s="49" t="s">
        <v>94</v>
      </c>
      <c r="RNM76" s="49" t="s">
        <v>93</v>
      </c>
      <c r="RNN76" s="49" t="s">
        <v>94</v>
      </c>
      <c r="RNO76" s="49" t="s">
        <v>93</v>
      </c>
      <c r="RNP76" s="49" t="s">
        <v>94</v>
      </c>
      <c r="RNQ76" s="49" t="s">
        <v>93</v>
      </c>
      <c r="RNR76" s="49" t="s">
        <v>94</v>
      </c>
      <c r="RNS76" s="49" t="s">
        <v>93</v>
      </c>
      <c r="RNT76" s="49" t="s">
        <v>94</v>
      </c>
      <c r="RNU76" s="49" t="s">
        <v>93</v>
      </c>
      <c r="RNV76" s="49" t="s">
        <v>94</v>
      </c>
      <c r="RNW76" s="49" t="s">
        <v>93</v>
      </c>
      <c r="RNX76" s="49" t="s">
        <v>94</v>
      </c>
      <c r="RNY76" s="49" t="s">
        <v>93</v>
      </c>
      <c r="RNZ76" s="49" t="s">
        <v>94</v>
      </c>
      <c r="ROA76" s="49" t="s">
        <v>93</v>
      </c>
      <c r="ROB76" s="49" t="s">
        <v>94</v>
      </c>
      <c r="ROC76" s="49" t="s">
        <v>93</v>
      </c>
      <c r="ROD76" s="49" t="s">
        <v>94</v>
      </c>
      <c r="ROE76" s="49" t="s">
        <v>93</v>
      </c>
      <c r="ROF76" s="49" t="s">
        <v>94</v>
      </c>
      <c r="ROG76" s="49" t="s">
        <v>93</v>
      </c>
      <c r="ROH76" s="49" t="s">
        <v>94</v>
      </c>
      <c r="ROI76" s="49" t="s">
        <v>93</v>
      </c>
      <c r="ROJ76" s="49" t="s">
        <v>94</v>
      </c>
      <c r="ROK76" s="49" t="s">
        <v>93</v>
      </c>
      <c r="ROL76" s="49" t="s">
        <v>94</v>
      </c>
      <c r="ROM76" s="49" t="s">
        <v>93</v>
      </c>
      <c r="RON76" s="49" t="s">
        <v>94</v>
      </c>
      <c r="ROO76" s="49" t="s">
        <v>93</v>
      </c>
      <c r="ROP76" s="49" t="s">
        <v>94</v>
      </c>
      <c r="ROQ76" s="49" t="s">
        <v>93</v>
      </c>
      <c r="ROR76" s="49" t="s">
        <v>94</v>
      </c>
      <c r="ROS76" s="49" t="s">
        <v>93</v>
      </c>
      <c r="ROT76" s="49" t="s">
        <v>94</v>
      </c>
      <c r="ROU76" s="49" t="s">
        <v>93</v>
      </c>
      <c r="ROV76" s="49" t="s">
        <v>94</v>
      </c>
      <c r="ROW76" s="49" t="s">
        <v>93</v>
      </c>
      <c r="ROX76" s="49" t="s">
        <v>94</v>
      </c>
      <c r="ROY76" s="49" t="s">
        <v>93</v>
      </c>
      <c r="ROZ76" s="49" t="s">
        <v>94</v>
      </c>
      <c r="RPA76" s="49" t="s">
        <v>93</v>
      </c>
      <c r="RPB76" s="49" t="s">
        <v>94</v>
      </c>
      <c r="RPC76" s="49" t="s">
        <v>93</v>
      </c>
      <c r="RPD76" s="49" t="s">
        <v>94</v>
      </c>
      <c r="RPE76" s="49" t="s">
        <v>93</v>
      </c>
      <c r="RPF76" s="49" t="s">
        <v>94</v>
      </c>
      <c r="RPG76" s="49" t="s">
        <v>93</v>
      </c>
      <c r="RPH76" s="49" t="s">
        <v>94</v>
      </c>
      <c r="RPI76" s="49" t="s">
        <v>93</v>
      </c>
      <c r="RPJ76" s="49" t="s">
        <v>94</v>
      </c>
      <c r="RPK76" s="49" t="s">
        <v>93</v>
      </c>
      <c r="RPL76" s="49" t="s">
        <v>94</v>
      </c>
      <c r="RPM76" s="49" t="s">
        <v>93</v>
      </c>
      <c r="RPN76" s="49" t="s">
        <v>94</v>
      </c>
      <c r="RPO76" s="49" t="s">
        <v>93</v>
      </c>
      <c r="RPP76" s="49" t="s">
        <v>94</v>
      </c>
      <c r="RPQ76" s="49" t="s">
        <v>93</v>
      </c>
      <c r="RPR76" s="49" t="s">
        <v>94</v>
      </c>
      <c r="RPS76" s="49" t="s">
        <v>93</v>
      </c>
      <c r="RPT76" s="49" t="s">
        <v>94</v>
      </c>
      <c r="RPU76" s="49" t="s">
        <v>93</v>
      </c>
      <c r="RPV76" s="49" t="s">
        <v>94</v>
      </c>
      <c r="RPW76" s="49" t="s">
        <v>93</v>
      </c>
      <c r="RPX76" s="49" t="s">
        <v>94</v>
      </c>
      <c r="RPY76" s="49" t="s">
        <v>93</v>
      </c>
      <c r="RPZ76" s="49" t="s">
        <v>94</v>
      </c>
      <c r="RQA76" s="49" t="s">
        <v>93</v>
      </c>
      <c r="RQB76" s="49" t="s">
        <v>94</v>
      </c>
      <c r="RQC76" s="49" t="s">
        <v>93</v>
      </c>
      <c r="RQD76" s="49" t="s">
        <v>94</v>
      </c>
      <c r="RQE76" s="49" t="s">
        <v>93</v>
      </c>
      <c r="RQF76" s="49" t="s">
        <v>94</v>
      </c>
      <c r="RQG76" s="49" t="s">
        <v>93</v>
      </c>
      <c r="RQH76" s="49" t="s">
        <v>94</v>
      </c>
      <c r="RQI76" s="49" t="s">
        <v>93</v>
      </c>
      <c r="RQJ76" s="49" t="s">
        <v>94</v>
      </c>
      <c r="RQK76" s="49" t="s">
        <v>93</v>
      </c>
      <c r="RQL76" s="49" t="s">
        <v>94</v>
      </c>
      <c r="RQM76" s="49" t="s">
        <v>93</v>
      </c>
      <c r="RQN76" s="49" t="s">
        <v>94</v>
      </c>
      <c r="RQO76" s="49" t="s">
        <v>93</v>
      </c>
      <c r="RQP76" s="49" t="s">
        <v>94</v>
      </c>
      <c r="RQQ76" s="49" t="s">
        <v>93</v>
      </c>
      <c r="RQR76" s="49" t="s">
        <v>94</v>
      </c>
      <c r="RQS76" s="49" t="s">
        <v>93</v>
      </c>
      <c r="RQT76" s="49" t="s">
        <v>94</v>
      </c>
      <c r="RQU76" s="49" t="s">
        <v>93</v>
      </c>
      <c r="RQV76" s="49" t="s">
        <v>94</v>
      </c>
      <c r="RQW76" s="49" t="s">
        <v>93</v>
      </c>
      <c r="RQX76" s="49" t="s">
        <v>94</v>
      </c>
      <c r="RQY76" s="49" t="s">
        <v>93</v>
      </c>
      <c r="RQZ76" s="49" t="s">
        <v>94</v>
      </c>
      <c r="RRA76" s="49" t="s">
        <v>93</v>
      </c>
      <c r="RRB76" s="49" t="s">
        <v>94</v>
      </c>
      <c r="RRC76" s="49" t="s">
        <v>93</v>
      </c>
      <c r="RRD76" s="49" t="s">
        <v>94</v>
      </c>
      <c r="RRE76" s="49" t="s">
        <v>93</v>
      </c>
      <c r="RRF76" s="49" t="s">
        <v>94</v>
      </c>
      <c r="RRG76" s="49" t="s">
        <v>93</v>
      </c>
      <c r="RRH76" s="49" t="s">
        <v>94</v>
      </c>
      <c r="RRI76" s="49" t="s">
        <v>93</v>
      </c>
      <c r="RRJ76" s="49" t="s">
        <v>94</v>
      </c>
      <c r="RRK76" s="49" t="s">
        <v>93</v>
      </c>
      <c r="RRL76" s="49" t="s">
        <v>94</v>
      </c>
      <c r="RRM76" s="49" t="s">
        <v>93</v>
      </c>
      <c r="RRN76" s="49" t="s">
        <v>94</v>
      </c>
      <c r="RRO76" s="49" t="s">
        <v>93</v>
      </c>
      <c r="RRP76" s="49" t="s">
        <v>94</v>
      </c>
      <c r="RRQ76" s="49" t="s">
        <v>93</v>
      </c>
      <c r="RRR76" s="49" t="s">
        <v>94</v>
      </c>
      <c r="RRS76" s="49" t="s">
        <v>93</v>
      </c>
      <c r="RRT76" s="49" t="s">
        <v>94</v>
      </c>
      <c r="RRU76" s="49" t="s">
        <v>93</v>
      </c>
      <c r="RRV76" s="49" t="s">
        <v>94</v>
      </c>
      <c r="RRW76" s="49" t="s">
        <v>93</v>
      </c>
      <c r="RRX76" s="49" t="s">
        <v>94</v>
      </c>
      <c r="RRY76" s="49" t="s">
        <v>93</v>
      </c>
      <c r="RRZ76" s="49" t="s">
        <v>94</v>
      </c>
      <c r="RSA76" s="49" t="s">
        <v>93</v>
      </c>
      <c r="RSB76" s="49" t="s">
        <v>94</v>
      </c>
      <c r="RSC76" s="49" t="s">
        <v>93</v>
      </c>
      <c r="RSD76" s="49" t="s">
        <v>94</v>
      </c>
      <c r="RSE76" s="49" t="s">
        <v>93</v>
      </c>
      <c r="RSF76" s="49" t="s">
        <v>94</v>
      </c>
      <c r="RSG76" s="49" t="s">
        <v>93</v>
      </c>
      <c r="RSH76" s="49" t="s">
        <v>94</v>
      </c>
      <c r="RSI76" s="49" t="s">
        <v>93</v>
      </c>
      <c r="RSJ76" s="49" t="s">
        <v>94</v>
      </c>
      <c r="RSK76" s="49" t="s">
        <v>93</v>
      </c>
      <c r="RSL76" s="49" t="s">
        <v>94</v>
      </c>
      <c r="RSM76" s="49" t="s">
        <v>93</v>
      </c>
      <c r="RSN76" s="49" t="s">
        <v>94</v>
      </c>
      <c r="RSO76" s="49" t="s">
        <v>93</v>
      </c>
      <c r="RSP76" s="49" t="s">
        <v>94</v>
      </c>
      <c r="RSQ76" s="49" t="s">
        <v>93</v>
      </c>
      <c r="RSR76" s="49" t="s">
        <v>94</v>
      </c>
      <c r="RSS76" s="49" t="s">
        <v>93</v>
      </c>
      <c r="RST76" s="49" t="s">
        <v>94</v>
      </c>
      <c r="RSU76" s="49" t="s">
        <v>93</v>
      </c>
      <c r="RSV76" s="49" t="s">
        <v>94</v>
      </c>
      <c r="RSW76" s="49" t="s">
        <v>93</v>
      </c>
      <c r="RSX76" s="49" t="s">
        <v>94</v>
      </c>
      <c r="RSY76" s="49" t="s">
        <v>93</v>
      </c>
      <c r="RSZ76" s="49" t="s">
        <v>94</v>
      </c>
      <c r="RTA76" s="49" t="s">
        <v>93</v>
      </c>
      <c r="RTB76" s="49" t="s">
        <v>94</v>
      </c>
      <c r="RTC76" s="49" t="s">
        <v>93</v>
      </c>
      <c r="RTD76" s="49" t="s">
        <v>94</v>
      </c>
      <c r="RTE76" s="49" t="s">
        <v>93</v>
      </c>
      <c r="RTF76" s="49" t="s">
        <v>94</v>
      </c>
      <c r="RTG76" s="49" t="s">
        <v>93</v>
      </c>
      <c r="RTH76" s="49" t="s">
        <v>94</v>
      </c>
      <c r="RTI76" s="49" t="s">
        <v>93</v>
      </c>
      <c r="RTJ76" s="49" t="s">
        <v>94</v>
      </c>
      <c r="RTK76" s="49" t="s">
        <v>93</v>
      </c>
      <c r="RTL76" s="49" t="s">
        <v>94</v>
      </c>
      <c r="RTM76" s="49" t="s">
        <v>93</v>
      </c>
      <c r="RTN76" s="49" t="s">
        <v>94</v>
      </c>
      <c r="RTO76" s="49" t="s">
        <v>93</v>
      </c>
      <c r="RTP76" s="49" t="s">
        <v>94</v>
      </c>
      <c r="RTQ76" s="49" t="s">
        <v>93</v>
      </c>
      <c r="RTR76" s="49" t="s">
        <v>94</v>
      </c>
      <c r="RTS76" s="49" t="s">
        <v>93</v>
      </c>
      <c r="RTT76" s="49" t="s">
        <v>94</v>
      </c>
      <c r="RTU76" s="49" t="s">
        <v>93</v>
      </c>
      <c r="RTV76" s="49" t="s">
        <v>94</v>
      </c>
      <c r="RTW76" s="49" t="s">
        <v>93</v>
      </c>
      <c r="RTX76" s="49" t="s">
        <v>94</v>
      </c>
      <c r="RTY76" s="49" t="s">
        <v>93</v>
      </c>
      <c r="RTZ76" s="49" t="s">
        <v>94</v>
      </c>
      <c r="RUA76" s="49" t="s">
        <v>93</v>
      </c>
      <c r="RUB76" s="49" t="s">
        <v>94</v>
      </c>
      <c r="RUC76" s="49" t="s">
        <v>93</v>
      </c>
      <c r="RUD76" s="49" t="s">
        <v>94</v>
      </c>
      <c r="RUE76" s="49" t="s">
        <v>93</v>
      </c>
      <c r="RUF76" s="49" t="s">
        <v>94</v>
      </c>
      <c r="RUG76" s="49" t="s">
        <v>93</v>
      </c>
      <c r="RUH76" s="49" t="s">
        <v>94</v>
      </c>
      <c r="RUI76" s="49" t="s">
        <v>93</v>
      </c>
      <c r="RUJ76" s="49" t="s">
        <v>94</v>
      </c>
      <c r="RUK76" s="49" t="s">
        <v>93</v>
      </c>
      <c r="RUL76" s="49" t="s">
        <v>94</v>
      </c>
      <c r="RUM76" s="49" t="s">
        <v>93</v>
      </c>
      <c r="RUN76" s="49" t="s">
        <v>94</v>
      </c>
      <c r="RUO76" s="49" t="s">
        <v>93</v>
      </c>
      <c r="RUP76" s="49" t="s">
        <v>94</v>
      </c>
      <c r="RUQ76" s="49" t="s">
        <v>93</v>
      </c>
      <c r="RUR76" s="49" t="s">
        <v>94</v>
      </c>
      <c r="RUS76" s="49" t="s">
        <v>93</v>
      </c>
      <c r="RUT76" s="49" t="s">
        <v>94</v>
      </c>
      <c r="RUU76" s="49" t="s">
        <v>93</v>
      </c>
      <c r="RUV76" s="49" t="s">
        <v>94</v>
      </c>
      <c r="RUW76" s="49" t="s">
        <v>93</v>
      </c>
      <c r="RUX76" s="49" t="s">
        <v>94</v>
      </c>
      <c r="RUY76" s="49" t="s">
        <v>93</v>
      </c>
      <c r="RUZ76" s="49" t="s">
        <v>94</v>
      </c>
      <c r="RVA76" s="49" t="s">
        <v>93</v>
      </c>
      <c r="RVB76" s="49" t="s">
        <v>94</v>
      </c>
      <c r="RVC76" s="49" t="s">
        <v>93</v>
      </c>
      <c r="RVD76" s="49" t="s">
        <v>94</v>
      </c>
      <c r="RVE76" s="49" t="s">
        <v>93</v>
      </c>
      <c r="RVF76" s="49" t="s">
        <v>94</v>
      </c>
      <c r="RVG76" s="49" t="s">
        <v>93</v>
      </c>
      <c r="RVH76" s="49" t="s">
        <v>94</v>
      </c>
      <c r="RVI76" s="49" t="s">
        <v>93</v>
      </c>
      <c r="RVJ76" s="49" t="s">
        <v>94</v>
      </c>
      <c r="RVK76" s="49" t="s">
        <v>93</v>
      </c>
      <c r="RVL76" s="49" t="s">
        <v>94</v>
      </c>
      <c r="RVM76" s="49" t="s">
        <v>93</v>
      </c>
      <c r="RVN76" s="49" t="s">
        <v>94</v>
      </c>
      <c r="RVO76" s="49" t="s">
        <v>93</v>
      </c>
      <c r="RVP76" s="49" t="s">
        <v>94</v>
      </c>
      <c r="RVQ76" s="49" t="s">
        <v>93</v>
      </c>
      <c r="RVR76" s="49" t="s">
        <v>94</v>
      </c>
      <c r="RVS76" s="49" t="s">
        <v>93</v>
      </c>
      <c r="RVT76" s="49" t="s">
        <v>94</v>
      </c>
      <c r="RVU76" s="49" t="s">
        <v>93</v>
      </c>
      <c r="RVV76" s="49" t="s">
        <v>94</v>
      </c>
      <c r="RVW76" s="49" t="s">
        <v>93</v>
      </c>
      <c r="RVX76" s="49" t="s">
        <v>94</v>
      </c>
      <c r="RVY76" s="49" t="s">
        <v>93</v>
      </c>
      <c r="RVZ76" s="49" t="s">
        <v>94</v>
      </c>
      <c r="RWA76" s="49" t="s">
        <v>93</v>
      </c>
      <c r="RWB76" s="49" t="s">
        <v>94</v>
      </c>
      <c r="RWC76" s="49" t="s">
        <v>93</v>
      </c>
      <c r="RWD76" s="49" t="s">
        <v>94</v>
      </c>
      <c r="RWE76" s="49" t="s">
        <v>93</v>
      </c>
      <c r="RWF76" s="49" t="s">
        <v>94</v>
      </c>
      <c r="RWG76" s="49" t="s">
        <v>93</v>
      </c>
      <c r="RWH76" s="49" t="s">
        <v>94</v>
      </c>
      <c r="RWI76" s="49" t="s">
        <v>93</v>
      </c>
      <c r="RWJ76" s="49" t="s">
        <v>94</v>
      </c>
      <c r="RWK76" s="49" t="s">
        <v>93</v>
      </c>
      <c r="RWL76" s="49" t="s">
        <v>94</v>
      </c>
      <c r="RWM76" s="49" t="s">
        <v>93</v>
      </c>
      <c r="RWN76" s="49" t="s">
        <v>94</v>
      </c>
      <c r="RWO76" s="49" t="s">
        <v>93</v>
      </c>
      <c r="RWP76" s="49" t="s">
        <v>94</v>
      </c>
      <c r="RWQ76" s="49" t="s">
        <v>93</v>
      </c>
      <c r="RWR76" s="49" t="s">
        <v>94</v>
      </c>
      <c r="RWS76" s="49" t="s">
        <v>93</v>
      </c>
      <c r="RWT76" s="49" t="s">
        <v>94</v>
      </c>
      <c r="RWU76" s="49" t="s">
        <v>93</v>
      </c>
      <c r="RWV76" s="49" t="s">
        <v>94</v>
      </c>
      <c r="RWW76" s="49" t="s">
        <v>93</v>
      </c>
      <c r="RWX76" s="49" t="s">
        <v>94</v>
      </c>
      <c r="RWY76" s="49" t="s">
        <v>93</v>
      </c>
      <c r="RWZ76" s="49" t="s">
        <v>94</v>
      </c>
      <c r="RXA76" s="49" t="s">
        <v>93</v>
      </c>
      <c r="RXB76" s="49" t="s">
        <v>94</v>
      </c>
      <c r="RXC76" s="49" t="s">
        <v>93</v>
      </c>
      <c r="RXD76" s="49" t="s">
        <v>94</v>
      </c>
      <c r="RXE76" s="49" t="s">
        <v>93</v>
      </c>
      <c r="RXF76" s="49" t="s">
        <v>94</v>
      </c>
      <c r="RXG76" s="49" t="s">
        <v>93</v>
      </c>
      <c r="RXH76" s="49" t="s">
        <v>94</v>
      </c>
      <c r="RXI76" s="49" t="s">
        <v>93</v>
      </c>
      <c r="RXJ76" s="49" t="s">
        <v>94</v>
      </c>
      <c r="RXK76" s="49" t="s">
        <v>93</v>
      </c>
      <c r="RXL76" s="49" t="s">
        <v>94</v>
      </c>
      <c r="RXM76" s="49" t="s">
        <v>93</v>
      </c>
      <c r="RXN76" s="49" t="s">
        <v>94</v>
      </c>
      <c r="RXO76" s="49" t="s">
        <v>93</v>
      </c>
      <c r="RXP76" s="49" t="s">
        <v>94</v>
      </c>
      <c r="RXQ76" s="49" t="s">
        <v>93</v>
      </c>
      <c r="RXR76" s="49" t="s">
        <v>94</v>
      </c>
      <c r="RXS76" s="49" t="s">
        <v>93</v>
      </c>
      <c r="RXT76" s="49" t="s">
        <v>94</v>
      </c>
      <c r="RXU76" s="49" t="s">
        <v>93</v>
      </c>
      <c r="RXV76" s="49" t="s">
        <v>94</v>
      </c>
      <c r="RXW76" s="49" t="s">
        <v>93</v>
      </c>
      <c r="RXX76" s="49" t="s">
        <v>94</v>
      </c>
      <c r="RXY76" s="49" t="s">
        <v>93</v>
      </c>
      <c r="RXZ76" s="49" t="s">
        <v>94</v>
      </c>
      <c r="RYA76" s="49" t="s">
        <v>93</v>
      </c>
      <c r="RYB76" s="49" t="s">
        <v>94</v>
      </c>
      <c r="RYC76" s="49" t="s">
        <v>93</v>
      </c>
      <c r="RYD76" s="49" t="s">
        <v>94</v>
      </c>
      <c r="RYE76" s="49" t="s">
        <v>93</v>
      </c>
      <c r="RYF76" s="49" t="s">
        <v>94</v>
      </c>
      <c r="RYG76" s="49" t="s">
        <v>93</v>
      </c>
      <c r="RYH76" s="49" t="s">
        <v>94</v>
      </c>
      <c r="RYI76" s="49" t="s">
        <v>93</v>
      </c>
      <c r="RYJ76" s="49" t="s">
        <v>94</v>
      </c>
      <c r="RYK76" s="49" t="s">
        <v>93</v>
      </c>
      <c r="RYL76" s="49" t="s">
        <v>94</v>
      </c>
      <c r="RYM76" s="49" t="s">
        <v>93</v>
      </c>
      <c r="RYN76" s="49" t="s">
        <v>94</v>
      </c>
      <c r="RYO76" s="49" t="s">
        <v>93</v>
      </c>
      <c r="RYP76" s="49" t="s">
        <v>94</v>
      </c>
      <c r="RYQ76" s="49" t="s">
        <v>93</v>
      </c>
      <c r="RYR76" s="49" t="s">
        <v>94</v>
      </c>
      <c r="RYS76" s="49" t="s">
        <v>93</v>
      </c>
      <c r="RYT76" s="49" t="s">
        <v>94</v>
      </c>
      <c r="RYU76" s="49" t="s">
        <v>93</v>
      </c>
      <c r="RYV76" s="49" t="s">
        <v>94</v>
      </c>
      <c r="RYW76" s="49" t="s">
        <v>93</v>
      </c>
      <c r="RYX76" s="49" t="s">
        <v>94</v>
      </c>
      <c r="RYY76" s="49" t="s">
        <v>93</v>
      </c>
      <c r="RYZ76" s="49" t="s">
        <v>94</v>
      </c>
      <c r="RZA76" s="49" t="s">
        <v>93</v>
      </c>
      <c r="RZB76" s="49" t="s">
        <v>94</v>
      </c>
      <c r="RZC76" s="49" t="s">
        <v>93</v>
      </c>
      <c r="RZD76" s="49" t="s">
        <v>94</v>
      </c>
      <c r="RZE76" s="49" t="s">
        <v>93</v>
      </c>
      <c r="RZF76" s="49" t="s">
        <v>94</v>
      </c>
      <c r="RZG76" s="49" t="s">
        <v>93</v>
      </c>
      <c r="RZH76" s="49" t="s">
        <v>94</v>
      </c>
      <c r="RZI76" s="49" t="s">
        <v>93</v>
      </c>
      <c r="RZJ76" s="49" t="s">
        <v>94</v>
      </c>
      <c r="RZK76" s="49" t="s">
        <v>93</v>
      </c>
      <c r="RZL76" s="49" t="s">
        <v>94</v>
      </c>
      <c r="RZM76" s="49" t="s">
        <v>93</v>
      </c>
      <c r="RZN76" s="49" t="s">
        <v>94</v>
      </c>
      <c r="RZO76" s="49" t="s">
        <v>93</v>
      </c>
      <c r="RZP76" s="49" t="s">
        <v>94</v>
      </c>
      <c r="RZQ76" s="49" t="s">
        <v>93</v>
      </c>
      <c r="RZR76" s="49" t="s">
        <v>94</v>
      </c>
      <c r="RZS76" s="49" t="s">
        <v>93</v>
      </c>
      <c r="RZT76" s="49" t="s">
        <v>94</v>
      </c>
      <c r="RZU76" s="49" t="s">
        <v>93</v>
      </c>
      <c r="RZV76" s="49" t="s">
        <v>94</v>
      </c>
      <c r="RZW76" s="49" t="s">
        <v>93</v>
      </c>
      <c r="RZX76" s="49" t="s">
        <v>94</v>
      </c>
      <c r="RZY76" s="49" t="s">
        <v>93</v>
      </c>
      <c r="RZZ76" s="49" t="s">
        <v>94</v>
      </c>
      <c r="SAA76" s="49" t="s">
        <v>93</v>
      </c>
      <c r="SAB76" s="49" t="s">
        <v>94</v>
      </c>
      <c r="SAC76" s="49" t="s">
        <v>93</v>
      </c>
      <c r="SAD76" s="49" t="s">
        <v>94</v>
      </c>
      <c r="SAE76" s="49" t="s">
        <v>93</v>
      </c>
      <c r="SAF76" s="49" t="s">
        <v>94</v>
      </c>
      <c r="SAG76" s="49" t="s">
        <v>93</v>
      </c>
      <c r="SAH76" s="49" t="s">
        <v>94</v>
      </c>
      <c r="SAI76" s="49" t="s">
        <v>93</v>
      </c>
      <c r="SAJ76" s="49" t="s">
        <v>94</v>
      </c>
      <c r="SAK76" s="49" t="s">
        <v>93</v>
      </c>
      <c r="SAL76" s="49" t="s">
        <v>94</v>
      </c>
      <c r="SAM76" s="49" t="s">
        <v>93</v>
      </c>
      <c r="SAN76" s="49" t="s">
        <v>94</v>
      </c>
      <c r="SAO76" s="49" t="s">
        <v>93</v>
      </c>
      <c r="SAP76" s="49" t="s">
        <v>94</v>
      </c>
      <c r="SAQ76" s="49" t="s">
        <v>93</v>
      </c>
      <c r="SAR76" s="49" t="s">
        <v>94</v>
      </c>
      <c r="SAS76" s="49" t="s">
        <v>93</v>
      </c>
      <c r="SAT76" s="49" t="s">
        <v>94</v>
      </c>
      <c r="SAU76" s="49" t="s">
        <v>93</v>
      </c>
      <c r="SAV76" s="49" t="s">
        <v>94</v>
      </c>
      <c r="SAW76" s="49" t="s">
        <v>93</v>
      </c>
      <c r="SAX76" s="49" t="s">
        <v>94</v>
      </c>
      <c r="SAY76" s="49" t="s">
        <v>93</v>
      </c>
      <c r="SAZ76" s="49" t="s">
        <v>94</v>
      </c>
      <c r="SBA76" s="49" t="s">
        <v>93</v>
      </c>
      <c r="SBB76" s="49" t="s">
        <v>94</v>
      </c>
      <c r="SBC76" s="49" t="s">
        <v>93</v>
      </c>
      <c r="SBD76" s="49" t="s">
        <v>94</v>
      </c>
      <c r="SBE76" s="49" t="s">
        <v>93</v>
      </c>
      <c r="SBF76" s="49" t="s">
        <v>94</v>
      </c>
      <c r="SBG76" s="49" t="s">
        <v>93</v>
      </c>
      <c r="SBH76" s="49" t="s">
        <v>94</v>
      </c>
      <c r="SBI76" s="49" t="s">
        <v>93</v>
      </c>
      <c r="SBJ76" s="49" t="s">
        <v>94</v>
      </c>
      <c r="SBK76" s="49" t="s">
        <v>93</v>
      </c>
      <c r="SBL76" s="49" t="s">
        <v>94</v>
      </c>
      <c r="SBM76" s="49" t="s">
        <v>93</v>
      </c>
      <c r="SBN76" s="49" t="s">
        <v>94</v>
      </c>
      <c r="SBO76" s="49" t="s">
        <v>93</v>
      </c>
      <c r="SBP76" s="49" t="s">
        <v>94</v>
      </c>
      <c r="SBQ76" s="49" t="s">
        <v>93</v>
      </c>
      <c r="SBR76" s="49" t="s">
        <v>94</v>
      </c>
      <c r="SBS76" s="49" t="s">
        <v>93</v>
      </c>
      <c r="SBT76" s="49" t="s">
        <v>94</v>
      </c>
      <c r="SBU76" s="49" t="s">
        <v>93</v>
      </c>
      <c r="SBV76" s="49" t="s">
        <v>94</v>
      </c>
      <c r="SBW76" s="49" t="s">
        <v>93</v>
      </c>
      <c r="SBX76" s="49" t="s">
        <v>94</v>
      </c>
      <c r="SBY76" s="49" t="s">
        <v>93</v>
      </c>
      <c r="SBZ76" s="49" t="s">
        <v>94</v>
      </c>
      <c r="SCA76" s="49" t="s">
        <v>93</v>
      </c>
      <c r="SCB76" s="49" t="s">
        <v>94</v>
      </c>
      <c r="SCC76" s="49" t="s">
        <v>93</v>
      </c>
      <c r="SCD76" s="49" t="s">
        <v>94</v>
      </c>
      <c r="SCE76" s="49" t="s">
        <v>93</v>
      </c>
      <c r="SCF76" s="49" t="s">
        <v>94</v>
      </c>
      <c r="SCG76" s="49" t="s">
        <v>93</v>
      </c>
      <c r="SCH76" s="49" t="s">
        <v>94</v>
      </c>
      <c r="SCI76" s="49" t="s">
        <v>93</v>
      </c>
      <c r="SCJ76" s="49" t="s">
        <v>94</v>
      </c>
      <c r="SCK76" s="49" t="s">
        <v>93</v>
      </c>
      <c r="SCL76" s="49" t="s">
        <v>94</v>
      </c>
      <c r="SCM76" s="49" t="s">
        <v>93</v>
      </c>
      <c r="SCN76" s="49" t="s">
        <v>94</v>
      </c>
      <c r="SCO76" s="49" t="s">
        <v>93</v>
      </c>
      <c r="SCP76" s="49" t="s">
        <v>94</v>
      </c>
      <c r="SCQ76" s="49" t="s">
        <v>93</v>
      </c>
      <c r="SCR76" s="49" t="s">
        <v>94</v>
      </c>
      <c r="SCS76" s="49" t="s">
        <v>93</v>
      </c>
      <c r="SCT76" s="49" t="s">
        <v>94</v>
      </c>
      <c r="SCU76" s="49" t="s">
        <v>93</v>
      </c>
      <c r="SCV76" s="49" t="s">
        <v>94</v>
      </c>
      <c r="SCW76" s="49" t="s">
        <v>93</v>
      </c>
      <c r="SCX76" s="49" t="s">
        <v>94</v>
      </c>
      <c r="SCY76" s="49" t="s">
        <v>93</v>
      </c>
      <c r="SCZ76" s="49" t="s">
        <v>94</v>
      </c>
      <c r="SDA76" s="49" t="s">
        <v>93</v>
      </c>
      <c r="SDB76" s="49" t="s">
        <v>94</v>
      </c>
      <c r="SDC76" s="49" t="s">
        <v>93</v>
      </c>
      <c r="SDD76" s="49" t="s">
        <v>94</v>
      </c>
      <c r="SDE76" s="49" t="s">
        <v>93</v>
      </c>
      <c r="SDF76" s="49" t="s">
        <v>94</v>
      </c>
      <c r="SDG76" s="49" t="s">
        <v>93</v>
      </c>
      <c r="SDH76" s="49" t="s">
        <v>94</v>
      </c>
      <c r="SDI76" s="49" t="s">
        <v>93</v>
      </c>
      <c r="SDJ76" s="49" t="s">
        <v>94</v>
      </c>
      <c r="SDK76" s="49" t="s">
        <v>93</v>
      </c>
      <c r="SDL76" s="49" t="s">
        <v>94</v>
      </c>
      <c r="SDM76" s="49" t="s">
        <v>93</v>
      </c>
      <c r="SDN76" s="49" t="s">
        <v>94</v>
      </c>
      <c r="SDO76" s="49" t="s">
        <v>93</v>
      </c>
      <c r="SDP76" s="49" t="s">
        <v>94</v>
      </c>
      <c r="SDQ76" s="49" t="s">
        <v>93</v>
      </c>
      <c r="SDR76" s="49" t="s">
        <v>94</v>
      </c>
      <c r="SDS76" s="49" t="s">
        <v>93</v>
      </c>
      <c r="SDT76" s="49" t="s">
        <v>94</v>
      </c>
      <c r="SDU76" s="49" t="s">
        <v>93</v>
      </c>
      <c r="SDV76" s="49" t="s">
        <v>94</v>
      </c>
      <c r="SDW76" s="49" t="s">
        <v>93</v>
      </c>
      <c r="SDX76" s="49" t="s">
        <v>94</v>
      </c>
      <c r="SDY76" s="49" t="s">
        <v>93</v>
      </c>
      <c r="SDZ76" s="49" t="s">
        <v>94</v>
      </c>
      <c r="SEA76" s="49" t="s">
        <v>93</v>
      </c>
      <c r="SEB76" s="49" t="s">
        <v>94</v>
      </c>
      <c r="SEC76" s="49" t="s">
        <v>93</v>
      </c>
      <c r="SED76" s="49" t="s">
        <v>94</v>
      </c>
      <c r="SEE76" s="49" t="s">
        <v>93</v>
      </c>
      <c r="SEF76" s="49" t="s">
        <v>94</v>
      </c>
      <c r="SEG76" s="49" t="s">
        <v>93</v>
      </c>
      <c r="SEH76" s="49" t="s">
        <v>94</v>
      </c>
      <c r="SEI76" s="49" t="s">
        <v>93</v>
      </c>
      <c r="SEJ76" s="49" t="s">
        <v>94</v>
      </c>
      <c r="SEK76" s="49" t="s">
        <v>93</v>
      </c>
      <c r="SEL76" s="49" t="s">
        <v>94</v>
      </c>
      <c r="SEM76" s="49" t="s">
        <v>93</v>
      </c>
      <c r="SEN76" s="49" t="s">
        <v>94</v>
      </c>
      <c r="SEO76" s="49" t="s">
        <v>93</v>
      </c>
      <c r="SEP76" s="49" t="s">
        <v>94</v>
      </c>
      <c r="SEQ76" s="49" t="s">
        <v>93</v>
      </c>
      <c r="SER76" s="49" t="s">
        <v>94</v>
      </c>
      <c r="SES76" s="49" t="s">
        <v>93</v>
      </c>
      <c r="SET76" s="49" t="s">
        <v>94</v>
      </c>
      <c r="SEU76" s="49" t="s">
        <v>93</v>
      </c>
      <c r="SEV76" s="49" t="s">
        <v>94</v>
      </c>
      <c r="SEW76" s="49" t="s">
        <v>93</v>
      </c>
      <c r="SEX76" s="49" t="s">
        <v>94</v>
      </c>
      <c r="SEY76" s="49" t="s">
        <v>93</v>
      </c>
      <c r="SEZ76" s="49" t="s">
        <v>94</v>
      </c>
      <c r="SFA76" s="49" t="s">
        <v>93</v>
      </c>
      <c r="SFB76" s="49" t="s">
        <v>94</v>
      </c>
      <c r="SFC76" s="49" t="s">
        <v>93</v>
      </c>
      <c r="SFD76" s="49" t="s">
        <v>94</v>
      </c>
      <c r="SFE76" s="49" t="s">
        <v>93</v>
      </c>
      <c r="SFF76" s="49" t="s">
        <v>94</v>
      </c>
      <c r="SFG76" s="49" t="s">
        <v>93</v>
      </c>
      <c r="SFH76" s="49" t="s">
        <v>94</v>
      </c>
      <c r="SFI76" s="49" t="s">
        <v>93</v>
      </c>
      <c r="SFJ76" s="49" t="s">
        <v>94</v>
      </c>
      <c r="SFK76" s="49" t="s">
        <v>93</v>
      </c>
      <c r="SFL76" s="49" t="s">
        <v>94</v>
      </c>
      <c r="SFM76" s="49" t="s">
        <v>93</v>
      </c>
      <c r="SFN76" s="49" t="s">
        <v>94</v>
      </c>
      <c r="SFO76" s="49" t="s">
        <v>93</v>
      </c>
      <c r="SFP76" s="49" t="s">
        <v>94</v>
      </c>
      <c r="SFQ76" s="49" t="s">
        <v>93</v>
      </c>
      <c r="SFR76" s="49" t="s">
        <v>94</v>
      </c>
      <c r="SFS76" s="49" t="s">
        <v>93</v>
      </c>
      <c r="SFT76" s="49" t="s">
        <v>94</v>
      </c>
      <c r="SFU76" s="49" t="s">
        <v>93</v>
      </c>
      <c r="SFV76" s="49" t="s">
        <v>94</v>
      </c>
      <c r="SFW76" s="49" t="s">
        <v>93</v>
      </c>
      <c r="SFX76" s="49" t="s">
        <v>94</v>
      </c>
      <c r="SFY76" s="49" t="s">
        <v>93</v>
      </c>
      <c r="SFZ76" s="49" t="s">
        <v>94</v>
      </c>
      <c r="SGA76" s="49" t="s">
        <v>93</v>
      </c>
      <c r="SGB76" s="49" t="s">
        <v>94</v>
      </c>
      <c r="SGC76" s="49" t="s">
        <v>93</v>
      </c>
      <c r="SGD76" s="49" t="s">
        <v>94</v>
      </c>
      <c r="SGE76" s="49" t="s">
        <v>93</v>
      </c>
      <c r="SGF76" s="49" t="s">
        <v>94</v>
      </c>
      <c r="SGG76" s="49" t="s">
        <v>93</v>
      </c>
      <c r="SGH76" s="49" t="s">
        <v>94</v>
      </c>
      <c r="SGI76" s="49" t="s">
        <v>93</v>
      </c>
      <c r="SGJ76" s="49" t="s">
        <v>94</v>
      </c>
      <c r="SGK76" s="49" t="s">
        <v>93</v>
      </c>
      <c r="SGL76" s="49" t="s">
        <v>94</v>
      </c>
      <c r="SGM76" s="49" t="s">
        <v>93</v>
      </c>
      <c r="SGN76" s="49" t="s">
        <v>94</v>
      </c>
      <c r="SGO76" s="49" t="s">
        <v>93</v>
      </c>
      <c r="SGP76" s="49" t="s">
        <v>94</v>
      </c>
      <c r="SGQ76" s="49" t="s">
        <v>93</v>
      </c>
      <c r="SGR76" s="49" t="s">
        <v>94</v>
      </c>
      <c r="SGS76" s="49" t="s">
        <v>93</v>
      </c>
      <c r="SGT76" s="49" t="s">
        <v>94</v>
      </c>
      <c r="SGU76" s="49" t="s">
        <v>93</v>
      </c>
      <c r="SGV76" s="49" t="s">
        <v>94</v>
      </c>
      <c r="SGW76" s="49" t="s">
        <v>93</v>
      </c>
      <c r="SGX76" s="49" t="s">
        <v>94</v>
      </c>
      <c r="SGY76" s="49" t="s">
        <v>93</v>
      </c>
      <c r="SGZ76" s="49" t="s">
        <v>94</v>
      </c>
      <c r="SHA76" s="49" t="s">
        <v>93</v>
      </c>
      <c r="SHB76" s="49" t="s">
        <v>94</v>
      </c>
      <c r="SHC76" s="49" t="s">
        <v>93</v>
      </c>
      <c r="SHD76" s="49" t="s">
        <v>94</v>
      </c>
      <c r="SHE76" s="49" t="s">
        <v>93</v>
      </c>
      <c r="SHF76" s="49" t="s">
        <v>94</v>
      </c>
      <c r="SHG76" s="49" t="s">
        <v>93</v>
      </c>
      <c r="SHH76" s="49" t="s">
        <v>94</v>
      </c>
      <c r="SHI76" s="49" t="s">
        <v>93</v>
      </c>
      <c r="SHJ76" s="49" t="s">
        <v>94</v>
      </c>
      <c r="SHK76" s="49" t="s">
        <v>93</v>
      </c>
      <c r="SHL76" s="49" t="s">
        <v>94</v>
      </c>
      <c r="SHM76" s="49" t="s">
        <v>93</v>
      </c>
      <c r="SHN76" s="49" t="s">
        <v>94</v>
      </c>
      <c r="SHO76" s="49" t="s">
        <v>93</v>
      </c>
      <c r="SHP76" s="49" t="s">
        <v>94</v>
      </c>
      <c r="SHQ76" s="49" t="s">
        <v>93</v>
      </c>
      <c r="SHR76" s="49" t="s">
        <v>94</v>
      </c>
      <c r="SHS76" s="49" t="s">
        <v>93</v>
      </c>
      <c r="SHT76" s="49" t="s">
        <v>94</v>
      </c>
      <c r="SHU76" s="49" t="s">
        <v>93</v>
      </c>
      <c r="SHV76" s="49" t="s">
        <v>94</v>
      </c>
      <c r="SHW76" s="49" t="s">
        <v>93</v>
      </c>
      <c r="SHX76" s="49" t="s">
        <v>94</v>
      </c>
      <c r="SHY76" s="49" t="s">
        <v>93</v>
      </c>
      <c r="SHZ76" s="49" t="s">
        <v>94</v>
      </c>
      <c r="SIA76" s="49" t="s">
        <v>93</v>
      </c>
      <c r="SIB76" s="49" t="s">
        <v>94</v>
      </c>
      <c r="SIC76" s="49" t="s">
        <v>93</v>
      </c>
      <c r="SID76" s="49" t="s">
        <v>94</v>
      </c>
      <c r="SIE76" s="49" t="s">
        <v>93</v>
      </c>
      <c r="SIF76" s="49" t="s">
        <v>94</v>
      </c>
      <c r="SIG76" s="49" t="s">
        <v>93</v>
      </c>
      <c r="SIH76" s="49" t="s">
        <v>94</v>
      </c>
      <c r="SII76" s="49" t="s">
        <v>93</v>
      </c>
      <c r="SIJ76" s="49" t="s">
        <v>94</v>
      </c>
      <c r="SIK76" s="49" t="s">
        <v>93</v>
      </c>
      <c r="SIL76" s="49" t="s">
        <v>94</v>
      </c>
      <c r="SIM76" s="49" t="s">
        <v>93</v>
      </c>
      <c r="SIN76" s="49" t="s">
        <v>94</v>
      </c>
      <c r="SIO76" s="49" t="s">
        <v>93</v>
      </c>
      <c r="SIP76" s="49" t="s">
        <v>94</v>
      </c>
      <c r="SIQ76" s="49" t="s">
        <v>93</v>
      </c>
      <c r="SIR76" s="49" t="s">
        <v>94</v>
      </c>
      <c r="SIS76" s="49" t="s">
        <v>93</v>
      </c>
      <c r="SIT76" s="49" t="s">
        <v>94</v>
      </c>
      <c r="SIU76" s="49" t="s">
        <v>93</v>
      </c>
      <c r="SIV76" s="49" t="s">
        <v>94</v>
      </c>
      <c r="SIW76" s="49" t="s">
        <v>93</v>
      </c>
      <c r="SIX76" s="49" t="s">
        <v>94</v>
      </c>
      <c r="SIY76" s="49" t="s">
        <v>93</v>
      </c>
      <c r="SIZ76" s="49" t="s">
        <v>94</v>
      </c>
      <c r="SJA76" s="49" t="s">
        <v>93</v>
      </c>
      <c r="SJB76" s="49" t="s">
        <v>94</v>
      </c>
      <c r="SJC76" s="49" t="s">
        <v>93</v>
      </c>
      <c r="SJD76" s="49" t="s">
        <v>94</v>
      </c>
      <c r="SJE76" s="49" t="s">
        <v>93</v>
      </c>
      <c r="SJF76" s="49" t="s">
        <v>94</v>
      </c>
      <c r="SJG76" s="49" t="s">
        <v>93</v>
      </c>
      <c r="SJH76" s="49" t="s">
        <v>94</v>
      </c>
      <c r="SJI76" s="49" t="s">
        <v>93</v>
      </c>
      <c r="SJJ76" s="49" t="s">
        <v>94</v>
      </c>
      <c r="SJK76" s="49" t="s">
        <v>93</v>
      </c>
      <c r="SJL76" s="49" t="s">
        <v>94</v>
      </c>
      <c r="SJM76" s="49" t="s">
        <v>93</v>
      </c>
      <c r="SJN76" s="49" t="s">
        <v>94</v>
      </c>
      <c r="SJO76" s="49" t="s">
        <v>93</v>
      </c>
      <c r="SJP76" s="49" t="s">
        <v>94</v>
      </c>
      <c r="SJQ76" s="49" t="s">
        <v>93</v>
      </c>
      <c r="SJR76" s="49" t="s">
        <v>94</v>
      </c>
      <c r="SJS76" s="49" t="s">
        <v>93</v>
      </c>
      <c r="SJT76" s="49" t="s">
        <v>94</v>
      </c>
      <c r="SJU76" s="49" t="s">
        <v>93</v>
      </c>
      <c r="SJV76" s="49" t="s">
        <v>94</v>
      </c>
      <c r="SJW76" s="49" t="s">
        <v>93</v>
      </c>
      <c r="SJX76" s="49" t="s">
        <v>94</v>
      </c>
      <c r="SJY76" s="49" t="s">
        <v>93</v>
      </c>
      <c r="SJZ76" s="49" t="s">
        <v>94</v>
      </c>
      <c r="SKA76" s="49" t="s">
        <v>93</v>
      </c>
      <c r="SKB76" s="49" t="s">
        <v>94</v>
      </c>
      <c r="SKC76" s="49" t="s">
        <v>93</v>
      </c>
      <c r="SKD76" s="49" t="s">
        <v>94</v>
      </c>
      <c r="SKE76" s="49" t="s">
        <v>93</v>
      </c>
      <c r="SKF76" s="49" t="s">
        <v>94</v>
      </c>
      <c r="SKG76" s="49" t="s">
        <v>93</v>
      </c>
      <c r="SKH76" s="49" t="s">
        <v>94</v>
      </c>
      <c r="SKI76" s="49" t="s">
        <v>93</v>
      </c>
      <c r="SKJ76" s="49" t="s">
        <v>94</v>
      </c>
      <c r="SKK76" s="49" t="s">
        <v>93</v>
      </c>
      <c r="SKL76" s="49" t="s">
        <v>94</v>
      </c>
      <c r="SKM76" s="49" t="s">
        <v>93</v>
      </c>
      <c r="SKN76" s="49" t="s">
        <v>94</v>
      </c>
      <c r="SKO76" s="49" t="s">
        <v>93</v>
      </c>
      <c r="SKP76" s="49" t="s">
        <v>94</v>
      </c>
      <c r="SKQ76" s="49" t="s">
        <v>93</v>
      </c>
      <c r="SKR76" s="49" t="s">
        <v>94</v>
      </c>
      <c r="SKS76" s="49" t="s">
        <v>93</v>
      </c>
      <c r="SKT76" s="49" t="s">
        <v>94</v>
      </c>
      <c r="SKU76" s="49" t="s">
        <v>93</v>
      </c>
      <c r="SKV76" s="49" t="s">
        <v>94</v>
      </c>
      <c r="SKW76" s="49" t="s">
        <v>93</v>
      </c>
      <c r="SKX76" s="49" t="s">
        <v>94</v>
      </c>
      <c r="SKY76" s="49" t="s">
        <v>93</v>
      </c>
      <c r="SKZ76" s="49" t="s">
        <v>94</v>
      </c>
      <c r="SLA76" s="49" t="s">
        <v>93</v>
      </c>
      <c r="SLB76" s="49" t="s">
        <v>94</v>
      </c>
      <c r="SLC76" s="49" t="s">
        <v>93</v>
      </c>
      <c r="SLD76" s="49" t="s">
        <v>94</v>
      </c>
      <c r="SLE76" s="49" t="s">
        <v>93</v>
      </c>
      <c r="SLF76" s="49" t="s">
        <v>94</v>
      </c>
      <c r="SLG76" s="49" t="s">
        <v>93</v>
      </c>
      <c r="SLH76" s="49" t="s">
        <v>94</v>
      </c>
      <c r="SLI76" s="49" t="s">
        <v>93</v>
      </c>
      <c r="SLJ76" s="49" t="s">
        <v>94</v>
      </c>
      <c r="SLK76" s="49" t="s">
        <v>93</v>
      </c>
      <c r="SLL76" s="49" t="s">
        <v>94</v>
      </c>
      <c r="SLM76" s="49" t="s">
        <v>93</v>
      </c>
      <c r="SLN76" s="49" t="s">
        <v>94</v>
      </c>
      <c r="SLO76" s="49" t="s">
        <v>93</v>
      </c>
      <c r="SLP76" s="49" t="s">
        <v>94</v>
      </c>
      <c r="SLQ76" s="49" t="s">
        <v>93</v>
      </c>
      <c r="SLR76" s="49" t="s">
        <v>94</v>
      </c>
      <c r="SLS76" s="49" t="s">
        <v>93</v>
      </c>
      <c r="SLT76" s="49" t="s">
        <v>94</v>
      </c>
      <c r="SLU76" s="49" t="s">
        <v>93</v>
      </c>
      <c r="SLV76" s="49" t="s">
        <v>94</v>
      </c>
      <c r="SLW76" s="49" t="s">
        <v>93</v>
      </c>
      <c r="SLX76" s="49" t="s">
        <v>94</v>
      </c>
      <c r="SLY76" s="49" t="s">
        <v>93</v>
      </c>
      <c r="SLZ76" s="49" t="s">
        <v>94</v>
      </c>
      <c r="SMA76" s="49" t="s">
        <v>93</v>
      </c>
      <c r="SMB76" s="49" t="s">
        <v>94</v>
      </c>
      <c r="SMC76" s="49" t="s">
        <v>93</v>
      </c>
      <c r="SMD76" s="49" t="s">
        <v>94</v>
      </c>
      <c r="SME76" s="49" t="s">
        <v>93</v>
      </c>
      <c r="SMF76" s="49" t="s">
        <v>94</v>
      </c>
      <c r="SMG76" s="49" t="s">
        <v>93</v>
      </c>
      <c r="SMH76" s="49" t="s">
        <v>94</v>
      </c>
      <c r="SMI76" s="49" t="s">
        <v>93</v>
      </c>
      <c r="SMJ76" s="49" t="s">
        <v>94</v>
      </c>
      <c r="SMK76" s="49" t="s">
        <v>93</v>
      </c>
      <c r="SML76" s="49" t="s">
        <v>94</v>
      </c>
      <c r="SMM76" s="49" t="s">
        <v>93</v>
      </c>
      <c r="SMN76" s="49" t="s">
        <v>94</v>
      </c>
      <c r="SMO76" s="49" t="s">
        <v>93</v>
      </c>
      <c r="SMP76" s="49" t="s">
        <v>94</v>
      </c>
      <c r="SMQ76" s="49" t="s">
        <v>93</v>
      </c>
      <c r="SMR76" s="49" t="s">
        <v>94</v>
      </c>
      <c r="SMS76" s="49" t="s">
        <v>93</v>
      </c>
      <c r="SMT76" s="49" t="s">
        <v>94</v>
      </c>
      <c r="SMU76" s="49" t="s">
        <v>93</v>
      </c>
      <c r="SMV76" s="49" t="s">
        <v>94</v>
      </c>
      <c r="SMW76" s="49" t="s">
        <v>93</v>
      </c>
      <c r="SMX76" s="49" t="s">
        <v>94</v>
      </c>
      <c r="SMY76" s="49" t="s">
        <v>93</v>
      </c>
      <c r="SMZ76" s="49" t="s">
        <v>94</v>
      </c>
      <c r="SNA76" s="49" t="s">
        <v>93</v>
      </c>
      <c r="SNB76" s="49" t="s">
        <v>94</v>
      </c>
      <c r="SNC76" s="49" t="s">
        <v>93</v>
      </c>
      <c r="SND76" s="49" t="s">
        <v>94</v>
      </c>
      <c r="SNE76" s="49" t="s">
        <v>93</v>
      </c>
      <c r="SNF76" s="49" t="s">
        <v>94</v>
      </c>
      <c r="SNG76" s="49" t="s">
        <v>93</v>
      </c>
      <c r="SNH76" s="49" t="s">
        <v>94</v>
      </c>
      <c r="SNI76" s="49" t="s">
        <v>93</v>
      </c>
      <c r="SNJ76" s="49" t="s">
        <v>94</v>
      </c>
      <c r="SNK76" s="49" t="s">
        <v>93</v>
      </c>
      <c r="SNL76" s="49" t="s">
        <v>94</v>
      </c>
      <c r="SNM76" s="49" t="s">
        <v>93</v>
      </c>
      <c r="SNN76" s="49" t="s">
        <v>94</v>
      </c>
      <c r="SNO76" s="49" t="s">
        <v>93</v>
      </c>
      <c r="SNP76" s="49" t="s">
        <v>94</v>
      </c>
      <c r="SNQ76" s="49" t="s">
        <v>93</v>
      </c>
      <c r="SNR76" s="49" t="s">
        <v>94</v>
      </c>
      <c r="SNS76" s="49" t="s">
        <v>93</v>
      </c>
      <c r="SNT76" s="49" t="s">
        <v>94</v>
      </c>
      <c r="SNU76" s="49" t="s">
        <v>93</v>
      </c>
      <c r="SNV76" s="49" t="s">
        <v>94</v>
      </c>
      <c r="SNW76" s="49" t="s">
        <v>93</v>
      </c>
      <c r="SNX76" s="49" t="s">
        <v>94</v>
      </c>
      <c r="SNY76" s="49" t="s">
        <v>93</v>
      </c>
      <c r="SNZ76" s="49" t="s">
        <v>94</v>
      </c>
      <c r="SOA76" s="49" t="s">
        <v>93</v>
      </c>
      <c r="SOB76" s="49" t="s">
        <v>94</v>
      </c>
      <c r="SOC76" s="49" t="s">
        <v>93</v>
      </c>
      <c r="SOD76" s="49" t="s">
        <v>94</v>
      </c>
      <c r="SOE76" s="49" t="s">
        <v>93</v>
      </c>
      <c r="SOF76" s="49" t="s">
        <v>94</v>
      </c>
      <c r="SOG76" s="49" t="s">
        <v>93</v>
      </c>
      <c r="SOH76" s="49" t="s">
        <v>94</v>
      </c>
      <c r="SOI76" s="49" t="s">
        <v>93</v>
      </c>
      <c r="SOJ76" s="49" t="s">
        <v>94</v>
      </c>
      <c r="SOK76" s="49" t="s">
        <v>93</v>
      </c>
      <c r="SOL76" s="49" t="s">
        <v>94</v>
      </c>
      <c r="SOM76" s="49" t="s">
        <v>93</v>
      </c>
      <c r="SON76" s="49" t="s">
        <v>94</v>
      </c>
      <c r="SOO76" s="49" t="s">
        <v>93</v>
      </c>
      <c r="SOP76" s="49" t="s">
        <v>94</v>
      </c>
      <c r="SOQ76" s="49" t="s">
        <v>93</v>
      </c>
      <c r="SOR76" s="49" t="s">
        <v>94</v>
      </c>
      <c r="SOS76" s="49" t="s">
        <v>93</v>
      </c>
      <c r="SOT76" s="49" t="s">
        <v>94</v>
      </c>
      <c r="SOU76" s="49" t="s">
        <v>93</v>
      </c>
      <c r="SOV76" s="49" t="s">
        <v>94</v>
      </c>
      <c r="SOW76" s="49" t="s">
        <v>93</v>
      </c>
      <c r="SOX76" s="49" t="s">
        <v>94</v>
      </c>
      <c r="SOY76" s="49" t="s">
        <v>93</v>
      </c>
      <c r="SOZ76" s="49" t="s">
        <v>94</v>
      </c>
      <c r="SPA76" s="49" t="s">
        <v>93</v>
      </c>
      <c r="SPB76" s="49" t="s">
        <v>94</v>
      </c>
      <c r="SPC76" s="49" t="s">
        <v>93</v>
      </c>
      <c r="SPD76" s="49" t="s">
        <v>94</v>
      </c>
      <c r="SPE76" s="49" t="s">
        <v>93</v>
      </c>
      <c r="SPF76" s="49" t="s">
        <v>94</v>
      </c>
      <c r="SPG76" s="49" t="s">
        <v>93</v>
      </c>
      <c r="SPH76" s="49" t="s">
        <v>94</v>
      </c>
      <c r="SPI76" s="49" t="s">
        <v>93</v>
      </c>
      <c r="SPJ76" s="49" t="s">
        <v>94</v>
      </c>
      <c r="SPK76" s="49" t="s">
        <v>93</v>
      </c>
      <c r="SPL76" s="49" t="s">
        <v>94</v>
      </c>
      <c r="SPM76" s="49" t="s">
        <v>93</v>
      </c>
      <c r="SPN76" s="49" t="s">
        <v>94</v>
      </c>
      <c r="SPO76" s="49" t="s">
        <v>93</v>
      </c>
      <c r="SPP76" s="49" t="s">
        <v>94</v>
      </c>
      <c r="SPQ76" s="49" t="s">
        <v>93</v>
      </c>
      <c r="SPR76" s="49" t="s">
        <v>94</v>
      </c>
      <c r="SPS76" s="49" t="s">
        <v>93</v>
      </c>
      <c r="SPT76" s="49" t="s">
        <v>94</v>
      </c>
      <c r="SPU76" s="49" t="s">
        <v>93</v>
      </c>
      <c r="SPV76" s="49" t="s">
        <v>94</v>
      </c>
      <c r="SPW76" s="49" t="s">
        <v>93</v>
      </c>
      <c r="SPX76" s="49" t="s">
        <v>94</v>
      </c>
      <c r="SPY76" s="49" t="s">
        <v>93</v>
      </c>
      <c r="SPZ76" s="49" t="s">
        <v>94</v>
      </c>
      <c r="SQA76" s="49" t="s">
        <v>93</v>
      </c>
      <c r="SQB76" s="49" t="s">
        <v>94</v>
      </c>
      <c r="SQC76" s="49" t="s">
        <v>93</v>
      </c>
      <c r="SQD76" s="49" t="s">
        <v>94</v>
      </c>
      <c r="SQE76" s="49" t="s">
        <v>93</v>
      </c>
      <c r="SQF76" s="49" t="s">
        <v>94</v>
      </c>
      <c r="SQG76" s="49" t="s">
        <v>93</v>
      </c>
      <c r="SQH76" s="49" t="s">
        <v>94</v>
      </c>
      <c r="SQI76" s="49" t="s">
        <v>93</v>
      </c>
      <c r="SQJ76" s="49" t="s">
        <v>94</v>
      </c>
      <c r="SQK76" s="49" t="s">
        <v>93</v>
      </c>
      <c r="SQL76" s="49" t="s">
        <v>94</v>
      </c>
      <c r="SQM76" s="49" t="s">
        <v>93</v>
      </c>
      <c r="SQN76" s="49" t="s">
        <v>94</v>
      </c>
      <c r="SQO76" s="49" t="s">
        <v>93</v>
      </c>
      <c r="SQP76" s="49" t="s">
        <v>94</v>
      </c>
      <c r="SQQ76" s="49" t="s">
        <v>93</v>
      </c>
      <c r="SQR76" s="49" t="s">
        <v>94</v>
      </c>
      <c r="SQS76" s="49" t="s">
        <v>93</v>
      </c>
      <c r="SQT76" s="49" t="s">
        <v>94</v>
      </c>
      <c r="SQU76" s="49" t="s">
        <v>93</v>
      </c>
      <c r="SQV76" s="49" t="s">
        <v>94</v>
      </c>
      <c r="SQW76" s="49" t="s">
        <v>93</v>
      </c>
      <c r="SQX76" s="49" t="s">
        <v>94</v>
      </c>
      <c r="SQY76" s="49" t="s">
        <v>93</v>
      </c>
      <c r="SQZ76" s="49" t="s">
        <v>94</v>
      </c>
      <c r="SRA76" s="49" t="s">
        <v>93</v>
      </c>
      <c r="SRB76" s="49" t="s">
        <v>94</v>
      </c>
      <c r="SRC76" s="49" t="s">
        <v>93</v>
      </c>
      <c r="SRD76" s="49" t="s">
        <v>94</v>
      </c>
      <c r="SRE76" s="49" t="s">
        <v>93</v>
      </c>
      <c r="SRF76" s="49" t="s">
        <v>94</v>
      </c>
      <c r="SRG76" s="49" t="s">
        <v>93</v>
      </c>
      <c r="SRH76" s="49" t="s">
        <v>94</v>
      </c>
      <c r="SRI76" s="49" t="s">
        <v>93</v>
      </c>
      <c r="SRJ76" s="49" t="s">
        <v>94</v>
      </c>
      <c r="SRK76" s="49" t="s">
        <v>93</v>
      </c>
      <c r="SRL76" s="49" t="s">
        <v>94</v>
      </c>
      <c r="SRM76" s="49" t="s">
        <v>93</v>
      </c>
      <c r="SRN76" s="49" t="s">
        <v>94</v>
      </c>
      <c r="SRO76" s="49" t="s">
        <v>93</v>
      </c>
      <c r="SRP76" s="49" t="s">
        <v>94</v>
      </c>
      <c r="SRQ76" s="49" t="s">
        <v>93</v>
      </c>
      <c r="SRR76" s="49" t="s">
        <v>94</v>
      </c>
      <c r="SRS76" s="49" t="s">
        <v>93</v>
      </c>
      <c r="SRT76" s="49" t="s">
        <v>94</v>
      </c>
      <c r="SRU76" s="49" t="s">
        <v>93</v>
      </c>
      <c r="SRV76" s="49" t="s">
        <v>94</v>
      </c>
      <c r="SRW76" s="49" t="s">
        <v>93</v>
      </c>
      <c r="SRX76" s="49" t="s">
        <v>94</v>
      </c>
      <c r="SRY76" s="49" t="s">
        <v>93</v>
      </c>
      <c r="SRZ76" s="49" t="s">
        <v>94</v>
      </c>
      <c r="SSA76" s="49" t="s">
        <v>93</v>
      </c>
      <c r="SSB76" s="49" t="s">
        <v>94</v>
      </c>
      <c r="SSC76" s="49" t="s">
        <v>93</v>
      </c>
      <c r="SSD76" s="49" t="s">
        <v>94</v>
      </c>
      <c r="SSE76" s="49" t="s">
        <v>93</v>
      </c>
      <c r="SSF76" s="49" t="s">
        <v>94</v>
      </c>
      <c r="SSG76" s="49" t="s">
        <v>93</v>
      </c>
      <c r="SSH76" s="49" t="s">
        <v>94</v>
      </c>
      <c r="SSI76" s="49" t="s">
        <v>93</v>
      </c>
      <c r="SSJ76" s="49" t="s">
        <v>94</v>
      </c>
      <c r="SSK76" s="49" t="s">
        <v>93</v>
      </c>
      <c r="SSL76" s="49" t="s">
        <v>94</v>
      </c>
      <c r="SSM76" s="49" t="s">
        <v>93</v>
      </c>
      <c r="SSN76" s="49" t="s">
        <v>94</v>
      </c>
      <c r="SSO76" s="49" t="s">
        <v>93</v>
      </c>
      <c r="SSP76" s="49" t="s">
        <v>94</v>
      </c>
      <c r="SSQ76" s="49" t="s">
        <v>93</v>
      </c>
      <c r="SSR76" s="49" t="s">
        <v>94</v>
      </c>
      <c r="SSS76" s="49" t="s">
        <v>93</v>
      </c>
      <c r="SST76" s="49" t="s">
        <v>94</v>
      </c>
      <c r="SSU76" s="49" t="s">
        <v>93</v>
      </c>
      <c r="SSV76" s="49" t="s">
        <v>94</v>
      </c>
      <c r="SSW76" s="49" t="s">
        <v>93</v>
      </c>
      <c r="SSX76" s="49" t="s">
        <v>94</v>
      </c>
      <c r="SSY76" s="49" t="s">
        <v>93</v>
      </c>
      <c r="SSZ76" s="49" t="s">
        <v>94</v>
      </c>
      <c r="STA76" s="49" t="s">
        <v>93</v>
      </c>
      <c r="STB76" s="49" t="s">
        <v>94</v>
      </c>
      <c r="STC76" s="49" t="s">
        <v>93</v>
      </c>
      <c r="STD76" s="49" t="s">
        <v>94</v>
      </c>
      <c r="STE76" s="49" t="s">
        <v>93</v>
      </c>
      <c r="STF76" s="49" t="s">
        <v>94</v>
      </c>
      <c r="STG76" s="49" t="s">
        <v>93</v>
      </c>
      <c r="STH76" s="49" t="s">
        <v>94</v>
      </c>
      <c r="STI76" s="49" t="s">
        <v>93</v>
      </c>
      <c r="STJ76" s="49" t="s">
        <v>94</v>
      </c>
      <c r="STK76" s="49" t="s">
        <v>93</v>
      </c>
      <c r="STL76" s="49" t="s">
        <v>94</v>
      </c>
      <c r="STM76" s="49" t="s">
        <v>93</v>
      </c>
      <c r="STN76" s="49" t="s">
        <v>94</v>
      </c>
      <c r="STO76" s="49" t="s">
        <v>93</v>
      </c>
      <c r="STP76" s="49" t="s">
        <v>94</v>
      </c>
      <c r="STQ76" s="49" t="s">
        <v>93</v>
      </c>
      <c r="STR76" s="49" t="s">
        <v>94</v>
      </c>
      <c r="STS76" s="49" t="s">
        <v>93</v>
      </c>
      <c r="STT76" s="49" t="s">
        <v>94</v>
      </c>
      <c r="STU76" s="49" t="s">
        <v>93</v>
      </c>
      <c r="STV76" s="49" t="s">
        <v>94</v>
      </c>
      <c r="STW76" s="49" t="s">
        <v>93</v>
      </c>
      <c r="STX76" s="49" t="s">
        <v>94</v>
      </c>
      <c r="STY76" s="49" t="s">
        <v>93</v>
      </c>
      <c r="STZ76" s="49" t="s">
        <v>94</v>
      </c>
      <c r="SUA76" s="49" t="s">
        <v>93</v>
      </c>
      <c r="SUB76" s="49" t="s">
        <v>94</v>
      </c>
      <c r="SUC76" s="49" t="s">
        <v>93</v>
      </c>
      <c r="SUD76" s="49" t="s">
        <v>94</v>
      </c>
      <c r="SUE76" s="49" t="s">
        <v>93</v>
      </c>
      <c r="SUF76" s="49" t="s">
        <v>94</v>
      </c>
      <c r="SUG76" s="49" t="s">
        <v>93</v>
      </c>
      <c r="SUH76" s="49" t="s">
        <v>94</v>
      </c>
      <c r="SUI76" s="49" t="s">
        <v>93</v>
      </c>
      <c r="SUJ76" s="49" t="s">
        <v>94</v>
      </c>
      <c r="SUK76" s="49" t="s">
        <v>93</v>
      </c>
      <c r="SUL76" s="49" t="s">
        <v>94</v>
      </c>
      <c r="SUM76" s="49" t="s">
        <v>93</v>
      </c>
      <c r="SUN76" s="49" t="s">
        <v>94</v>
      </c>
      <c r="SUO76" s="49" t="s">
        <v>93</v>
      </c>
      <c r="SUP76" s="49" t="s">
        <v>94</v>
      </c>
      <c r="SUQ76" s="49" t="s">
        <v>93</v>
      </c>
      <c r="SUR76" s="49" t="s">
        <v>94</v>
      </c>
      <c r="SUS76" s="49" t="s">
        <v>93</v>
      </c>
      <c r="SUT76" s="49" t="s">
        <v>94</v>
      </c>
      <c r="SUU76" s="49" t="s">
        <v>93</v>
      </c>
      <c r="SUV76" s="49" t="s">
        <v>94</v>
      </c>
      <c r="SUW76" s="49" t="s">
        <v>93</v>
      </c>
      <c r="SUX76" s="49" t="s">
        <v>94</v>
      </c>
      <c r="SUY76" s="49" t="s">
        <v>93</v>
      </c>
      <c r="SUZ76" s="49" t="s">
        <v>94</v>
      </c>
      <c r="SVA76" s="49" t="s">
        <v>93</v>
      </c>
      <c r="SVB76" s="49" t="s">
        <v>94</v>
      </c>
      <c r="SVC76" s="49" t="s">
        <v>93</v>
      </c>
      <c r="SVD76" s="49" t="s">
        <v>94</v>
      </c>
      <c r="SVE76" s="49" t="s">
        <v>93</v>
      </c>
      <c r="SVF76" s="49" t="s">
        <v>94</v>
      </c>
      <c r="SVG76" s="49" t="s">
        <v>93</v>
      </c>
      <c r="SVH76" s="49" t="s">
        <v>94</v>
      </c>
      <c r="SVI76" s="49" t="s">
        <v>93</v>
      </c>
      <c r="SVJ76" s="49" t="s">
        <v>94</v>
      </c>
      <c r="SVK76" s="49" t="s">
        <v>93</v>
      </c>
      <c r="SVL76" s="49" t="s">
        <v>94</v>
      </c>
      <c r="SVM76" s="49" t="s">
        <v>93</v>
      </c>
      <c r="SVN76" s="49" t="s">
        <v>94</v>
      </c>
      <c r="SVO76" s="49" t="s">
        <v>93</v>
      </c>
      <c r="SVP76" s="49" t="s">
        <v>94</v>
      </c>
      <c r="SVQ76" s="49" t="s">
        <v>93</v>
      </c>
      <c r="SVR76" s="49" t="s">
        <v>94</v>
      </c>
      <c r="SVS76" s="49" t="s">
        <v>93</v>
      </c>
      <c r="SVT76" s="49" t="s">
        <v>94</v>
      </c>
      <c r="SVU76" s="49" t="s">
        <v>93</v>
      </c>
      <c r="SVV76" s="49" t="s">
        <v>94</v>
      </c>
      <c r="SVW76" s="49" t="s">
        <v>93</v>
      </c>
      <c r="SVX76" s="49" t="s">
        <v>94</v>
      </c>
      <c r="SVY76" s="49" t="s">
        <v>93</v>
      </c>
      <c r="SVZ76" s="49" t="s">
        <v>94</v>
      </c>
      <c r="SWA76" s="49" t="s">
        <v>93</v>
      </c>
      <c r="SWB76" s="49" t="s">
        <v>94</v>
      </c>
      <c r="SWC76" s="49" t="s">
        <v>93</v>
      </c>
      <c r="SWD76" s="49" t="s">
        <v>94</v>
      </c>
      <c r="SWE76" s="49" t="s">
        <v>93</v>
      </c>
      <c r="SWF76" s="49" t="s">
        <v>94</v>
      </c>
      <c r="SWG76" s="49" t="s">
        <v>93</v>
      </c>
      <c r="SWH76" s="49" t="s">
        <v>94</v>
      </c>
      <c r="SWI76" s="49" t="s">
        <v>93</v>
      </c>
      <c r="SWJ76" s="49" t="s">
        <v>94</v>
      </c>
      <c r="SWK76" s="49" t="s">
        <v>93</v>
      </c>
      <c r="SWL76" s="49" t="s">
        <v>94</v>
      </c>
      <c r="SWM76" s="49" t="s">
        <v>93</v>
      </c>
      <c r="SWN76" s="49" t="s">
        <v>94</v>
      </c>
      <c r="SWO76" s="49" t="s">
        <v>93</v>
      </c>
      <c r="SWP76" s="49" t="s">
        <v>94</v>
      </c>
      <c r="SWQ76" s="49" t="s">
        <v>93</v>
      </c>
      <c r="SWR76" s="49" t="s">
        <v>94</v>
      </c>
      <c r="SWS76" s="49" t="s">
        <v>93</v>
      </c>
      <c r="SWT76" s="49" t="s">
        <v>94</v>
      </c>
      <c r="SWU76" s="49" t="s">
        <v>93</v>
      </c>
      <c r="SWV76" s="49" t="s">
        <v>94</v>
      </c>
      <c r="SWW76" s="49" t="s">
        <v>93</v>
      </c>
      <c r="SWX76" s="49" t="s">
        <v>94</v>
      </c>
      <c r="SWY76" s="49" t="s">
        <v>93</v>
      </c>
      <c r="SWZ76" s="49" t="s">
        <v>94</v>
      </c>
      <c r="SXA76" s="49" t="s">
        <v>93</v>
      </c>
      <c r="SXB76" s="49" t="s">
        <v>94</v>
      </c>
      <c r="SXC76" s="49" t="s">
        <v>93</v>
      </c>
      <c r="SXD76" s="49" t="s">
        <v>94</v>
      </c>
      <c r="SXE76" s="49" t="s">
        <v>93</v>
      </c>
      <c r="SXF76" s="49" t="s">
        <v>94</v>
      </c>
      <c r="SXG76" s="49" t="s">
        <v>93</v>
      </c>
      <c r="SXH76" s="49" t="s">
        <v>94</v>
      </c>
      <c r="SXI76" s="49" t="s">
        <v>93</v>
      </c>
      <c r="SXJ76" s="49" t="s">
        <v>94</v>
      </c>
      <c r="SXK76" s="49" t="s">
        <v>93</v>
      </c>
      <c r="SXL76" s="49" t="s">
        <v>94</v>
      </c>
      <c r="SXM76" s="49" t="s">
        <v>93</v>
      </c>
      <c r="SXN76" s="49" t="s">
        <v>94</v>
      </c>
      <c r="SXO76" s="49" t="s">
        <v>93</v>
      </c>
      <c r="SXP76" s="49" t="s">
        <v>94</v>
      </c>
      <c r="SXQ76" s="49" t="s">
        <v>93</v>
      </c>
      <c r="SXR76" s="49" t="s">
        <v>94</v>
      </c>
      <c r="SXS76" s="49" t="s">
        <v>93</v>
      </c>
      <c r="SXT76" s="49" t="s">
        <v>94</v>
      </c>
      <c r="SXU76" s="49" t="s">
        <v>93</v>
      </c>
      <c r="SXV76" s="49" t="s">
        <v>94</v>
      </c>
      <c r="SXW76" s="49" t="s">
        <v>93</v>
      </c>
      <c r="SXX76" s="49" t="s">
        <v>94</v>
      </c>
      <c r="SXY76" s="49" t="s">
        <v>93</v>
      </c>
      <c r="SXZ76" s="49" t="s">
        <v>94</v>
      </c>
      <c r="SYA76" s="49" t="s">
        <v>93</v>
      </c>
      <c r="SYB76" s="49" t="s">
        <v>94</v>
      </c>
      <c r="SYC76" s="49" t="s">
        <v>93</v>
      </c>
      <c r="SYD76" s="49" t="s">
        <v>94</v>
      </c>
      <c r="SYE76" s="49" t="s">
        <v>93</v>
      </c>
      <c r="SYF76" s="49" t="s">
        <v>94</v>
      </c>
      <c r="SYG76" s="49" t="s">
        <v>93</v>
      </c>
      <c r="SYH76" s="49" t="s">
        <v>94</v>
      </c>
      <c r="SYI76" s="49" t="s">
        <v>93</v>
      </c>
      <c r="SYJ76" s="49" t="s">
        <v>94</v>
      </c>
      <c r="SYK76" s="49" t="s">
        <v>93</v>
      </c>
      <c r="SYL76" s="49" t="s">
        <v>94</v>
      </c>
      <c r="SYM76" s="49" t="s">
        <v>93</v>
      </c>
      <c r="SYN76" s="49" t="s">
        <v>94</v>
      </c>
      <c r="SYO76" s="49" t="s">
        <v>93</v>
      </c>
      <c r="SYP76" s="49" t="s">
        <v>94</v>
      </c>
      <c r="SYQ76" s="49" t="s">
        <v>93</v>
      </c>
      <c r="SYR76" s="49" t="s">
        <v>94</v>
      </c>
      <c r="SYS76" s="49" t="s">
        <v>93</v>
      </c>
      <c r="SYT76" s="49" t="s">
        <v>94</v>
      </c>
      <c r="SYU76" s="49" t="s">
        <v>93</v>
      </c>
      <c r="SYV76" s="49" t="s">
        <v>94</v>
      </c>
      <c r="SYW76" s="49" t="s">
        <v>93</v>
      </c>
      <c r="SYX76" s="49" t="s">
        <v>94</v>
      </c>
      <c r="SYY76" s="49" t="s">
        <v>93</v>
      </c>
      <c r="SYZ76" s="49" t="s">
        <v>94</v>
      </c>
      <c r="SZA76" s="49" t="s">
        <v>93</v>
      </c>
      <c r="SZB76" s="49" t="s">
        <v>94</v>
      </c>
      <c r="SZC76" s="49" t="s">
        <v>93</v>
      </c>
      <c r="SZD76" s="49" t="s">
        <v>94</v>
      </c>
      <c r="SZE76" s="49" t="s">
        <v>93</v>
      </c>
      <c r="SZF76" s="49" t="s">
        <v>94</v>
      </c>
      <c r="SZG76" s="49" t="s">
        <v>93</v>
      </c>
      <c r="SZH76" s="49" t="s">
        <v>94</v>
      </c>
      <c r="SZI76" s="49" t="s">
        <v>93</v>
      </c>
      <c r="SZJ76" s="49" t="s">
        <v>94</v>
      </c>
      <c r="SZK76" s="49" t="s">
        <v>93</v>
      </c>
      <c r="SZL76" s="49" t="s">
        <v>94</v>
      </c>
      <c r="SZM76" s="49" t="s">
        <v>93</v>
      </c>
      <c r="SZN76" s="49" t="s">
        <v>94</v>
      </c>
      <c r="SZO76" s="49" t="s">
        <v>93</v>
      </c>
      <c r="SZP76" s="49" t="s">
        <v>94</v>
      </c>
      <c r="SZQ76" s="49" t="s">
        <v>93</v>
      </c>
      <c r="SZR76" s="49" t="s">
        <v>94</v>
      </c>
      <c r="SZS76" s="49" t="s">
        <v>93</v>
      </c>
      <c r="SZT76" s="49" t="s">
        <v>94</v>
      </c>
      <c r="SZU76" s="49" t="s">
        <v>93</v>
      </c>
      <c r="SZV76" s="49" t="s">
        <v>94</v>
      </c>
      <c r="SZW76" s="49" t="s">
        <v>93</v>
      </c>
      <c r="SZX76" s="49" t="s">
        <v>94</v>
      </c>
      <c r="SZY76" s="49" t="s">
        <v>93</v>
      </c>
      <c r="SZZ76" s="49" t="s">
        <v>94</v>
      </c>
      <c r="TAA76" s="49" t="s">
        <v>93</v>
      </c>
      <c r="TAB76" s="49" t="s">
        <v>94</v>
      </c>
      <c r="TAC76" s="49" t="s">
        <v>93</v>
      </c>
      <c r="TAD76" s="49" t="s">
        <v>94</v>
      </c>
      <c r="TAE76" s="49" t="s">
        <v>93</v>
      </c>
      <c r="TAF76" s="49" t="s">
        <v>94</v>
      </c>
      <c r="TAG76" s="49" t="s">
        <v>93</v>
      </c>
      <c r="TAH76" s="49" t="s">
        <v>94</v>
      </c>
      <c r="TAI76" s="49" t="s">
        <v>93</v>
      </c>
      <c r="TAJ76" s="49" t="s">
        <v>94</v>
      </c>
      <c r="TAK76" s="49" t="s">
        <v>93</v>
      </c>
      <c r="TAL76" s="49" t="s">
        <v>94</v>
      </c>
      <c r="TAM76" s="49" t="s">
        <v>93</v>
      </c>
      <c r="TAN76" s="49" t="s">
        <v>94</v>
      </c>
      <c r="TAO76" s="49" t="s">
        <v>93</v>
      </c>
      <c r="TAP76" s="49" t="s">
        <v>94</v>
      </c>
      <c r="TAQ76" s="49" t="s">
        <v>93</v>
      </c>
      <c r="TAR76" s="49" t="s">
        <v>94</v>
      </c>
      <c r="TAS76" s="49" t="s">
        <v>93</v>
      </c>
      <c r="TAT76" s="49" t="s">
        <v>94</v>
      </c>
      <c r="TAU76" s="49" t="s">
        <v>93</v>
      </c>
      <c r="TAV76" s="49" t="s">
        <v>94</v>
      </c>
      <c r="TAW76" s="49" t="s">
        <v>93</v>
      </c>
      <c r="TAX76" s="49" t="s">
        <v>94</v>
      </c>
      <c r="TAY76" s="49" t="s">
        <v>93</v>
      </c>
      <c r="TAZ76" s="49" t="s">
        <v>94</v>
      </c>
      <c r="TBA76" s="49" t="s">
        <v>93</v>
      </c>
      <c r="TBB76" s="49" t="s">
        <v>94</v>
      </c>
      <c r="TBC76" s="49" t="s">
        <v>93</v>
      </c>
      <c r="TBD76" s="49" t="s">
        <v>94</v>
      </c>
      <c r="TBE76" s="49" t="s">
        <v>93</v>
      </c>
      <c r="TBF76" s="49" t="s">
        <v>94</v>
      </c>
      <c r="TBG76" s="49" t="s">
        <v>93</v>
      </c>
      <c r="TBH76" s="49" t="s">
        <v>94</v>
      </c>
      <c r="TBI76" s="49" t="s">
        <v>93</v>
      </c>
      <c r="TBJ76" s="49" t="s">
        <v>94</v>
      </c>
      <c r="TBK76" s="49" t="s">
        <v>93</v>
      </c>
      <c r="TBL76" s="49" t="s">
        <v>94</v>
      </c>
      <c r="TBM76" s="49" t="s">
        <v>93</v>
      </c>
      <c r="TBN76" s="49" t="s">
        <v>94</v>
      </c>
      <c r="TBO76" s="49" t="s">
        <v>93</v>
      </c>
      <c r="TBP76" s="49" t="s">
        <v>94</v>
      </c>
      <c r="TBQ76" s="49" t="s">
        <v>93</v>
      </c>
      <c r="TBR76" s="49" t="s">
        <v>94</v>
      </c>
      <c r="TBS76" s="49" t="s">
        <v>93</v>
      </c>
      <c r="TBT76" s="49" t="s">
        <v>94</v>
      </c>
      <c r="TBU76" s="49" t="s">
        <v>93</v>
      </c>
      <c r="TBV76" s="49" t="s">
        <v>94</v>
      </c>
      <c r="TBW76" s="49" t="s">
        <v>93</v>
      </c>
      <c r="TBX76" s="49" t="s">
        <v>94</v>
      </c>
      <c r="TBY76" s="49" t="s">
        <v>93</v>
      </c>
      <c r="TBZ76" s="49" t="s">
        <v>94</v>
      </c>
      <c r="TCA76" s="49" t="s">
        <v>93</v>
      </c>
      <c r="TCB76" s="49" t="s">
        <v>94</v>
      </c>
      <c r="TCC76" s="49" t="s">
        <v>93</v>
      </c>
      <c r="TCD76" s="49" t="s">
        <v>94</v>
      </c>
      <c r="TCE76" s="49" t="s">
        <v>93</v>
      </c>
      <c r="TCF76" s="49" t="s">
        <v>94</v>
      </c>
      <c r="TCG76" s="49" t="s">
        <v>93</v>
      </c>
      <c r="TCH76" s="49" t="s">
        <v>94</v>
      </c>
      <c r="TCI76" s="49" t="s">
        <v>93</v>
      </c>
      <c r="TCJ76" s="49" t="s">
        <v>94</v>
      </c>
      <c r="TCK76" s="49" t="s">
        <v>93</v>
      </c>
      <c r="TCL76" s="49" t="s">
        <v>94</v>
      </c>
      <c r="TCM76" s="49" t="s">
        <v>93</v>
      </c>
      <c r="TCN76" s="49" t="s">
        <v>94</v>
      </c>
      <c r="TCO76" s="49" t="s">
        <v>93</v>
      </c>
      <c r="TCP76" s="49" t="s">
        <v>94</v>
      </c>
      <c r="TCQ76" s="49" t="s">
        <v>93</v>
      </c>
      <c r="TCR76" s="49" t="s">
        <v>94</v>
      </c>
      <c r="TCS76" s="49" t="s">
        <v>93</v>
      </c>
      <c r="TCT76" s="49" t="s">
        <v>94</v>
      </c>
      <c r="TCU76" s="49" t="s">
        <v>93</v>
      </c>
      <c r="TCV76" s="49" t="s">
        <v>94</v>
      </c>
      <c r="TCW76" s="49" t="s">
        <v>93</v>
      </c>
      <c r="TCX76" s="49" t="s">
        <v>94</v>
      </c>
      <c r="TCY76" s="49" t="s">
        <v>93</v>
      </c>
      <c r="TCZ76" s="49" t="s">
        <v>94</v>
      </c>
      <c r="TDA76" s="49" t="s">
        <v>93</v>
      </c>
      <c r="TDB76" s="49" t="s">
        <v>94</v>
      </c>
      <c r="TDC76" s="49" t="s">
        <v>93</v>
      </c>
      <c r="TDD76" s="49" t="s">
        <v>94</v>
      </c>
      <c r="TDE76" s="49" t="s">
        <v>93</v>
      </c>
      <c r="TDF76" s="49" t="s">
        <v>94</v>
      </c>
      <c r="TDG76" s="49" t="s">
        <v>93</v>
      </c>
      <c r="TDH76" s="49" t="s">
        <v>94</v>
      </c>
      <c r="TDI76" s="49" t="s">
        <v>93</v>
      </c>
      <c r="TDJ76" s="49" t="s">
        <v>94</v>
      </c>
      <c r="TDK76" s="49" t="s">
        <v>93</v>
      </c>
      <c r="TDL76" s="49" t="s">
        <v>94</v>
      </c>
      <c r="TDM76" s="49" t="s">
        <v>93</v>
      </c>
      <c r="TDN76" s="49" t="s">
        <v>94</v>
      </c>
      <c r="TDO76" s="49" t="s">
        <v>93</v>
      </c>
      <c r="TDP76" s="49" t="s">
        <v>94</v>
      </c>
      <c r="TDQ76" s="49" t="s">
        <v>93</v>
      </c>
      <c r="TDR76" s="49" t="s">
        <v>94</v>
      </c>
      <c r="TDS76" s="49" t="s">
        <v>93</v>
      </c>
      <c r="TDT76" s="49" t="s">
        <v>94</v>
      </c>
      <c r="TDU76" s="49" t="s">
        <v>93</v>
      </c>
      <c r="TDV76" s="49" t="s">
        <v>94</v>
      </c>
      <c r="TDW76" s="49" t="s">
        <v>93</v>
      </c>
      <c r="TDX76" s="49" t="s">
        <v>94</v>
      </c>
      <c r="TDY76" s="49" t="s">
        <v>93</v>
      </c>
      <c r="TDZ76" s="49" t="s">
        <v>94</v>
      </c>
      <c r="TEA76" s="49" t="s">
        <v>93</v>
      </c>
      <c r="TEB76" s="49" t="s">
        <v>94</v>
      </c>
      <c r="TEC76" s="49" t="s">
        <v>93</v>
      </c>
      <c r="TED76" s="49" t="s">
        <v>94</v>
      </c>
      <c r="TEE76" s="49" t="s">
        <v>93</v>
      </c>
      <c r="TEF76" s="49" t="s">
        <v>94</v>
      </c>
      <c r="TEG76" s="49" t="s">
        <v>93</v>
      </c>
      <c r="TEH76" s="49" t="s">
        <v>94</v>
      </c>
      <c r="TEI76" s="49" t="s">
        <v>93</v>
      </c>
      <c r="TEJ76" s="49" t="s">
        <v>94</v>
      </c>
      <c r="TEK76" s="49" t="s">
        <v>93</v>
      </c>
      <c r="TEL76" s="49" t="s">
        <v>94</v>
      </c>
      <c r="TEM76" s="49" t="s">
        <v>93</v>
      </c>
      <c r="TEN76" s="49" t="s">
        <v>94</v>
      </c>
      <c r="TEO76" s="49" t="s">
        <v>93</v>
      </c>
      <c r="TEP76" s="49" t="s">
        <v>94</v>
      </c>
      <c r="TEQ76" s="49" t="s">
        <v>93</v>
      </c>
      <c r="TER76" s="49" t="s">
        <v>94</v>
      </c>
      <c r="TES76" s="49" t="s">
        <v>93</v>
      </c>
      <c r="TET76" s="49" t="s">
        <v>94</v>
      </c>
      <c r="TEU76" s="49" t="s">
        <v>93</v>
      </c>
      <c r="TEV76" s="49" t="s">
        <v>94</v>
      </c>
      <c r="TEW76" s="49" t="s">
        <v>93</v>
      </c>
      <c r="TEX76" s="49" t="s">
        <v>94</v>
      </c>
      <c r="TEY76" s="49" t="s">
        <v>93</v>
      </c>
      <c r="TEZ76" s="49" t="s">
        <v>94</v>
      </c>
      <c r="TFA76" s="49" t="s">
        <v>93</v>
      </c>
      <c r="TFB76" s="49" t="s">
        <v>94</v>
      </c>
      <c r="TFC76" s="49" t="s">
        <v>93</v>
      </c>
      <c r="TFD76" s="49" t="s">
        <v>94</v>
      </c>
      <c r="TFE76" s="49" t="s">
        <v>93</v>
      </c>
      <c r="TFF76" s="49" t="s">
        <v>94</v>
      </c>
      <c r="TFG76" s="49" t="s">
        <v>93</v>
      </c>
      <c r="TFH76" s="49" t="s">
        <v>94</v>
      </c>
      <c r="TFI76" s="49" t="s">
        <v>93</v>
      </c>
      <c r="TFJ76" s="49" t="s">
        <v>94</v>
      </c>
      <c r="TFK76" s="49" t="s">
        <v>93</v>
      </c>
      <c r="TFL76" s="49" t="s">
        <v>94</v>
      </c>
      <c r="TFM76" s="49" t="s">
        <v>93</v>
      </c>
      <c r="TFN76" s="49" t="s">
        <v>94</v>
      </c>
      <c r="TFO76" s="49" t="s">
        <v>93</v>
      </c>
      <c r="TFP76" s="49" t="s">
        <v>94</v>
      </c>
      <c r="TFQ76" s="49" t="s">
        <v>93</v>
      </c>
      <c r="TFR76" s="49" t="s">
        <v>94</v>
      </c>
      <c r="TFS76" s="49" t="s">
        <v>93</v>
      </c>
      <c r="TFT76" s="49" t="s">
        <v>94</v>
      </c>
      <c r="TFU76" s="49" t="s">
        <v>93</v>
      </c>
      <c r="TFV76" s="49" t="s">
        <v>94</v>
      </c>
      <c r="TFW76" s="49" t="s">
        <v>93</v>
      </c>
      <c r="TFX76" s="49" t="s">
        <v>94</v>
      </c>
      <c r="TFY76" s="49" t="s">
        <v>93</v>
      </c>
      <c r="TFZ76" s="49" t="s">
        <v>94</v>
      </c>
      <c r="TGA76" s="49" t="s">
        <v>93</v>
      </c>
      <c r="TGB76" s="49" t="s">
        <v>94</v>
      </c>
      <c r="TGC76" s="49" t="s">
        <v>93</v>
      </c>
      <c r="TGD76" s="49" t="s">
        <v>94</v>
      </c>
      <c r="TGE76" s="49" t="s">
        <v>93</v>
      </c>
      <c r="TGF76" s="49" t="s">
        <v>94</v>
      </c>
      <c r="TGG76" s="49" t="s">
        <v>93</v>
      </c>
      <c r="TGH76" s="49" t="s">
        <v>94</v>
      </c>
      <c r="TGI76" s="49" t="s">
        <v>93</v>
      </c>
      <c r="TGJ76" s="49" t="s">
        <v>94</v>
      </c>
      <c r="TGK76" s="49" t="s">
        <v>93</v>
      </c>
      <c r="TGL76" s="49" t="s">
        <v>94</v>
      </c>
      <c r="TGM76" s="49" t="s">
        <v>93</v>
      </c>
      <c r="TGN76" s="49" t="s">
        <v>94</v>
      </c>
      <c r="TGO76" s="49" t="s">
        <v>93</v>
      </c>
      <c r="TGP76" s="49" t="s">
        <v>94</v>
      </c>
      <c r="TGQ76" s="49" t="s">
        <v>93</v>
      </c>
      <c r="TGR76" s="49" t="s">
        <v>94</v>
      </c>
      <c r="TGS76" s="49" t="s">
        <v>93</v>
      </c>
      <c r="TGT76" s="49" t="s">
        <v>94</v>
      </c>
      <c r="TGU76" s="49" t="s">
        <v>93</v>
      </c>
      <c r="TGV76" s="49" t="s">
        <v>94</v>
      </c>
      <c r="TGW76" s="49" t="s">
        <v>93</v>
      </c>
      <c r="TGX76" s="49" t="s">
        <v>94</v>
      </c>
      <c r="TGY76" s="49" t="s">
        <v>93</v>
      </c>
      <c r="TGZ76" s="49" t="s">
        <v>94</v>
      </c>
      <c r="THA76" s="49" t="s">
        <v>93</v>
      </c>
      <c r="THB76" s="49" t="s">
        <v>94</v>
      </c>
      <c r="THC76" s="49" t="s">
        <v>93</v>
      </c>
      <c r="THD76" s="49" t="s">
        <v>94</v>
      </c>
      <c r="THE76" s="49" t="s">
        <v>93</v>
      </c>
      <c r="THF76" s="49" t="s">
        <v>94</v>
      </c>
      <c r="THG76" s="49" t="s">
        <v>93</v>
      </c>
      <c r="THH76" s="49" t="s">
        <v>94</v>
      </c>
      <c r="THI76" s="49" t="s">
        <v>93</v>
      </c>
      <c r="THJ76" s="49" t="s">
        <v>94</v>
      </c>
      <c r="THK76" s="49" t="s">
        <v>93</v>
      </c>
      <c r="THL76" s="49" t="s">
        <v>94</v>
      </c>
      <c r="THM76" s="49" t="s">
        <v>93</v>
      </c>
      <c r="THN76" s="49" t="s">
        <v>94</v>
      </c>
      <c r="THO76" s="49" t="s">
        <v>93</v>
      </c>
      <c r="THP76" s="49" t="s">
        <v>94</v>
      </c>
      <c r="THQ76" s="49" t="s">
        <v>93</v>
      </c>
      <c r="THR76" s="49" t="s">
        <v>94</v>
      </c>
      <c r="THS76" s="49" t="s">
        <v>93</v>
      </c>
      <c r="THT76" s="49" t="s">
        <v>94</v>
      </c>
      <c r="THU76" s="49" t="s">
        <v>93</v>
      </c>
      <c r="THV76" s="49" t="s">
        <v>94</v>
      </c>
      <c r="THW76" s="49" t="s">
        <v>93</v>
      </c>
      <c r="THX76" s="49" t="s">
        <v>94</v>
      </c>
      <c r="THY76" s="49" t="s">
        <v>93</v>
      </c>
      <c r="THZ76" s="49" t="s">
        <v>94</v>
      </c>
      <c r="TIA76" s="49" t="s">
        <v>93</v>
      </c>
      <c r="TIB76" s="49" t="s">
        <v>94</v>
      </c>
      <c r="TIC76" s="49" t="s">
        <v>93</v>
      </c>
      <c r="TID76" s="49" t="s">
        <v>94</v>
      </c>
      <c r="TIE76" s="49" t="s">
        <v>93</v>
      </c>
      <c r="TIF76" s="49" t="s">
        <v>94</v>
      </c>
      <c r="TIG76" s="49" t="s">
        <v>93</v>
      </c>
      <c r="TIH76" s="49" t="s">
        <v>94</v>
      </c>
      <c r="TII76" s="49" t="s">
        <v>93</v>
      </c>
      <c r="TIJ76" s="49" t="s">
        <v>94</v>
      </c>
      <c r="TIK76" s="49" t="s">
        <v>93</v>
      </c>
      <c r="TIL76" s="49" t="s">
        <v>94</v>
      </c>
      <c r="TIM76" s="49" t="s">
        <v>93</v>
      </c>
      <c r="TIN76" s="49" t="s">
        <v>94</v>
      </c>
      <c r="TIO76" s="49" t="s">
        <v>93</v>
      </c>
      <c r="TIP76" s="49" t="s">
        <v>94</v>
      </c>
      <c r="TIQ76" s="49" t="s">
        <v>93</v>
      </c>
      <c r="TIR76" s="49" t="s">
        <v>94</v>
      </c>
      <c r="TIS76" s="49" t="s">
        <v>93</v>
      </c>
      <c r="TIT76" s="49" t="s">
        <v>94</v>
      </c>
      <c r="TIU76" s="49" t="s">
        <v>93</v>
      </c>
      <c r="TIV76" s="49" t="s">
        <v>94</v>
      </c>
      <c r="TIW76" s="49" t="s">
        <v>93</v>
      </c>
      <c r="TIX76" s="49" t="s">
        <v>94</v>
      </c>
      <c r="TIY76" s="49" t="s">
        <v>93</v>
      </c>
      <c r="TIZ76" s="49" t="s">
        <v>94</v>
      </c>
      <c r="TJA76" s="49" t="s">
        <v>93</v>
      </c>
      <c r="TJB76" s="49" t="s">
        <v>94</v>
      </c>
      <c r="TJC76" s="49" t="s">
        <v>93</v>
      </c>
      <c r="TJD76" s="49" t="s">
        <v>94</v>
      </c>
      <c r="TJE76" s="49" t="s">
        <v>93</v>
      </c>
      <c r="TJF76" s="49" t="s">
        <v>94</v>
      </c>
      <c r="TJG76" s="49" t="s">
        <v>93</v>
      </c>
      <c r="TJH76" s="49" t="s">
        <v>94</v>
      </c>
      <c r="TJI76" s="49" t="s">
        <v>93</v>
      </c>
      <c r="TJJ76" s="49" t="s">
        <v>94</v>
      </c>
      <c r="TJK76" s="49" t="s">
        <v>93</v>
      </c>
      <c r="TJL76" s="49" t="s">
        <v>94</v>
      </c>
      <c r="TJM76" s="49" t="s">
        <v>93</v>
      </c>
      <c r="TJN76" s="49" t="s">
        <v>94</v>
      </c>
      <c r="TJO76" s="49" t="s">
        <v>93</v>
      </c>
      <c r="TJP76" s="49" t="s">
        <v>94</v>
      </c>
      <c r="TJQ76" s="49" t="s">
        <v>93</v>
      </c>
      <c r="TJR76" s="49" t="s">
        <v>94</v>
      </c>
      <c r="TJS76" s="49" t="s">
        <v>93</v>
      </c>
      <c r="TJT76" s="49" t="s">
        <v>94</v>
      </c>
      <c r="TJU76" s="49" t="s">
        <v>93</v>
      </c>
      <c r="TJV76" s="49" t="s">
        <v>94</v>
      </c>
      <c r="TJW76" s="49" t="s">
        <v>93</v>
      </c>
      <c r="TJX76" s="49" t="s">
        <v>94</v>
      </c>
      <c r="TJY76" s="49" t="s">
        <v>93</v>
      </c>
      <c r="TJZ76" s="49" t="s">
        <v>94</v>
      </c>
      <c r="TKA76" s="49" t="s">
        <v>93</v>
      </c>
      <c r="TKB76" s="49" t="s">
        <v>94</v>
      </c>
      <c r="TKC76" s="49" t="s">
        <v>93</v>
      </c>
      <c r="TKD76" s="49" t="s">
        <v>94</v>
      </c>
      <c r="TKE76" s="49" t="s">
        <v>93</v>
      </c>
      <c r="TKF76" s="49" t="s">
        <v>94</v>
      </c>
      <c r="TKG76" s="49" t="s">
        <v>93</v>
      </c>
      <c r="TKH76" s="49" t="s">
        <v>94</v>
      </c>
      <c r="TKI76" s="49" t="s">
        <v>93</v>
      </c>
      <c r="TKJ76" s="49" t="s">
        <v>94</v>
      </c>
      <c r="TKK76" s="49" t="s">
        <v>93</v>
      </c>
      <c r="TKL76" s="49" t="s">
        <v>94</v>
      </c>
      <c r="TKM76" s="49" t="s">
        <v>93</v>
      </c>
      <c r="TKN76" s="49" t="s">
        <v>94</v>
      </c>
      <c r="TKO76" s="49" t="s">
        <v>93</v>
      </c>
      <c r="TKP76" s="49" t="s">
        <v>94</v>
      </c>
      <c r="TKQ76" s="49" t="s">
        <v>93</v>
      </c>
      <c r="TKR76" s="49" t="s">
        <v>94</v>
      </c>
      <c r="TKS76" s="49" t="s">
        <v>93</v>
      </c>
      <c r="TKT76" s="49" t="s">
        <v>94</v>
      </c>
      <c r="TKU76" s="49" t="s">
        <v>93</v>
      </c>
      <c r="TKV76" s="49" t="s">
        <v>94</v>
      </c>
      <c r="TKW76" s="49" t="s">
        <v>93</v>
      </c>
      <c r="TKX76" s="49" t="s">
        <v>94</v>
      </c>
      <c r="TKY76" s="49" t="s">
        <v>93</v>
      </c>
      <c r="TKZ76" s="49" t="s">
        <v>94</v>
      </c>
      <c r="TLA76" s="49" t="s">
        <v>93</v>
      </c>
      <c r="TLB76" s="49" t="s">
        <v>94</v>
      </c>
      <c r="TLC76" s="49" t="s">
        <v>93</v>
      </c>
      <c r="TLD76" s="49" t="s">
        <v>94</v>
      </c>
      <c r="TLE76" s="49" t="s">
        <v>93</v>
      </c>
      <c r="TLF76" s="49" t="s">
        <v>94</v>
      </c>
      <c r="TLG76" s="49" t="s">
        <v>93</v>
      </c>
      <c r="TLH76" s="49" t="s">
        <v>94</v>
      </c>
      <c r="TLI76" s="49" t="s">
        <v>93</v>
      </c>
      <c r="TLJ76" s="49" t="s">
        <v>94</v>
      </c>
      <c r="TLK76" s="49" t="s">
        <v>93</v>
      </c>
      <c r="TLL76" s="49" t="s">
        <v>94</v>
      </c>
      <c r="TLM76" s="49" t="s">
        <v>93</v>
      </c>
      <c r="TLN76" s="49" t="s">
        <v>94</v>
      </c>
      <c r="TLO76" s="49" t="s">
        <v>93</v>
      </c>
      <c r="TLP76" s="49" t="s">
        <v>94</v>
      </c>
      <c r="TLQ76" s="49" t="s">
        <v>93</v>
      </c>
      <c r="TLR76" s="49" t="s">
        <v>94</v>
      </c>
      <c r="TLS76" s="49" t="s">
        <v>93</v>
      </c>
      <c r="TLT76" s="49" t="s">
        <v>94</v>
      </c>
      <c r="TLU76" s="49" t="s">
        <v>93</v>
      </c>
      <c r="TLV76" s="49" t="s">
        <v>94</v>
      </c>
      <c r="TLW76" s="49" t="s">
        <v>93</v>
      </c>
      <c r="TLX76" s="49" t="s">
        <v>94</v>
      </c>
      <c r="TLY76" s="49" t="s">
        <v>93</v>
      </c>
      <c r="TLZ76" s="49" t="s">
        <v>94</v>
      </c>
      <c r="TMA76" s="49" t="s">
        <v>93</v>
      </c>
      <c r="TMB76" s="49" t="s">
        <v>94</v>
      </c>
      <c r="TMC76" s="49" t="s">
        <v>93</v>
      </c>
      <c r="TMD76" s="49" t="s">
        <v>94</v>
      </c>
      <c r="TME76" s="49" t="s">
        <v>93</v>
      </c>
      <c r="TMF76" s="49" t="s">
        <v>94</v>
      </c>
      <c r="TMG76" s="49" t="s">
        <v>93</v>
      </c>
      <c r="TMH76" s="49" t="s">
        <v>94</v>
      </c>
      <c r="TMI76" s="49" t="s">
        <v>93</v>
      </c>
      <c r="TMJ76" s="49" t="s">
        <v>94</v>
      </c>
      <c r="TMK76" s="49" t="s">
        <v>93</v>
      </c>
      <c r="TML76" s="49" t="s">
        <v>94</v>
      </c>
      <c r="TMM76" s="49" t="s">
        <v>93</v>
      </c>
      <c r="TMN76" s="49" t="s">
        <v>94</v>
      </c>
      <c r="TMO76" s="49" t="s">
        <v>93</v>
      </c>
      <c r="TMP76" s="49" t="s">
        <v>94</v>
      </c>
      <c r="TMQ76" s="49" t="s">
        <v>93</v>
      </c>
      <c r="TMR76" s="49" t="s">
        <v>94</v>
      </c>
      <c r="TMS76" s="49" t="s">
        <v>93</v>
      </c>
      <c r="TMT76" s="49" t="s">
        <v>94</v>
      </c>
      <c r="TMU76" s="49" t="s">
        <v>93</v>
      </c>
      <c r="TMV76" s="49" t="s">
        <v>94</v>
      </c>
      <c r="TMW76" s="49" t="s">
        <v>93</v>
      </c>
      <c r="TMX76" s="49" t="s">
        <v>94</v>
      </c>
      <c r="TMY76" s="49" t="s">
        <v>93</v>
      </c>
      <c r="TMZ76" s="49" t="s">
        <v>94</v>
      </c>
      <c r="TNA76" s="49" t="s">
        <v>93</v>
      </c>
      <c r="TNB76" s="49" t="s">
        <v>94</v>
      </c>
      <c r="TNC76" s="49" t="s">
        <v>93</v>
      </c>
      <c r="TND76" s="49" t="s">
        <v>94</v>
      </c>
      <c r="TNE76" s="49" t="s">
        <v>93</v>
      </c>
      <c r="TNF76" s="49" t="s">
        <v>94</v>
      </c>
      <c r="TNG76" s="49" t="s">
        <v>93</v>
      </c>
      <c r="TNH76" s="49" t="s">
        <v>94</v>
      </c>
      <c r="TNI76" s="49" t="s">
        <v>93</v>
      </c>
      <c r="TNJ76" s="49" t="s">
        <v>94</v>
      </c>
      <c r="TNK76" s="49" t="s">
        <v>93</v>
      </c>
      <c r="TNL76" s="49" t="s">
        <v>94</v>
      </c>
      <c r="TNM76" s="49" t="s">
        <v>93</v>
      </c>
      <c r="TNN76" s="49" t="s">
        <v>94</v>
      </c>
      <c r="TNO76" s="49" t="s">
        <v>93</v>
      </c>
      <c r="TNP76" s="49" t="s">
        <v>94</v>
      </c>
      <c r="TNQ76" s="49" t="s">
        <v>93</v>
      </c>
      <c r="TNR76" s="49" t="s">
        <v>94</v>
      </c>
      <c r="TNS76" s="49" t="s">
        <v>93</v>
      </c>
      <c r="TNT76" s="49" t="s">
        <v>94</v>
      </c>
      <c r="TNU76" s="49" t="s">
        <v>93</v>
      </c>
      <c r="TNV76" s="49" t="s">
        <v>94</v>
      </c>
      <c r="TNW76" s="49" t="s">
        <v>93</v>
      </c>
      <c r="TNX76" s="49" t="s">
        <v>94</v>
      </c>
      <c r="TNY76" s="49" t="s">
        <v>93</v>
      </c>
      <c r="TNZ76" s="49" t="s">
        <v>94</v>
      </c>
      <c r="TOA76" s="49" t="s">
        <v>93</v>
      </c>
      <c r="TOB76" s="49" t="s">
        <v>94</v>
      </c>
      <c r="TOC76" s="49" t="s">
        <v>93</v>
      </c>
      <c r="TOD76" s="49" t="s">
        <v>94</v>
      </c>
      <c r="TOE76" s="49" t="s">
        <v>93</v>
      </c>
      <c r="TOF76" s="49" t="s">
        <v>94</v>
      </c>
      <c r="TOG76" s="49" t="s">
        <v>93</v>
      </c>
      <c r="TOH76" s="49" t="s">
        <v>94</v>
      </c>
      <c r="TOI76" s="49" t="s">
        <v>93</v>
      </c>
      <c r="TOJ76" s="49" t="s">
        <v>94</v>
      </c>
      <c r="TOK76" s="49" t="s">
        <v>93</v>
      </c>
      <c r="TOL76" s="49" t="s">
        <v>94</v>
      </c>
      <c r="TOM76" s="49" t="s">
        <v>93</v>
      </c>
      <c r="TON76" s="49" t="s">
        <v>94</v>
      </c>
      <c r="TOO76" s="49" t="s">
        <v>93</v>
      </c>
      <c r="TOP76" s="49" t="s">
        <v>94</v>
      </c>
      <c r="TOQ76" s="49" t="s">
        <v>93</v>
      </c>
      <c r="TOR76" s="49" t="s">
        <v>94</v>
      </c>
      <c r="TOS76" s="49" t="s">
        <v>93</v>
      </c>
      <c r="TOT76" s="49" t="s">
        <v>94</v>
      </c>
      <c r="TOU76" s="49" t="s">
        <v>93</v>
      </c>
      <c r="TOV76" s="49" t="s">
        <v>94</v>
      </c>
      <c r="TOW76" s="49" t="s">
        <v>93</v>
      </c>
      <c r="TOX76" s="49" t="s">
        <v>94</v>
      </c>
      <c r="TOY76" s="49" t="s">
        <v>93</v>
      </c>
      <c r="TOZ76" s="49" t="s">
        <v>94</v>
      </c>
      <c r="TPA76" s="49" t="s">
        <v>93</v>
      </c>
      <c r="TPB76" s="49" t="s">
        <v>94</v>
      </c>
      <c r="TPC76" s="49" t="s">
        <v>93</v>
      </c>
      <c r="TPD76" s="49" t="s">
        <v>94</v>
      </c>
      <c r="TPE76" s="49" t="s">
        <v>93</v>
      </c>
      <c r="TPF76" s="49" t="s">
        <v>94</v>
      </c>
      <c r="TPG76" s="49" t="s">
        <v>93</v>
      </c>
      <c r="TPH76" s="49" t="s">
        <v>94</v>
      </c>
      <c r="TPI76" s="49" t="s">
        <v>93</v>
      </c>
      <c r="TPJ76" s="49" t="s">
        <v>94</v>
      </c>
      <c r="TPK76" s="49" t="s">
        <v>93</v>
      </c>
      <c r="TPL76" s="49" t="s">
        <v>94</v>
      </c>
      <c r="TPM76" s="49" t="s">
        <v>93</v>
      </c>
      <c r="TPN76" s="49" t="s">
        <v>94</v>
      </c>
      <c r="TPO76" s="49" t="s">
        <v>93</v>
      </c>
      <c r="TPP76" s="49" t="s">
        <v>94</v>
      </c>
      <c r="TPQ76" s="49" t="s">
        <v>93</v>
      </c>
      <c r="TPR76" s="49" t="s">
        <v>94</v>
      </c>
      <c r="TPS76" s="49" t="s">
        <v>93</v>
      </c>
      <c r="TPT76" s="49" t="s">
        <v>94</v>
      </c>
      <c r="TPU76" s="49" t="s">
        <v>93</v>
      </c>
      <c r="TPV76" s="49" t="s">
        <v>94</v>
      </c>
      <c r="TPW76" s="49" t="s">
        <v>93</v>
      </c>
      <c r="TPX76" s="49" t="s">
        <v>94</v>
      </c>
      <c r="TPY76" s="49" t="s">
        <v>93</v>
      </c>
      <c r="TPZ76" s="49" t="s">
        <v>94</v>
      </c>
      <c r="TQA76" s="49" t="s">
        <v>93</v>
      </c>
      <c r="TQB76" s="49" t="s">
        <v>94</v>
      </c>
      <c r="TQC76" s="49" t="s">
        <v>93</v>
      </c>
      <c r="TQD76" s="49" t="s">
        <v>94</v>
      </c>
      <c r="TQE76" s="49" t="s">
        <v>93</v>
      </c>
      <c r="TQF76" s="49" t="s">
        <v>94</v>
      </c>
      <c r="TQG76" s="49" t="s">
        <v>93</v>
      </c>
      <c r="TQH76" s="49" t="s">
        <v>94</v>
      </c>
      <c r="TQI76" s="49" t="s">
        <v>93</v>
      </c>
      <c r="TQJ76" s="49" t="s">
        <v>94</v>
      </c>
      <c r="TQK76" s="49" t="s">
        <v>93</v>
      </c>
      <c r="TQL76" s="49" t="s">
        <v>94</v>
      </c>
      <c r="TQM76" s="49" t="s">
        <v>93</v>
      </c>
      <c r="TQN76" s="49" t="s">
        <v>94</v>
      </c>
      <c r="TQO76" s="49" t="s">
        <v>93</v>
      </c>
      <c r="TQP76" s="49" t="s">
        <v>94</v>
      </c>
      <c r="TQQ76" s="49" t="s">
        <v>93</v>
      </c>
      <c r="TQR76" s="49" t="s">
        <v>94</v>
      </c>
      <c r="TQS76" s="49" t="s">
        <v>93</v>
      </c>
      <c r="TQT76" s="49" t="s">
        <v>94</v>
      </c>
      <c r="TQU76" s="49" t="s">
        <v>93</v>
      </c>
      <c r="TQV76" s="49" t="s">
        <v>94</v>
      </c>
      <c r="TQW76" s="49" t="s">
        <v>93</v>
      </c>
      <c r="TQX76" s="49" t="s">
        <v>94</v>
      </c>
      <c r="TQY76" s="49" t="s">
        <v>93</v>
      </c>
      <c r="TQZ76" s="49" t="s">
        <v>94</v>
      </c>
      <c r="TRA76" s="49" t="s">
        <v>93</v>
      </c>
      <c r="TRB76" s="49" t="s">
        <v>94</v>
      </c>
      <c r="TRC76" s="49" t="s">
        <v>93</v>
      </c>
      <c r="TRD76" s="49" t="s">
        <v>94</v>
      </c>
      <c r="TRE76" s="49" t="s">
        <v>93</v>
      </c>
      <c r="TRF76" s="49" t="s">
        <v>94</v>
      </c>
      <c r="TRG76" s="49" t="s">
        <v>93</v>
      </c>
      <c r="TRH76" s="49" t="s">
        <v>94</v>
      </c>
      <c r="TRI76" s="49" t="s">
        <v>93</v>
      </c>
      <c r="TRJ76" s="49" t="s">
        <v>94</v>
      </c>
      <c r="TRK76" s="49" t="s">
        <v>93</v>
      </c>
      <c r="TRL76" s="49" t="s">
        <v>94</v>
      </c>
      <c r="TRM76" s="49" t="s">
        <v>93</v>
      </c>
      <c r="TRN76" s="49" t="s">
        <v>94</v>
      </c>
      <c r="TRO76" s="49" t="s">
        <v>93</v>
      </c>
      <c r="TRP76" s="49" t="s">
        <v>94</v>
      </c>
      <c r="TRQ76" s="49" t="s">
        <v>93</v>
      </c>
      <c r="TRR76" s="49" t="s">
        <v>94</v>
      </c>
      <c r="TRS76" s="49" t="s">
        <v>93</v>
      </c>
      <c r="TRT76" s="49" t="s">
        <v>94</v>
      </c>
      <c r="TRU76" s="49" t="s">
        <v>93</v>
      </c>
      <c r="TRV76" s="49" t="s">
        <v>94</v>
      </c>
      <c r="TRW76" s="49" t="s">
        <v>93</v>
      </c>
      <c r="TRX76" s="49" t="s">
        <v>94</v>
      </c>
      <c r="TRY76" s="49" t="s">
        <v>93</v>
      </c>
      <c r="TRZ76" s="49" t="s">
        <v>94</v>
      </c>
      <c r="TSA76" s="49" t="s">
        <v>93</v>
      </c>
      <c r="TSB76" s="49" t="s">
        <v>94</v>
      </c>
      <c r="TSC76" s="49" t="s">
        <v>93</v>
      </c>
      <c r="TSD76" s="49" t="s">
        <v>94</v>
      </c>
      <c r="TSE76" s="49" t="s">
        <v>93</v>
      </c>
      <c r="TSF76" s="49" t="s">
        <v>94</v>
      </c>
      <c r="TSG76" s="49" t="s">
        <v>93</v>
      </c>
      <c r="TSH76" s="49" t="s">
        <v>94</v>
      </c>
      <c r="TSI76" s="49" t="s">
        <v>93</v>
      </c>
      <c r="TSJ76" s="49" t="s">
        <v>94</v>
      </c>
      <c r="TSK76" s="49" t="s">
        <v>93</v>
      </c>
      <c r="TSL76" s="49" t="s">
        <v>94</v>
      </c>
      <c r="TSM76" s="49" t="s">
        <v>93</v>
      </c>
      <c r="TSN76" s="49" t="s">
        <v>94</v>
      </c>
      <c r="TSO76" s="49" t="s">
        <v>93</v>
      </c>
      <c r="TSP76" s="49" t="s">
        <v>94</v>
      </c>
      <c r="TSQ76" s="49" t="s">
        <v>93</v>
      </c>
      <c r="TSR76" s="49" t="s">
        <v>94</v>
      </c>
      <c r="TSS76" s="49" t="s">
        <v>93</v>
      </c>
      <c r="TST76" s="49" t="s">
        <v>94</v>
      </c>
      <c r="TSU76" s="49" t="s">
        <v>93</v>
      </c>
      <c r="TSV76" s="49" t="s">
        <v>94</v>
      </c>
      <c r="TSW76" s="49" t="s">
        <v>93</v>
      </c>
      <c r="TSX76" s="49" t="s">
        <v>94</v>
      </c>
      <c r="TSY76" s="49" t="s">
        <v>93</v>
      </c>
      <c r="TSZ76" s="49" t="s">
        <v>94</v>
      </c>
      <c r="TTA76" s="49" t="s">
        <v>93</v>
      </c>
      <c r="TTB76" s="49" t="s">
        <v>94</v>
      </c>
      <c r="TTC76" s="49" t="s">
        <v>93</v>
      </c>
      <c r="TTD76" s="49" t="s">
        <v>94</v>
      </c>
      <c r="TTE76" s="49" t="s">
        <v>93</v>
      </c>
      <c r="TTF76" s="49" t="s">
        <v>94</v>
      </c>
      <c r="TTG76" s="49" t="s">
        <v>93</v>
      </c>
      <c r="TTH76" s="49" t="s">
        <v>94</v>
      </c>
      <c r="TTI76" s="49" t="s">
        <v>93</v>
      </c>
      <c r="TTJ76" s="49" t="s">
        <v>94</v>
      </c>
      <c r="TTK76" s="49" t="s">
        <v>93</v>
      </c>
      <c r="TTL76" s="49" t="s">
        <v>94</v>
      </c>
      <c r="TTM76" s="49" t="s">
        <v>93</v>
      </c>
      <c r="TTN76" s="49" t="s">
        <v>94</v>
      </c>
      <c r="TTO76" s="49" t="s">
        <v>93</v>
      </c>
      <c r="TTP76" s="49" t="s">
        <v>94</v>
      </c>
      <c r="TTQ76" s="49" t="s">
        <v>93</v>
      </c>
      <c r="TTR76" s="49" t="s">
        <v>94</v>
      </c>
      <c r="TTS76" s="49" t="s">
        <v>93</v>
      </c>
      <c r="TTT76" s="49" t="s">
        <v>94</v>
      </c>
      <c r="TTU76" s="49" t="s">
        <v>93</v>
      </c>
      <c r="TTV76" s="49" t="s">
        <v>94</v>
      </c>
      <c r="TTW76" s="49" t="s">
        <v>93</v>
      </c>
      <c r="TTX76" s="49" t="s">
        <v>94</v>
      </c>
      <c r="TTY76" s="49" t="s">
        <v>93</v>
      </c>
      <c r="TTZ76" s="49" t="s">
        <v>94</v>
      </c>
      <c r="TUA76" s="49" t="s">
        <v>93</v>
      </c>
      <c r="TUB76" s="49" t="s">
        <v>94</v>
      </c>
      <c r="TUC76" s="49" t="s">
        <v>93</v>
      </c>
      <c r="TUD76" s="49" t="s">
        <v>94</v>
      </c>
      <c r="TUE76" s="49" t="s">
        <v>93</v>
      </c>
      <c r="TUF76" s="49" t="s">
        <v>94</v>
      </c>
      <c r="TUG76" s="49" t="s">
        <v>93</v>
      </c>
      <c r="TUH76" s="49" t="s">
        <v>94</v>
      </c>
      <c r="TUI76" s="49" t="s">
        <v>93</v>
      </c>
      <c r="TUJ76" s="49" t="s">
        <v>94</v>
      </c>
      <c r="TUK76" s="49" t="s">
        <v>93</v>
      </c>
      <c r="TUL76" s="49" t="s">
        <v>94</v>
      </c>
      <c r="TUM76" s="49" t="s">
        <v>93</v>
      </c>
      <c r="TUN76" s="49" t="s">
        <v>94</v>
      </c>
      <c r="TUO76" s="49" t="s">
        <v>93</v>
      </c>
      <c r="TUP76" s="49" t="s">
        <v>94</v>
      </c>
      <c r="TUQ76" s="49" t="s">
        <v>93</v>
      </c>
      <c r="TUR76" s="49" t="s">
        <v>94</v>
      </c>
      <c r="TUS76" s="49" t="s">
        <v>93</v>
      </c>
      <c r="TUT76" s="49" t="s">
        <v>94</v>
      </c>
      <c r="TUU76" s="49" t="s">
        <v>93</v>
      </c>
      <c r="TUV76" s="49" t="s">
        <v>94</v>
      </c>
      <c r="TUW76" s="49" t="s">
        <v>93</v>
      </c>
      <c r="TUX76" s="49" t="s">
        <v>94</v>
      </c>
      <c r="TUY76" s="49" t="s">
        <v>93</v>
      </c>
      <c r="TUZ76" s="49" t="s">
        <v>94</v>
      </c>
      <c r="TVA76" s="49" t="s">
        <v>93</v>
      </c>
      <c r="TVB76" s="49" t="s">
        <v>94</v>
      </c>
      <c r="TVC76" s="49" t="s">
        <v>93</v>
      </c>
      <c r="TVD76" s="49" t="s">
        <v>94</v>
      </c>
      <c r="TVE76" s="49" t="s">
        <v>93</v>
      </c>
      <c r="TVF76" s="49" t="s">
        <v>94</v>
      </c>
      <c r="TVG76" s="49" t="s">
        <v>93</v>
      </c>
      <c r="TVH76" s="49" t="s">
        <v>94</v>
      </c>
      <c r="TVI76" s="49" t="s">
        <v>93</v>
      </c>
      <c r="TVJ76" s="49" t="s">
        <v>94</v>
      </c>
      <c r="TVK76" s="49" t="s">
        <v>93</v>
      </c>
      <c r="TVL76" s="49" t="s">
        <v>94</v>
      </c>
      <c r="TVM76" s="49" t="s">
        <v>93</v>
      </c>
      <c r="TVN76" s="49" t="s">
        <v>94</v>
      </c>
      <c r="TVO76" s="49" t="s">
        <v>93</v>
      </c>
      <c r="TVP76" s="49" t="s">
        <v>94</v>
      </c>
      <c r="TVQ76" s="49" t="s">
        <v>93</v>
      </c>
      <c r="TVR76" s="49" t="s">
        <v>94</v>
      </c>
      <c r="TVS76" s="49" t="s">
        <v>93</v>
      </c>
      <c r="TVT76" s="49" t="s">
        <v>94</v>
      </c>
      <c r="TVU76" s="49" t="s">
        <v>93</v>
      </c>
      <c r="TVV76" s="49" t="s">
        <v>94</v>
      </c>
      <c r="TVW76" s="49" t="s">
        <v>93</v>
      </c>
      <c r="TVX76" s="49" t="s">
        <v>94</v>
      </c>
      <c r="TVY76" s="49" t="s">
        <v>93</v>
      </c>
      <c r="TVZ76" s="49" t="s">
        <v>94</v>
      </c>
      <c r="TWA76" s="49" t="s">
        <v>93</v>
      </c>
      <c r="TWB76" s="49" t="s">
        <v>94</v>
      </c>
      <c r="TWC76" s="49" t="s">
        <v>93</v>
      </c>
      <c r="TWD76" s="49" t="s">
        <v>94</v>
      </c>
      <c r="TWE76" s="49" t="s">
        <v>93</v>
      </c>
      <c r="TWF76" s="49" t="s">
        <v>94</v>
      </c>
      <c r="TWG76" s="49" t="s">
        <v>93</v>
      </c>
      <c r="TWH76" s="49" t="s">
        <v>94</v>
      </c>
      <c r="TWI76" s="49" t="s">
        <v>93</v>
      </c>
      <c r="TWJ76" s="49" t="s">
        <v>94</v>
      </c>
      <c r="TWK76" s="49" t="s">
        <v>93</v>
      </c>
      <c r="TWL76" s="49" t="s">
        <v>94</v>
      </c>
      <c r="TWM76" s="49" t="s">
        <v>93</v>
      </c>
      <c r="TWN76" s="49" t="s">
        <v>94</v>
      </c>
      <c r="TWO76" s="49" t="s">
        <v>93</v>
      </c>
      <c r="TWP76" s="49" t="s">
        <v>94</v>
      </c>
      <c r="TWQ76" s="49" t="s">
        <v>93</v>
      </c>
      <c r="TWR76" s="49" t="s">
        <v>94</v>
      </c>
      <c r="TWS76" s="49" t="s">
        <v>93</v>
      </c>
      <c r="TWT76" s="49" t="s">
        <v>94</v>
      </c>
      <c r="TWU76" s="49" t="s">
        <v>93</v>
      </c>
      <c r="TWV76" s="49" t="s">
        <v>94</v>
      </c>
      <c r="TWW76" s="49" t="s">
        <v>93</v>
      </c>
      <c r="TWX76" s="49" t="s">
        <v>94</v>
      </c>
      <c r="TWY76" s="49" t="s">
        <v>93</v>
      </c>
      <c r="TWZ76" s="49" t="s">
        <v>94</v>
      </c>
      <c r="TXA76" s="49" t="s">
        <v>93</v>
      </c>
      <c r="TXB76" s="49" t="s">
        <v>94</v>
      </c>
      <c r="TXC76" s="49" t="s">
        <v>93</v>
      </c>
      <c r="TXD76" s="49" t="s">
        <v>94</v>
      </c>
      <c r="TXE76" s="49" t="s">
        <v>93</v>
      </c>
      <c r="TXF76" s="49" t="s">
        <v>94</v>
      </c>
      <c r="TXG76" s="49" t="s">
        <v>93</v>
      </c>
      <c r="TXH76" s="49" t="s">
        <v>94</v>
      </c>
      <c r="TXI76" s="49" t="s">
        <v>93</v>
      </c>
      <c r="TXJ76" s="49" t="s">
        <v>94</v>
      </c>
      <c r="TXK76" s="49" t="s">
        <v>93</v>
      </c>
      <c r="TXL76" s="49" t="s">
        <v>94</v>
      </c>
      <c r="TXM76" s="49" t="s">
        <v>93</v>
      </c>
      <c r="TXN76" s="49" t="s">
        <v>94</v>
      </c>
      <c r="TXO76" s="49" t="s">
        <v>93</v>
      </c>
      <c r="TXP76" s="49" t="s">
        <v>94</v>
      </c>
      <c r="TXQ76" s="49" t="s">
        <v>93</v>
      </c>
      <c r="TXR76" s="49" t="s">
        <v>94</v>
      </c>
      <c r="TXS76" s="49" t="s">
        <v>93</v>
      </c>
      <c r="TXT76" s="49" t="s">
        <v>94</v>
      </c>
      <c r="TXU76" s="49" t="s">
        <v>93</v>
      </c>
      <c r="TXV76" s="49" t="s">
        <v>94</v>
      </c>
      <c r="TXW76" s="49" t="s">
        <v>93</v>
      </c>
      <c r="TXX76" s="49" t="s">
        <v>94</v>
      </c>
      <c r="TXY76" s="49" t="s">
        <v>93</v>
      </c>
      <c r="TXZ76" s="49" t="s">
        <v>94</v>
      </c>
      <c r="TYA76" s="49" t="s">
        <v>93</v>
      </c>
      <c r="TYB76" s="49" t="s">
        <v>94</v>
      </c>
      <c r="TYC76" s="49" t="s">
        <v>93</v>
      </c>
      <c r="TYD76" s="49" t="s">
        <v>94</v>
      </c>
      <c r="TYE76" s="49" t="s">
        <v>93</v>
      </c>
      <c r="TYF76" s="49" t="s">
        <v>94</v>
      </c>
      <c r="TYG76" s="49" t="s">
        <v>93</v>
      </c>
      <c r="TYH76" s="49" t="s">
        <v>94</v>
      </c>
      <c r="TYI76" s="49" t="s">
        <v>93</v>
      </c>
      <c r="TYJ76" s="49" t="s">
        <v>94</v>
      </c>
      <c r="TYK76" s="49" t="s">
        <v>93</v>
      </c>
      <c r="TYL76" s="49" t="s">
        <v>94</v>
      </c>
      <c r="TYM76" s="49" t="s">
        <v>93</v>
      </c>
      <c r="TYN76" s="49" t="s">
        <v>94</v>
      </c>
      <c r="TYO76" s="49" t="s">
        <v>93</v>
      </c>
      <c r="TYP76" s="49" t="s">
        <v>94</v>
      </c>
      <c r="TYQ76" s="49" t="s">
        <v>93</v>
      </c>
      <c r="TYR76" s="49" t="s">
        <v>94</v>
      </c>
      <c r="TYS76" s="49" t="s">
        <v>93</v>
      </c>
      <c r="TYT76" s="49" t="s">
        <v>94</v>
      </c>
      <c r="TYU76" s="49" t="s">
        <v>93</v>
      </c>
      <c r="TYV76" s="49" t="s">
        <v>94</v>
      </c>
      <c r="TYW76" s="49" t="s">
        <v>93</v>
      </c>
      <c r="TYX76" s="49" t="s">
        <v>94</v>
      </c>
      <c r="TYY76" s="49" t="s">
        <v>93</v>
      </c>
      <c r="TYZ76" s="49" t="s">
        <v>94</v>
      </c>
      <c r="TZA76" s="49" t="s">
        <v>93</v>
      </c>
      <c r="TZB76" s="49" t="s">
        <v>94</v>
      </c>
      <c r="TZC76" s="49" t="s">
        <v>93</v>
      </c>
      <c r="TZD76" s="49" t="s">
        <v>94</v>
      </c>
      <c r="TZE76" s="49" t="s">
        <v>93</v>
      </c>
      <c r="TZF76" s="49" t="s">
        <v>94</v>
      </c>
      <c r="TZG76" s="49" t="s">
        <v>93</v>
      </c>
      <c r="TZH76" s="49" t="s">
        <v>94</v>
      </c>
      <c r="TZI76" s="49" t="s">
        <v>93</v>
      </c>
      <c r="TZJ76" s="49" t="s">
        <v>94</v>
      </c>
      <c r="TZK76" s="49" t="s">
        <v>93</v>
      </c>
      <c r="TZL76" s="49" t="s">
        <v>94</v>
      </c>
      <c r="TZM76" s="49" t="s">
        <v>93</v>
      </c>
      <c r="TZN76" s="49" t="s">
        <v>94</v>
      </c>
      <c r="TZO76" s="49" t="s">
        <v>93</v>
      </c>
      <c r="TZP76" s="49" t="s">
        <v>94</v>
      </c>
      <c r="TZQ76" s="49" t="s">
        <v>93</v>
      </c>
      <c r="TZR76" s="49" t="s">
        <v>94</v>
      </c>
      <c r="TZS76" s="49" t="s">
        <v>93</v>
      </c>
      <c r="TZT76" s="49" t="s">
        <v>94</v>
      </c>
      <c r="TZU76" s="49" t="s">
        <v>93</v>
      </c>
      <c r="TZV76" s="49" t="s">
        <v>94</v>
      </c>
      <c r="TZW76" s="49" t="s">
        <v>93</v>
      </c>
      <c r="TZX76" s="49" t="s">
        <v>94</v>
      </c>
      <c r="TZY76" s="49" t="s">
        <v>93</v>
      </c>
      <c r="TZZ76" s="49" t="s">
        <v>94</v>
      </c>
      <c r="UAA76" s="49" t="s">
        <v>93</v>
      </c>
      <c r="UAB76" s="49" t="s">
        <v>94</v>
      </c>
      <c r="UAC76" s="49" t="s">
        <v>93</v>
      </c>
      <c r="UAD76" s="49" t="s">
        <v>94</v>
      </c>
      <c r="UAE76" s="49" t="s">
        <v>93</v>
      </c>
      <c r="UAF76" s="49" t="s">
        <v>94</v>
      </c>
      <c r="UAG76" s="49" t="s">
        <v>93</v>
      </c>
      <c r="UAH76" s="49" t="s">
        <v>94</v>
      </c>
      <c r="UAI76" s="49" t="s">
        <v>93</v>
      </c>
      <c r="UAJ76" s="49" t="s">
        <v>94</v>
      </c>
      <c r="UAK76" s="49" t="s">
        <v>93</v>
      </c>
      <c r="UAL76" s="49" t="s">
        <v>94</v>
      </c>
      <c r="UAM76" s="49" t="s">
        <v>93</v>
      </c>
      <c r="UAN76" s="49" t="s">
        <v>94</v>
      </c>
      <c r="UAO76" s="49" t="s">
        <v>93</v>
      </c>
      <c r="UAP76" s="49" t="s">
        <v>94</v>
      </c>
      <c r="UAQ76" s="49" t="s">
        <v>93</v>
      </c>
      <c r="UAR76" s="49" t="s">
        <v>94</v>
      </c>
      <c r="UAS76" s="49" t="s">
        <v>93</v>
      </c>
      <c r="UAT76" s="49" t="s">
        <v>94</v>
      </c>
      <c r="UAU76" s="49" t="s">
        <v>93</v>
      </c>
      <c r="UAV76" s="49" t="s">
        <v>94</v>
      </c>
      <c r="UAW76" s="49" t="s">
        <v>93</v>
      </c>
      <c r="UAX76" s="49" t="s">
        <v>94</v>
      </c>
      <c r="UAY76" s="49" t="s">
        <v>93</v>
      </c>
      <c r="UAZ76" s="49" t="s">
        <v>94</v>
      </c>
      <c r="UBA76" s="49" t="s">
        <v>93</v>
      </c>
      <c r="UBB76" s="49" t="s">
        <v>94</v>
      </c>
      <c r="UBC76" s="49" t="s">
        <v>93</v>
      </c>
      <c r="UBD76" s="49" t="s">
        <v>94</v>
      </c>
      <c r="UBE76" s="49" t="s">
        <v>93</v>
      </c>
      <c r="UBF76" s="49" t="s">
        <v>94</v>
      </c>
      <c r="UBG76" s="49" t="s">
        <v>93</v>
      </c>
      <c r="UBH76" s="49" t="s">
        <v>94</v>
      </c>
      <c r="UBI76" s="49" t="s">
        <v>93</v>
      </c>
      <c r="UBJ76" s="49" t="s">
        <v>94</v>
      </c>
      <c r="UBK76" s="49" t="s">
        <v>93</v>
      </c>
      <c r="UBL76" s="49" t="s">
        <v>94</v>
      </c>
      <c r="UBM76" s="49" t="s">
        <v>93</v>
      </c>
      <c r="UBN76" s="49" t="s">
        <v>94</v>
      </c>
      <c r="UBO76" s="49" t="s">
        <v>93</v>
      </c>
      <c r="UBP76" s="49" t="s">
        <v>94</v>
      </c>
      <c r="UBQ76" s="49" t="s">
        <v>93</v>
      </c>
      <c r="UBR76" s="49" t="s">
        <v>94</v>
      </c>
      <c r="UBS76" s="49" t="s">
        <v>93</v>
      </c>
      <c r="UBT76" s="49" t="s">
        <v>94</v>
      </c>
      <c r="UBU76" s="49" t="s">
        <v>93</v>
      </c>
      <c r="UBV76" s="49" t="s">
        <v>94</v>
      </c>
      <c r="UBW76" s="49" t="s">
        <v>93</v>
      </c>
      <c r="UBX76" s="49" t="s">
        <v>94</v>
      </c>
      <c r="UBY76" s="49" t="s">
        <v>93</v>
      </c>
      <c r="UBZ76" s="49" t="s">
        <v>94</v>
      </c>
      <c r="UCA76" s="49" t="s">
        <v>93</v>
      </c>
      <c r="UCB76" s="49" t="s">
        <v>94</v>
      </c>
      <c r="UCC76" s="49" t="s">
        <v>93</v>
      </c>
      <c r="UCD76" s="49" t="s">
        <v>94</v>
      </c>
      <c r="UCE76" s="49" t="s">
        <v>93</v>
      </c>
      <c r="UCF76" s="49" t="s">
        <v>94</v>
      </c>
      <c r="UCG76" s="49" t="s">
        <v>93</v>
      </c>
      <c r="UCH76" s="49" t="s">
        <v>94</v>
      </c>
      <c r="UCI76" s="49" t="s">
        <v>93</v>
      </c>
      <c r="UCJ76" s="49" t="s">
        <v>94</v>
      </c>
      <c r="UCK76" s="49" t="s">
        <v>93</v>
      </c>
      <c r="UCL76" s="49" t="s">
        <v>94</v>
      </c>
      <c r="UCM76" s="49" t="s">
        <v>93</v>
      </c>
      <c r="UCN76" s="49" t="s">
        <v>94</v>
      </c>
      <c r="UCO76" s="49" t="s">
        <v>93</v>
      </c>
      <c r="UCP76" s="49" t="s">
        <v>94</v>
      </c>
      <c r="UCQ76" s="49" t="s">
        <v>93</v>
      </c>
      <c r="UCR76" s="49" t="s">
        <v>94</v>
      </c>
      <c r="UCS76" s="49" t="s">
        <v>93</v>
      </c>
      <c r="UCT76" s="49" t="s">
        <v>94</v>
      </c>
      <c r="UCU76" s="49" t="s">
        <v>93</v>
      </c>
      <c r="UCV76" s="49" t="s">
        <v>94</v>
      </c>
      <c r="UCW76" s="49" t="s">
        <v>93</v>
      </c>
      <c r="UCX76" s="49" t="s">
        <v>94</v>
      </c>
      <c r="UCY76" s="49" t="s">
        <v>93</v>
      </c>
      <c r="UCZ76" s="49" t="s">
        <v>94</v>
      </c>
      <c r="UDA76" s="49" t="s">
        <v>93</v>
      </c>
      <c r="UDB76" s="49" t="s">
        <v>94</v>
      </c>
      <c r="UDC76" s="49" t="s">
        <v>93</v>
      </c>
      <c r="UDD76" s="49" t="s">
        <v>94</v>
      </c>
      <c r="UDE76" s="49" t="s">
        <v>93</v>
      </c>
      <c r="UDF76" s="49" t="s">
        <v>94</v>
      </c>
      <c r="UDG76" s="49" t="s">
        <v>93</v>
      </c>
      <c r="UDH76" s="49" t="s">
        <v>94</v>
      </c>
      <c r="UDI76" s="49" t="s">
        <v>93</v>
      </c>
      <c r="UDJ76" s="49" t="s">
        <v>94</v>
      </c>
      <c r="UDK76" s="49" t="s">
        <v>93</v>
      </c>
      <c r="UDL76" s="49" t="s">
        <v>94</v>
      </c>
      <c r="UDM76" s="49" t="s">
        <v>93</v>
      </c>
      <c r="UDN76" s="49" t="s">
        <v>94</v>
      </c>
      <c r="UDO76" s="49" t="s">
        <v>93</v>
      </c>
      <c r="UDP76" s="49" t="s">
        <v>94</v>
      </c>
      <c r="UDQ76" s="49" t="s">
        <v>93</v>
      </c>
      <c r="UDR76" s="49" t="s">
        <v>94</v>
      </c>
      <c r="UDS76" s="49" t="s">
        <v>93</v>
      </c>
      <c r="UDT76" s="49" t="s">
        <v>94</v>
      </c>
      <c r="UDU76" s="49" t="s">
        <v>93</v>
      </c>
      <c r="UDV76" s="49" t="s">
        <v>94</v>
      </c>
      <c r="UDW76" s="49" t="s">
        <v>93</v>
      </c>
      <c r="UDX76" s="49" t="s">
        <v>94</v>
      </c>
      <c r="UDY76" s="49" t="s">
        <v>93</v>
      </c>
      <c r="UDZ76" s="49" t="s">
        <v>94</v>
      </c>
      <c r="UEA76" s="49" t="s">
        <v>93</v>
      </c>
      <c r="UEB76" s="49" t="s">
        <v>94</v>
      </c>
      <c r="UEC76" s="49" t="s">
        <v>93</v>
      </c>
      <c r="UED76" s="49" t="s">
        <v>94</v>
      </c>
      <c r="UEE76" s="49" t="s">
        <v>93</v>
      </c>
      <c r="UEF76" s="49" t="s">
        <v>94</v>
      </c>
      <c r="UEG76" s="49" t="s">
        <v>93</v>
      </c>
      <c r="UEH76" s="49" t="s">
        <v>94</v>
      </c>
      <c r="UEI76" s="49" t="s">
        <v>93</v>
      </c>
      <c r="UEJ76" s="49" t="s">
        <v>94</v>
      </c>
      <c r="UEK76" s="49" t="s">
        <v>93</v>
      </c>
      <c r="UEL76" s="49" t="s">
        <v>94</v>
      </c>
      <c r="UEM76" s="49" t="s">
        <v>93</v>
      </c>
      <c r="UEN76" s="49" t="s">
        <v>94</v>
      </c>
      <c r="UEO76" s="49" t="s">
        <v>93</v>
      </c>
      <c r="UEP76" s="49" t="s">
        <v>94</v>
      </c>
      <c r="UEQ76" s="49" t="s">
        <v>93</v>
      </c>
      <c r="UER76" s="49" t="s">
        <v>94</v>
      </c>
      <c r="UES76" s="49" t="s">
        <v>93</v>
      </c>
      <c r="UET76" s="49" t="s">
        <v>94</v>
      </c>
      <c r="UEU76" s="49" t="s">
        <v>93</v>
      </c>
      <c r="UEV76" s="49" t="s">
        <v>94</v>
      </c>
      <c r="UEW76" s="49" t="s">
        <v>93</v>
      </c>
      <c r="UEX76" s="49" t="s">
        <v>94</v>
      </c>
      <c r="UEY76" s="49" t="s">
        <v>93</v>
      </c>
      <c r="UEZ76" s="49" t="s">
        <v>94</v>
      </c>
      <c r="UFA76" s="49" t="s">
        <v>93</v>
      </c>
      <c r="UFB76" s="49" t="s">
        <v>94</v>
      </c>
      <c r="UFC76" s="49" t="s">
        <v>93</v>
      </c>
      <c r="UFD76" s="49" t="s">
        <v>94</v>
      </c>
      <c r="UFE76" s="49" t="s">
        <v>93</v>
      </c>
      <c r="UFF76" s="49" t="s">
        <v>94</v>
      </c>
      <c r="UFG76" s="49" t="s">
        <v>93</v>
      </c>
      <c r="UFH76" s="49" t="s">
        <v>94</v>
      </c>
      <c r="UFI76" s="49" t="s">
        <v>93</v>
      </c>
      <c r="UFJ76" s="49" t="s">
        <v>94</v>
      </c>
      <c r="UFK76" s="49" t="s">
        <v>93</v>
      </c>
      <c r="UFL76" s="49" t="s">
        <v>94</v>
      </c>
      <c r="UFM76" s="49" t="s">
        <v>93</v>
      </c>
      <c r="UFN76" s="49" t="s">
        <v>94</v>
      </c>
      <c r="UFO76" s="49" t="s">
        <v>93</v>
      </c>
      <c r="UFP76" s="49" t="s">
        <v>94</v>
      </c>
      <c r="UFQ76" s="49" t="s">
        <v>93</v>
      </c>
      <c r="UFR76" s="49" t="s">
        <v>94</v>
      </c>
      <c r="UFS76" s="49" t="s">
        <v>93</v>
      </c>
      <c r="UFT76" s="49" t="s">
        <v>94</v>
      </c>
      <c r="UFU76" s="49" t="s">
        <v>93</v>
      </c>
      <c r="UFV76" s="49" t="s">
        <v>94</v>
      </c>
      <c r="UFW76" s="49" t="s">
        <v>93</v>
      </c>
      <c r="UFX76" s="49" t="s">
        <v>94</v>
      </c>
      <c r="UFY76" s="49" t="s">
        <v>93</v>
      </c>
      <c r="UFZ76" s="49" t="s">
        <v>94</v>
      </c>
      <c r="UGA76" s="49" t="s">
        <v>93</v>
      </c>
      <c r="UGB76" s="49" t="s">
        <v>94</v>
      </c>
      <c r="UGC76" s="49" t="s">
        <v>93</v>
      </c>
      <c r="UGD76" s="49" t="s">
        <v>94</v>
      </c>
      <c r="UGE76" s="49" t="s">
        <v>93</v>
      </c>
      <c r="UGF76" s="49" t="s">
        <v>94</v>
      </c>
      <c r="UGG76" s="49" t="s">
        <v>93</v>
      </c>
      <c r="UGH76" s="49" t="s">
        <v>94</v>
      </c>
      <c r="UGI76" s="49" t="s">
        <v>93</v>
      </c>
      <c r="UGJ76" s="49" t="s">
        <v>94</v>
      </c>
      <c r="UGK76" s="49" t="s">
        <v>93</v>
      </c>
      <c r="UGL76" s="49" t="s">
        <v>94</v>
      </c>
      <c r="UGM76" s="49" t="s">
        <v>93</v>
      </c>
      <c r="UGN76" s="49" t="s">
        <v>94</v>
      </c>
      <c r="UGO76" s="49" t="s">
        <v>93</v>
      </c>
      <c r="UGP76" s="49" t="s">
        <v>94</v>
      </c>
      <c r="UGQ76" s="49" t="s">
        <v>93</v>
      </c>
      <c r="UGR76" s="49" t="s">
        <v>94</v>
      </c>
      <c r="UGS76" s="49" t="s">
        <v>93</v>
      </c>
      <c r="UGT76" s="49" t="s">
        <v>94</v>
      </c>
      <c r="UGU76" s="49" t="s">
        <v>93</v>
      </c>
      <c r="UGV76" s="49" t="s">
        <v>94</v>
      </c>
      <c r="UGW76" s="49" t="s">
        <v>93</v>
      </c>
      <c r="UGX76" s="49" t="s">
        <v>94</v>
      </c>
      <c r="UGY76" s="49" t="s">
        <v>93</v>
      </c>
      <c r="UGZ76" s="49" t="s">
        <v>94</v>
      </c>
      <c r="UHA76" s="49" t="s">
        <v>93</v>
      </c>
      <c r="UHB76" s="49" t="s">
        <v>94</v>
      </c>
      <c r="UHC76" s="49" t="s">
        <v>93</v>
      </c>
      <c r="UHD76" s="49" t="s">
        <v>94</v>
      </c>
      <c r="UHE76" s="49" t="s">
        <v>93</v>
      </c>
      <c r="UHF76" s="49" t="s">
        <v>94</v>
      </c>
      <c r="UHG76" s="49" t="s">
        <v>93</v>
      </c>
      <c r="UHH76" s="49" t="s">
        <v>94</v>
      </c>
      <c r="UHI76" s="49" t="s">
        <v>93</v>
      </c>
      <c r="UHJ76" s="49" t="s">
        <v>94</v>
      </c>
      <c r="UHK76" s="49" t="s">
        <v>93</v>
      </c>
      <c r="UHL76" s="49" t="s">
        <v>94</v>
      </c>
      <c r="UHM76" s="49" t="s">
        <v>93</v>
      </c>
      <c r="UHN76" s="49" t="s">
        <v>94</v>
      </c>
      <c r="UHO76" s="49" t="s">
        <v>93</v>
      </c>
      <c r="UHP76" s="49" t="s">
        <v>94</v>
      </c>
      <c r="UHQ76" s="49" t="s">
        <v>93</v>
      </c>
      <c r="UHR76" s="49" t="s">
        <v>94</v>
      </c>
      <c r="UHS76" s="49" t="s">
        <v>93</v>
      </c>
      <c r="UHT76" s="49" t="s">
        <v>94</v>
      </c>
      <c r="UHU76" s="49" t="s">
        <v>93</v>
      </c>
      <c r="UHV76" s="49" t="s">
        <v>94</v>
      </c>
      <c r="UHW76" s="49" t="s">
        <v>93</v>
      </c>
      <c r="UHX76" s="49" t="s">
        <v>94</v>
      </c>
      <c r="UHY76" s="49" t="s">
        <v>93</v>
      </c>
      <c r="UHZ76" s="49" t="s">
        <v>94</v>
      </c>
      <c r="UIA76" s="49" t="s">
        <v>93</v>
      </c>
      <c r="UIB76" s="49" t="s">
        <v>94</v>
      </c>
      <c r="UIC76" s="49" t="s">
        <v>93</v>
      </c>
      <c r="UID76" s="49" t="s">
        <v>94</v>
      </c>
      <c r="UIE76" s="49" t="s">
        <v>93</v>
      </c>
      <c r="UIF76" s="49" t="s">
        <v>94</v>
      </c>
      <c r="UIG76" s="49" t="s">
        <v>93</v>
      </c>
      <c r="UIH76" s="49" t="s">
        <v>94</v>
      </c>
      <c r="UII76" s="49" t="s">
        <v>93</v>
      </c>
      <c r="UIJ76" s="49" t="s">
        <v>94</v>
      </c>
      <c r="UIK76" s="49" t="s">
        <v>93</v>
      </c>
      <c r="UIL76" s="49" t="s">
        <v>94</v>
      </c>
      <c r="UIM76" s="49" t="s">
        <v>93</v>
      </c>
      <c r="UIN76" s="49" t="s">
        <v>94</v>
      </c>
      <c r="UIO76" s="49" t="s">
        <v>93</v>
      </c>
      <c r="UIP76" s="49" t="s">
        <v>94</v>
      </c>
      <c r="UIQ76" s="49" t="s">
        <v>93</v>
      </c>
      <c r="UIR76" s="49" t="s">
        <v>94</v>
      </c>
      <c r="UIS76" s="49" t="s">
        <v>93</v>
      </c>
      <c r="UIT76" s="49" t="s">
        <v>94</v>
      </c>
      <c r="UIU76" s="49" t="s">
        <v>93</v>
      </c>
      <c r="UIV76" s="49" t="s">
        <v>94</v>
      </c>
      <c r="UIW76" s="49" t="s">
        <v>93</v>
      </c>
      <c r="UIX76" s="49" t="s">
        <v>94</v>
      </c>
      <c r="UIY76" s="49" t="s">
        <v>93</v>
      </c>
      <c r="UIZ76" s="49" t="s">
        <v>94</v>
      </c>
      <c r="UJA76" s="49" t="s">
        <v>93</v>
      </c>
      <c r="UJB76" s="49" t="s">
        <v>94</v>
      </c>
      <c r="UJC76" s="49" t="s">
        <v>93</v>
      </c>
      <c r="UJD76" s="49" t="s">
        <v>94</v>
      </c>
      <c r="UJE76" s="49" t="s">
        <v>93</v>
      </c>
      <c r="UJF76" s="49" t="s">
        <v>94</v>
      </c>
      <c r="UJG76" s="49" t="s">
        <v>93</v>
      </c>
      <c r="UJH76" s="49" t="s">
        <v>94</v>
      </c>
      <c r="UJI76" s="49" t="s">
        <v>93</v>
      </c>
      <c r="UJJ76" s="49" t="s">
        <v>94</v>
      </c>
      <c r="UJK76" s="49" t="s">
        <v>93</v>
      </c>
      <c r="UJL76" s="49" t="s">
        <v>94</v>
      </c>
      <c r="UJM76" s="49" t="s">
        <v>93</v>
      </c>
      <c r="UJN76" s="49" t="s">
        <v>94</v>
      </c>
      <c r="UJO76" s="49" t="s">
        <v>93</v>
      </c>
      <c r="UJP76" s="49" t="s">
        <v>94</v>
      </c>
      <c r="UJQ76" s="49" t="s">
        <v>93</v>
      </c>
      <c r="UJR76" s="49" t="s">
        <v>94</v>
      </c>
      <c r="UJS76" s="49" t="s">
        <v>93</v>
      </c>
      <c r="UJT76" s="49" t="s">
        <v>94</v>
      </c>
      <c r="UJU76" s="49" t="s">
        <v>93</v>
      </c>
      <c r="UJV76" s="49" t="s">
        <v>94</v>
      </c>
      <c r="UJW76" s="49" t="s">
        <v>93</v>
      </c>
      <c r="UJX76" s="49" t="s">
        <v>94</v>
      </c>
      <c r="UJY76" s="49" t="s">
        <v>93</v>
      </c>
      <c r="UJZ76" s="49" t="s">
        <v>94</v>
      </c>
      <c r="UKA76" s="49" t="s">
        <v>93</v>
      </c>
      <c r="UKB76" s="49" t="s">
        <v>94</v>
      </c>
      <c r="UKC76" s="49" t="s">
        <v>93</v>
      </c>
      <c r="UKD76" s="49" t="s">
        <v>94</v>
      </c>
      <c r="UKE76" s="49" t="s">
        <v>93</v>
      </c>
      <c r="UKF76" s="49" t="s">
        <v>94</v>
      </c>
      <c r="UKG76" s="49" t="s">
        <v>93</v>
      </c>
      <c r="UKH76" s="49" t="s">
        <v>94</v>
      </c>
      <c r="UKI76" s="49" t="s">
        <v>93</v>
      </c>
      <c r="UKJ76" s="49" t="s">
        <v>94</v>
      </c>
      <c r="UKK76" s="49" t="s">
        <v>93</v>
      </c>
      <c r="UKL76" s="49" t="s">
        <v>94</v>
      </c>
      <c r="UKM76" s="49" t="s">
        <v>93</v>
      </c>
      <c r="UKN76" s="49" t="s">
        <v>94</v>
      </c>
      <c r="UKO76" s="49" t="s">
        <v>93</v>
      </c>
      <c r="UKP76" s="49" t="s">
        <v>94</v>
      </c>
      <c r="UKQ76" s="49" t="s">
        <v>93</v>
      </c>
      <c r="UKR76" s="49" t="s">
        <v>94</v>
      </c>
      <c r="UKS76" s="49" t="s">
        <v>93</v>
      </c>
      <c r="UKT76" s="49" t="s">
        <v>94</v>
      </c>
      <c r="UKU76" s="49" t="s">
        <v>93</v>
      </c>
      <c r="UKV76" s="49" t="s">
        <v>94</v>
      </c>
      <c r="UKW76" s="49" t="s">
        <v>93</v>
      </c>
      <c r="UKX76" s="49" t="s">
        <v>94</v>
      </c>
      <c r="UKY76" s="49" t="s">
        <v>93</v>
      </c>
      <c r="UKZ76" s="49" t="s">
        <v>94</v>
      </c>
      <c r="ULA76" s="49" t="s">
        <v>93</v>
      </c>
      <c r="ULB76" s="49" t="s">
        <v>94</v>
      </c>
      <c r="ULC76" s="49" t="s">
        <v>93</v>
      </c>
      <c r="ULD76" s="49" t="s">
        <v>94</v>
      </c>
      <c r="ULE76" s="49" t="s">
        <v>93</v>
      </c>
      <c r="ULF76" s="49" t="s">
        <v>94</v>
      </c>
      <c r="ULG76" s="49" t="s">
        <v>93</v>
      </c>
      <c r="ULH76" s="49" t="s">
        <v>94</v>
      </c>
      <c r="ULI76" s="49" t="s">
        <v>93</v>
      </c>
      <c r="ULJ76" s="49" t="s">
        <v>94</v>
      </c>
      <c r="ULK76" s="49" t="s">
        <v>93</v>
      </c>
      <c r="ULL76" s="49" t="s">
        <v>94</v>
      </c>
      <c r="ULM76" s="49" t="s">
        <v>93</v>
      </c>
      <c r="ULN76" s="49" t="s">
        <v>94</v>
      </c>
      <c r="ULO76" s="49" t="s">
        <v>93</v>
      </c>
      <c r="ULP76" s="49" t="s">
        <v>94</v>
      </c>
      <c r="ULQ76" s="49" t="s">
        <v>93</v>
      </c>
      <c r="ULR76" s="49" t="s">
        <v>94</v>
      </c>
      <c r="ULS76" s="49" t="s">
        <v>93</v>
      </c>
      <c r="ULT76" s="49" t="s">
        <v>94</v>
      </c>
      <c r="ULU76" s="49" t="s">
        <v>93</v>
      </c>
      <c r="ULV76" s="49" t="s">
        <v>94</v>
      </c>
      <c r="ULW76" s="49" t="s">
        <v>93</v>
      </c>
      <c r="ULX76" s="49" t="s">
        <v>94</v>
      </c>
      <c r="ULY76" s="49" t="s">
        <v>93</v>
      </c>
      <c r="ULZ76" s="49" t="s">
        <v>94</v>
      </c>
      <c r="UMA76" s="49" t="s">
        <v>93</v>
      </c>
      <c r="UMB76" s="49" t="s">
        <v>94</v>
      </c>
      <c r="UMC76" s="49" t="s">
        <v>93</v>
      </c>
      <c r="UMD76" s="49" t="s">
        <v>94</v>
      </c>
      <c r="UME76" s="49" t="s">
        <v>93</v>
      </c>
      <c r="UMF76" s="49" t="s">
        <v>94</v>
      </c>
      <c r="UMG76" s="49" t="s">
        <v>93</v>
      </c>
      <c r="UMH76" s="49" t="s">
        <v>94</v>
      </c>
      <c r="UMI76" s="49" t="s">
        <v>93</v>
      </c>
      <c r="UMJ76" s="49" t="s">
        <v>94</v>
      </c>
      <c r="UMK76" s="49" t="s">
        <v>93</v>
      </c>
      <c r="UML76" s="49" t="s">
        <v>94</v>
      </c>
      <c r="UMM76" s="49" t="s">
        <v>93</v>
      </c>
      <c r="UMN76" s="49" t="s">
        <v>94</v>
      </c>
      <c r="UMO76" s="49" t="s">
        <v>93</v>
      </c>
      <c r="UMP76" s="49" t="s">
        <v>94</v>
      </c>
      <c r="UMQ76" s="49" t="s">
        <v>93</v>
      </c>
      <c r="UMR76" s="49" t="s">
        <v>94</v>
      </c>
      <c r="UMS76" s="49" t="s">
        <v>93</v>
      </c>
      <c r="UMT76" s="49" t="s">
        <v>94</v>
      </c>
      <c r="UMU76" s="49" t="s">
        <v>93</v>
      </c>
      <c r="UMV76" s="49" t="s">
        <v>94</v>
      </c>
      <c r="UMW76" s="49" t="s">
        <v>93</v>
      </c>
      <c r="UMX76" s="49" t="s">
        <v>94</v>
      </c>
      <c r="UMY76" s="49" t="s">
        <v>93</v>
      </c>
      <c r="UMZ76" s="49" t="s">
        <v>94</v>
      </c>
      <c r="UNA76" s="49" t="s">
        <v>93</v>
      </c>
      <c r="UNB76" s="49" t="s">
        <v>94</v>
      </c>
      <c r="UNC76" s="49" t="s">
        <v>93</v>
      </c>
      <c r="UND76" s="49" t="s">
        <v>94</v>
      </c>
      <c r="UNE76" s="49" t="s">
        <v>93</v>
      </c>
      <c r="UNF76" s="49" t="s">
        <v>94</v>
      </c>
      <c r="UNG76" s="49" t="s">
        <v>93</v>
      </c>
      <c r="UNH76" s="49" t="s">
        <v>94</v>
      </c>
      <c r="UNI76" s="49" t="s">
        <v>93</v>
      </c>
      <c r="UNJ76" s="49" t="s">
        <v>94</v>
      </c>
      <c r="UNK76" s="49" t="s">
        <v>93</v>
      </c>
      <c r="UNL76" s="49" t="s">
        <v>94</v>
      </c>
      <c r="UNM76" s="49" t="s">
        <v>93</v>
      </c>
      <c r="UNN76" s="49" t="s">
        <v>94</v>
      </c>
      <c r="UNO76" s="49" t="s">
        <v>93</v>
      </c>
      <c r="UNP76" s="49" t="s">
        <v>94</v>
      </c>
      <c r="UNQ76" s="49" t="s">
        <v>93</v>
      </c>
      <c r="UNR76" s="49" t="s">
        <v>94</v>
      </c>
      <c r="UNS76" s="49" t="s">
        <v>93</v>
      </c>
      <c r="UNT76" s="49" t="s">
        <v>94</v>
      </c>
      <c r="UNU76" s="49" t="s">
        <v>93</v>
      </c>
      <c r="UNV76" s="49" t="s">
        <v>94</v>
      </c>
      <c r="UNW76" s="49" t="s">
        <v>93</v>
      </c>
      <c r="UNX76" s="49" t="s">
        <v>94</v>
      </c>
      <c r="UNY76" s="49" t="s">
        <v>93</v>
      </c>
      <c r="UNZ76" s="49" t="s">
        <v>94</v>
      </c>
      <c r="UOA76" s="49" t="s">
        <v>93</v>
      </c>
      <c r="UOB76" s="49" t="s">
        <v>94</v>
      </c>
      <c r="UOC76" s="49" t="s">
        <v>93</v>
      </c>
      <c r="UOD76" s="49" t="s">
        <v>94</v>
      </c>
      <c r="UOE76" s="49" t="s">
        <v>93</v>
      </c>
      <c r="UOF76" s="49" t="s">
        <v>94</v>
      </c>
      <c r="UOG76" s="49" t="s">
        <v>93</v>
      </c>
      <c r="UOH76" s="49" t="s">
        <v>94</v>
      </c>
      <c r="UOI76" s="49" t="s">
        <v>93</v>
      </c>
      <c r="UOJ76" s="49" t="s">
        <v>94</v>
      </c>
      <c r="UOK76" s="49" t="s">
        <v>93</v>
      </c>
      <c r="UOL76" s="49" t="s">
        <v>94</v>
      </c>
      <c r="UOM76" s="49" t="s">
        <v>93</v>
      </c>
      <c r="UON76" s="49" t="s">
        <v>94</v>
      </c>
      <c r="UOO76" s="49" t="s">
        <v>93</v>
      </c>
      <c r="UOP76" s="49" t="s">
        <v>94</v>
      </c>
      <c r="UOQ76" s="49" t="s">
        <v>93</v>
      </c>
      <c r="UOR76" s="49" t="s">
        <v>94</v>
      </c>
      <c r="UOS76" s="49" t="s">
        <v>93</v>
      </c>
      <c r="UOT76" s="49" t="s">
        <v>94</v>
      </c>
      <c r="UOU76" s="49" t="s">
        <v>93</v>
      </c>
      <c r="UOV76" s="49" t="s">
        <v>94</v>
      </c>
      <c r="UOW76" s="49" t="s">
        <v>93</v>
      </c>
      <c r="UOX76" s="49" t="s">
        <v>94</v>
      </c>
      <c r="UOY76" s="49" t="s">
        <v>93</v>
      </c>
      <c r="UOZ76" s="49" t="s">
        <v>94</v>
      </c>
      <c r="UPA76" s="49" t="s">
        <v>93</v>
      </c>
      <c r="UPB76" s="49" t="s">
        <v>94</v>
      </c>
      <c r="UPC76" s="49" t="s">
        <v>93</v>
      </c>
      <c r="UPD76" s="49" t="s">
        <v>94</v>
      </c>
      <c r="UPE76" s="49" t="s">
        <v>93</v>
      </c>
      <c r="UPF76" s="49" t="s">
        <v>94</v>
      </c>
      <c r="UPG76" s="49" t="s">
        <v>93</v>
      </c>
      <c r="UPH76" s="49" t="s">
        <v>94</v>
      </c>
      <c r="UPI76" s="49" t="s">
        <v>93</v>
      </c>
      <c r="UPJ76" s="49" t="s">
        <v>94</v>
      </c>
      <c r="UPK76" s="49" t="s">
        <v>93</v>
      </c>
      <c r="UPL76" s="49" t="s">
        <v>94</v>
      </c>
      <c r="UPM76" s="49" t="s">
        <v>93</v>
      </c>
      <c r="UPN76" s="49" t="s">
        <v>94</v>
      </c>
      <c r="UPO76" s="49" t="s">
        <v>93</v>
      </c>
      <c r="UPP76" s="49" t="s">
        <v>94</v>
      </c>
      <c r="UPQ76" s="49" t="s">
        <v>93</v>
      </c>
      <c r="UPR76" s="49" t="s">
        <v>94</v>
      </c>
      <c r="UPS76" s="49" t="s">
        <v>93</v>
      </c>
      <c r="UPT76" s="49" t="s">
        <v>94</v>
      </c>
      <c r="UPU76" s="49" t="s">
        <v>93</v>
      </c>
      <c r="UPV76" s="49" t="s">
        <v>94</v>
      </c>
      <c r="UPW76" s="49" t="s">
        <v>93</v>
      </c>
      <c r="UPX76" s="49" t="s">
        <v>94</v>
      </c>
      <c r="UPY76" s="49" t="s">
        <v>93</v>
      </c>
      <c r="UPZ76" s="49" t="s">
        <v>94</v>
      </c>
      <c r="UQA76" s="49" t="s">
        <v>93</v>
      </c>
      <c r="UQB76" s="49" t="s">
        <v>94</v>
      </c>
      <c r="UQC76" s="49" t="s">
        <v>93</v>
      </c>
      <c r="UQD76" s="49" t="s">
        <v>94</v>
      </c>
      <c r="UQE76" s="49" t="s">
        <v>93</v>
      </c>
      <c r="UQF76" s="49" t="s">
        <v>94</v>
      </c>
      <c r="UQG76" s="49" t="s">
        <v>93</v>
      </c>
      <c r="UQH76" s="49" t="s">
        <v>94</v>
      </c>
      <c r="UQI76" s="49" t="s">
        <v>93</v>
      </c>
      <c r="UQJ76" s="49" t="s">
        <v>94</v>
      </c>
      <c r="UQK76" s="49" t="s">
        <v>93</v>
      </c>
      <c r="UQL76" s="49" t="s">
        <v>94</v>
      </c>
      <c r="UQM76" s="49" t="s">
        <v>93</v>
      </c>
      <c r="UQN76" s="49" t="s">
        <v>94</v>
      </c>
      <c r="UQO76" s="49" t="s">
        <v>93</v>
      </c>
      <c r="UQP76" s="49" t="s">
        <v>94</v>
      </c>
      <c r="UQQ76" s="49" t="s">
        <v>93</v>
      </c>
      <c r="UQR76" s="49" t="s">
        <v>94</v>
      </c>
      <c r="UQS76" s="49" t="s">
        <v>93</v>
      </c>
      <c r="UQT76" s="49" t="s">
        <v>94</v>
      </c>
      <c r="UQU76" s="49" t="s">
        <v>93</v>
      </c>
      <c r="UQV76" s="49" t="s">
        <v>94</v>
      </c>
      <c r="UQW76" s="49" t="s">
        <v>93</v>
      </c>
      <c r="UQX76" s="49" t="s">
        <v>94</v>
      </c>
      <c r="UQY76" s="49" t="s">
        <v>93</v>
      </c>
      <c r="UQZ76" s="49" t="s">
        <v>94</v>
      </c>
      <c r="URA76" s="49" t="s">
        <v>93</v>
      </c>
      <c r="URB76" s="49" t="s">
        <v>94</v>
      </c>
      <c r="URC76" s="49" t="s">
        <v>93</v>
      </c>
      <c r="URD76" s="49" t="s">
        <v>94</v>
      </c>
      <c r="URE76" s="49" t="s">
        <v>93</v>
      </c>
      <c r="URF76" s="49" t="s">
        <v>94</v>
      </c>
      <c r="URG76" s="49" t="s">
        <v>93</v>
      </c>
      <c r="URH76" s="49" t="s">
        <v>94</v>
      </c>
      <c r="URI76" s="49" t="s">
        <v>93</v>
      </c>
      <c r="URJ76" s="49" t="s">
        <v>94</v>
      </c>
      <c r="URK76" s="49" t="s">
        <v>93</v>
      </c>
      <c r="URL76" s="49" t="s">
        <v>94</v>
      </c>
      <c r="URM76" s="49" t="s">
        <v>93</v>
      </c>
      <c r="URN76" s="49" t="s">
        <v>94</v>
      </c>
      <c r="URO76" s="49" t="s">
        <v>93</v>
      </c>
      <c r="URP76" s="49" t="s">
        <v>94</v>
      </c>
      <c r="URQ76" s="49" t="s">
        <v>93</v>
      </c>
      <c r="URR76" s="49" t="s">
        <v>94</v>
      </c>
      <c r="URS76" s="49" t="s">
        <v>93</v>
      </c>
      <c r="URT76" s="49" t="s">
        <v>94</v>
      </c>
      <c r="URU76" s="49" t="s">
        <v>93</v>
      </c>
      <c r="URV76" s="49" t="s">
        <v>94</v>
      </c>
      <c r="URW76" s="49" t="s">
        <v>93</v>
      </c>
      <c r="URX76" s="49" t="s">
        <v>94</v>
      </c>
      <c r="URY76" s="49" t="s">
        <v>93</v>
      </c>
      <c r="URZ76" s="49" t="s">
        <v>94</v>
      </c>
      <c r="USA76" s="49" t="s">
        <v>93</v>
      </c>
      <c r="USB76" s="49" t="s">
        <v>94</v>
      </c>
      <c r="USC76" s="49" t="s">
        <v>93</v>
      </c>
      <c r="USD76" s="49" t="s">
        <v>94</v>
      </c>
      <c r="USE76" s="49" t="s">
        <v>93</v>
      </c>
      <c r="USF76" s="49" t="s">
        <v>94</v>
      </c>
      <c r="USG76" s="49" t="s">
        <v>93</v>
      </c>
      <c r="USH76" s="49" t="s">
        <v>94</v>
      </c>
      <c r="USI76" s="49" t="s">
        <v>93</v>
      </c>
      <c r="USJ76" s="49" t="s">
        <v>94</v>
      </c>
      <c r="USK76" s="49" t="s">
        <v>93</v>
      </c>
      <c r="USL76" s="49" t="s">
        <v>94</v>
      </c>
      <c r="USM76" s="49" t="s">
        <v>93</v>
      </c>
      <c r="USN76" s="49" t="s">
        <v>94</v>
      </c>
      <c r="USO76" s="49" t="s">
        <v>93</v>
      </c>
      <c r="USP76" s="49" t="s">
        <v>94</v>
      </c>
      <c r="USQ76" s="49" t="s">
        <v>93</v>
      </c>
      <c r="USR76" s="49" t="s">
        <v>94</v>
      </c>
      <c r="USS76" s="49" t="s">
        <v>93</v>
      </c>
      <c r="UST76" s="49" t="s">
        <v>94</v>
      </c>
      <c r="USU76" s="49" t="s">
        <v>93</v>
      </c>
      <c r="USV76" s="49" t="s">
        <v>94</v>
      </c>
      <c r="USW76" s="49" t="s">
        <v>93</v>
      </c>
      <c r="USX76" s="49" t="s">
        <v>94</v>
      </c>
      <c r="USY76" s="49" t="s">
        <v>93</v>
      </c>
      <c r="USZ76" s="49" t="s">
        <v>94</v>
      </c>
      <c r="UTA76" s="49" t="s">
        <v>93</v>
      </c>
      <c r="UTB76" s="49" t="s">
        <v>94</v>
      </c>
      <c r="UTC76" s="49" t="s">
        <v>93</v>
      </c>
      <c r="UTD76" s="49" t="s">
        <v>94</v>
      </c>
      <c r="UTE76" s="49" t="s">
        <v>93</v>
      </c>
      <c r="UTF76" s="49" t="s">
        <v>94</v>
      </c>
      <c r="UTG76" s="49" t="s">
        <v>93</v>
      </c>
      <c r="UTH76" s="49" t="s">
        <v>94</v>
      </c>
      <c r="UTI76" s="49" t="s">
        <v>93</v>
      </c>
      <c r="UTJ76" s="49" t="s">
        <v>94</v>
      </c>
      <c r="UTK76" s="49" t="s">
        <v>93</v>
      </c>
      <c r="UTL76" s="49" t="s">
        <v>94</v>
      </c>
      <c r="UTM76" s="49" t="s">
        <v>93</v>
      </c>
      <c r="UTN76" s="49" t="s">
        <v>94</v>
      </c>
      <c r="UTO76" s="49" t="s">
        <v>93</v>
      </c>
      <c r="UTP76" s="49" t="s">
        <v>94</v>
      </c>
      <c r="UTQ76" s="49" t="s">
        <v>93</v>
      </c>
      <c r="UTR76" s="49" t="s">
        <v>94</v>
      </c>
      <c r="UTS76" s="49" t="s">
        <v>93</v>
      </c>
      <c r="UTT76" s="49" t="s">
        <v>94</v>
      </c>
      <c r="UTU76" s="49" t="s">
        <v>93</v>
      </c>
      <c r="UTV76" s="49" t="s">
        <v>94</v>
      </c>
      <c r="UTW76" s="49" t="s">
        <v>93</v>
      </c>
      <c r="UTX76" s="49" t="s">
        <v>94</v>
      </c>
      <c r="UTY76" s="49" t="s">
        <v>93</v>
      </c>
      <c r="UTZ76" s="49" t="s">
        <v>94</v>
      </c>
      <c r="UUA76" s="49" t="s">
        <v>93</v>
      </c>
      <c r="UUB76" s="49" t="s">
        <v>94</v>
      </c>
      <c r="UUC76" s="49" t="s">
        <v>93</v>
      </c>
      <c r="UUD76" s="49" t="s">
        <v>94</v>
      </c>
      <c r="UUE76" s="49" t="s">
        <v>93</v>
      </c>
      <c r="UUF76" s="49" t="s">
        <v>94</v>
      </c>
      <c r="UUG76" s="49" t="s">
        <v>93</v>
      </c>
      <c r="UUH76" s="49" t="s">
        <v>94</v>
      </c>
      <c r="UUI76" s="49" t="s">
        <v>93</v>
      </c>
      <c r="UUJ76" s="49" t="s">
        <v>94</v>
      </c>
      <c r="UUK76" s="49" t="s">
        <v>93</v>
      </c>
      <c r="UUL76" s="49" t="s">
        <v>94</v>
      </c>
      <c r="UUM76" s="49" t="s">
        <v>93</v>
      </c>
      <c r="UUN76" s="49" t="s">
        <v>94</v>
      </c>
      <c r="UUO76" s="49" t="s">
        <v>93</v>
      </c>
      <c r="UUP76" s="49" t="s">
        <v>94</v>
      </c>
      <c r="UUQ76" s="49" t="s">
        <v>93</v>
      </c>
      <c r="UUR76" s="49" t="s">
        <v>94</v>
      </c>
      <c r="UUS76" s="49" t="s">
        <v>93</v>
      </c>
      <c r="UUT76" s="49" t="s">
        <v>94</v>
      </c>
      <c r="UUU76" s="49" t="s">
        <v>93</v>
      </c>
      <c r="UUV76" s="49" t="s">
        <v>94</v>
      </c>
      <c r="UUW76" s="49" t="s">
        <v>93</v>
      </c>
      <c r="UUX76" s="49" t="s">
        <v>94</v>
      </c>
      <c r="UUY76" s="49" t="s">
        <v>93</v>
      </c>
      <c r="UUZ76" s="49" t="s">
        <v>94</v>
      </c>
      <c r="UVA76" s="49" t="s">
        <v>93</v>
      </c>
      <c r="UVB76" s="49" t="s">
        <v>94</v>
      </c>
      <c r="UVC76" s="49" t="s">
        <v>93</v>
      </c>
      <c r="UVD76" s="49" t="s">
        <v>94</v>
      </c>
      <c r="UVE76" s="49" t="s">
        <v>93</v>
      </c>
      <c r="UVF76" s="49" t="s">
        <v>94</v>
      </c>
      <c r="UVG76" s="49" t="s">
        <v>93</v>
      </c>
      <c r="UVH76" s="49" t="s">
        <v>94</v>
      </c>
      <c r="UVI76" s="49" t="s">
        <v>93</v>
      </c>
      <c r="UVJ76" s="49" t="s">
        <v>94</v>
      </c>
      <c r="UVK76" s="49" t="s">
        <v>93</v>
      </c>
      <c r="UVL76" s="49" t="s">
        <v>94</v>
      </c>
      <c r="UVM76" s="49" t="s">
        <v>93</v>
      </c>
      <c r="UVN76" s="49" t="s">
        <v>94</v>
      </c>
      <c r="UVO76" s="49" t="s">
        <v>93</v>
      </c>
      <c r="UVP76" s="49" t="s">
        <v>94</v>
      </c>
      <c r="UVQ76" s="49" t="s">
        <v>93</v>
      </c>
      <c r="UVR76" s="49" t="s">
        <v>94</v>
      </c>
      <c r="UVS76" s="49" t="s">
        <v>93</v>
      </c>
      <c r="UVT76" s="49" t="s">
        <v>94</v>
      </c>
      <c r="UVU76" s="49" t="s">
        <v>93</v>
      </c>
      <c r="UVV76" s="49" t="s">
        <v>94</v>
      </c>
      <c r="UVW76" s="49" t="s">
        <v>93</v>
      </c>
      <c r="UVX76" s="49" t="s">
        <v>94</v>
      </c>
      <c r="UVY76" s="49" t="s">
        <v>93</v>
      </c>
      <c r="UVZ76" s="49" t="s">
        <v>94</v>
      </c>
      <c r="UWA76" s="49" t="s">
        <v>93</v>
      </c>
      <c r="UWB76" s="49" t="s">
        <v>94</v>
      </c>
      <c r="UWC76" s="49" t="s">
        <v>93</v>
      </c>
      <c r="UWD76" s="49" t="s">
        <v>94</v>
      </c>
      <c r="UWE76" s="49" t="s">
        <v>93</v>
      </c>
      <c r="UWF76" s="49" t="s">
        <v>94</v>
      </c>
      <c r="UWG76" s="49" t="s">
        <v>93</v>
      </c>
      <c r="UWH76" s="49" t="s">
        <v>94</v>
      </c>
      <c r="UWI76" s="49" t="s">
        <v>93</v>
      </c>
      <c r="UWJ76" s="49" t="s">
        <v>94</v>
      </c>
      <c r="UWK76" s="49" t="s">
        <v>93</v>
      </c>
      <c r="UWL76" s="49" t="s">
        <v>94</v>
      </c>
      <c r="UWM76" s="49" t="s">
        <v>93</v>
      </c>
      <c r="UWN76" s="49" t="s">
        <v>94</v>
      </c>
      <c r="UWO76" s="49" t="s">
        <v>93</v>
      </c>
      <c r="UWP76" s="49" t="s">
        <v>94</v>
      </c>
      <c r="UWQ76" s="49" t="s">
        <v>93</v>
      </c>
      <c r="UWR76" s="49" t="s">
        <v>94</v>
      </c>
      <c r="UWS76" s="49" t="s">
        <v>93</v>
      </c>
      <c r="UWT76" s="49" t="s">
        <v>94</v>
      </c>
      <c r="UWU76" s="49" t="s">
        <v>93</v>
      </c>
      <c r="UWV76" s="49" t="s">
        <v>94</v>
      </c>
      <c r="UWW76" s="49" t="s">
        <v>93</v>
      </c>
      <c r="UWX76" s="49" t="s">
        <v>94</v>
      </c>
      <c r="UWY76" s="49" t="s">
        <v>93</v>
      </c>
      <c r="UWZ76" s="49" t="s">
        <v>94</v>
      </c>
      <c r="UXA76" s="49" t="s">
        <v>93</v>
      </c>
      <c r="UXB76" s="49" t="s">
        <v>94</v>
      </c>
      <c r="UXC76" s="49" t="s">
        <v>93</v>
      </c>
      <c r="UXD76" s="49" t="s">
        <v>94</v>
      </c>
      <c r="UXE76" s="49" t="s">
        <v>93</v>
      </c>
      <c r="UXF76" s="49" t="s">
        <v>94</v>
      </c>
      <c r="UXG76" s="49" t="s">
        <v>93</v>
      </c>
      <c r="UXH76" s="49" t="s">
        <v>94</v>
      </c>
      <c r="UXI76" s="49" t="s">
        <v>93</v>
      </c>
      <c r="UXJ76" s="49" t="s">
        <v>94</v>
      </c>
      <c r="UXK76" s="49" t="s">
        <v>93</v>
      </c>
      <c r="UXL76" s="49" t="s">
        <v>94</v>
      </c>
      <c r="UXM76" s="49" t="s">
        <v>93</v>
      </c>
      <c r="UXN76" s="49" t="s">
        <v>94</v>
      </c>
      <c r="UXO76" s="49" t="s">
        <v>93</v>
      </c>
      <c r="UXP76" s="49" t="s">
        <v>94</v>
      </c>
      <c r="UXQ76" s="49" t="s">
        <v>93</v>
      </c>
      <c r="UXR76" s="49" t="s">
        <v>94</v>
      </c>
      <c r="UXS76" s="49" t="s">
        <v>93</v>
      </c>
      <c r="UXT76" s="49" t="s">
        <v>94</v>
      </c>
      <c r="UXU76" s="49" t="s">
        <v>93</v>
      </c>
      <c r="UXV76" s="49" t="s">
        <v>94</v>
      </c>
      <c r="UXW76" s="49" t="s">
        <v>93</v>
      </c>
      <c r="UXX76" s="49" t="s">
        <v>94</v>
      </c>
      <c r="UXY76" s="49" t="s">
        <v>93</v>
      </c>
      <c r="UXZ76" s="49" t="s">
        <v>94</v>
      </c>
      <c r="UYA76" s="49" t="s">
        <v>93</v>
      </c>
      <c r="UYB76" s="49" t="s">
        <v>94</v>
      </c>
      <c r="UYC76" s="49" t="s">
        <v>93</v>
      </c>
      <c r="UYD76" s="49" t="s">
        <v>94</v>
      </c>
      <c r="UYE76" s="49" t="s">
        <v>93</v>
      </c>
      <c r="UYF76" s="49" t="s">
        <v>94</v>
      </c>
      <c r="UYG76" s="49" t="s">
        <v>93</v>
      </c>
      <c r="UYH76" s="49" t="s">
        <v>94</v>
      </c>
      <c r="UYI76" s="49" t="s">
        <v>93</v>
      </c>
      <c r="UYJ76" s="49" t="s">
        <v>94</v>
      </c>
      <c r="UYK76" s="49" t="s">
        <v>93</v>
      </c>
      <c r="UYL76" s="49" t="s">
        <v>94</v>
      </c>
      <c r="UYM76" s="49" t="s">
        <v>93</v>
      </c>
      <c r="UYN76" s="49" t="s">
        <v>94</v>
      </c>
      <c r="UYO76" s="49" t="s">
        <v>93</v>
      </c>
      <c r="UYP76" s="49" t="s">
        <v>94</v>
      </c>
      <c r="UYQ76" s="49" t="s">
        <v>93</v>
      </c>
      <c r="UYR76" s="49" t="s">
        <v>94</v>
      </c>
      <c r="UYS76" s="49" t="s">
        <v>93</v>
      </c>
      <c r="UYT76" s="49" t="s">
        <v>94</v>
      </c>
      <c r="UYU76" s="49" t="s">
        <v>93</v>
      </c>
      <c r="UYV76" s="49" t="s">
        <v>94</v>
      </c>
      <c r="UYW76" s="49" t="s">
        <v>93</v>
      </c>
      <c r="UYX76" s="49" t="s">
        <v>94</v>
      </c>
      <c r="UYY76" s="49" t="s">
        <v>93</v>
      </c>
      <c r="UYZ76" s="49" t="s">
        <v>94</v>
      </c>
      <c r="UZA76" s="49" t="s">
        <v>93</v>
      </c>
      <c r="UZB76" s="49" t="s">
        <v>94</v>
      </c>
      <c r="UZC76" s="49" t="s">
        <v>93</v>
      </c>
      <c r="UZD76" s="49" t="s">
        <v>94</v>
      </c>
      <c r="UZE76" s="49" t="s">
        <v>93</v>
      </c>
      <c r="UZF76" s="49" t="s">
        <v>94</v>
      </c>
      <c r="UZG76" s="49" t="s">
        <v>93</v>
      </c>
      <c r="UZH76" s="49" t="s">
        <v>94</v>
      </c>
      <c r="UZI76" s="49" t="s">
        <v>93</v>
      </c>
      <c r="UZJ76" s="49" t="s">
        <v>94</v>
      </c>
      <c r="UZK76" s="49" t="s">
        <v>93</v>
      </c>
      <c r="UZL76" s="49" t="s">
        <v>94</v>
      </c>
      <c r="UZM76" s="49" t="s">
        <v>93</v>
      </c>
      <c r="UZN76" s="49" t="s">
        <v>94</v>
      </c>
      <c r="UZO76" s="49" t="s">
        <v>93</v>
      </c>
      <c r="UZP76" s="49" t="s">
        <v>94</v>
      </c>
      <c r="UZQ76" s="49" t="s">
        <v>93</v>
      </c>
      <c r="UZR76" s="49" t="s">
        <v>94</v>
      </c>
      <c r="UZS76" s="49" t="s">
        <v>93</v>
      </c>
      <c r="UZT76" s="49" t="s">
        <v>94</v>
      </c>
      <c r="UZU76" s="49" t="s">
        <v>93</v>
      </c>
      <c r="UZV76" s="49" t="s">
        <v>94</v>
      </c>
      <c r="UZW76" s="49" t="s">
        <v>93</v>
      </c>
      <c r="UZX76" s="49" t="s">
        <v>94</v>
      </c>
      <c r="UZY76" s="49" t="s">
        <v>93</v>
      </c>
      <c r="UZZ76" s="49" t="s">
        <v>94</v>
      </c>
      <c r="VAA76" s="49" t="s">
        <v>93</v>
      </c>
      <c r="VAB76" s="49" t="s">
        <v>94</v>
      </c>
      <c r="VAC76" s="49" t="s">
        <v>93</v>
      </c>
      <c r="VAD76" s="49" t="s">
        <v>94</v>
      </c>
      <c r="VAE76" s="49" t="s">
        <v>93</v>
      </c>
      <c r="VAF76" s="49" t="s">
        <v>94</v>
      </c>
      <c r="VAG76" s="49" t="s">
        <v>93</v>
      </c>
      <c r="VAH76" s="49" t="s">
        <v>94</v>
      </c>
      <c r="VAI76" s="49" t="s">
        <v>93</v>
      </c>
      <c r="VAJ76" s="49" t="s">
        <v>94</v>
      </c>
      <c r="VAK76" s="49" t="s">
        <v>93</v>
      </c>
      <c r="VAL76" s="49" t="s">
        <v>94</v>
      </c>
      <c r="VAM76" s="49" t="s">
        <v>93</v>
      </c>
      <c r="VAN76" s="49" t="s">
        <v>94</v>
      </c>
      <c r="VAO76" s="49" t="s">
        <v>93</v>
      </c>
      <c r="VAP76" s="49" t="s">
        <v>94</v>
      </c>
      <c r="VAQ76" s="49" t="s">
        <v>93</v>
      </c>
      <c r="VAR76" s="49" t="s">
        <v>94</v>
      </c>
      <c r="VAS76" s="49" t="s">
        <v>93</v>
      </c>
      <c r="VAT76" s="49" t="s">
        <v>94</v>
      </c>
      <c r="VAU76" s="49" t="s">
        <v>93</v>
      </c>
      <c r="VAV76" s="49" t="s">
        <v>94</v>
      </c>
      <c r="VAW76" s="49" t="s">
        <v>93</v>
      </c>
      <c r="VAX76" s="49" t="s">
        <v>94</v>
      </c>
      <c r="VAY76" s="49" t="s">
        <v>93</v>
      </c>
      <c r="VAZ76" s="49" t="s">
        <v>94</v>
      </c>
      <c r="VBA76" s="49" t="s">
        <v>93</v>
      </c>
      <c r="VBB76" s="49" t="s">
        <v>94</v>
      </c>
      <c r="VBC76" s="49" t="s">
        <v>93</v>
      </c>
      <c r="VBD76" s="49" t="s">
        <v>94</v>
      </c>
      <c r="VBE76" s="49" t="s">
        <v>93</v>
      </c>
      <c r="VBF76" s="49" t="s">
        <v>94</v>
      </c>
      <c r="VBG76" s="49" t="s">
        <v>93</v>
      </c>
      <c r="VBH76" s="49" t="s">
        <v>94</v>
      </c>
      <c r="VBI76" s="49" t="s">
        <v>93</v>
      </c>
      <c r="VBJ76" s="49" t="s">
        <v>94</v>
      </c>
      <c r="VBK76" s="49" t="s">
        <v>93</v>
      </c>
      <c r="VBL76" s="49" t="s">
        <v>94</v>
      </c>
      <c r="VBM76" s="49" t="s">
        <v>93</v>
      </c>
      <c r="VBN76" s="49" t="s">
        <v>94</v>
      </c>
      <c r="VBO76" s="49" t="s">
        <v>93</v>
      </c>
      <c r="VBP76" s="49" t="s">
        <v>94</v>
      </c>
      <c r="VBQ76" s="49" t="s">
        <v>93</v>
      </c>
      <c r="VBR76" s="49" t="s">
        <v>94</v>
      </c>
      <c r="VBS76" s="49" t="s">
        <v>93</v>
      </c>
      <c r="VBT76" s="49" t="s">
        <v>94</v>
      </c>
      <c r="VBU76" s="49" t="s">
        <v>93</v>
      </c>
      <c r="VBV76" s="49" t="s">
        <v>94</v>
      </c>
      <c r="VBW76" s="49" t="s">
        <v>93</v>
      </c>
      <c r="VBX76" s="49" t="s">
        <v>94</v>
      </c>
      <c r="VBY76" s="49" t="s">
        <v>93</v>
      </c>
      <c r="VBZ76" s="49" t="s">
        <v>94</v>
      </c>
      <c r="VCA76" s="49" t="s">
        <v>93</v>
      </c>
      <c r="VCB76" s="49" t="s">
        <v>94</v>
      </c>
      <c r="VCC76" s="49" t="s">
        <v>93</v>
      </c>
      <c r="VCD76" s="49" t="s">
        <v>94</v>
      </c>
      <c r="VCE76" s="49" t="s">
        <v>93</v>
      </c>
      <c r="VCF76" s="49" t="s">
        <v>94</v>
      </c>
      <c r="VCG76" s="49" t="s">
        <v>93</v>
      </c>
      <c r="VCH76" s="49" t="s">
        <v>94</v>
      </c>
      <c r="VCI76" s="49" t="s">
        <v>93</v>
      </c>
      <c r="VCJ76" s="49" t="s">
        <v>94</v>
      </c>
      <c r="VCK76" s="49" t="s">
        <v>93</v>
      </c>
      <c r="VCL76" s="49" t="s">
        <v>94</v>
      </c>
      <c r="VCM76" s="49" t="s">
        <v>93</v>
      </c>
      <c r="VCN76" s="49" t="s">
        <v>94</v>
      </c>
      <c r="VCO76" s="49" t="s">
        <v>93</v>
      </c>
      <c r="VCP76" s="49" t="s">
        <v>94</v>
      </c>
      <c r="VCQ76" s="49" t="s">
        <v>93</v>
      </c>
      <c r="VCR76" s="49" t="s">
        <v>94</v>
      </c>
      <c r="VCS76" s="49" t="s">
        <v>93</v>
      </c>
      <c r="VCT76" s="49" t="s">
        <v>94</v>
      </c>
      <c r="VCU76" s="49" t="s">
        <v>93</v>
      </c>
      <c r="VCV76" s="49" t="s">
        <v>94</v>
      </c>
      <c r="VCW76" s="49" t="s">
        <v>93</v>
      </c>
      <c r="VCX76" s="49" t="s">
        <v>94</v>
      </c>
      <c r="VCY76" s="49" t="s">
        <v>93</v>
      </c>
      <c r="VCZ76" s="49" t="s">
        <v>94</v>
      </c>
      <c r="VDA76" s="49" t="s">
        <v>93</v>
      </c>
      <c r="VDB76" s="49" t="s">
        <v>94</v>
      </c>
      <c r="VDC76" s="49" t="s">
        <v>93</v>
      </c>
      <c r="VDD76" s="49" t="s">
        <v>94</v>
      </c>
      <c r="VDE76" s="49" t="s">
        <v>93</v>
      </c>
      <c r="VDF76" s="49" t="s">
        <v>94</v>
      </c>
      <c r="VDG76" s="49" t="s">
        <v>93</v>
      </c>
      <c r="VDH76" s="49" t="s">
        <v>94</v>
      </c>
      <c r="VDI76" s="49" t="s">
        <v>93</v>
      </c>
      <c r="VDJ76" s="49" t="s">
        <v>94</v>
      </c>
      <c r="VDK76" s="49" t="s">
        <v>93</v>
      </c>
      <c r="VDL76" s="49" t="s">
        <v>94</v>
      </c>
      <c r="VDM76" s="49" t="s">
        <v>93</v>
      </c>
      <c r="VDN76" s="49" t="s">
        <v>94</v>
      </c>
      <c r="VDO76" s="49" t="s">
        <v>93</v>
      </c>
      <c r="VDP76" s="49" t="s">
        <v>94</v>
      </c>
      <c r="VDQ76" s="49" t="s">
        <v>93</v>
      </c>
      <c r="VDR76" s="49" t="s">
        <v>94</v>
      </c>
      <c r="VDS76" s="49" t="s">
        <v>93</v>
      </c>
      <c r="VDT76" s="49" t="s">
        <v>94</v>
      </c>
      <c r="VDU76" s="49" t="s">
        <v>93</v>
      </c>
      <c r="VDV76" s="49" t="s">
        <v>94</v>
      </c>
      <c r="VDW76" s="49" t="s">
        <v>93</v>
      </c>
      <c r="VDX76" s="49" t="s">
        <v>94</v>
      </c>
      <c r="VDY76" s="49" t="s">
        <v>93</v>
      </c>
      <c r="VDZ76" s="49" t="s">
        <v>94</v>
      </c>
      <c r="VEA76" s="49" t="s">
        <v>93</v>
      </c>
      <c r="VEB76" s="49" t="s">
        <v>94</v>
      </c>
      <c r="VEC76" s="49" t="s">
        <v>93</v>
      </c>
      <c r="VED76" s="49" t="s">
        <v>94</v>
      </c>
      <c r="VEE76" s="49" t="s">
        <v>93</v>
      </c>
      <c r="VEF76" s="49" t="s">
        <v>94</v>
      </c>
      <c r="VEG76" s="49" t="s">
        <v>93</v>
      </c>
      <c r="VEH76" s="49" t="s">
        <v>94</v>
      </c>
      <c r="VEI76" s="49" t="s">
        <v>93</v>
      </c>
      <c r="VEJ76" s="49" t="s">
        <v>94</v>
      </c>
      <c r="VEK76" s="49" t="s">
        <v>93</v>
      </c>
      <c r="VEL76" s="49" t="s">
        <v>94</v>
      </c>
      <c r="VEM76" s="49" t="s">
        <v>93</v>
      </c>
      <c r="VEN76" s="49" t="s">
        <v>94</v>
      </c>
      <c r="VEO76" s="49" t="s">
        <v>93</v>
      </c>
      <c r="VEP76" s="49" t="s">
        <v>94</v>
      </c>
      <c r="VEQ76" s="49" t="s">
        <v>93</v>
      </c>
      <c r="VER76" s="49" t="s">
        <v>94</v>
      </c>
      <c r="VES76" s="49" t="s">
        <v>93</v>
      </c>
      <c r="VET76" s="49" t="s">
        <v>94</v>
      </c>
      <c r="VEU76" s="49" t="s">
        <v>93</v>
      </c>
      <c r="VEV76" s="49" t="s">
        <v>94</v>
      </c>
      <c r="VEW76" s="49" t="s">
        <v>93</v>
      </c>
      <c r="VEX76" s="49" t="s">
        <v>94</v>
      </c>
      <c r="VEY76" s="49" t="s">
        <v>93</v>
      </c>
      <c r="VEZ76" s="49" t="s">
        <v>94</v>
      </c>
      <c r="VFA76" s="49" t="s">
        <v>93</v>
      </c>
      <c r="VFB76" s="49" t="s">
        <v>94</v>
      </c>
      <c r="VFC76" s="49" t="s">
        <v>93</v>
      </c>
      <c r="VFD76" s="49" t="s">
        <v>94</v>
      </c>
      <c r="VFE76" s="49" t="s">
        <v>93</v>
      </c>
      <c r="VFF76" s="49" t="s">
        <v>94</v>
      </c>
      <c r="VFG76" s="49" t="s">
        <v>93</v>
      </c>
      <c r="VFH76" s="49" t="s">
        <v>94</v>
      </c>
      <c r="VFI76" s="49" t="s">
        <v>93</v>
      </c>
      <c r="VFJ76" s="49" t="s">
        <v>94</v>
      </c>
      <c r="VFK76" s="49" t="s">
        <v>93</v>
      </c>
      <c r="VFL76" s="49" t="s">
        <v>94</v>
      </c>
      <c r="VFM76" s="49" t="s">
        <v>93</v>
      </c>
      <c r="VFN76" s="49" t="s">
        <v>94</v>
      </c>
      <c r="VFO76" s="49" t="s">
        <v>93</v>
      </c>
      <c r="VFP76" s="49" t="s">
        <v>94</v>
      </c>
      <c r="VFQ76" s="49" t="s">
        <v>93</v>
      </c>
      <c r="VFR76" s="49" t="s">
        <v>94</v>
      </c>
      <c r="VFS76" s="49" t="s">
        <v>93</v>
      </c>
      <c r="VFT76" s="49" t="s">
        <v>94</v>
      </c>
      <c r="VFU76" s="49" t="s">
        <v>93</v>
      </c>
      <c r="VFV76" s="49" t="s">
        <v>94</v>
      </c>
      <c r="VFW76" s="49" t="s">
        <v>93</v>
      </c>
      <c r="VFX76" s="49" t="s">
        <v>94</v>
      </c>
      <c r="VFY76" s="49" t="s">
        <v>93</v>
      </c>
      <c r="VFZ76" s="49" t="s">
        <v>94</v>
      </c>
      <c r="VGA76" s="49" t="s">
        <v>93</v>
      </c>
      <c r="VGB76" s="49" t="s">
        <v>94</v>
      </c>
      <c r="VGC76" s="49" t="s">
        <v>93</v>
      </c>
      <c r="VGD76" s="49" t="s">
        <v>94</v>
      </c>
      <c r="VGE76" s="49" t="s">
        <v>93</v>
      </c>
      <c r="VGF76" s="49" t="s">
        <v>94</v>
      </c>
      <c r="VGG76" s="49" t="s">
        <v>93</v>
      </c>
      <c r="VGH76" s="49" t="s">
        <v>94</v>
      </c>
      <c r="VGI76" s="49" t="s">
        <v>93</v>
      </c>
      <c r="VGJ76" s="49" t="s">
        <v>94</v>
      </c>
      <c r="VGK76" s="49" t="s">
        <v>93</v>
      </c>
      <c r="VGL76" s="49" t="s">
        <v>94</v>
      </c>
      <c r="VGM76" s="49" t="s">
        <v>93</v>
      </c>
      <c r="VGN76" s="49" t="s">
        <v>94</v>
      </c>
      <c r="VGO76" s="49" t="s">
        <v>93</v>
      </c>
      <c r="VGP76" s="49" t="s">
        <v>94</v>
      </c>
      <c r="VGQ76" s="49" t="s">
        <v>93</v>
      </c>
      <c r="VGR76" s="49" t="s">
        <v>94</v>
      </c>
      <c r="VGS76" s="49" t="s">
        <v>93</v>
      </c>
      <c r="VGT76" s="49" t="s">
        <v>94</v>
      </c>
      <c r="VGU76" s="49" t="s">
        <v>93</v>
      </c>
      <c r="VGV76" s="49" t="s">
        <v>94</v>
      </c>
      <c r="VGW76" s="49" t="s">
        <v>93</v>
      </c>
      <c r="VGX76" s="49" t="s">
        <v>94</v>
      </c>
      <c r="VGY76" s="49" t="s">
        <v>93</v>
      </c>
      <c r="VGZ76" s="49" t="s">
        <v>94</v>
      </c>
      <c r="VHA76" s="49" t="s">
        <v>93</v>
      </c>
      <c r="VHB76" s="49" t="s">
        <v>94</v>
      </c>
      <c r="VHC76" s="49" t="s">
        <v>93</v>
      </c>
      <c r="VHD76" s="49" t="s">
        <v>94</v>
      </c>
      <c r="VHE76" s="49" t="s">
        <v>93</v>
      </c>
      <c r="VHF76" s="49" t="s">
        <v>94</v>
      </c>
      <c r="VHG76" s="49" t="s">
        <v>93</v>
      </c>
      <c r="VHH76" s="49" t="s">
        <v>94</v>
      </c>
      <c r="VHI76" s="49" t="s">
        <v>93</v>
      </c>
      <c r="VHJ76" s="49" t="s">
        <v>94</v>
      </c>
      <c r="VHK76" s="49" t="s">
        <v>93</v>
      </c>
      <c r="VHL76" s="49" t="s">
        <v>94</v>
      </c>
      <c r="VHM76" s="49" t="s">
        <v>93</v>
      </c>
      <c r="VHN76" s="49" t="s">
        <v>94</v>
      </c>
      <c r="VHO76" s="49" t="s">
        <v>93</v>
      </c>
      <c r="VHP76" s="49" t="s">
        <v>94</v>
      </c>
      <c r="VHQ76" s="49" t="s">
        <v>93</v>
      </c>
      <c r="VHR76" s="49" t="s">
        <v>94</v>
      </c>
      <c r="VHS76" s="49" t="s">
        <v>93</v>
      </c>
      <c r="VHT76" s="49" t="s">
        <v>94</v>
      </c>
      <c r="VHU76" s="49" t="s">
        <v>93</v>
      </c>
      <c r="VHV76" s="49" t="s">
        <v>94</v>
      </c>
      <c r="VHW76" s="49" t="s">
        <v>93</v>
      </c>
      <c r="VHX76" s="49" t="s">
        <v>94</v>
      </c>
      <c r="VHY76" s="49" t="s">
        <v>93</v>
      </c>
      <c r="VHZ76" s="49" t="s">
        <v>94</v>
      </c>
      <c r="VIA76" s="49" t="s">
        <v>93</v>
      </c>
      <c r="VIB76" s="49" t="s">
        <v>94</v>
      </c>
      <c r="VIC76" s="49" t="s">
        <v>93</v>
      </c>
      <c r="VID76" s="49" t="s">
        <v>94</v>
      </c>
      <c r="VIE76" s="49" t="s">
        <v>93</v>
      </c>
      <c r="VIF76" s="49" t="s">
        <v>94</v>
      </c>
      <c r="VIG76" s="49" t="s">
        <v>93</v>
      </c>
      <c r="VIH76" s="49" t="s">
        <v>94</v>
      </c>
      <c r="VII76" s="49" t="s">
        <v>93</v>
      </c>
      <c r="VIJ76" s="49" t="s">
        <v>94</v>
      </c>
      <c r="VIK76" s="49" t="s">
        <v>93</v>
      </c>
      <c r="VIL76" s="49" t="s">
        <v>94</v>
      </c>
      <c r="VIM76" s="49" t="s">
        <v>93</v>
      </c>
      <c r="VIN76" s="49" t="s">
        <v>94</v>
      </c>
      <c r="VIO76" s="49" t="s">
        <v>93</v>
      </c>
      <c r="VIP76" s="49" t="s">
        <v>94</v>
      </c>
      <c r="VIQ76" s="49" t="s">
        <v>93</v>
      </c>
      <c r="VIR76" s="49" t="s">
        <v>94</v>
      </c>
      <c r="VIS76" s="49" t="s">
        <v>93</v>
      </c>
      <c r="VIT76" s="49" t="s">
        <v>94</v>
      </c>
      <c r="VIU76" s="49" t="s">
        <v>93</v>
      </c>
      <c r="VIV76" s="49" t="s">
        <v>94</v>
      </c>
      <c r="VIW76" s="49" t="s">
        <v>93</v>
      </c>
      <c r="VIX76" s="49" t="s">
        <v>94</v>
      </c>
      <c r="VIY76" s="49" t="s">
        <v>93</v>
      </c>
      <c r="VIZ76" s="49" t="s">
        <v>94</v>
      </c>
      <c r="VJA76" s="49" t="s">
        <v>93</v>
      </c>
      <c r="VJB76" s="49" t="s">
        <v>94</v>
      </c>
      <c r="VJC76" s="49" t="s">
        <v>93</v>
      </c>
      <c r="VJD76" s="49" t="s">
        <v>94</v>
      </c>
      <c r="VJE76" s="49" t="s">
        <v>93</v>
      </c>
      <c r="VJF76" s="49" t="s">
        <v>94</v>
      </c>
      <c r="VJG76" s="49" t="s">
        <v>93</v>
      </c>
      <c r="VJH76" s="49" t="s">
        <v>94</v>
      </c>
      <c r="VJI76" s="49" t="s">
        <v>93</v>
      </c>
      <c r="VJJ76" s="49" t="s">
        <v>94</v>
      </c>
      <c r="VJK76" s="49" t="s">
        <v>93</v>
      </c>
      <c r="VJL76" s="49" t="s">
        <v>94</v>
      </c>
      <c r="VJM76" s="49" t="s">
        <v>93</v>
      </c>
      <c r="VJN76" s="49" t="s">
        <v>94</v>
      </c>
      <c r="VJO76" s="49" t="s">
        <v>93</v>
      </c>
      <c r="VJP76" s="49" t="s">
        <v>94</v>
      </c>
      <c r="VJQ76" s="49" t="s">
        <v>93</v>
      </c>
      <c r="VJR76" s="49" t="s">
        <v>94</v>
      </c>
      <c r="VJS76" s="49" t="s">
        <v>93</v>
      </c>
      <c r="VJT76" s="49" t="s">
        <v>94</v>
      </c>
      <c r="VJU76" s="49" t="s">
        <v>93</v>
      </c>
      <c r="VJV76" s="49" t="s">
        <v>94</v>
      </c>
      <c r="VJW76" s="49" t="s">
        <v>93</v>
      </c>
      <c r="VJX76" s="49" t="s">
        <v>94</v>
      </c>
      <c r="VJY76" s="49" t="s">
        <v>93</v>
      </c>
      <c r="VJZ76" s="49" t="s">
        <v>94</v>
      </c>
      <c r="VKA76" s="49" t="s">
        <v>93</v>
      </c>
      <c r="VKB76" s="49" t="s">
        <v>94</v>
      </c>
      <c r="VKC76" s="49" t="s">
        <v>93</v>
      </c>
      <c r="VKD76" s="49" t="s">
        <v>94</v>
      </c>
      <c r="VKE76" s="49" t="s">
        <v>93</v>
      </c>
      <c r="VKF76" s="49" t="s">
        <v>94</v>
      </c>
      <c r="VKG76" s="49" t="s">
        <v>93</v>
      </c>
      <c r="VKH76" s="49" t="s">
        <v>94</v>
      </c>
      <c r="VKI76" s="49" t="s">
        <v>93</v>
      </c>
      <c r="VKJ76" s="49" t="s">
        <v>94</v>
      </c>
      <c r="VKK76" s="49" t="s">
        <v>93</v>
      </c>
      <c r="VKL76" s="49" t="s">
        <v>94</v>
      </c>
      <c r="VKM76" s="49" t="s">
        <v>93</v>
      </c>
      <c r="VKN76" s="49" t="s">
        <v>94</v>
      </c>
      <c r="VKO76" s="49" t="s">
        <v>93</v>
      </c>
      <c r="VKP76" s="49" t="s">
        <v>94</v>
      </c>
      <c r="VKQ76" s="49" t="s">
        <v>93</v>
      </c>
      <c r="VKR76" s="49" t="s">
        <v>94</v>
      </c>
      <c r="VKS76" s="49" t="s">
        <v>93</v>
      </c>
      <c r="VKT76" s="49" t="s">
        <v>94</v>
      </c>
      <c r="VKU76" s="49" t="s">
        <v>93</v>
      </c>
      <c r="VKV76" s="49" t="s">
        <v>94</v>
      </c>
      <c r="VKW76" s="49" t="s">
        <v>93</v>
      </c>
      <c r="VKX76" s="49" t="s">
        <v>94</v>
      </c>
      <c r="VKY76" s="49" t="s">
        <v>93</v>
      </c>
      <c r="VKZ76" s="49" t="s">
        <v>94</v>
      </c>
      <c r="VLA76" s="49" t="s">
        <v>93</v>
      </c>
      <c r="VLB76" s="49" t="s">
        <v>94</v>
      </c>
      <c r="VLC76" s="49" t="s">
        <v>93</v>
      </c>
      <c r="VLD76" s="49" t="s">
        <v>94</v>
      </c>
      <c r="VLE76" s="49" t="s">
        <v>93</v>
      </c>
      <c r="VLF76" s="49" t="s">
        <v>94</v>
      </c>
      <c r="VLG76" s="49" t="s">
        <v>93</v>
      </c>
      <c r="VLH76" s="49" t="s">
        <v>94</v>
      </c>
      <c r="VLI76" s="49" t="s">
        <v>93</v>
      </c>
      <c r="VLJ76" s="49" t="s">
        <v>94</v>
      </c>
      <c r="VLK76" s="49" t="s">
        <v>93</v>
      </c>
      <c r="VLL76" s="49" t="s">
        <v>94</v>
      </c>
      <c r="VLM76" s="49" t="s">
        <v>93</v>
      </c>
      <c r="VLN76" s="49" t="s">
        <v>94</v>
      </c>
      <c r="VLO76" s="49" t="s">
        <v>93</v>
      </c>
      <c r="VLP76" s="49" t="s">
        <v>94</v>
      </c>
      <c r="VLQ76" s="49" t="s">
        <v>93</v>
      </c>
      <c r="VLR76" s="49" t="s">
        <v>94</v>
      </c>
      <c r="VLS76" s="49" t="s">
        <v>93</v>
      </c>
      <c r="VLT76" s="49" t="s">
        <v>94</v>
      </c>
      <c r="VLU76" s="49" t="s">
        <v>93</v>
      </c>
      <c r="VLV76" s="49" t="s">
        <v>94</v>
      </c>
      <c r="VLW76" s="49" t="s">
        <v>93</v>
      </c>
      <c r="VLX76" s="49" t="s">
        <v>94</v>
      </c>
      <c r="VLY76" s="49" t="s">
        <v>93</v>
      </c>
      <c r="VLZ76" s="49" t="s">
        <v>94</v>
      </c>
      <c r="VMA76" s="49" t="s">
        <v>93</v>
      </c>
      <c r="VMB76" s="49" t="s">
        <v>94</v>
      </c>
      <c r="VMC76" s="49" t="s">
        <v>93</v>
      </c>
      <c r="VMD76" s="49" t="s">
        <v>94</v>
      </c>
      <c r="VME76" s="49" t="s">
        <v>93</v>
      </c>
      <c r="VMF76" s="49" t="s">
        <v>94</v>
      </c>
      <c r="VMG76" s="49" t="s">
        <v>93</v>
      </c>
      <c r="VMH76" s="49" t="s">
        <v>94</v>
      </c>
      <c r="VMI76" s="49" t="s">
        <v>93</v>
      </c>
      <c r="VMJ76" s="49" t="s">
        <v>94</v>
      </c>
      <c r="VMK76" s="49" t="s">
        <v>93</v>
      </c>
      <c r="VML76" s="49" t="s">
        <v>94</v>
      </c>
      <c r="VMM76" s="49" t="s">
        <v>93</v>
      </c>
      <c r="VMN76" s="49" t="s">
        <v>94</v>
      </c>
      <c r="VMO76" s="49" t="s">
        <v>93</v>
      </c>
      <c r="VMP76" s="49" t="s">
        <v>94</v>
      </c>
      <c r="VMQ76" s="49" t="s">
        <v>93</v>
      </c>
      <c r="VMR76" s="49" t="s">
        <v>94</v>
      </c>
      <c r="VMS76" s="49" t="s">
        <v>93</v>
      </c>
      <c r="VMT76" s="49" t="s">
        <v>94</v>
      </c>
      <c r="VMU76" s="49" t="s">
        <v>93</v>
      </c>
      <c r="VMV76" s="49" t="s">
        <v>94</v>
      </c>
      <c r="VMW76" s="49" t="s">
        <v>93</v>
      </c>
      <c r="VMX76" s="49" t="s">
        <v>94</v>
      </c>
      <c r="VMY76" s="49" t="s">
        <v>93</v>
      </c>
      <c r="VMZ76" s="49" t="s">
        <v>94</v>
      </c>
      <c r="VNA76" s="49" t="s">
        <v>93</v>
      </c>
      <c r="VNB76" s="49" t="s">
        <v>94</v>
      </c>
      <c r="VNC76" s="49" t="s">
        <v>93</v>
      </c>
      <c r="VND76" s="49" t="s">
        <v>94</v>
      </c>
      <c r="VNE76" s="49" t="s">
        <v>93</v>
      </c>
      <c r="VNF76" s="49" t="s">
        <v>94</v>
      </c>
      <c r="VNG76" s="49" t="s">
        <v>93</v>
      </c>
      <c r="VNH76" s="49" t="s">
        <v>94</v>
      </c>
      <c r="VNI76" s="49" t="s">
        <v>93</v>
      </c>
      <c r="VNJ76" s="49" t="s">
        <v>94</v>
      </c>
      <c r="VNK76" s="49" t="s">
        <v>93</v>
      </c>
      <c r="VNL76" s="49" t="s">
        <v>94</v>
      </c>
      <c r="VNM76" s="49" t="s">
        <v>93</v>
      </c>
      <c r="VNN76" s="49" t="s">
        <v>94</v>
      </c>
      <c r="VNO76" s="49" t="s">
        <v>93</v>
      </c>
      <c r="VNP76" s="49" t="s">
        <v>94</v>
      </c>
      <c r="VNQ76" s="49" t="s">
        <v>93</v>
      </c>
      <c r="VNR76" s="49" t="s">
        <v>94</v>
      </c>
      <c r="VNS76" s="49" t="s">
        <v>93</v>
      </c>
      <c r="VNT76" s="49" t="s">
        <v>94</v>
      </c>
      <c r="VNU76" s="49" t="s">
        <v>93</v>
      </c>
      <c r="VNV76" s="49" t="s">
        <v>94</v>
      </c>
      <c r="VNW76" s="49" t="s">
        <v>93</v>
      </c>
      <c r="VNX76" s="49" t="s">
        <v>94</v>
      </c>
      <c r="VNY76" s="49" t="s">
        <v>93</v>
      </c>
      <c r="VNZ76" s="49" t="s">
        <v>94</v>
      </c>
      <c r="VOA76" s="49" t="s">
        <v>93</v>
      </c>
      <c r="VOB76" s="49" t="s">
        <v>94</v>
      </c>
      <c r="VOC76" s="49" t="s">
        <v>93</v>
      </c>
      <c r="VOD76" s="49" t="s">
        <v>94</v>
      </c>
      <c r="VOE76" s="49" t="s">
        <v>93</v>
      </c>
      <c r="VOF76" s="49" t="s">
        <v>94</v>
      </c>
      <c r="VOG76" s="49" t="s">
        <v>93</v>
      </c>
      <c r="VOH76" s="49" t="s">
        <v>94</v>
      </c>
      <c r="VOI76" s="49" t="s">
        <v>93</v>
      </c>
      <c r="VOJ76" s="49" t="s">
        <v>94</v>
      </c>
      <c r="VOK76" s="49" t="s">
        <v>93</v>
      </c>
      <c r="VOL76" s="49" t="s">
        <v>94</v>
      </c>
      <c r="VOM76" s="49" t="s">
        <v>93</v>
      </c>
      <c r="VON76" s="49" t="s">
        <v>94</v>
      </c>
      <c r="VOO76" s="49" t="s">
        <v>93</v>
      </c>
      <c r="VOP76" s="49" t="s">
        <v>94</v>
      </c>
      <c r="VOQ76" s="49" t="s">
        <v>93</v>
      </c>
      <c r="VOR76" s="49" t="s">
        <v>94</v>
      </c>
      <c r="VOS76" s="49" t="s">
        <v>93</v>
      </c>
      <c r="VOT76" s="49" t="s">
        <v>94</v>
      </c>
      <c r="VOU76" s="49" t="s">
        <v>93</v>
      </c>
      <c r="VOV76" s="49" t="s">
        <v>94</v>
      </c>
      <c r="VOW76" s="49" t="s">
        <v>93</v>
      </c>
      <c r="VOX76" s="49" t="s">
        <v>94</v>
      </c>
      <c r="VOY76" s="49" t="s">
        <v>93</v>
      </c>
      <c r="VOZ76" s="49" t="s">
        <v>94</v>
      </c>
      <c r="VPA76" s="49" t="s">
        <v>93</v>
      </c>
      <c r="VPB76" s="49" t="s">
        <v>94</v>
      </c>
      <c r="VPC76" s="49" t="s">
        <v>93</v>
      </c>
      <c r="VPD76" s="49" t="s">
        <v>94</v>
      </c>
      <c r="VPE76" s="49" t="s">
        <v>93</v>
      </c>
      <c r="VPF76" s="49" t="s">
        <v>94</v>
      </c>
      <c r="VPG76" s="49" t="s">
        <v>93</v>
      </c>
      <c r="VPH76" s="49" t="s">
        <v>94</v>
      </c>
      <c r="VPI76" s="49" t="s">
        <v>93</v>
      </c>
      <c r="VPJ76" s="49" t="s">
        <v>94</v>
      </c>
      <c r="VPK76" s="49" t="s">
        <v>93</v>
      </c>
      <c r="VPL76" s="49" t="s">
        <v>94</v>
      </c>
      <c r="VPM76" s="49" t="s">
        <v>93</v>
      </c>
      <c r="VPN76" s="49" t="s">
        <v>94</v>
      </c>
      <c r="VPO76" s="49" t="s">
        <v>93</v>
      </c>
      <c r="VPP76" s="49" t="s">
        <v>94</v>
      </c>
      <c r="VPQ76" s="49" t="s">
        <v>93</v>
      </c>
      <c r="VPR76" s="49" t="s">
        <v>94</v>
      </c>
      <c r="VPS76" s="49" t="s">
        <v>93</v>
      </c>
      <c r="VPT76" s="49" t="s">
        <v>94</v>
      </c>
      <c r="VPU76" s="49" t="s">
        <v>93</v>
      </c>
      <c r="VPV76" s="49" t="s">
        <v>94</v>
      </c>
      <c r="VPW76" s="49" t="s">
        <v>93</v>
      </c>
      <c r="VPX76" s="49" t="s">
        <v>94</v>
      </c>
      <c r="VPY76" s="49" t="s">
        <v>93</v>
      </c>
      <c r="VPZ76" s="49" t="s">
        <v>94</v>
      </c>
      <c r="VQA76" s="49" t="s">
        <v>93</v>
      </c>
      <c r="VQB76" s="49" t="s">
        <v>94</v>
      </c>
      <c r="VQC76" s="49" t="s">
        <v>93</v>
      </c>
      <c r="VQD76" s="49" t="s">
        <v>94</v>
      </c>
      <c r="VQE76" s="49" t="s">
        <v>93</v>
      </c>
      <c r="VQF76" s="49" t="s">
        <v>94</v>
      </c>
      <c r="VQG76" s="49" t="s">
        <v>93</v>
      </c>
      <c r="VQH76" s="49" t="s">
        <v>94</v>
      </c>
      <c r="VQI76" s="49" t="s">
        <v>93</v>
      </c>
      <c r="VQJ76" s="49" t="s">
        <v>94</v>
      </c>
      <c r="VQK76" s="49" t="s">
        <v>93</v>
      </c>
      <c r="VQL76" s="49" t="s">
        <v>94</v>
      </c>
      <c r="VQM76" s="49" t="s">
        <v>93</v>
      </c>
      <c r="VQN76" s="49" t="s">
        <v>94</v>
      </c>
      <c r="VQO76" s="49" t="s">
        <v>93</v>
      </c>
      <c r="VQP76" s="49" t="s">
        <v>94</v>
      </c>
      <c r="VQQ76" s="49" t="s">
        <v>93</v>
      </c>
      <c r="VQR76" s="49" t="s">
        <v>94</v>
      </c>
      <c r="VQS76" s="49" t="s">
        <v>93</v>
      </c>
      <c r="VQT76" s="49" t="s">
        <v>94</v>
      </c>
      <c r="VQU76" s="49" t="s">
        <v>93</v>
      </c>
      <c r="VQV76" s="49" t="s">
        <v>94</v>
      </c>
      <c r="VQW76" s="49" t="s">
        <v>93</v>
      </c>
      <c r="VQX76" s="49" t="s">
        <v>94</v>
      </c>
      <c r="VQY76" s="49" t="s">
        <v>93</v>
      </c>
      <c r="VQZ76" s="49" t="s">
        <v>94</v>
      </c>
      <c r="VRA76" s="49" t="s">
        <v>93</v>
      </c>
      <c r="VRB76" s="49" t="s">
        <v>94</v>
      </c>
      <c r="VRC76" s="49" t="s">
        <v>93</v>
      </c>
      <c r="VRD76" s="49" t="s">
        <v>94</v>
      </c>
      <c r="VRE76" s="49" t="s">
        <v>93</v>
      </c>
      <c r="VRF76" s="49" t="s">
        <v>94</v>
      </c>
      <c r="VRG76" s="49" t="s">
        <v>93</v>
      </c>
      <c r="VRH76" s="49" t="s">
        <v>94</v>
      </c>
      <c r="VRI76" s="49" t="s">
        <v>93</v>
      </c>
      <c r="VRJ76" s="49" t="s">
        <v>94</v>
      </c>
      <c r="VRK76" s="49" t="s">
        <v>93</v>
      </c>
      <c r="VRL76" s="49" t="s">
        <v>94</v>
      </c>
      <c r="VRM76" s="49" t="s">
        <v>93</v>
      </c>
      <c r="VRN76" s="49" t="s">
        <v>94</v>
      </c>
      <c r="VRO76" s="49" t="s">
        <v>93</v>
      </c>
      <c r="VRP76" s="49" t="s">
        <v>94</v>
      </c>
      <c r="VRQ76" s="49" t="s">
        <v>93</v>
      </c>
      <c r="VRR76" s="49" t="s">
        <v>94</v>
      </c>
      <c r="VRS76" s="49" t="s">
        <v>93</v>
      </c>
      <c r="VRT76" s="49" t="s">
        <v>94</v>
      </c>
      <c r="VRU76" s="49" t="s">
        <v>93</v>
      </c>
      <c r="VRV76" s="49" t="s">
        <v>94</v>
      </c>
      <c r="VRW76" s="49" t="s">
        <v>93</v>
      </c>
      <c r="VRX76" s="49" t="s">
        <v>94</v>
      </c>
      <c r="VRY76" s="49" t="s">
        <v>93</v>
      </c>
      <c r="VRZ76" s="49" t="s">
        <v>94</v>
      </c>
      <c r="VSA76" s="49" t="s">
        <v>93</v>
      </c>
      <c r="VSB76" s="49" t="s">
        <v>94</v>
      </c>
      <c r="VSC76" s="49" t="s">
        <v>93</v>
      </c>
      <c r="VSD76" s="49" t="s">
        <v>94</v>
      </c>
      <c r="VSE76" s="49" t="s">
        <v>93</v>
      </c>
      <c r="VSF76" s="49" t="s">
        <v>94</v>
      </c>
      <c r="VSG76" s="49" t="s">
        <v>93</v>
      </c>
      <c r="VSH76" s="49" t="s">
        <v>94</v>
      </c>
      <c r="VSI76" s="49" t="s">
        <v>93</v>
      </c>
      <c r="VSJ76" s="49" t="s">
        <v>94</v>
      </c>
      <c r="VSK76" s="49" t="s">
        <v>93</v>
      </c>
      <c r="VSL76" s="49" t="s">
        <v>94</v>
      </c>
      <c r="VSM76" s="49" t="s">
        <v>93</v>
      </c>
      <c r="VSN76" s="49" t="s">
        <v>94</v>
      </c>
      <c r="VSO76" s="49" t="s">
        <v>93</v>
      </c>
      <c r="VSP76" s="49" t="s">
        <v>94</v>
      </c>
      <c r="VSQ76" s="49" t="s">
        <v>93</v>
      </c>
      <c r="VSR76" s="49" t="s">
        <v>94</v>
      </c>
      <c r="VSS76" s="49" t="s">
        <v>93</v>
      </c>
      <c r="VST76" s="49" t="s">
        <v>94</v>
      </c>
      <c r="VSU76" s="49" t="s">
        <v>93</v>
      </c>
      <c r="VSV76" s="49" t="s">
        <v>94</v>
      </c>
      <c r="VSW76" s="49" t="s">
        <v>93</v>
      </c>
      <c r="VSX76" s="49" t="s">
        <v>94</v>
      </c>
      <c r="VSY76" s="49" t="s">
        <v>93</v>
      </c>
      <c r="VSZ76" s="49" t="s">
        <v>94</v>
      </c>
      <c r="VTA76" s="49" t="s">
        <v>93</v>
      </c>
      <c r="VTB76" s="49" t="s">
        <v>94</v>
      </c>
      <c r="VTC76" s="49" t="s">
        <v>93</v>
      </c>
      <c r="VTD76" s="49" t="s">
        <v>94</v>
      </c>
      <c r="VTE76" s="49" t="s">
        <v>93</v>
      </c>
      <c r="VTF76" s="49" t="s">
        <v>94</v>
      </c>
      <c r="VTG76" s="49" t="s">
        <v>93</v>
      </c>
      <c r="VTH76" s="49" t="s">
        <v>94</v>
      </c>
      <c r="VTI76" s="49" t="s">
        <v>93</v>
      </c>
      <c r="VTJ76" s="49" t="s">
        <v>94</v>
      </c>
      <c r="VTK76" s="49" t="s">
        <v>93</v>
      </c>
      <c r="VTL76" s="49" t="s">
        <v>94</v>
      </c>
      <c r="VTM76" s="49" t="s">
        <v>93</v>
      </c>
      <c r="VTN76" s="49" t="s">
        <v>94</v>
      </c>
      <c r="VTO76" s="49" t="s">
        <v>93</v>
      </c>
      <c r="VTP76" s="49" t="s">
        <v>94</v>
      </c>
      <c r="VTQ76" s="49" t="s">
        <v>93</v>
      </c>
      <c r="VTR76" s="49" t="s">
        <v>94</v>
      </c>
      <c r="VTS76" s="49" t="s">
        <v>93</v>
      </c>
      <c r="VTT76" s="49" t="s">
        <v>94</v>
      </c>
      <c r="VTU76" s="49" t="s">
        <v>93</v>
      </c>
      <c r="VTV76" s="49" t="s">
        <v>94</v>
      </c>
      <c r="VTW76" s="49" t="s">
        <v>93</v>
      </c>
      <c r="VTX76" s="49" t="s">
        <v>94</v>
      </c>
      <c r="VTY76" s="49" t="s">
        <v>93</v>
      </c>
      <c r="VTZ76" s="49" t="s">
        <v>94</v>
      </c>
      <c r="VUA76" s="49" t="s">
        <v>93</v>
      </c>
      <c r="VUB76" s="49" t="s">
        <v>94</v>
      </c>
      <c r="VUC76" s="49" t="s">
        <v>93</v>
      </c>
      <c r="VUD76" s="49" t="s">
        <v>94</v>
      </c>
      <c r="VUE76" s="49" t="s">
        <v>93</v>
      </c>
      <c r="VUF76" s="49" t="s">
        <v>94</v>
      </c>
      <c r="VUG76" s="49" t="s">
        <v>93</v>
      </c>
      <c r="VUH76" s="49" t="s">
        <v>94</v>
      </c>
      <c r="VUI76" s="49" t="s">
        <v>93</v>
      </c>
      <c r="VUJ76" s="49" t="s">
        <v>94</v>
      </c>
      <c r="VUK76" s="49" t="s">
        <v>93</v>
      </c>
      <c r="VUL76" s="49" t="s">
        <v>94</v>
      </c>
      <c r="VUM76" s="49" t="s">
        <v>93</v>
      </c>
      <c r="VUN76" s="49" t="s">
        <v>94</v>
      </c>
      <c r="VUO76" s="49" t="s">
        <v>93</v>
      </c>
      <c r="VUP76" s="49" t="s">
        <v>94</v>
      </c>
      <c r="VUQ76" s="49" t="s">
        <v>93</v>
      </c>
      <c r="VUR76" s="49" t="s">
        <v>94</v>
      </c>
      <c r="VUS76" s="49" t="s">
        <v>93</v>
      </c>
      <c r="VUT76" s="49" t="s">
        <v>94</v>
      </c>
      <c r="VUU76" s="49" t="s">
        <v>93</v>
      </c>
      <c r="VUV76" s="49" t="s">
        <v>94</v>
      </c>
      <c r="VUW76" s="49" t="s">
        <v>93</v>
      </c>
      <c r="VUX76" s="49" t="s">
        <v>94</v>
      </c>
      <c r="VUY76" s="49" t="s">
        <v>93</v>
      </c>
      <c r="VUZ76" s="49" t="s">
        <v>94</v>
      </c>
      <c r="VVA76" s="49" t="s">
        <v>93</v>
      </c>
      <c r="VVB76" s="49" t="s">
        <v>94</v>
      </c>
      <c r="VVC76" s="49" t="s">
        <v>93</v>
      </c>
      <c r="VVD76" s="49" t="s">
        <v>94</v>
      </c>
      <c r="VVE76" s="49" t="s">
        <v>93</v>
      </c>
      <c r="VVF76" s="49" t="s">
        <v>94</v>
      </c>
      <c r="VVG76" s="49" t="s">
        <v>93</v>
      </c>
      <c r="VVH76" s="49" t="s">
        <v>94</v>
      </c>
      <c r="VVI76" s="49" t="s">
        <v>93</v>
      </c>
      <c r="VVJ76" s="49" t="s">
        <v>94</v>
      </c>
      <c r="VVK76" s="49" t="s">
        <v>93</v>
      </c>
      <c r="VVL76" s="49" t="s">
        <v>94</v>
      </c>
      <c r="VVM76" s="49" t="s">
        <v>93</v>
      </c>
      <c r="VVN76" s="49" t="s">
        <v>94</v>
      </c>
      <c r="VVO76" s="49" t="s">
        <v>93</v>
      </c>
      <c r="VVP76" s="49" t="s">
        <v>94</v>
      </c>
      <c r="VVQ76" s="49" t="s">
        <v>93</v>
      </c>
      <c r="VVR76" s="49" t="s">
        <v>94</v>
      </c>
      <c r="VVS76" s="49" t="s">
        <v>93</v>
      </c>
      <c r="VVT76" s="49" t="s">
        <v>94</v>
      </c>
      <c r="VVU76" s="49" t="s">
        <v>93</v>
      </c>
      <c r="VVV76" s="49" t="s">
        <v>94</v>
      </c>
      <c r="VVW76" s="49" t="s">
        <v>93</v>
      </c>
      <c r="VVX76" s="49" t="s">
        <v>94</v>
      </c>
      <c r="VVY76" s="49" t="s">
        <v>93</v>
      </c>
      <c r="VVZ76" s="49" t="s">
        <v>94</v>
      </c>
      <c r="VWA76" s="49" t="s">
        <v>93</v>
      </c>
      <c r="VWB76" s="49" t="s">
        <v>94</v>
      </c>
      <c r="VWC76" s="49" t="s">
        <v>93</v>
      </c>
      <c r="VWD76" s="49" t="s">
        <v>94</v>
      </c>
      <c r="VWE76" s="49" t="s">
        <v>93</v>
      </c>
      <c r="VWF76" s="49" t="s">
        <v>94</v>
      </c>
      <c r="VWG76" s="49" t="s">
        <v>93</v>
      </c>
      <c r="VWH76" s="49" t="s">
        <v>94</v>
      </c>
      <c r="VWI76" s="49" t="s">
        <v>93</v>
      </c>
      <c r="VWJ76" s="49" t="s">
        <v>94</v>
      </c>
      <c r="VWK76" s="49" t="s">
        <v>93</v>
      </c>
      <c r="VWL76" s="49" t="s">
        <v>94</v>
      </c>
      <c r="VWM76" s="49" t="s">
        <v>93</v>
      </c>
      <c r="VWN76" s="49" t="s">
        <v>94</v>
      </c>
      <c r="VWO76" s="49" t="s">
        <v>93</v>
      </c>
      <c r="VWP76" s="49" t="s">
        <v>94</v>
      </c>
      <c r="VWQ76" s="49" t="s">
        <v>93</v>
      </c>
      <c r="VWR76" s="49" t="s">
        <v>94</v>
      </c>
      <c r="VWS76" s="49" t="s">
        <v>93</v>
      </c>
      <c r="VWT76" s="49" t="s">
        <v>94</v>
      </c>
      <c r="VWU76" s="49" t="s">
        <v>93</v>
      </c>
      <c r="VWV76" s="49" t="s">
        <v>94</v>
      </c>
      <c r="VWW76" s="49" t="s">
        <v>93</v>
      </c>
      <c r="VWX76" s="49" t="s">
        <v>94</v>
      </c>
      <c r="VWY76" s="49" t="s">
        <v>93</v>
      </c>
      <c r="VWZ76" s="49" t="s">
        <v>94</v>
      </c>
      <c r="VXA76" s="49" t="s">
        <v>93</v>
      </c>
      <c r="VXB76" s="49" t="s">
        <v>94</v>
      </c>
      <c r="VXC76" s="49" t="s">
        <v>93</v>
      </c>
      <c r="VXD76" s="49" t="s">
        <v>94</v>
      </c>
      <c r="VXE76" s="49" t="s">
        <v>93</v>
      </c>
      <c r="VXF76" s="49" t="s">
        <v>94</v>
      </c>
      <c r="VXG76" s="49" t="s">
        <v>93</v>
      </c>
      <c r="VXH76" s="49" t="s">
        <v>94</v>
      </c>
      <c r="VXI76" s="49" t="s">
        <v>93</v>
      </c>
      <c r="VXJ76" s="49" t="s">
        <v>94</v>
      </c>
      <c r="VXK76" s="49" t="s">
        <v>93</v>
      </c>
      <c r="VXL76" s="49" t="s">
        <v>94</v>
      </c>
      <c r="VXM76" s="49" t="s">
        <v>93</v>
      </c>
      <c r="VXN76" s="49" t="s">
        <v>94</v>
      </c>
      <c r="VXO76" s="49" t="s">
        <v>93</v>
      </c>
      <c r="VXP76" s="49" t="s">
        <v>94</v>
      </c>
      <c r="VXQ76" s="49" t="s">
        <v>93</v>
      </c>
      <c r="VXR76" s="49" t="s">
        <v>94</v>
      </c>
      <c r="VXS76" s="49" t="s">
        <v>93</v>
      </c>
      <c r="VXT76" s="49" t="s">
        <v>94</v>
      </c>
      <c r="VXU76" s="49" t="s">
        <v>93</v>
      </c>
      <c r="VXV76" s="49" t="s">
        <v>94</v>
      </c>
      <c r="VXW76" s="49" t="s">
        <v>93</v>
      </c>
      <c r="VXX76" s="49" t="s">
        <v>94</v>
      </c>
      <c r="VXY76" s="49" t="s">
        <v>93</v>
      </c>
      <c r="VXZ76" s="49" t="s">
        <v>94</v>
      </c>
      <c r="VYA76" s="49" t="s">
        <v>93</v>
      </c>
      <c r="VYB76" s="49" t="s">
        <v>94</v>
      </c>
      <c r="VYC76" s="49" t="s">
        <v>93</v>
      </c>
      <c r="VYD76" s="49" t="s">
        <v>94</v>
      </c>
      <c r="VYE76" s="49" t="s">
        <v>93</v>
      </c>
      <c r="VYF76" s="49" t="s">
        <v>94</v>
      </c>
      <c r="VYG76" s="49" t="s">
        <v>93</v>
      </c>
      <c r="VYH76" s="49" t="s">
        <v>94</v>
      </c>
      <c r="VYI76" s="49" t="s">
        <v>93</v>
      </c>
      <c r="VYJ76" s="49" t="s">
        <v>94</v>
      </c>
      <c r="VYK76" s="49" t="s">
        <v>93</v>
      </c>
      <c r="VYL76" s="49" t="s">
        <v>94</v>
      </c>
      <c r="VYM76" s="49" t="s">
        <v>93</v>
      </c>
      <c r="VYN76" s="49" t="s">
        <v>94</v>
      </c>
      <c r="VYO76" s="49" t="s">
        <v>93</v>
      </c>
      <c r="VYP76" s="49" t="s">
        <v>94</v>
      </c>
      <c r="VYQ76" s="49" t="s">
        <v>93</v>
      </c>
      <c r="VYR76" s="49" t="s">
        <v>94</v>
      </c>
      <c r="VYS76" s="49" t="s">
        <v>93</v>
      </c>
      <c r="VYT76" s="49" t="s">
        <v>94</v>
      </c>
      <c r="VYU76" s="49" t="s">
        <v>93</v>
      </c>
      <c r="VYV76" s="49" t="s">
        <v>94</v>
      </c>
      <c r="VYW76" s="49" t="s">
        <v>93</v>
      </c>
      <c r="VYX76" s="49" t="s">
        <v>94</v>
      </c>
      <c r="VYY76" s="49" t="s">
        <v>93</v>
      </c>
      <c r="VYZ76" s="49" t="s">
        <v>94</v>
      </c>
      <c r="VZA76" s="49" t="s">
        <v>93</v>
      </c>
      <c r="VZB76" s="49" t="s">
        <v>94</v>
      </c>
      <c r="VZC76" s="49" t="s">
        <v>93</v>
      </c>
      <c r="VZD76" s="49" t="s">
        <v>94</v>
      </c>
      <c r="VZE76" s="49" t="s">
        <v>93</v>
      </c>
      <c r="VZF76" s="49" t="s">
        <v>94</v>
      </c>
      <c r="VZG76" s="49" t="s">
        <v>93</v>
      </c>
      <c r="VZH76" s="49" t="s">
        <v>94</v>
      </c>
      <c r="VZI76" s="49" t="s">
        <v>93</v>
      </c>
      <c r="VZJ76" s="49" t="s">
        <v>94</v>
      </c>
      <c r="VZK76" s="49" t="s">
        <v>93</v>
      </c>
      <c r="VZL76" s="49" t="s">
        <v>94</v>
      </c>
      <c r="VZM76" s="49" t="s">
        <v>93</v>
      </c>
      <c r="VZN76" s="49" t="s">
        <v>94</v>
      </c>
      <c r="VZO76" s="49" t="s">
        <v>93</v>
      </c>
      <c r="VZP76" s="49" t="s">
        <v>94</v>
      </c>
      <c r="VZQ76" s="49" t="s">
        <v>93</v>
      </c>
      <c r="VZR76" s="49" t="s">
        <v>94</v>
      </c>
      <c r="VZS76" s="49" t="s">
        <v>93</v>
      </c>
      <c r="VZT76" s="49" t="s">
        <v>94</v>
      </c>
      <c r="VZU76" s="49" t="s">
        <v>93</v>
      </c>
      <c r="VZV76" s="49" t="s">
        <v>94</v>
      </c>
      <c r="VZW76" s="49" t="s">
        <v>93</v>
      </c>
      <c r="VZX76" s="49" t="s">
        <v>94</v>
      </c>
      <c r="VZY76" s="49" t="s">
        <v>93</v>
      </c>
      <c r="VZZ76" s="49" t="s">
        <v>94</v>
      </c>
      <c r="WAA76" s="49" t="s">
        <v>93</v>
      </c>
      <c r="WAB76" s="49" t="s">
        <v>94</v>
      </c>
      <c r="WAC76" s="49" t="s">
        <v>93</v>
      </c>
      <c r="WAD76" s="49" t="s">
        <v>94</v>
      </c>
      <c r="WAE76" s="49" t="s">
        <v>93</v>
      </c>
      <c r="WAF76" s="49" t="s">
        <v>94</v>
      </c>
      <c r="WAG76" s="49" t="s">
        <v>93</v>
      </c>
      <c r="WAH76" s="49" t="s">
        <v>94</v>
      </c>
      <c r="WAI76" s="49" t="s">
        <v>93</v>
      </c>
      <c r="WAJ76" s="49" t="s">
        <v>94</v>
      </c>
      <c r="WAK76" s="49" t="s">
        <v>93</v>
      </c>
      <c r="WAL76" s="49" t="s">
        <v>94</v>
      </c>
      <c r="WAM76" s="49" t="s">
        <v>93</v>
      </c>
      <c r="WAN76" s="49" t="s">
        <v>94</v>
      </c>
      <c r="WAO76" s="49" t="s">
        <v>93</v>
      </c>
      <c r="WAP76" s="49" t="s">
        <v>94</v>
      </c>
      <c r="WAQ76" s="49" t="s">
        <v>93</v>
      </c>
      <c r="WAR76" s="49" t="s">
        <v>94</v>
      </c>
      <c r="WAS76" s="49" t="s">
        <v>93</v>
      </c>
      <c r="WAT76" s="49" t="s">
        <v>94</v>
      </c>
      <c r="WAU76" s="49" t="s">
        <v>93</v>
      </c>
      <c r="WAV76" s="49" t="s">
        <v>94</v>
      </c>
      <c r="WAW76" s="49" t="s">
        <v>93</v>
      </c>
      <c r="WAX76" s="49" t="s">
        <v>94</v>
      </c>
      <c r="WAY76" s="49" t="s">
        <v>93</v>
      </c>
      <c r="WAZ76" s="49" t="s">
        <v>94</v>
      </c>
      <c r="WBA76" s="49" t="s">
        <v>93</v>
      </c>
      <c r="WBB76" s="49" t="s">
        <v>94</v>
      </c>
      <c r="WBC76" s="49" t="s">
        <v>93</v>
      </c>
      <c r="WBD76" s="49" t="s">
        <v>94</v>
      </c>
      <c r="WBE76" s="49" t="s">
        <v>93</v>
      </c>
      <c r="WBF76" s="49" t="s">
        <v>94</v>
      </c>
      <c r="WBG76" s="49" t="s">
        <v>93</v>
      </c>
      <c r="WBH76" s="49" t="s">
        <v>94</v>
      </c>
      <c r="WBI76" s="49" t="s">
        <v>93</v>
      </c>
      <c r="WBJ76" s="49" t="s">
        <v>94</v>
      </c>
      <c r="WBK76" s="49" t="s">
        <v>93</v>
      </c>
      <c r="WBL76" s="49" t="s">
        <v>94</v>
      </c>
      <c r="WBM76" s="49" t="s">
        <v>93</v>
      </c>
      <c r="WBN76" s="49" t="s">
        <v>94</v>
      </c>
      <c r="WBO76" s="49" t="s">
        <v>93</v>
      </c>
      <c r="WBP76" s="49" t="s">
        <v>94</v>
      </c>
      <c r="WBQ76" s="49" t="s">
        <v>93</v>
      </c>
      <c r="WBR76" s="49" t="s">
        <v>94</v>
      </c>
      <c r="WBS76" s="49" t="s">
        <v>93</v>
      </c>
      <c r="WBT76" s="49" t="s">
        <v>94</v>
      </c>
      <c r="WBU76" s="49" t="s">
        <v>93</v>
      </c>
      <c r="WBV76" s="49" t="s">
        <v>94</v>
      </c>
      <c r="WBW76" s="49" t="s">
        <v>93</v>
      </c>
      <c r="WBX76" s="49" t="s">
        <v>94</v>
      </c>
      <c r="WBY76" s="49" t="s">
        <v>93</v>
      </c>
      <c r="WBZ76" s="49" t="s">
        <v>94</v>
      </c>
      <c r="WCA76" s="49" t="s">
        <v>93</v>
      </c>
      <c r="WCB76" s="49" t="s">
        <v>94</v>
      </c>
      <c r="WCC76" s="49" t="s">
        <v>93</v>
      </c>
      <c r="WCD76" s="49" t="s">
        <v>94</v>
      </c>
      <c r="WCE76" s="49" t="s">
        <v>93</v>
      </c>
      <c r="WCF76" s="49" t="s">
        <v>94</v>
      </c>
      <c r="WCG76" s="49" t="s">
        <v>93</v>
      </c>
      <c r="WCH76" s="49" t="s">
        <v>94</v>
      </c>
      <c r="WCI76" s="49" t="s">
        <v>93</v>
      </c>
      <c r="WCJ76" s="49" t="s">
        <v>94</v>
      </c>
      <c r="WCK76" s="49" t="s">
        <v>93</v>
      </c>
      <c r="WCL76" s="49" t="s">
        <v>94</v>
      </c>
      <c r="WCM76" s="49" t="s">
        <v>93</v>
      </c>
      <c r="WCN76" s="49" t="s">
        <v>94</v>
      </c>
      <c r="WCO76" s="49" t="s">
        <v>93</v>
      </c>
      <c r="WCP76" s="49" t="s">
        <v>94</v>
      </c>
      <c r="WCQ76" s="49" t="s">
        <v>93</v>
      </c>
      <c r="WCR76" s="49" t="s">
        <v>94</v>
      </c>
      <c r="WCS76" s="49" t="s">
        <v>93</v>
      </c>
      <c r="WCT76" s="49" t="s">
        <v>94</v>
      </c>
      <c r="WCU76" s="49" t="s">
        <v>93</v>
      </c>
      <c r="WCV76" s="49" t="s">
        <v>94</v>
      </c>
      <c r="WCW76" s="49" t="s">
        <v>93</v>
      </c>
      <c r="WCX76" s="49" t="s">
        <v>94</v>
      </c>
      <c r="WCY76" s="49" t="s">
        <v>93</v>
      </c>
      <c r="WCZ76" s="49" t="s">
        <v>94</v>
      </c>
      <c r="WDA76" s="49" t="s">
        <v>93</v>
      </c>
      <c r="WDB76" s="49" t="s">
        <v>94</v>
      </c>
      <c r="WDC76" s="49" t="s">
        <v>93</v>
      </c>
      <c r="WDD76" s="49" t="s">
        <v>94</v>
      </c>
      <c r="WDE76" s="49" t="s">
        <v>93</v>
      </c>
      <c r="WDF76" s="49" t="s">
        <v>94</v>
      </c>
      <c r="WDG76" s="49" t="s">
        <v>93</v>
      </c>
      <c r="WDH76" s="49" t="s">
        <v>94</v>
      </c>
      <c r="WDI76" s="49" t="s">
        <v>93</v>
      </c>
      <c r="WDJ76" s="49" t="s">
        <v>94</v>
      </c>
      <c r="WDK76" s="49" t="s">
        <v>93</v>
      </c>
      <c r="WDL76" s="49" t="s">
        <v>94</v>
      </c>
      <c r="WDM76" s="49" t="s">
        <v>93</v>
      </c>
      <c r="WDN76" s="49" t="s">
        <v>94</v>
      </c>
      <c r="WDO76" s="49" t="s">
        <v>93</v>
      </c>
      <c r="WDP76" s="49" t="s">
        <v>94</v>
      </c>
      <c r="WDQ76" s="49" t="s">
        <v>93</v>
      </c>
      <c r="WDR76" s="49" t="s">
        <v>94</v>
      </c>
      <c r="WDS76" s="49" t="s">
        <v>93</v>
      </c>
      <c r="WDT76" s="49" t="s">
        <v>94</v>
      </c>
      <c r="WDU76" s="49" t="s">
        <v>93</v>
      </c>
      <c r="WDV76" s="49" t="s">
        <v>94</v>
      </c>
      <c r="WDW76" s="49" t="s">
        <v>93</v>
      </c>
      <c r="WDX76" s="49" t="s">
        <v>94</v>
      </c>
      <c r="WDY76" s="49" t="s">
        <v>93</v>
      </c>
      <c r="WDZ76" s="49" t="s">
        <v>94</v>
      </c>
      <c r="WEA76" s="49" t="s">
        <v>93</v>
      </c>
      <c r="WEB76" s="49" t="s">
        <v>94</v>
      </c>
      <c r="WEC76" s="49" t="s">
        <v>93</v>
      </c>
      <c r="WED76" s="49" t="s">
        <v>94</v>
      </c>
      <c r="WEE76" s="49" t="s">
        <v>93</v>
      </c>
      <c r="WEF76" s="49" t="s">
        <v>94</v>
      </c>
      <c r="WEG76" s="49" t="s">
        <v>93</v>
      </c>
      <c r="WEH76" s="49" t="s">
        <v>94</v>
      </c>
      <c r="WEI76" s="49" t="s">
        <v>93</v>
      </c>
      <c r="WEJ76" s="49" t="s">
        <v>94</v>
      </c>
      <c r="WEK76" s="49" t="s">
        <v>93</v>
      </c>
      <c r="WEL76" s="49" t="s">
        <v>94</v>
      </c>
      <c r="WEM76" s="49" t="s">
        <v>93</v>
      </c>
      <c r="WEN76" s="49" t="s">
        <v>94</v>
      </c>
      <c r="WEO76" s="49" t="s">
        <v>93</v>
      </c>
      <c r="WEP76" s="49" t="s">
        <v>94</v>
      </c>
      <c r="WEQ76" s="49" t="s">
        <v>93</v>
      </c>
      <c r="WER76" s="49" t="s">
        <v>94</v>
      </c>
      <c r="WES76" s="49" t="s">
        <v>93</v>
      </c>
      <c r="WET76" s="49" t="s">
        <v>94</v>
      </c>
      <c r="WEU76" s="49" t="s">
        <v>93</v>
      </c>
      <c r="WEV76" s="49" t="s">
        <v>94</v>
      </c>
      <c r="WEW76" s="49" t="s">
        <v>93</v>
      </c>
      <c r="WEX76" s="49" t="s">
        <v>94</v>
      </c>
      <c r="WEY76" s="49" t="s">
        <v>93</v>
      </c>
      <c r="WEZ76" s="49" t="s">
        <v>94</v>
      </c>
      <c r="WFA76" s="49" t="s">
        <v>93</v>
      </c>
      <c r="WFB76" s="49" t="s">
        <v>94</v>
      </c>
      <c r="WFC76" s="49" t="s">
        <v>93</v>
      </c>
      <c r="WFD76" s="49" t="s">
        <v>94</v>
      </c>
      <c r="WFE76" s="49" t="s">
        <v>93</v>
      </c>
      <c r="WFF76" s="49" t="s">
        <v>94</v>
      </c>
      <c r="WFG76" s="49" t="s">
        <v>93</v>
      </c>
      <c r="WFH76" s="49" t="s">
        <v>94</v>
      </c>
      <c r="WFI76" s="49" t="s">
        <v>93</v>
      </c>
      <c r="WFJ76" s="49" t="s">
        <v>94</v>
      </c>
      <c r="WFK76" s="49" t="s">
        <v>93</v>
      </c>
      <c r="WFL76" s="49" t="s">
        <v>94</v>
      </c>
      <c r="WFM76" s="49" t="s">
        <v>93</v>
      </c>
      <c r="WFN76" s="49" t="s">
        <v>94</v>
      </c>
      <c r="WFO76" s="49" t="s">
        <v>93</v>
      </c>
      <c r="WFP76" s="49" t="s">
        <v>94</v>
      </c>
      <c r="WFQ76" s="49" t="s">
        <v>93</v>
      </c>
      <c r="WFR76" s="49" t="s">
        <v>94</v>
      </c>
      <c r="WFS76" s="49" t="s">
        <v>93</v>
      </c>
      <c r="WFT76" s="49" t="s">
        <v>94</v>
      </c>
      <c r="WFU76" s="49" t="s">
        <v>93</v>
      </c>
      <c r="WFV76" s="49" t="s">
        <v>94</v>
      </c>
      <c r="WFW76" s="49" t="s">
        <v>93</v>
      </c>
      <c r="WFX76" s="49" t="s">
        <v>94</v>
      </c>
      <c r="WFY76" s="49" t="s">
        <v>93</v>
      </c>
      <c r="WFZ76" s="49" t="s">
        <v>94</v>
      </c>
      <c r="WGA76" s="49" t="s">
        <v>93</v>
      </c>
      <c r="WGB76" s="49" t="s">
        <v>94</v>
      </c>
      <c r="WGC76" s="49" t="s">
        <v>93</v>
      </c>
      <c r="WGD76" s="49" t="s">
        <v>94</v>
      </c>
      <c r="WGE76" s="49" t="s">
        <v>93</v>
      </c>
      <c r="WGF76" s="49" t="s">
        <v>94</v>
      </c>
      <c r="WGG76" s="49" t="s">
        <v>93</v>
      </c>
      <c r="WGH76" s="49" t="s">
        <v>94</v>
      </c>
      <c r="WGI76" s="49" t="s">
        <v>93</v>
      </c>
      <c r="WGJ76" s="49" t="s">
        <v>94</v>
      </c>
      <c r="WGK76" s="49" t="s">
        <v>93</v>
      </c>
      <c r="WGL76" s="49" t="s">
        <v>94</v>
      </c>
      <c r="WGM76" s="49" t="s">
        <v>93</v>
      </c>
      <c r="WGN76" s="49" t="s">
        <v>94</v>
      </c>
      <c r="WGO76" s="49" t="s">
        <v>93</v>
      </c>
      <c r="WGP76" s="49" t="s">
        <v>94</v>
      </c>
      <c r="WGQ76" s="49" t="s">
        <v>93</v>
      </c>
      <c r="WGR76" s="49" t="s">
        <v>94</v>
      </c>
      <c r="WGS76" s="49" t="s">
        <v>93</v>
      </c>
      <c r="WGT76" s="49" t="s">
        <v>94</v>
      </c>
      <c r="WGU76" s="49" t="s">
        <v>93</v>
      </c>
      <c r="WGV76" s="49" t="s">
        <v>94</v>
      </c>
      <c r="WGW76" s="49" t="s">
        <v>93</v>
      </c>
      <c r="WGX76" s="49" t="s">
        <v>94</v>
      </c>
      <c r="WGY76" s="49" t="s">
        <v>93</v>
      </c>
      <c r="WGZ76" s="49" t="s">
        <v>94</v>
      </c>
      <c r="WHA76" s="49" t="s">
        <v>93</v>
      </c>
      <c r="WHB76" s="49" t="s">
        <v>94</v>
      </c>
      <c r="WHC76" s="49" t="s">
        <v>93</v>
      </c>
      <c r="WHD76" s="49" t="s">
        <v>94</v>
      </c>
      <c r="WHE76" s="49" t="s">
        <v>93</v>
      </c>
      <c r="WHF76" s="49" t="s">
        <v>94</v>
      </c>
      <c r="WHG76" s="49" t="s">
        <v>93</v>
      </c>
      <c r="WHH76" s="49" t="s">
        <v>94</v>
      </c>
      <c r="WHI76" s="49" t="s">
        <v>93</v>
      </c>
      <c r="WHJ76" s="49" t="s">
        <v>94</v>
      </c>
      <c r="WHK76" s="49" t="s">
        <v>93</v>
      </c>
      <c r="WHL76" s="49" t="s">
        <v>94</v>
      </c>
      <c r="WHM76" s="49" t="s">
        <v>93</v>
      </c>
      <c r="WHN76" s="49" t="s">
        <v>94</v>
      </c>
      <c r="WHO76" s="49" t="s">
        <v>93</v>
      </c>
      <c r="WHP76" s="49" t="s">
        <v>94</v>
      </c>
      <c r="WHQ76" s="49" t="s">
        <v>93</v>
      </c>
      <c r="WHR76" s="49" t="s">
        <v>94</v>
      </c>
      <c r="WHS76" s="49" t="s">
        <v>93</v>
      </c>
      <c r="WHT76" s="49" t="s">
        <v>94</v>
      </c>
      <c r="WHU76" s="49" t="s">
        <v>93</v>
      </c>
      <c r="WHV76" s="49" t="s">
        <v>94</v>
      </c>
      <c r="WHW76" s="49" t="s">
        <v>93</v>
      </c>
      <c r="WHX76" s="49" t="s">
        <v>94</v>
      </c>
      <c r="WHY76" s="49" t="s">
        <v>93</v>
      </c>
      <c r="WHZ76" s="49" t="s">
        <v>94</v>
      </c>
      <c r="WIA76" s="49" t="s">
        <v>93</v>
      </c>
      <c r="WIB76" s="49" t="s">
        <v>94</v>
      </c>
      <c r="WIC76" s="49" t="s">
        <v>93</v>
      </c>
      <c r="WID76" s="49" t="s">
        <v>94</v>
      </c>
      <c r="WIE76" s="49" t="s">
        <v>93</v>
      </c>
      <c r="WIF76" s="49" t="s">
        <v>94</v>
      </c>
      <c r="WIG76" s="49" t="s">
        <v>93</v>
      </c>
      <c r="WIH76" s="49" t="s">
        <v>94</v>
      </c>
      <c r="WII76" s="49" t="s">
        <v>93</v>
      </c>
      <c r="WIJ76" s="49" t="s">
        <v>94</v>
      </c>
      <c r="WIK76" s="49" t="s">
        <v>93</v>
      </c>
      <c r="WIL76" s="49" t="s">
        <v>94</v>
      </c>
      <c r="WIM76" s="49" t="s">
        <v>93</v>
      </c>
      <c r="WIN76" s="49" t="s">
        <v>94</v>
      </c>
      <c r="WIO76" s="49" t="s">
        <v>93</v>
      </c>
      <c r="WIP76" s="49" t="s">
        <v>94</v>
      </c>
      <c r="WIQ76" s="49" t="s">
        <v>93</v>
      </c>
      <c r="WIR76" s="49" t="s">
        <v>94</v>
      </c>
      <c r="WIS76" s="49" t="s">
        <v>93</v>
      </c>
      <c r="WIT76" s="49" t="s">
        <v>94</v>
      </c>
      <c r="WIU76" s="49" t="s">
        <v>93</v>
      </c>
      <c r="WIV76" s="49" t="s">
        <v>94</v>
      </c>
      <c r="WIW76" s="49" t="s">
        <v>93</v>
      </c>
      <c r="WIX76" s="49" t="s">
        <v>94</v>
      </c>
      <c r="WIY76" s="49" t="s">
        <v>93</v>
      </c>
      <c r="WIZ76" s="49" t="s">
        <v>94</v>
      </c>
      <c r="WJA76" s="49" t="s">
        <v>93</v>
      </c>
      <c r="WJB76" s="49" t="s">
        <v>94</v>
      </c>
      <c r="WJC76" s="49" t="s">
        <v>93</v>
      </c>
      <c r="WJD76" s="49" t="s">
        <v>94</v>
      </c>
      <c r="WJE76" s="49" t="s">
        <v>93</v>
      </c>
      <c r="WJF76" s="49" t="s">
        <v>94</v>
      </c>
      <c r="WJG76" s="49" t="s">
        <v>93</v>
      </c>
      <c r="WJH76" s="49" t="s">
        <v>94</v>
      </c>
      <c r="WJI76" s="49" t="s">
        <v>93</v>
      </c>
      <c r="WJJ76" s="49" t="s">
        <v>94</v>
      </c>
      <c r="WJK76" s="49" t="s">
        <v>93</v>
      </c>
      <c r="WJL76" s="49" t="s">
        <v>94</v>
      </c>
      <c r="WJM76" s="49" t="s">
        <v>93</v>
      </c>
      <c r="WJN76" s="49" t="s">
        <v>94</v>
      </c>
      <c r="WJO76" s="49" t="s">
        <v>93</v>
      </c>
      <c r="WJP76" s="49" t="s">
        <v>94</v>
      </c>
      <c r="WJQ76" s="49" t="s">
        <v>93</v>
      </c>
      <c r="WJR76" s="49" t="s">
        <v>94</v>
      </c>
      <c r="WJS76" s="49" t="s">
        <v>93</v>
      </c>
      <c r="WJT76" s="49" t="s">
        <v>94</v>
      </c>
      <c r="WJU76" s="49" t="s">
        <v>93</v>
      </c>
      <c r="WJV76" s="49" t="s">
        <v>94</v>
      </c>
      <c r="WJW76" s="49" t="s">
        <v>93</v>
      </c>
      <c r="WJX76" s="49" t="s">
        <v>94</v>
      </c>
      <c r="WJY76" s="49" t="s">
        <v>93</v>
      </c>
      <c r="WJZ76" s="49" t="s">
        <v>94</v>
      </c>
      <c r="WKA76" s="49" t="s">
        <v>93</v>
      </c>
      <c r="WKB76" s="49" t="s">
        <v>94</v>
      </c>
      <c r="WKC76" s="49" t="s">
        <v>93</v>
      </c>
      <c r="WKD76" s="49" t="s">
        <v>94</v>
      </c>
      <c r="WKE76" s="49" t="s">
        <v>93</v>
      </c>
      <c r="WKF76" s="49" t="s">
        <v>94</v>
      </c>
      <c r="WKG76" s="49" t="s">
        <v>93</v>
      </c>
      <c r="WKH76" s="49" t="s">
        <v>94</v>
      </c>
      <c r="WKI76" s="49" t="s">
        <v>93</v>
      </c>
      <c r="WKJ76" s="49" t="s">
        <v>94</v>
      </c>
      <c r="WKK76" s="49" t="s">
        <v>93</v>
      </c>
      <c r="WKL76" s="49" t="s">
        <v>94</v>
      </c>
      <c r="WKM76" s="49" t="s">
        <v>93</v>
      </c>
      <c r="WKN76" s="49" t="s">
        <v>94</v>
      </c>
      <c r="WKO76" s="49" t="s">
        <v>93</v>
      </c>
      <c r="WKP76" s="49" t="s">
        <v>94</v>
      </c>
      <c r="WKQ76" s="49" t="s">
        <v>93</v>
      </c>
      <c r="WKR76" s="49" t="s">
        <v>94</v>
      </c>
      <c r="WKS76" s="49" t="s">
        <v>93</v>
      </c>
      <c r="WKT76" s="49" t="s">
        <v>94</v>
      </c>
      <c r="WKU76" s="49" t="s">
        <v>93</v>
      </c>
      <c r="WKV76" s="49" t="s">
        <v>94</v>
      </c>
      <c r="WKW76" s="49" t="s">
        <v>93</v>
      </c>
      <c r="WKX76" s="49" t="s">
        <v>94</v>
      </c>
      <c r="WKY76" s="49" t="s">
        <v>93</v>
      </c>
      <c r="WKZ76" s="49" t="s">
        <v>94</v>
      </c>
      <c r="WLA76" s="49" t="s">
        <v>93</v>
      </c>
      <c r="WLB76" s="49" t="s">
        <v>94</v>
      </c>
      <c r="WLC76" s="49" t="s">
        <v>93</v>
      </c>
      <c r="WLD76" s="49" t="s">
        <v>94</v>
      </c>
      <c r="WLE76" s="49" t="s">
        <v>93</v>
      </c>
      <c r="WLF76" s="49" t="s">
        <v>94</v>
      </c>
      <c r="WLG76" s="49" t="s">
        <v>93</v>
      </c>
      <c r="WLH76" s="49" t="s">
        <v>94</v>
      </c>
      <c r="WLI76" s="49" t="s">
        <v>93</v>
      </c>
      <c r="WLJ76" s="49" t="s">
        <v>94</v>
      </c>
      <c r="WLK76" s="49" t="s">
        <v>93</v>
      </c>
      <c r="WLL76" s="49" t="s">
        <v>94</v>
      </c>
      <c r="WLM76" s="49" t="s">
        <v>93</v>
      </c>
      <c r="WLN76" s="49" t="s">
        <v>94</v>
      </c>
      <c r="WLO76" s="49" t="s">
        <v>93</v>
      </c>
      <c r="WLP76" s="49" t="s">
        <v>94</v>
      </c>
      <c r="WLQ76" s="49" t="s">
        <v>93</v>
      </c>
      <c r="WLR76" s="49" t="s">
        <v>94</v>
      </c>
      <c r="WLS76" s="49" t="s">
        <v>93</v>
      </c>
      <c r="WLT76" s="49" t="s">
        <v>94</v>
      </c>
      <c r="WLU76" s="49" t="s">
        <v>93</v>
      </c>
      <c r="WLV76" s="49" t="s">
        <v>94</v>
      </c>
      <c r="WLW76" s="49" t="s">
        <v>93</v>
      </c>
      <c r="WLX76" s="49" t="s">
        <v>94</v>
      </c>
      <c r="WLY76" s="49" t="s">
        <v>93</v>
      </c>
      <c r="WLZ76" s="49" t="s">
        <v>94</v>
      </c>
      <c r="WMA76" s="49" t="s">
        <v>93</v>
      </c>
      <c r="WMB76" s="49" t="s">
        <v>94</v>
      </c>
      <c r="WMC76" s="49" t="s">
        <v>93</v>
      </c>
      <c r="WMD76" s="49" t="s">
        <v>94</v>
      </c>
      <c r="WME76" s="49" t="s">
        <v>93</v>
      </c>
      <c r="WMF76" s="49" t="s">
        <v>94</v>
      </c>
      <c r="WMG76" s="49" t="s">
        <v>93</v>
      </c>
      <c r="WMH76" s="49" t="s">
        <v>94</v>
      </c>
      <c r="WMI76" s="49" t="s">
        <v>93</v>
      </c>
      <c r="WMJ76" s="49" t="s">
        <v>94</v>
      </c>
      <c r="WMK76" s="49" t="s">
        <v>93</v>
      </c>
      <c r="WML76" s="49" t="s">
        <v>94</v>
      </c>
      <c r="WMM76" s="49" t="s">
        <v>93</v>
      </c>
      <c r="WMN76" s="49" t="s">
        <v>94</v>
      </c>
      <c r="WMO76" s="49" t="s">
        <v>93</v>
      </c>
      <c r="WMP76" s="49" t="s">
        <v>94</v>
      </c>
      <c r="WMQ76" s="49" t="s">
        <v>93</v>
      </c>
      <c r="WMR76" s="49" t="s">
        <v>94</v>
      </c>
      <c r="WMS76" s="49" t="s">
        <v>93</v>
      </c>
      <c r="WMT76" s="49" t="s">
        <v>94</v>
      </c>
      <c r="WMU76" s="49" t="s">
        <v>93</v>
      </c>
      <c r="WMV76" s="49" t="s">
        <v>94</v>
      </c>
      <c r="WMW76" s="49" t="s">
        <v>93</v>
      </c>
      <c r="WMX76" s="49" t="s">
        <v>94</v>
      </c>
      <c r="WMY76" s="49" t="s">
        <v>93</v>
      </c>
      <c r="WMZ76" s="49" t="s">
        <v>94</v>
      </c>
      <c r="WNA76" s="49" t="s">
        <v>93</v>
      </c>
      <c r="WNB76" s="49" t="s">
        <v>94</v>
      </c>
      <c r="WNC76" s="49" t="s">
        <v>93</v>
      </c>
      <c r="WND76" s="49" t="s">
        <v>94</v>
      </c>
      <c r="WNE76" s="49" t="s">
        <v>93</v>
      </c>
      <c r="WNF76" s="49" t="s">
        <v>94</v>
      </c>
      <c r="WNG76" s="49" t="s">
        <v>93</v>
      </c>
      <c r="WNH76" s="49" t="s">
        <v>94</v>
      </c>
      <c r="WNI76" s="49" t="s">
        <v>93</v>
      </c>
      <c r="WNJ76" s="49" t="s">
        <v>94</v>
      </c>
      <c r="WNK76" s="49" t="s">
        <v>93</v>
      </c>
      <c r="WNL76" s="49" t="s">
        <v>94</v>
      </c>
      <c r="WNM76" s="49" t="s">
        <v>93</v>
      </c>
      <c r="WNN76" s="49" t="s">
        <v>94</v>
      </c>
      <c r="WNO76" s="49" t="s">
        <v>93</v>
      </c>
      <c r="WNP76" s="49" t="s">
        <v>94</v>
      </c>
      <c r="WNQ76" s="49" t="s">
        <v>93</v>
      </c>
      <c r="WNR76" s="49" t="s">
        <v>94</v>
      </c>
      <c r="WNS76" s="49" t="s">
        <v>93</v>
      </c>
      <c r="WNT76" s="49" t="s">
        <v>94</v>
      </c>
      <c r="WNU76" s="49" t="s">
        <v>93</v>
      </c>
      <c r="WNV76" s="49" t="s">
        <v>94</v>
      </c>
      <c r="WNW76" s="49" t="s">
        <v>93</v>
      </c>
      <c r="WNX76" s="49" t="s">
        <v>94</v>
      </c>
      <c r="WNY76" s="49" t="s">
        <v>93</v>
      </c>
      <c r="WNZ76" s="49" t="s">
        <v>94</v>
      </c>
      <c r="WOA76" s="49" t="s">
        <v>93</v>
      </c>
      <c r="WOB76" s="49" t="s">
        <v>94</v>
      </c>
      <c r="WOC76" s="49" t="s">
        <v>93</v>
      </c>
      <c r="WOD76" s="49" t="s">
        <v>94</v>
      </c>
      <c r="WOE76" s="49" t="s">
        <v>93</v>
      </c>
      <c r="WOF76" s="49" t="s">
        <v>94</v>
      </c>
      <c r="WOG76" s="49" t="s">
        <v>93</v>
      </c>
      <c r="WOH76" s="49" t="s">
        <v>94</v>
      </c>
      <c r="WOI76" s="49" t="s">
        <v>93</v>
      </c>
      <c r="WOJ76" s="49" t="s">
        <v>94</v>
      </c>
      <c r="WOK76" s="49" t="s">
        <v>93</v>
      </c>
      <c r="WOL76" s="49" t="s">
        <v>94</v>
      </c>
      <c r="WOM76" s="49" t="s">
        <v>93</v>
      </c>
      <c r="WON76" s="49" t="s">
        <v>94</v>
      </c>
      <c r="WOO76" s="49" t="s">
        <v>93</v>
      </c>
      <c r="WOP76" s="49" t="s">
        <v>94</v>
      </c>
      <c r="WOQ76" s="49" t="s">
        <v>93</v>
      </c>
      <c r="WOR76" s="49" t="s">
        <v>94</v>
      </c>
      <c r="WOS76" s="49" t="s">
        <v>93</v>
      </c>
      <c r="WOT76" s="49" t="s">
        <v>94</v>
      </c>
      <c r="WOU76" s="49" t="s">
        <v>93</v>
      </c>
      <c r="WOV76" s="49" t="s">
        <v>94</v>
      </c>
      <c r="WOW76" s="49" t="s">
        <v>93</v>
      </c>
      <c r="WOX76" s="49" t="s">
        <v>94</v>
      </c>
      <c r="WOY76" s="49" t="s">
        <v>93</v>
      </c>
      <c r="WOZ76" s="49" t="s">
        <v>94</v>
      </c>
      <c r="WPA76" s="49" t="s">
        <v>93</v>
      </c>
      <c r="WPB76" s="49" t="s">
        <v>94</v>
      </c>
      <c r="WPC76" s="49" t="s">
        <v>93</v>
      </c>
      <c r="WPD76" s="49" t="s">
        <v>94</v>
      </c>
      <c r="WPE76" s="49" t="s">
        <v>93</v>
      </c>
      <c r="WPF76" s="49" t="s">
        <v>94</v>
      </c>
      <c r="WPG76" s="49" t="s">
        <v>93</v>
      </c>
      <c r="WPH76" s="49" t="s">
        <v>94</v>
      </c>
      <c r="WPI76" s="49" t="s">
        <v>93</v>
      </c>
      <c r="WPJ76" s="49" t="s">
        <v>94</v>
      </c>
      <c r="WPK76" s="49" t="s">
        <v>93</v>
      </c>
      <c r="WPL76" s="49" t="s">
        <v>94</v>
      </c>
      <c r="WPM76" s="49" t="s">
        <v>93</v>
      </c>
      <c r="WPN76" s="49" t="s">
        <v>94</v>
      </c>
      <c r="WPO76" s="49" t="s">
        <v>93</v>
      </c>
      <c r="WPP76" s="49" t="s">
        <v>94</v>
      </c>
      <c r="WPQ76" s="49" t="s">
        <v>93</v>
      </c>
      <c r="WPR76" s="49" t="s">
        <v>94</v>
      </c>
      <c r="WPS76" s="49" t="s">
        <v>93</v>
      </c>
      <c r="WPT76" s="49" t="s">
        <v>94</v>
      </c>
      <c r="WPU76" s="49" t="s">
        <v>93</v>
      </c>
      <c r="WPV76" s="49" t="s">
        <v>94</v>
      </c>
      <c r="WPW76" s="49" t="s">
        <v>93</v>
      </c>
      <c r="WPX76" s="49" t="s">
        <v>94</v>
      </c>
      <c r="WPY76" s="49" t="s">
        <v>93</v>
      </c>
      <c r="WPZ76" s="49" t="s">
        <v>94</v>
      </c>
      <c r="WQA76" s="49" t="s">
        <v>93</v>
      </c>
      <c r="WQB76" s="49" t="s">
        <v>94</v>
      </c>
      <c r="WQC76" s="49" t="s">
        <v>93</v>
      </c>
      <c r="WQD76" s="49" t="s">
        <v>94</v>
      </c>
      <c r="WQE76" s="49" t="s">
        <v>93</v>
      </c>
      <c r="WQF76" s="49" t="s">
        <v>94</v>
      </c>
      <c r="WQG76" s="49" t="s">
        <v>93</v>
      </c>
      <c r="WQH76" s="49" t="s">
        <v>94</v>
      </c>
      <c r="WQI76" s="49" t="s">
        <v>93</v>
      </c>
      <c r="WQJ76" s="49" t="s">
        <v>94</v>
      </c>
      <c r="WQK76" s="49" t="s">
        <v>93</v>
      </c>
      <c r="WQL76" s="49" t="s">
        <v>94</v>
      </c>
      <c r="WQM76" s="49" t="s">
        <v>93</v>
      </c>
      <c r="WQN76" s="49" t="s">
        <v>94</v>
      </c>
      <c r="WQO76" s="49" t="s">
        <v>93</v>
      </c>
      <c r="WQP76" s="49" t="s">
        <v>94</v>
      </c>
      <c r="WQQ76" s="49" t="s">
        <v>93</v>
      </c>
      <c r="WQR76" s="49" t="s">
        <v>94</v>
      </c>
      <c r="WQS76" s="49" t="s">
        <v>93</v>
      </c>
      <c r="WQT76" s="49" t="s">
        <v>94</v>
      </c>
      <c r="WQU76" s="49" t="s">
        <v>93</v>
      </c>
      <c r="WQV76" s="49" t="s">
        <v>94</v>
      </c>
      <c r="WQW76" s="49" t="s">
        <v>93</v>
      </c>
      <c r="WQX76" s="49" t="s">
        <v>94</v>
      </c>
      <c r="WQY76" s="49" t="s">
        <v>93</v>
      </c>
      <c r="WQZ76" s="49" t="s">
        <v>94</v>
      </c>
      <c r="WRA76" s="49" t="s">
        <v>93</v>
      </c>
      <c r="WRB76" s="49" t="s">
        <v>94</v>
      </c>
      <c r="WRC76" s="49" t="s">
        <v>93</v>
      </c>
      <c r="WRD76" s="49" t="s">
        <v>94</v>
      </c>
      <c r="WRE76" s="49" t="s">
        <v>93</v>
      </c>
      <c r="WRF76" s="49" t="s">
        <v>94</v>
      </c>
      <c r="WRG76" s="49" t="s">
        <v>93</v>
      </c>
      <c r="WRH76" s="49" t="s">
        <v>94</v>
      </c>
      <c r="WRI76" s="49" t="s">
        <v>93</v>
      </c>
      <c r="WRJ76" s="49" t="s">
        <v>94</v>
      </c>
      <c r="WRK76" s="49" t="s">
        <v>93</v>
      </c>
      <c r="WRL76" s="49" t="s">
        <v>94</v>
      </c>
      <c r="WRM76" s="49" t="s">
        <v>93</v>
      </c>
      <c r="WRN76" s="49" t="s">
        <v>94</v>
      </c>
      <c r="WRO76" s="49" t="s">
        <v>93</v>
      </c>
      <c r="WRP76" s="49" t="s">
        <v>94</v>
      </c>
      <c r="WRQ76" s="49" t="s">
        <v>93</v>
      </c>
      <c r="WRR76" s="49" t="s">
        <v>94</v>
      </c>
      <c r="WRS76" s="49" t="s">
        <v>93</v>
      </c>
      <c r="WRT76" s="49" t="s">
        <v>94</v>
      </c>
      <c r="WRU76" s="49" t="s">
        <v>93</v>
      </c>
      <c r="WRV76" s="49" t="s">
        <v>94</v>
      </c>
      <c r="WRW76" s="49" t="s">
        <v>93</v>
      </c>
      <c r="WRX76" s="49" t="s">
        <v>94</v>
      </c>
      <c r="WRY76" s="49" t="s">
        <v>93</v>
      </c>
      <c r="WRZ76" s="49" t="s">
        <v>94</v>
      </c>
      <c r="WSA76" s="49" t="s">
        <v>93</v>
      </c>
      <c r="WSB76" s="49" t="s">
        <v>94</v>
      </c>
      <c r="WSC76" s="49" t="s">
        <v>93</v>
      </c>
      <c r="WSD76" s="49" t="s">
        <v>94</v>
      </c>
      <c r="WSE76" s="49" t="s">
        <v>93</v>
      </c>
      <c r="WSF76" s="49" t="s">
        <v>94</v>
      </c>
      <c r="WSG76" s="49" t="s">
        <v>93</v>
      </c>
      <c r="WSH76" s="49" t="s">
        <v>94</v>
      </c>
      <c r="WSI76" s="49" t="s">
        <v>93</v>
      </c>
      <c r="WSJ76" s="49" t="s">
        <v>94</v>
      </c>
      <c r="WSK76" s="49" t="s">
        <v>93</v>
      </c>
      <c r="WSL76" s="49" t="s">
        <v>94</v>
      </c>
      <c r="WSM76" s="49" t="s">
        <v>93</v>
      </c>
      <c r="WSN76" s="49" t="s">
        <v>94</v>
      </c>
      <c r="WSO76" s="49" t="s">
        <v>93</v>
      </c>
      <c r="WSP76" s="49" t="s">
        <v>94</v>
      </c>
      <c r="WSQ76" s="49" t="s">
        <v>93</v>
      </c>
      <c r="WSR76" s="49" t="s">
        <v>94</v>
      </c>
      <c r="WSS76" s="49" t="s">
        <v>93</v>
      </c>
      <c r="WST76" s="49" t="s">
        <v>94</v>
      </c>
      <c r="WSU76" s="49" t="s">
        <v>93</v>
      </c>
      <c r="WSV76" s="49" t="s">
        <v>94</v>
      </c>
      <c r="WSW76" s="49" t="s">
        <v>93</v>
      </c>
      <c r="WSX76" s="49" t="s">
        <v>94</v>
      </c>
      <c r="WSY76" s="49" t="s">
        <v>93</v>
      </c>
      <c r="WSZ76" s="49" t="s">
        <v>94</v>
      </c>
      <c r="WTA76" s="49" t="s">
        <v>93</v>
      </c>
      <c r="WTB76" s="49" t="s">
        <v>94</v>
      </c>
      <c r="WTC76" s="49" t="s">
        <v>93</v>
      </c>
      <c r="WTD76" s="49" t="s">
        <v>94</v>
      </c>
      <c r="WTE76" s="49" t="s">
        <v>93</v>
      </c>
      <c r="WTF76" s="49" t="s">
        <v>94</v>
      </c>
      <c r="WTG76" s="49" t="s">
        <v>93</v>
      </c>
      <c r="WTH76" s="49" t="s">
        <v>94</v>
      </c>
      <c r="WTI76" s="49" t="s">
        <v>93</v>
      </c>
      <c r="WTJ76" s="49" t="s">
        <v>94</v>
      </c>
      <c r="WTK76" s="49" t="s">
        <v>93</v>
      </c>
      <c r="WTL76" s="49" t="s">
        <v>94</v>
      </c>
      <c r="WTM76" s="49" t="s">
        <v>93</v>
      </c>
      <c r="WTN76" s="49" t="s">
        <v>94</v>
      </c>
      <c r="WTO76" s="49" t="s">
        <v>93</v>
      </c>
      <c r="WTP76" s="49" t="s">
        <v>94</v>
      </c>
      <c r="WTQ76" s="49" t="s">
        <v>93</v>
      </c>
      <c r="WTR76" s="49" t="s">
        <v>94</v>
      </c>
      <c r="WTS76" s="49" t="s">
        <v>93</v>
      </c>
      <c r="WTT76" s="49" t="s">
        <v>94</v>
      </c>
      <c r="WTU76" s="49" t="s">
        <v>93</v>
      </c>
      <c r="WTV76" s="49" t="s">
        <v>94</v>
      </c>
      <c r="WTW76" s="49" t="s">
        <v>93</v>
      </c>
      <c r="WTX76" s="49" t="s">
        <v>94</v>
      </c>
      <c r="WTY76" s="49" t="s">
        <v>93</v>
      </c>
      <c r="WTZ76" s="49" t="s">
        <v>94</v>
      </c>
      <c r="WUA76" s="49" t="s">
        <v>93</v>
      </c>
      <c r="WUB76" s="49" t="s">
        <v>94</v>
      </c>
      <c r="WUC76" s="49" t="s">
        <v>93</v>
      </c>
      <c r="WUD76" s="49" t="s">
        <v>94</v>
      </c>
      <c r="WUE76" s="49" t="s">
        <v>93</v>
      </c>
      <c r="WUF76" s="49" t="s">
        <v>94</v>
      </c>
      <c r="WUG76" s="49" t="s">
        <v>93</v>
      </c>
      <c r="WUH76" s="49" t="s">
        <v>94</v>
      </c>
      <c r="WUI76" s="49" t="s">
        <v>93</v>
      </c>
      <c r="WUJ76" s="49" t="s">
        <v>94</v>
      </c>
      <c r="WUK76" s="49" t="s">
        <v>93</v>
      </c>
      <c r="WUL76" s="49" t="s">
        <v>94</v>
      </c>
      <c r="WUM76" s="49" t="s">
        <v>93</v>
      </c>
      <c r="WUN76" s="49" t="s">
        <v>94</v>
      </c>
      <c r="WUO76" s="49" t="s">
        <v>93</v>
      </c>
      <c r="WUP76" s="49" t="s">
        <v>94</v>
      </c>
      <c r="WUQ76" s="49" t="s">
        <v>93</v>
      </c>
      <c r="WUR76" s="49" t="s">
        <v>94</v>
      </c>
      <c r="WUS76" s="49" t="s">
        <v>93</v>
      </c>
      <c r="WUT76" s="49" t="s">
        <v>94</v>
      </c>
      <c r="WUU76" s="49" t="s">
        <v>93</v>
      </c>
      <c r="WUV76" s="49" t="s">
        <v>94</v>
      </c>
      <c r="WUW76" s="49" t="s">
        <v>93</v>
      </c>
      <c r="WUX76" s="49" t="s">
        <v>94</v>
      </c>
      <c r="WUY76" s="49" t="s">
        <v>93</v>
      </c>
      <c r="WUZ76" s="49" t="s">
        <v>94</v>
      </c>
      <c r="WVA76" s="49" t="s">
        <v>93</v>
      </c>
      <c r="WVB76" s="49" t="s">
        <v>94</v>
      </c>
      <c r="WVC76" s="49" t="s">
        <v>93</v>
      </c>
      <c r="WVD76" s="49" t="s">
        <v>94</v>
      </c>
      <c r="WVE76" s="49" t="s">
        <v>93</v>
      </c>
      <c r="WVF76" s="49" t="s">
        <v>94</v>
      </c>
      <c r="WVG76" s="49" t="s">
        <v>93</v>
      </c>
      <c r="WVH76" s="49" t="s">
        <v>94</v>
      </c>
      <c r="WVI76" s="49" t="s">
        <v>93</v>
      </c>
      <c r="WVJ76" s="49" t="s">
        <v>94</v>
      </c>
      <c r="WVK76" s="49" t="s">
        <v>93</v>
      </c>
      <c r="WVL76" s="49" t="s">
        <v>94</v>
      </c>
      <c r="WVM76" s="49" t="s">
        <v>93</v>
      </c>
      <c r="WVN76" s="49" t="s">
        <v>94</v>
      </c>
      <c r="WVO76" s="49" t="s">
        <v>93</v>
      </c>
      <c r="WVP76" s="49" t="s">
        <v>94</v>
      </c>
      <c r="WVQ76" s="49" t="s">
        <v>93</v>
      </c>
      <c r="WVR76" s="49" t="s">
        <v>94</v>
      </c>
      <c r="WVS76" s="49" t="s">
        <v>93</v>
      </c>
      <c r="WVT76" s="49" t="s">
        <v>94</v>
      </c>
      <c r="WVU76" s="49" t="s">
        <v>93</v>
      </c>
      <c r="WVV76" s="49" t="s">
        <v>94</v>
      </c>
      <c r="WVW76" s="49" t="s">
        <v>93</v>
      </c>
      <c r="WVX76" s="49" t="s">
        <v>94</v>
      </c>
      <c r="WVY76" s="49" t="s">
        <v>93</v>
      </c>
      <c r="WVZ76" s="49" t="s">
        <v>94</v>
      </c>
      <c r="WWA76" s="49" t="s">
        <v>93</v>
      </c>
      <c r="WWB76" s="49" t="s">
        <v>94</v>
      </c>
      <c r="WWC76" s="49" t="s">
        <v>93</v>
      </c>
      <c r="WWD76" s="49" t="s">
        <v>94</v>
      </c>
      <c r="WWE76" s="49" t="s">
        <v>93</v>
      </c>
      <c r="WWF76" s="49" t="s">
        <v>94</v>
      </c>
      <c r="WWG76" s="49" t="s">
        <v>93</v>
      </c>
      <c r="WWH76" s="49" t="s">
        <v>94</v>
      </c>
      <c r="WWI76" s="49" t="s">
        <v>93</v>
      </c>
      <c r="WWJ76" s="49" t="s">
        <v>94</v>
      </c>
      <c r="WWK76" s="49" t="s">
        <v>93</v>
      </c>
      <c r="WWL76" s="49" t="s">
        <v>94</v>
      </c>
      <c r="WWM76" s="49" t="s">
        <v>93</v>
      </c>
      <c r="WWN76" s="49" t="s">
        <v>94</v>
      </c>
      <c r="WWO76" s="49" t="s">
        <v>93</v>
      </c>
      <c r="WWP76" s="49" t="s">
        <v>94</v>
      </c>
      <c r="WWQ76" s="49" t="s">
        <v>93</v>
      </c>
      <c r="WWR76" s="49" t="s">
        <v>94</v>
      </c>
      <c r="WWS76" s="49" t="s">
        <v>93</v>
      </c>
      <c r="WWT76" s="49" t="s">
        <v>94</v>
      </c>
      <c r="WWU76" s="49" t="s">
        <v>93</v>
      </c>
      <c r="WWV76" s="49" t="s">
        <v>94</v>
      </c>
      <c r="WWW76" s="49" t="s">
        <v>93</v>
      </c>
      <c r="WWX76" s="49" t="s">
        <v>94</v>
      </c>
      <c r="WWY76" s="49" t="s">
        <v>93</v>
      </c>
      <c r="WWZ76" s="49" t="s">
        <v>94</v>
      </c>
      <c r="WXA76" s="49" t="s">
        <v>93</v>
      </c>
      <c r="WXB76" s="49" t="s">
        <v>94</v>
      </c>
      <c r="WXC76" s="49" t="s">
        <v>93</v>
      </c>
      <c r="WXD76" s="49" t="s">
        <v>94</v>
      </c>
      <c r="WXE76" s="49" t="s">
        <v>93</v>
      </c>
      <c r="WXF76" s="49" t="s">
        <v>94</v>
      </c>
      <c r="WXG76" s="49" t="s">
        <v>93</v>
      </c>
      <c r="WXH76" s="49" t="s">
        <v>94</v>
      </c>
      <c r="WXI76" s="49" t="s">
        <v>93</v>
      </c>
      <c r="WXJ76" s="49" t="s">
        <v>94</v>
      </c>
      <c r="WXK76" s="49" t="s">
        <v>93</v>
      </c>
      <c r="WXL76" s="49" t="s">
        <v>94</v>
      </c>
      <c r="WXM76" s="49" t="s">
        <v>93</v>
      </c>
      <c r="WXN76" s="49" t="s">
        <v>94</v>
      </c>
      <c r="WXO76" s="49" t="s">
        <v>93</v>
      </c>
      <c r="WXP76" s="49" t="s">
        <v>94</v>
      </c>
      <c r="WXQ76" s="49" t="s">
        <v>93</v>
      </c>
      <c r="WXR76" s="49" t="s">
        <v>94</v>
      </c>
      <c r="WXS76" s="49" t="s">
        <v>93</v>
      </c>
      <c r="WXT76" s="49" t="s">
        <v>94</v>
      </c>
      <c r="WXU76" s="49" t="s">
        <v>93</v>
      </c>
      <c r="WXV76" s="49" t="s">
        <v>94</v>
      </c>
      <c r="WXW76" s="49" t="s">
        <v>93</v>
      </c>
      <c r="WXX76" s="49" t="s">
        <v>94</v>
      </c>
      <c r="WXY76" s="49" t="s">
        <v>93</v>
      </c>
      <c r="WXZ76" s="49" t="s">
        <v>94</v>
      </c>
      <c r="WYA76" s="49" t="s">
        <v>93</v>
      </c>
      <c r="WYB76" s="49" t="s">
        <v>94</v>
      </c>
      <c r="WYC76" s="49" t="s">
        <v>93</v>
      </c>
      <c r="WYD76" s="49" t="s">
        <v>94</v>
      </c>
      <c r="WYE76" s="49" t="s">
        <v>93</v>
      </c>
      <c r="WYF76" s="49" t="s">
        <v>94</v>
      </c>
      <c r="WYG76" s="49" t="s">
        <v>93</v>
      </c>
      <c r="WYH76" s="49" t="s">
        <v>94</v>
      </c>
      <c r="WYI76" s="49" t="s">
        <v>93</v>
      </c>
      <c r="WYJ76" s="49" t="s">
        <v>94</v>
      </c>
      <c r="WYK76" s="49" t="s">
        <v>93</v>
      </c>
      <c r="WYL76" s="49" t="s">
        <v>94</v>
      </c>
      <c r="WYM76" s="49" t="s">
        <v>93</v>
      </c>
      <c r="WYN76" s="49" t="s">
        <v>94</v>
      </c>
      <c r="WYO76" s="49" t="s">
        <v>93</v>
      </c>
      <c r="WYP76" s="49" t="s">
        <v>94</v>
      </c>
      <c r="WYQ76" s="49" t="s">
        <v>93</v>
      </c>
      <c r="WYR76" s="49" t="s">
        <v>94</v>
      </c>
      <c r="WYS76" s="49" t="s">
        <v>93</v>
      </c>
      <c r="WYT76" s="49" t="s">
        <v>94</v>
      </c>
      <c r="WYU76" s="49" t="s">
        <v>93</v>
      </c>
      <c r="WYV76" s="49" t="s">
        <v>94</v>
      </c>
      <c r="WYW76" s="49" t="s">
        <v>93</v>
      </c>
      <c r="WYX76" s="49" t="s">
        <v>94</v>
      </c>
      <c r="WYY76" s="49" t="s">
        <v>93</v>
      </c>
      <c r="WYZ76" s="49" t="s">
        <v>94</v>
      </c>
      <c r="WZA76" s="49" t="s">
        <v>93</v>
      </c>
      <c r="WZB76" s="49" t="s">
        <v>94</v>
      </c>
      <c r="WZC76" s="49" t="s">
        <v>93</v>
      </c>
      <c r="WZD76" s="49" t="s">
        <v>94</v>
      </c>
      <c r="WZE76" s="49" t="s">
        <v>93</v>
      </c>
      <c r="WZF76" s="49" t="s">
        <v>94</v>
      </c>
      <c r="WZG76" s="49" t="s">
        <v>93</v>
      </c>
      <c r="WZH76" s="49" t="s">
        <v>94</v>
      </c>
      <c r="WZI76" s="49" t="s">
        <v>93</v>
      </c>
      <c r="WZJ76" s="49" t="s">
        <v>94</v>
      </c>
      <c r="WZK76" s="49" t="s">
        <v>93</v>
      </c>
      <c r="WZL76" s="49" t="s">
        <v>94</v>
      </c>
      <c r="WZM76" s="49" t="s">
        <v>93</v>
      </c>
      <c r="WZN76" s="49" t="s">
        <v>94</v>
      </c>
      <c r="WZO76" s="49" t="s">
        <v>93</v>
      </c>
      <c r="WZP76" s="49" t="s">
        <v>94</v>
      </c>
      <c r="WZQ76" s="49" t="s">
        <v>93</v>
      </c>
      <c r="WZR76" s="49" t="s">
        <v>94</v>
      </c>
      <c r="WZS76" s="49" t="s">
        <v>93</v>
      </c>
      <c r="WZT76" s="49" t="s">
        <v>94</v>
      </c>
      <c r="WZU76" s="49" t="s">
        <v>93</v>
      </c>
      <c r="WZV76" s="49" t="s">
        <v>94</v>
      </c>
      <c r="WZW76" s="49" t="s">
        <v>93</v>
      </c>
      <c r="WZX76" s="49" t="s">
        <v>94</v>
      </c>
      <c r="WZY76" s="49" t="s">
        <v>93</v>
      </c>
      <c r="WZZ76" s="49" t="s">
        <v>94</v>
      </c>
      <c r="XAA76" s="49" t="s">
        <v>93</v>
      </c>
      <c r="XAB76" s="49" t="s">
        <v>94</v>
      </c>
      <c r="XAC76" s="49" t="s">
        <v>93</v>
      </c>
      <c r="XAD76" s="49" t="s">
        <v>94</v>
      </c>
      <c r="XAE76" s="49" t="s">
        <v>93</v>
      </c>
      <c r="XAF76" s="49" t="s">
        <v>94</v>
      </c>
      <c r="XAG76" s="49" t="s">
        <v>93</v>
      </c>
      <c r="XAH76" s="49" t="s">
        <v>94</v>
      </c>
      <c r="XAI76" s="49" t="s">
        <v>93</v>
      </c>
      <c r="XAJ76" s="49" t="s">
        <v>94</v>
      </c>
      <c r="XAK76" s="49" t="s">
        <v>93</v>
      </c>
      <c r="XAL76" s="49" t="s">
        <v>94</v>
      </c>
      <c r="XAM76" s="49" t="s">
        <v>93</v>
      </c>
      <c r="XAN76" s="49" t="s">
        <v>94</v>
      </c>
      <c r="XAO76" s="49" t="s">
        <v>93</v>
      </c>
      <c r="XAP76" s="49" t="s">
        <v>94</v>
      </c>
      <c r="XAQ76" s="49" t="s">
        <v>93</v>
      </c>
      <c r="XAR76" s="49" t="s">
        <v>94</v>
      </c>
      <c r="XAS76" s="49" t="s">
        <v>93</v>
      </c>
      <c r="XAT76" s="49" t="s">
        <v>94</v>
      </c>
      <c r="XAU76" s="49" t="s">
        <v>93</v>
      </c>
      <c r="XAV76" s="49" t="s">
        <v>94</v>
      </c>
      <c r="XAW76" s="49" t="s">
        <v>93</v>
      </c>
      <c r="XAX76" s="49" t="s">
        <v>94</v>
      </c>
      <c r="XAY76" s="49" t="s">
        <v>93</v>
      </c>
      <c r="XAZ76" s="49" t="s">
        <v>94</v>
      </c>
      <c r="XBA76" s="49" t="s">
        <v>93</v>
      </c>
      <c r="XBB76" s="49" t="s">
        <v>94</v>
      </c>
      <c r="XBC76" s="49" t="s">
        <v>93</v>
      </c>
      <c r="XBD76" s="49" t="s">
        <v>94</v>
      </c>
      <c r="XBE76" s="49" t="s">
        <v>93</v>
      </c>
      <c r="XBF76" s="49" t="s">
        <v>94</v>
      </c>
      <c r="XBG76" s="49" t="s">
        <v>93</v>
      </c>
      <c r="XBH76" s="49" t="s">
        <v>94</v>
      </c>
      <c r="XBI76" s="49" t="s">
        <v>93</v>
      </c>
      <c r="XBJ76" s="49" t="s">
        <v>94</v>
      </c>
      <c r="XBK76" s="49" t="s">
        <v>93</v>
      </c>
      <c r="XBL76" s="49" t="s">
        <v>94</v>
      </c>
      <c r="XBM76" s="49" t="s">
        <v>93</v>
      </c>
      <c r="XBN76" s="49" t="s">
        <v>94</v>
      </c>
      <c r="XBO76" s="49" t="s">
        <v>93</v>
      </c>
      <c r="XBP76" s="49" t="s">
        <v>94</v>
      </c>
      <c r="XBQ76" s="49" t="s">
        <v>93</v>
      </c>
      <c r="XBR76" s="49" t="s">
        <v>94</v>
      </c>
      <c r="XBS76" s="49" t="s">
        <v>93</v>
      </c>
      <c r="XBT76" s="49" t="s">
        <v>94</v>
      </c>
      <c r="XBU76" s="49" t="s">
        <v>93</v>
      </c>
      <c r="XBV76" s="49" t="s">
        <v>94</v>
      </c>
      <c r="XBW76" s="49" t="s">
        <v>93</v>
      </c>
      <c r="XBX76" s="49" t="s">
        <v>94</v>
      </c>
      <c r="XBY76" s="49" t="s">
        <v>93</v>
      </c>
      <c r="XBZ76" s="49" t="s">
        <v>94</v>
      </c>
      <c r="XCA76" s="49" t="s">
        <v>93</v>
      </c>
      <c r="XCB76" s="49" t="s">
        <v>94</v>
      </c>
      <c r="XCC76" s="49" t="s">
        <v>93</v>
      </c>
      <c r="XCD76" s="49" t="s">
        <v>94</v>
      </c>
      <c r="XCE76" s="49" t="s">
        <v>93</v>
      </c>
      <c r="XCF76" s="49" t="s">
        <v>94</v>
      </c>
      <c r="XCG76" s="49" t="s">
        <v>93</v>
      </c>
      <c r="XCH76" s="49" t="s">
        <v>94</v>
      </c>
      <c r="XCI76" s="49" t="s">
        <v>93</v>
      </c>
      <c r="XCJ76" s="49" t="s">
        <v>94</v>
      </c>
      <c r="XCK76" s="49" t="s">
        <v>93</v>
      </c>
      <c r="XCL76" s="49" t="s">
        <v>94</v>
      </c>
      <c r="XCM76" s="49" t="s">
        <v>93</v>
      </c>
      <c r="XCN76" s="49" t="s">
        <v>94</v>
      </c>
      <c r="XCO76" s="49" t="s">
        <v>93</v>
      </c>
      <c r="XCP76" s="49" t="s">
        <v>94</v>
      </c>
      <c r="XCQ76" s="49" t="s">
        <v>93</v>
      </c>
      <c r="XCR76" s="49" t="s">
        <v>94</v>
      </c>
      <c r="XCS76" s="49" t="s">
        <v>93</v>
      </c>
      <c r="XCT76" s="49" t="s">
        <v>94</v>
      </c>
      <c r="XCU76" s="49" t="s">
        <v>93</v>
      </c>
      <c r="XCV76" s="49" t="s">
        <v>94</v>
      </c>
      <c r="XCW76" s="49" t="s">
        <v>93</v>
      </c>
      <c r="XCX76" s="49" t="s">
        <v>94</v>
      </c>
      <c r="XCY76" s="49" t="s">
        <v>93</v>
      </c>
      <c r="XCZ76" s="49" t="s">
        <v>94</v>
      </c>
      <c r="XDA76" s="49" t="s">
        <v>93</v>
      </c>
      <c r="XDB76" s="49" t="s">
        <v>94</v>
      </c>
      <c r="XDC76" s="49" t="s">
        <v>93</v>
      </c>
      <c r="XDD76" s="49" t="s">
        <v>94</v>
      </c>
      <c r="XDE76" s="49" t="s">
        <v>93</v>
      </c>
      <c r="XDF76" s="49" t="s">
        <v>94</v>
      </c>
      <c r="XDG76" s="49" t="s">
        <v>93</v>
      </c>
      <c r="XDH76" s="49" t="s">
        <v>94</v>
      </c>
      <c r="XDI76" s="49" t="s">
        <v>93</v>
      </c>
      <c r="XDJ76" s="49" t="s">
        <v>94</v>
      </c>
      <c r="XDK76" s="49" t="s">
        <v>93</v>
      </c>
      <c r="XDL76" s="49" t="s">
        <v>94</v>
      </c>
      <c r="XDM76" s="49" t="s">
        <v>93</v>
      </c>
      <c r="XDN76" s="49" t="s">
        <v>94</v>
      </c>
      <c r="XDO76" s="49" t="s">
        <v>93</v>
      </c>
      <c r="XDP76" s="49" t="s">
        <v>94</v>
      </c>
      <c r="XDQ76" s="49" t="s">
        <v>93</v>
      </c>
      <c r="XDR76" s="49" t="s">
        <v>94</v>
      </c>
      <c r="XDS76" s="49" t="s">
        <v>93</v>
      </c>
      <c r="XDT76" s="49" t="s">
        <v>94</v>
      </c>
      <c r="XDU76" s="49" t="s">
        <v>93</v>
      </c>
      <c r="XDV76" s="49" t="s">
        <v>94</v>
      </c>
      <c r="XDW76" s="49" t="s">
        <v>93</v>
      </c>
      <c r="XDX76" s="49" t="s">
        <v>94</v>
      </c>
      <c r="XDY76" s="49" t="s">
        <v>93</v>
      </c>
      <c r="XDZ76" s="49" t="s">
        <v>94</v>
      </c>
      <c r="XEA76" s="49" t="s">
        <v>93</v>
      </c>
      <c r="XEB76" s="49" t="s">
        <v>94</v>
      </c>
      <c r="XEC76" s="49" t="s">
        <v>93</v>
      </c>
      <c r="XED76" s="49" t="s">
        <v>94</v>
      </c>
      <c r="XEE76" s="49" t="s">
        <v>93</v>
      </c>
      <c r="XEF76" s="49" t="s">
        <v>94</v>
      </c>
      <c r="XEG76" s="49" t="s">
        <v>93</v>
      </c>
      <c r="XEH76" s="49" t="s">
        <v>94</v>
      </c>
      <c r="XEI76" s="49" t="s">
        <v>93</v>
      </c>
      <c r="XEJ76" s="49" t="s">
        <v>94</v>
      </c>
      <c r="XEK76" s="49" t="s">
        <v>93</v>
      </c>
      <c r="XEL76" s="49" t="s">
        <v>94</v>
      </c>
      <c r="XEM76" s="49" t="s">
        <v>93</v>
      </c>
      <c r="XEN76" s="49" t="s">
        <v>94</v>
      </c>
      <c r="XEO76" s="49" t="s">
        <v>93</v>
      </c>
      <c r="XEP76" s="49" t="s">
        <v>94</v>
      </c>
      <c r="XEQ76" s="49" t="s">
        <v>93</v>
      </c>
      <c r="XER76" s="49" t="s">
        <v>94</v>
      </c>
      <c r="XES76" s="49" t="s">
        <v>93</v>
      </c>
      <c r="XET76" s="49" t="s">
        <v>94</v>
      </c>
      <c r="XEU76" s="49" t="s">
        <v>93</v>
      </c>
      <c r="XEV76" s="49" t="s">
        <v>94</v>
      </c>
      <c r="XEW76" s="49" t="s">
        <v>93</v>
      </c>
      <c r="XEX76" s="49" t="s">
        <v>94</v>
      </c>
      <c r="XEY76" s="49" t="s">
        <v>93</v>
      </c>
      <c r="XEZ76" s="49" t="s">
        <v>94</v>
      </c>
      <c r="XFA76" s="49" t="s">
        <v>93</v>
      </c>
      <c r="XFB76" s="49" t="s">
        <v>94</v>
      </c>
      <c r="XFC76" s="49" t="s">
        <v>93</v>
      </c>
      <c r="XFD76" s="49" t="s">
        <v>94</v>
      </c>
    </row>
    <row r="77" ht="30" spans="1:11">
      <c r="A77" s="102" t="s">
        <v>95</v>
      </c>
      <c r="B77" s="102" t="s">
        <v>96</v>
      </c>
      <c r="C77" s="102" t="s">
        <v>56</v>
      </c>
      <c r="D77" s="99">
        <f>IF(OR(Clientes[[#This Row],[Columna1]]="Pago inmediato",Clientes[[#This Row],[Columna1]]=""),0,SUBSTITUTE(Clientes[[#This Row],[Columna1]]," días",""))</f>
        <v>0</v>
      </c>
      <c r="E77" s="34"/>
      <c r="F77"/>
      <c r="G77" s="77"/>
      <c r="I77"/>
      <c r="J77" s="34"/>
      <c r="K77"/>
    </row>
    <row r="78" spans="1:11">
      <c r="A78" s="102" t="s">
        <v>97</v>
      </c>
      <c r="B78" s="102" t="s">
        <v>98</v>
      </c>
      <c r="C78" s="102" t="s">
        <v>56</v>
      </c>
      <c r="D78" s="99">
        <f>IF(OR(Clientes[[#This Row],[Columna1]]="Pago inmediato",Clientes[[#This Row],[Columna1]]=""),0,SUBSTITUTE(Clientes[[#This Row],[Columna1]]," días",""))</f>
        <v>0</v>
      </c>
      <c r="E78" s="34"/>
      <c r="F78"/>
      <c r="G78" s="77"/>
      <c r="I78"/>
      <c r="J78" s="34"/>
      <c r="K78"/>
    </row>
    <row r="79" spans="1:11">
      <c r="A79" s="102"/>
      <c r="B79" s="102" t="s">
        <v>99</v>
      </c>
      <c r="C79" s="102" t="s">
        <v>56</v>
      </c>
      <c r="D79" s="99">
        <f>IF(OR(Clientes[[#This Row],[Columna1]]="Pago inmediato",Clientes[[#This Row],[Columna1]]=""),0,SUBSTITUTE(Clientes[[#This Row],[Columna1]]," días",""))</f>
        <v>0</v>
      </c>
      <c r="E79" s="34"/>
      <c r="F79"/>
      <c r="G79" s="77"/>
      <c r="I79"/>
      <c r="J79" s="34"/>
      <c r="K79"/>
    </row>
    <row r="80" spans="1:11">
      <c r="A80" s="102" t="s">
        <v>100</v>
      </c>
      <c r="B80" s="102" t="s">
        <v>101</v>
      </c>
      <c r="C80" s="102" t="s">
        <v>56</v>
      </c>
      <c r="D80" s="99">
        <f>IF(OR(Clientes[[#This Row],[Columna1]]="Pago inmediato",Clientes[[#This Row],[Columna1]]=""),0,SUBSTITUTE(Clientes[[#This Row],[Columna1]]," días",""))</f>
        <v>0</v>
      </c>
      <c r="E80" s="34"/>
      <c r="F80"/>
      <c r="G80" s="77"/>
      <c r="I80"/>
      <c r="J80" s="34"/>
      <c r="K80"/>
    </row>
    <row r="81" ht="30" spans="1:11">
      <c r="A81" s="102" t="s">
        <v>102</v>
      </c>
      <c r="B81" s="102" t="s">
        <v>103</v>
      </c>
      <c r="C81" s="102" t="s">
        <v>56</v>
      </c>
      <c r="D81" s="99">
        <f>IF(OR(Clientes[[#This Row],[Columna1]]="Pago inmediato",Clientes[[#This Row],[Columna1]]=""),0,SUBSTITUTE(Clientes[[#This Row],[Columna1]]," días",""))</f>
        <v>0</v>
      </c>
      <c r="E81" s="34"/>
      <c r="F81"/>
      <c r="G81" s="77"/>
      <c r="I81"/>
      <c r="J81" s="34"/>
      <c r="K81"/>
    </row>
    <row r="82" ht="30" spans="1:11">
      <c r="A82" s="102" t="s">
        <v>104</v>
      </c>
      <c r="B82" s="102" t="s">
        <v>105</v>
      </c>
      <c r="C82" s="102" t="s">
        <v>56</v>
      </c>
      <c r="D82" s="99">
        <f>IF(OR(Clientes[[#This Row],[Columna1]]="Pago inmediato",Clientes[[#This Row],[Columna1]]=""),0,SUBSTITUTE(Clientes[[#This Row],[Columna1]]," días",""))</f>
        <v>0</v>
      </c>
      <c r="E82" s="34"/>
      <c r="F82"/>
      <c r="G82" s="77"/>
      <c r="I82"/>
      <c r="J82" s="34"/>
      <c r="K82"/>
    </row>
    <row r="83" ht="60" spans="1:11">
      <c r="A83" s="102" t="s">
        <v>106</v>
      </c>
      <c r="B83" s="102" t="s">
        <v>107</v>
      </c>
      <c r="C83" s="102" t="s">
        <v>56</v>
      </c>
      <c r="D83" s="99">
        <f>IF(OR(Clientes[[#This Row],[Columna1]]="Pago inmediato",Clientes[[#This Row],[Columna1]]=""),0,SUBSTITUTE(Clientes[[#This Row],[Columna1]]," días",""))</f>
        <v>0</v>
      </c>
      <c r="E83" s="34"/>
      <c r="F83"/>
      <c r="G83" s="77"/>
      <c r="I83"/>
      <c r="J83" s="34"/>
      <c r="K83"/>
    </row>
    <row r="84" ht="45" spans="1:11">
      <c r="A84" s="102" t="s">
        <v>108</v>
      </c>
      <c r="B84" s="102" t="s">
        <v>109</v>
      </c>
      <c r="C84" s="102" t="s">
        <v>56</v>
      </c>
      <c r="D84" s="99">
        <f>IF(OR(Clientes[[#This Row],[Columna1]]="Pago inmediato",Clientes[[#This Row],[Columna1]]=""),0,SUBSTITUTE(Clientes[[#This Row],[Columna1]]," días",""))</f>
        <v>0</v>
      </c>
      <c r="E84" s="34"/>
      <c r="F84"/>
      <c r="G84" s="77"/>
      <c r="I84"/>
      <c r="J84" s="34"/>
      <c r="K84"/>
    </row>
    <row r="85" spans="1:11">
      <c r="A85" s="102" t="s">
        <v>110</v>
      </c>
      <c r="B85" s="102" t="s">
        <v>111</v>
      </c>
      <c r="C85" s="102" t="s">
        <v>56</v>
      </c>
      <c r="D85" s="99">
        <f>IF(OR(Clientes[[#This Row],[Columna1]]="Pago inmediato",Clientes[[#This Row],[Columna1]]=""),0,SUBSTITUTE(Clientes[[#This Row],[Columna1]]," días",""))</f>
        <v>0</v>
      </c>
      <c r="E85" s="34"/>
      <c r="F85"/>
      <c r="G85" s="77"/>
      <c r="I85"/>
      <c r="J85" s="34"/>
      <c r="K85"/>
    </row>
    <row r="86" ht="30" spans="1:11">
      <c r="A86" s="102" t="s">
        <v>112</v>
      </c>
      <c r="B86" s="102" t="s">
        <v>113</v>
      </c>
      <c r="C86" s="102" t="s">
        <v>56</v>
      </c>
      <c r="D86" s="99">
        <f>IF(OR(Clientes[[#This Row],[Columna1]]="Pago inmediato",Clientes[[#This Row],[Columna1]]=""),0,SUBSTITUTE(Clientes[[#This Row],[Columna1]]," días",""))</f>
        <v>0</v>
      </c>
      <c r="E86" s="34"/>
      <c r="F86"/>
      <c r="G86" s="77"/>
      <c r="I86"/>
      <c r="J86" s="34"/>
      <c r="K86"/>
    </row>
    <row r="87" spans="1:11">
      <c r="A87" s="102" t="s">
        <v>114</v>
      </c>
      <c r="B87" s="102" t="s">
        <v>115</v>
      </c>
      <c r="C87" s="102" t="s">
        <v>56</v>
      </c>
      <c r="D87" s="99">
        <f>IF(OR(Clientes[[#This Row],[Columna1]]="Pago inmediato",Clientes[[#This Row],[Columna1]]=""),0,SUBSTITUTE(Clientes[[#This Row],[Columna1]]," días",""))</f>
        <v>0</v>
      </c>
      <c r="E87" s="34"/>
      <c r="F87"/>
      <c r="G87" s="77"/>
      <c r="I87"/>
      <c r="J87" s="34"/>
      <c r="K87"/>
    </row>
    <row r="88" ht="30" spans="1:11">
      <c r="A88" s="102" t="s">
        <v>116</v>
      </c>
      <c r="B88" s="102" t="s">
        <v>117</v>
      </c>
      <c r="C88" s="102" t="s">
        <v>56</v>
      </c>
      <c r="D88" s="99">
        <f>IF(OR(Clientes[[#This Row],[Columna1]]="Pago inmediato",Clientes[[#This Row],[Columna1]]=""),0,SUBSTITUTE(Clientes[[#This Row],[Columna1]]," días",""))</f>
        <v>0</v>
      </c>
      <c r="E88" s="34"/>
      <c r="F88"/>
      <c r="G88" s="77"/>
      <c r="I88"/>
      <c r="J88" s="34"/>
      <c r="K88"/>
    </row>
    <row r="89" ht="45" spans="1:11">
      <c r="A89" s="102" t="s">
        <v>118</v>
      </c>
      <c r="B89" s="102" t="s">
        <v>119</v>
      </c>
      <c r="C89" s="102" t="s">
        <v>56</v>
      </c>
      <c r="D89" s="99">
        <f>IF(OR(Clientes[[#This Row],[Columna1]]="Pago inmediato",Clientes[[#This Row],[Columna1]]=""),0,SUBSTITUTE(Clientes[[#This Row],[Columna1]]," días",""))</f>
        <v>0</v>
      </c>
      <c r="E89" s="34"/>
      <c r="F89"/>
      <c r="G89" s="77"/>
      <c r="I89"/>
      <c r="J89" s="34"/>
      <c r="K89"/>
    </row>
    <row r="90" spans="1:11">
      <c r="A90" s="102" t="s">
        <v>120</v>
      </c>
      <c r="B90" s="102" t="s">
        <v>121</v>
      </c>
      <c r="C90" s="102"/>
      <c r="D90" s="99">
        <f>IF(OR(Clientes[[#This Row],[Columna1]]="Pago inmediato",Clientes[[#This Row],[Columna1]]=""),0,SUBSTITUTE(Clientes[[#This Row],[Columna1]]," días",""))</f>
        <v>0</v>
      </c>
      <c r="E90" s="34"/>
      <c r="F90"/>
      <c r="G90" s="77"/>
      <c r="I90"/>
      <c r="J90" s="34"/>
      <c r="K90"/>
    </row>
    <row r="91" ht="30" spans="1:11">
      <c r="A91" s="102" t="s">
        <v>122</v>
      </c>
      <c r="B91" s="102" t="s">
        <v>123</v>
      </c>
      <c r="C91" s="102" t="s">
        <v>56</v>
      </c>
      <c r="D91" s="99">
        <f>IF(OR(Clientes[[#This Row],[Columna1]]="Pago inmediato",Clientes[[#This Row],[Columna1]]=""),0,SUBSTITUTE(Clientes[[#This Row],[Columna1]]," días",""))</f>
        <v>0</v>
      </c>
      <c r="E91" s="34"/>
      <c r="F91"/>
      <c r="G91" s="77"/>
      <c r="I91"/>
      <c r="J91" s="34"/>
      <c r="K91"/>
    </row>
    <row r="92" ht="30" spans="1:11">
      <c r="A92" s="102" t="s">
        <v>124</v>
      </c>
      <c r="B92" s="102" t="s">
        <v>125</v>
      </c>
      <c r="C92" s="102"/>
      <c r="D92" s="99">
        <f>IF(OR(Clientes[[#This Row],[Columna1]]="Pago inmediato",Clientes[[#This Row],[Columna1]]=""),0,SUBSTITUTE(Clientes[[#This Row],[Columna1]]," días",""))</f>
        <v>0</v>
      </c>
      <c r="E92" s="34"/>
      <c r="F92"/>
      <c r="G92" s="77"/>
      <c r="I92"/>
      <c r="J92" s="34"/>
      <c r="K92"/>
    </row>
    <row r="93" ht="30" spans="1:11">
      <c r="A93" s="102" t="s">
        <v>126</v>
      </c>
      <c r="B93" s="102" t="s">
        <v>127</v>
      </c>
      <c r="C93" s="102" t="s">
        <v>56</v>
      </c>
      <c r="D93" s="99">
        <f>IF(OR(Clientes[[#This Row],[Columna1]]="Pago inmediato",Clientes[[#This Row],[Columna1]]=""),0,SUBSTITUTE(Clientes[[#This Row],[Columna1]]," días",""))</f>
        <v>0</v>
      </c>
      <c r="E93" s="34"/>
      <c r="F93"/>
      <c r="G93" s="77"/>
      <c r="I93"/>
      <c r="J93" s="34"/>
      <c r="K93"/>
    </row>
    <row r="94" ht="30" spans="1:11">
      <c r="A94" s="102" t="s">
        <v>128</v>
      </c>
      <c r="B94" s="102" t="s">
        <v>129</v>
      </c>
      <c r="C94" s="102" t="s">
        <v>56</v>
      </c>
      <c r="D94" s="99">
        <f>IF(OR(Clientes[[#This Row],[Columna1]]="Pago inmediato",Clientes[[#This Row],[Columna1]]=""),0,SUBSTITUTE(Clientes[[#This Row],[Columna1]]," días",""))</f>
        <v>0</v>
      </c>
      <c r="E94" s="34"/>
      <c r="F94"/>
      <c r="G94" s="77"/>
      <c r="I94"/>
      <c r="J94" s="34"/>
      <c r="K94"/>
    </row>
    <row r="95" spans="1:11">
      <c r="A95" s="102" t="s">
        <v>130</v>
      </c>
      <c r="B95" s="102" t="s">
        <v>131</v>
      </c>
      <c r="C95" s="102" t="s">
        <v>56</v>
      </c>
      <c r="D95" s="99">
        <f>IF(OR(Clientes[[#This Row],[Columna1]]="Pago inmediato",Clientes[[#This Row],[Columna1]]=""),0,SUBSTITUTE(Clientes[[#This Row],[Columna1]]," días",""))</f>
        <v>0</v>
      </c>
      <c r="E95" s="34"/>
      <c r="F95"/>
      <c r="G95" s="77"/>
      <c r="I95"/>
      <c r="J95" s="34"/>
      <c r="K95"/>
    </row>
    <row r="96" ht="45" spans="1:11">
      <c r="A96" s="102" t="s">
        <v>132</v>
      </c>
      <c r="B96" s="102" t="s">
        <v>133</v>
      </c>
      <c r="C96" s="102" t="s">
        <v>56</v>
      </c>
      <c r="D96" s="99">
        <f>IF(OR(Clientes[[#This Row],[Columna1]]="Pago inmediato",Clientes[[#This Row],[Columna1]]=""),0,SUBSTITUTE(Clientes[[#This Row],[Columna1]]," días",""))</f>
        <v>0</v>
      </c>
      <c r="E96" s="34"/>
      <c r="F96"/>
      <c r="G96" s="77"/>
      <c r="I96"/>
      <c r="J96" s="34"/>
      <c r="K96"/>
    </row>
    <row r="97" ht="30" spans="1:11">
      <c r="A97" s="102" t="s">
        <v>134</v>
      </c>
      <c r="B97" s="102" t="s">
        <v>135</v>
      </c>
      <c r="C97" s="102" t="s">
        <v>56</v>
      </c>
      <c r="D97" s="99">
        <f>IF(OR(Clientes[[#This Row],[Columna1]]="Pago inmediato",Clientes[[#This Row],[Columna1]]=""),0,SUBSTITUTE(Clientes[[#This Row],[Columna1]]," días",""))</f>
        <v>0</v>
      </c>
      <c r="E97" s="34"/>
      <c r="F97"/>
      <c r="G97" s="77"/>
      <c r="I97"/>
      <c r="J97" s="34"/>
      <c r="K97"/>
    </row>
    <row r="98" spans="1:11">
      <c r="A98" s="102" t="s">
        <v>136</v>
      </c>
      <c r="B98" s="102" t="s">
        <v>137</v>
      </c>
      <c r="C98" s="102" t="s">
        <v>56</v>
      </c>
      <c r="D98" s="99">
        <f>IF(OR(Clientes[[#This Row],[Columna1]]="Pago inmediato",Clientes[[#This Row],[Columna1]]=""),0,SUBSTITUTE(Clientes[[#This Row],[Columna1]]," días",""))</f>
        <v>0</v>
      </c>
      <c r="E98" s="34"/>
      <c r="F98"/>
      <c r="G98" s="77"/>
      <c r="I98"/>
      <c r="J98" s="34"/>
      <c r="K98"/>
    </row>
    <row r="99" ht="45" spans="1:11">
      <c r="A99" s="102" t="s">
        <v>138</v>
      </c>
      <c r="B99" s="102" t="s">
        <v>139</v>
      </c>
      <c r="C99" s="102" t="s">
        <v>56</v>
      </c>
      <c r="D99" s="99">
        <f>IF(OR(Clientes[[#This Row],[Columna1]]="Pago inmediato",Clientes[[#This Row],[Columna1]]=""),0,SUBSTITUTE(Clientes[[#This Row],[Columna1]]," días",""))</f>
        <v>0</v>
      </c>
      <c r="E99" s="34"/>
      <c r="F99"/>
      <c r="G99" s="77"/>
      <c r="I99"/>
      <c r="J99" s="34"/>
      <c r="K99"/>
    </row>
    <row r="100" ht="30" spans="1:11">
      <c r="A100" s="102" t="s">
        <v>140</v>
      </c>
      <c r="B100" s="102" t="s">
        <v>141</v>
      </c>
      <c r="C100" s="102" t="s">
        <v>56</v>
      </c>
      <c r="D100" s="99">
        <f>IF(OR(Clientes[[#This Row],[Columna1]]="Pago inmediato",Clientes[[#This Row],[Columna1]]=""),0,SUBSTITUTE(Clientes[[#This Row],[Columna1]]," días",""))</f>
        <v>0</v>
      </c>
      <c r="E100" s="34"/>
      <c r="F100"/>
      <c r="G100" s="77"/>
      <c r="I100"/>
      <c r="J100" s="34"/>
      <c r="K100"/>
    </row>
    <row r="101" spans="1:11">
      <c r="A101" s="102" t="s">
        <v>142</v>
      </c>
      <c r="B101" s="102" t="s">
        <v>143</v>
      </c>
      <c r="C101" s="102" t="s">
        <v>56</v>
      </c>
      <c r="D101" s="99">
        <f>IF(OR(Clientes[[#This Row],[Columna1]]="Pago inmediato",Clientes[[#This Row],[Columna1]]=""),0,SUBSTITUTE(Clientes[[#This Row],[Columna1]]," días",""))</f>
        <v>0</v>
      </c>
      <c r="E101" s="34"/>
      <c r="F101"/>
      <c r="G101" s="77"/>
      <c r="I101"/>
      <c r="J101" s="34"/>
      <c r="K101"/>
    </row>
    <row r="102" ht="30" spans="1:11">
      <c r="A102" s="102" t="s">
        <v>144</v>
      </c>
      <c r="B102" s="102" t="s">
        <v>145</v>
      </c>
      <c r="C102" s="102" t="s">
        <v>56</v>
      </c>
      <c r="D102" s="99">
        <f>IF(OR(Clientes[[#This Row],[Columna1]]="Pago inmediato",Clientes[[#This Row],[Columna1]]=""),0,SUBSTITUTE(Clientes[[#This Row],[Columna1]]," días",""))</f>
        <v>0</v>
      </c>
      <c r="E102" s="34"/>
      <c r="F102"/>
      <c r="G102" s="77"/>
      <c r="I102"/>
      <c r="J102" s="34"/>
      <c r="K102"/>
    </row>
    <row r="103" ht="30" spans="1:11">
      <c r="A103" s="102" t="s">
        <v>146</v>
      </c>
      <c r="B103" s="102" t="s">
        <v>147</v>
      </c>
      <c r="C103" s="102" t="s">
        <v>56</v>
      </c>
      <c r="D103" s="99">
        <f>IF(OR(Clientes[[#This Row],[Columna1]]="Pago inmediato",Clientes[[#This Row],[Columna1]]=""),0,SUBSTITUTE(Clientes[[#This Row],[Columna1]]," días",""))</f>
        <v>0</v>
      </c>
      <c r="E103" s="34"/>
      <c r="F103"/>
      <c r="G103" s="77"/>
      <c r="I103"/>
      <c r="J103" s="34"/>
      <c r="K103"/>
    </row>
    <row r="104" ht="30" spans="1:11">
      <c r="A104" s="102" t="s">
        <v>148</v>
      </c>
      <c r="B104" s="102" t="s">
        <v>149</v>
      </c>
      <c r="C104" s="102" t="s">
        <v>150</v>
      </c>
      <c r="D104" s="99" t="str">
        <f>IF(OR(Clientes[[#This Row],[Columna1]]="Pago inmediato",Clientes[[#This Row],[Columna1]]=""),0,SUBSTITUTE(Clientes[[#This Row],[Columna1]]," días",""))</f>
        <v>45</v>
      </c>
      <c r="E104" s="34"/>
      <c r="F104"/>
      <c r="G104" s="77"/>
      <c r="I104"/>
      <c r="J104" s="34"/>
      <c r="K104"/>
    </row>
    <row r="105" spans="1:11">
      <c r="A105" s="102"/>
      <c r="B105" s="102" t="s">
        <v>151</v>
      </c>
      <c r="C105" s="102" t="s">
        <v>56</v>
      </c>
      <c r="D105" s="99">
        <f>IF(OR(Clientes[[#This Row],[Columna1]]="Pago inmediato",Clientes[[#This Row],[Columna1]]=""),0,SUBSTITUTE(Clientes[[#This Row],[Columna1]]," días",""))</f>
        <v>0</v>
      </c>
      <c r="E105" s="34"/>
      <c r="F105"/>
      <c r="G105" s="77"/>
      <c r="I105"/>
      <c r="J105" s="34"/>
      <c r="K105"/>
    </row>
    <row r="106" spans="1:11">
      <c r="A106" s="102" t="s">
        <v>152</v>
      </c>
      <c r="B106" s="102" t="s">
        <v>153</v>
      </c>
      <c r="C106" s="102" t="s">
        <v>56</v>
      </c>
      <c r="D106" s="99">
        <f>IF(OR(Clientes[[#This Row],[Columna1]]="Pago inmediato",Clientes[[#This Row],[Columna1]]=""),0,SUBSTITUTE(Clientes[[#This Row],[Columna1]]," días",""))</f>
        <v>0</v>
      </c>
      <c r="E106" s="34"/>
      <c r="F106"/>
      <c r="G106" s="77"/>
      <c r="I106"/>
      <c r="J106" s="34"/>
      <c r="K106"/>
    </row>
    <row r="107" ht="75" spans="1:11">
      <c r="A107" s="102" t="s">
        <v>154</v>
      </c>
      <c r="B107" s="102" t="s">
        <v>155</v>
      </c>
      <c r="C107" s="102" t="s">
        <v>56</v>
      </c>
      <c r="D107" s="99">
        <f>IF(OR(Clientes[[#This Row],[Columna1]]="Pago inmediato",Clientes[[#This Row],[Columna1]]=""),0,SUBSTITUTE(Clientes[[#This Row],[Columna1]]," días",""))</f>
        <v>0</v>
      </c>
      <c r="E107" s="34"/>
      <c r="F107"/>
      <c r="G107" s="77"/>
      <c r="I107"/>
      <c r="J107" s="34"/>
      <c r="K107"/>
    </row>
    <row r="108" spans="1:11">
      <c r="A108" s="102" t="s">
        <v>156</v>
      </c>
      <c r="B108" s="102" t="s">
        <v>157</v>
      </c>
      <c r="C108" s="102" t="s">
        <v>56</v>
      </c>
      <c r="D108" s="99">
        <f>IF(OR(Clientes[[#This Row],[Columna1]]="Pago inmediato",Clientes[[#This Row],[Columna1]]=""),0,SUBSTITUTE(Clientes[[#This Row],[Columna1]]," días",""))</f>
        <v>0</v>
      </c>
      <c r="E108" s="34"/>
      <c r="F108"/>
      <c r="G108" s="77"/>
      <c r="I108"/>
      <c r="J108" s="34"/>
      <c r="K108"/>
    </row>
    <row r="109" ht="30" spans="1:11">
      <c r="A109" s="102" t="s">
        <v>158</v>
      </c>
      <c r="B109" s="102" t="s">
        <v>159</v>
      </c>
      <c r="C109" s="102" t="s">
        <v>56</v>
      </c>
      <c r="D109" s="99">
        <f>IF(OR(Clientes[[#This Row],[Columna1]]="Pago inmediato",Clientes[[#This Row],[Columna1]]=""),0,SUBSTITUTE(Clientes[[#This Row],[Columna1]]," días",""))</f>
        <v>0</v>
      </c>
      <c r="E109" s="34"/>
      <c r="F109"/>
      <c r="G109" s="77"/>
      <c r="I109"/>
      <c r="J109" s="34"/>
      <c r="K109"/>
    </row>
    <row r="110" ht="30" spans="1:11">
      <c r="A110" s="102" t="s">
        <v>160</v>
      </c>
      <c r="B110" s="102" t="s">
        <v>161</v>
      </c>
      <c r="C110" s="102" t="s">
        <v>56</v>
      </c>
      <c r="D110" s="99">
        <f>IF(OR(Clientes[[#This Row],[Columna1]]="Pago inmediato",Clientes[[#This Row],[Columna1]]=""),0,SUBSTITUTE(Clientes[[#This Row],[Columna1]]," días",""))</f>
        <v>0</v>
      </c>
      <c r="E110" s="34"/>
      <c r="F110"/>
      <c r="G110" s="77"/>
      <c r="I110"/>
      <c r="J110" s="34"/>
      <c r="K110"/>
    </row>
    <row r="111" ht="30" spans="1:11">
      <c r="A111" s="102" t="s">
        <v>162</v>
      </c>
      <c r="B111" s="102" t="s">
        <v>163</v>
      </c>
      <c r="C111" s="102" t="s">
        <v>56</v>
      </c>
      <c r="D111" s="99">
        <f>IF(OR(Clientes[[#This Row],[Columna1]]="Pago inmediato",Clientes[[#This Row],[Columna1]]=""),0,SUBSTITUTE(Clientes[[#This Row],[Columna1]]," días",""))</f>
        <v>0</v>
      </c>
      <c r="E111" s="34"/>
      <c r="F111"/>
      <c r="G111" s="77"/>
      <c r="I111"/>
      <c r="J111" s="34"/>
      <c r="K111"/>
    </row>
    <row r="112" ht="30" spans="1:11">
      <c r="A112" s="102" t="s">
        <v>164</v>
      </c>
      <c r="B112" s="102" t="s">
        <v>165</v>
      </c>
      <c r="C112" s="102" t="s">
        <v>56</v>
      </c>
      <c r="D112" s="99">
        <f>IF(OR(Clientes[[#This Row],[Columna1]]="Pago inmediato",Clientes[[#This Row],[Columna1]]=""),0,SUBSTITUTE(Clientes[[#This Row],[Columna1]]," días",""))</f>
        <v>0</v>
      </c>
      <c r="E112" s="34"/>
      <c r="F112"/>
      <c r="G112" s="77"/>
      <c r="I112"/>
      <c r="J112" s="34"/>
      <c r="K112"/>
    </row>
    <row r="113" ht="30" spans="1:11">
      <c r="A113" s="102" t="s">
        <v>166</v>
      </c>
      <c r="B113" s="102" t="s">
        <v>167</v>
      </c>
      <c r="C113" s="102" t="s">
        <v>56</v>
      </c>
      <c r="D113" s="99">
        <f>IF(OR(Clientes[[#This Row],[Columna1]]="Pago inmediato",Clientes[[#This Row],[Columna1]]=""),0,SUBSTITUTE(Clientes[[#This Row],[Columna1]]," días",""))</f>
        <v>0</v>
      </c>
      <c r="E113" s="34"/>
      <c r="F113"/>
      <c r="G113" s="77"/>
      <c r="I113"/>
      <c r="J113" s="34"/>
      <c r="K113"/>
    </row>
    <row r="114" ht="30" spans="1:11">
      <c r="A114" s="102" t="s">
        <v>168</v>
      </c>
      <c r="B114" s="102" t="s">
        <v>169</v>
      </c>
      <c r="C114" s="102" t="s">
        <v>56</v>
      </c>
      <c r="D114" s="99">
        <f>IF(OR(Clientes[[#This Row],[Columna1]]="Pago inmediato",Clientes[[#This Row],[Columna1]]=""),0,SUBSTITUTE(Clientes[[#This Row],[Columna1]]," días",""))</f>
        <v>0</v>
      </c>
      <c r="E114" s="34"/>
      <c r="F114"/>
      <c r="G114" s="77"/>
      <c r="I114"/>
      <c r="J114" s="34"/>
      <c r="K114"/>
    </row>
    <row r="115" ht="30" spans="1:11">
      <c r="A115" s="102" t="s">
        <v>170</v>
      </c>
      <c r="B115" s="102" t="s">
        <v>171</v>
      </c>
      <c r="C115" s="102" t="s">
        <v>56</v>
      </c>
      <c r="D115" s="99">
        <f>IF(OR(Clientes[[#This Row],[Columna1]]="Pago inmediato",Clientes[[#This Row],[Columna1]]=""),0,SUBSTITUTE(Clientes[[#This Row],[Columna1]]," días",""))</f>
        <v>0</v>
      </c>
      <c r="E115" s="34"/>
      <c r="F115"/>
      <c r="G115" s="77"/>
      <c r="I115"/>
      <c r="J115" s="34"/>
      <c r="K115"/>
    </row>
    <row r="116" ht="45" spans="1:11">
      <c r="A116" s="102" t="s">
        <v>170</v>
      </c>
      <c r="B116" s="102" t="s">
        <v>172</v>
      </c>
      <c r="C116" s="102" t="s">
        <v>56</v>
      </c>
      <c r="D116" s="99">
        <f>IF(OR(Clientes[[#This Row],[Columna1]]="Pago inmediato",Clientes[[#This Row],[Columna1]]=""),0,SUBSTITUTE(Clientes[[#This Row],[Columna1]]," días",""))</f>
        <v>0</v>
      </c>
      <c r="E116" s="34"/>
      <c r="F116"/>
      <c r="G116" s="77"/>
      <c r="I116"/>
      <c r="J116" s="34"/>
      <c r="K116"/>
    </row>
    <row r="117" ht="30" spans="1:11">
      <c r="A117" s="102" t="s">
        <v>173</v>
      </c>
      <c r="B117" s="102" t="s">
        <v>174</v>
      </c>
      <c r="C117" s="102" t="s">
        <v>56</v>
      </c>
      <c r="D117" s="99">
        <f>IF(OR(Clientes[[#This Row],[Columna1]]="Pago inmediato",Clientes[[#This Row],[Columna1]]=""),0,SUBSTITUTE(Clientes[[#This Row],[Columna1]]," días",""))</f>
        <v>0</v>
      </c>
      <c r="E117" s="34"/>
      <c r="F117"/>
      <c r="G117" s="77"/>
      <c r="I117"/>
      <c r="J117" s="34"/>
      <c r="K117"/>
    </row>
    <row r="118" spans="1:11">
      <c r="A118" s="102" t="s">
        <v>175</v>
      </c>
      <c r="B118" s="102" t="s">
        <v>176</v>
      </c>
      <c r="C118" s="102" t="s">
        <v>56</v>
      </c>
      <c r="D118" s="99">
        <f>IF(OR(Clientes[[#This Row],[Columna1]]="Pago inmediato",Clientes[[#This Row],[Columna1]]=""),0,SUBSTITUTE(Clientes[[#This Row],[Columna1]]," días",""))</f>
        <v>0</v>
      </c>
      <c r="E118" s="34"/>
      <c r="F118"/>
      <c r="G118" s="77"/>
      <c r="I118"/>
      <c r="J118" s="34"/>
      <c r="K118"/>
    </row>
    <row r="119" ht="30" spans="1:11">
      <c r="A119" s="102" t="s">
        <v>177</v>
      </c>
      <c r="B119" s="102" t="s">
        <v>178</v>
      </c>
      <c r="C119" s="102" t="s">
        <v>56</v>
      </c>
      <c r="D119" s="99">
        <f>IF(OR(Clientes[[#This Row],[Columna1]]="Pago inmediato",Clientes[[#This Row],[Columna1]]=""),0,SUBSTITUTE(Clientes[[#This Row],[Columna1]]," días",""))</f>
        <v>0</v>
      </c>
      <c r="E119" s="34"/>
      <c r="F119"/>
      <c r="G119" s="77"/>
      <c r="I119"/>
      <c r="J119" s="34"/>
      <c r="K119"/>
    </row>
    <row r="120" ht="30" spans="1:11">
      <c r="A120" s="102" t="s">
        <v>179</v>
      </c>
      <c r="B120" s="102" t="s">
        <v>180</v>
      </c>
      <c r="C120" s="102" t="s">
        <v>56</v>
      </c>
      <c r="D120" s="99">
        <f>IF(OR(Clientes[[#This Row],[Columna1]]="Pago inmediato",Clientes[[#This Row],[Columna1]]=""),0,SUBSTITUTE(Clientes[[#This Row],[Columna1]]," días",""))</f>
        <v>0</v>
      </c>
      <c r="E120" s="34"/>
      <c r="F120"/>
      <c r="G120" s="77"/>
      <c r="I120"/>
      <c r="J120" s="34"/>
      <c r="K120"/>
    </row>
    <row r="121" ht="30" spans="1:11">
      <c r="A121" s="102" t="s">
        <v>179</v>
      </c>
      <c r="B121" s="102" t="s">
        <v>181</v>
      </c>
      <c r="C121" s="102" t="s">
        <v>56</v>
      </c>
      <c r="D121" s="99">
        <f>IF(OR(Clientes[[#This Row],[Columna1]]="Pago inmediato",Clientes[[#This Row],[Columna1]]=""),0,SUBSTITUTE(Clientes[[#This Row],[Columna1]]," días",""))</f>
        <v>0</v>
      </c>
      <c r="E121" s="34"/>
      <c r="F121"/>
      <c r="G121" s="77"/>
      <c r="I121"/>
      <c r="J121" s="34"/>
      <c r="K121"/>
    </row>
    <row r="122" ht="30" spans="1:11">
      <c r="A122" s="102" t="s">
        <v>182</v>
      </c>
      <c r="B122" s="102" t="s">
        <v>183</v>
      </c>
      <c r="C122" s="102" t="s">
        <v>56</v>
      </c>
      <c r="D122" s="99">
        <f>IF(OR(Clientes[[#This Row],[Columna1]]="Pago inmediato",Clientes[[#This Row],[Columna1]]=""),0,SUBSTITUTE(Clientes[[#This Row],[Columna1]]," días",""))</f>
        <v>0</v>
      </c>
      <c r="E122" s="34"/>
      <c r="F122"/>
      <c r="G122" s="77"/>
      <c r="I122"/>
      <c r="J122" s="34"/>
      <c r="K122"/>
    </row>
    <row r="123" ht="30" spans="1:11">
      <c r="A123" s="102" t="s">
        <v>182</v>
      </c>
      <c r="B123" s="102" t="s">
        <v>184</v>
      </c>
      <c r="C123" s="102" t="s">
        <v>56</v>
      </c>
      <c r="D123" s="99">
        <f>IF(OR(Clientes[[#This Row],[Columna1]]="Pago inmediato",Clientes[[#This Row],[Columna1]]=""),0,SUBSTITUTE(Clientes[[#This Row],[Columna1]]," días",""))</f>
        <v>0</v>
      </c>
      <c r="E123" s="34"/>
      <c r="F123"/>
      <c r="G123" s="77"/>
      <c r="I123"/>
      <c r="J123" s="34"/>
      <c r="K123"/>
    </row>
    <row r="124" ht="30" spans="1:11">
      <c r="A124" s="102" t="s">
        <v>185</v>
      </c>
      <c r="B124" s="102" t="s">
        <v>186</v>
      </c>
      <c r="C124" s="102" t="s">
        <v>56</v>
      </c>
      <c r="D124" s="99">
        <f>IF(OR(Clientes[[#This Row],[Columna1]]="Pago inmediato",Clientes[[#This Row],[Columna1]]=""),0,SUBSTITUTE(Clientes[[#This Row],[Columna1]]," días",""))</f>
        <v>0</v>
      </c>
      <c r="E124" s="34"/>
      <c r="F124"/>
      <c r="G124" s="77"/>
      <c r="I124"/>
      <c r="J124" s="34"/>
      <c r="K124"/>
    </row>
    <row r="125" ht="30" spans="1:11">
      <c r="A125" s="102" t="s">
        <v>187</v>
      </c>
      <c r="B125" s="102" t="s">
        <v>188</v>
      </c>
      <c r="C125" s="102" t="s">
        <v>56</v>
      </c>
      <c r="D125" s="99">
        <f>IF(OR(Clientes[[#This Row],[Columna1]]="Pago inmediato",Clientes[[#This Row],[Columna1]]=""),0,SUBSTITUTE(Clientes[[#This Row],[Columna1]]," días",""))</f>
        <v>0</v>
      </c>
      <c r="E125" s="34"/>
      <c r="F125"/>
      <c r="G125" s="77"/>
      <c r="I125"/>
      <c r="J125" s="34"/>
      <c r="K125"/>
    </row>
    <row r="126" ht="30" spans="1:11">
      <c r="A126" s="102" t="s">
        <v>189</v>
      </c>
      <c r="B126" s="102" t="s">
        <v>190</v>
      </c>
      <c r="C126" s="102" t="s">
        <v>56</v>
      </c>
      <c r="D126" s="99">
        <f>IF(OR(Clientes[[#This Row],[Columna1]]="Pago inmediato",Clientes[[#This Row],[Columna1]]=""),0,SUBSTITUTE(Clientes[[#This Row],[Columna1]]," días",""))</f>
        <v>0</v>
      </c>
      <c r="E126" s="34"/>
      <c r="F126"/>
      <c r="G126" s="77"/>
      <c r="I126"/>
      <c r="J126" s="34"/>
      <c r="K126"/>
    </row>
    <row r="127" ht="30" spans="1:11">
      <c r="A127" s="102" t="s">
        <v>191</v>
      </c>
      <c r="B127" s="102" t="s">
        <v>192</v>
      </c>
      <c r="C127" s="102" t="s">
        <v>56</v>
      </c>
      <c r="D127" s="99">
        <f>IF(OR(Clientes[[#This Row],[Columna1]]="Pago inmediato",Clientes[[#This Row],[Columna1]]=""),0,SUBSTITUTE(Clientes[[#This Row],[Columna1]]," días",""))</f>
        <v>0</v>
      </c>
      <c r="E127" s="34"/>
      <c r="F127"/>
      <c r="G127" s="77"/>
      <c r="I127"/>
      <c r="J127" s="34"/>
      <c r="K127"/>
    </row>
    <row r="128" ht="45" spans="1:11">
      <c r="A128" s="102" t="s">
        <v>193</v>
      </c>
      <c r="B128" s="102" t="s">
        <v>194</v>
      </c>
      <c r="C128" s="102" t="s">
        <v>56</v>
      </c>
      <c r="D128" s="99">
        <f>IF(OR(Clientes[[#This Row],[Columna1]]="Pago inmediato",Clientes[[#This Row],[Columna1]]=""),0,SUBSTITUTE(Clientes[[#This Row],[Columna1]]," días",""))</f>
        <v>0</v>
      </c>
      <c r="E128" s="34"/>
      <c r="F128"/>
      <c r="G128" s="77"/>
      <c r="I128"/>
      <c r="J128" s="34"/>
      <c r="K128"/>
    </row>
    <row r="129" ht="30" spans="1:11">
      <c r="A129" s="102" t="s">
        <v>195</v>
      </c>
      <c r="B129" s="102" t="s">
        <v>196</v>
      </c>
      <c r="C129" s="102" t="s">
        <v>56</v>
      </c>
      <c r="D129" s="99">
        <f>IF(OR(Clientes[[#This Row],[Columna1]]="Pago inmediato",Clientes[[#This Row],[Columna1]]=""),0,SUBSTITUTE(Clientes[[#This Row],[Columna1]]," días",""))</f>
        <v>0</v>
      </c>
      <c r="E129" s="34"/>
      <c r="F129"/>
      <c r="G129" s="77"/>
      <c r="I129"/>
      <c r="J129" s="34"/>
      <c r="K129"/>
    </row>
    <row r="130" spans="1:11">
      <c r="A130" s="102" t="s">
        <v>197</v>
      </c>
      <c r="B130" s="102" t="s">
        <v>198</v>
      </c>
      <c r="C130" s="102" t="s">
        <v>56</v>
      </c>
      <c r="D130" s="99">
        <f>IF(OR(Clientes[[#This Row],[Columna1]]="Pago inmediato",Clientes[[#This Row],[Columna1]]=""),0,SUBSTITUTE(Clientes[[#This Row],[Columna1]]," días",""))</f>
        <v>0</v>
      </c>
      <c r="E130" s="34"/>
      <c r="F130"/>
      <c r="G130" s="77"/>
      <c r="I130"/>
      <c r="J130" s="34"/>
      <c r="K130"/>
    </row>
    <row r="131" ht="30" spans="1:11">
      <c r="A131" s="102" t="s">
        <v>199</v>
      </c>
      <c r="B131" s="102" t="s">
        <v>200</v>
      </c>
      <c r="C131" s="102" t="s">
        <v>56</v>
      </c>
      <c r="D131" s="99">
        <f>IF(OR(Clientes[[#This Row],[Columna1]]="Pago inmediato",Clientes[[#This Row],[Columna1]]=""),0,SUBSTITUTE(Clientes[[#This Row],[Columna1]]," días",""))</f>
        <v>0</v>
      </c>
      <c r="E131" s="34"/>
      <c r="F131"/>
      <c r="G131" s="77"/>
      <c r="I131"/>
      <c r="J131" s="34"/>
      <c r="K131"/>
    </row>
    <row r="132" ht="30" spans="1:11">
      <c r="A132" s="102" t="s">
        <v>201</v>
      </c>
      <c r="B132" s="102" t="s">
        <v>202</v>
      </c>
      <c r="C132" s="102" t="s">
        <v>56</v>
      </c>
      <c r="D132" s="99">
        <f>IF(OR(Clientes[[#This Row],[Columna1]]="Pago inmediato",Clientes[[#This Row],[Columna1]]=""),0,SUBSTITUTE(Clientes[[#This Row],[Columna1]]," días",""))</f>
        <v>0</v>
      </c>
      <c r="E132" s="34"/>
      <c r="F132"/>
      <c r="G132" s="77"/>
      <c r="I132"/>
      <c r="J132" s="34"/>
      <c r="K132"/>
    </row>
    <row r="133" ht="45" spans="1:11">
      <c r="A133" s="102" t="s">
        <v>201</v>
      </c>
      <c r="B133" s="102" t="s">
        <v>203</v>
      </c>
      <c r="C133" s="102" t="s">
        <v>56</v>
      </c>
      <c r="D133" s="99">
        <f>IF(OR(Clientes[[#This Row],[Columna1]]="Pago inmediato",Clientes[[#This Row],[Columna1]]=""),0,SUBSTITUTE(Clientes[[#This Row],[Columna1]]," días",""))</f>
        <v>0</v>
      </c>
      <c r="E133" s="34"/>
      <c r="F133"/>
      <c r="G133" s="77"/>
      <c r="I133"/>
      <c r="J133" s="34"/>
      <c r="K133"/>
    </row>
    <row r="134" ht="30" spans="1:11">
      <c r="A134" s="102" t="s">
        <v>204</v>
      </c>
      <c r="B134" s="102" t="s">
        <v>205</v>
      </c>
      <c r="C134" s="102" t="s">
        <v>56</v>
      </c>
      <c r="D134" s="99">
        <f>IF(OR(Clientes[[#This Row],[Columna1]]="Pago inmediato",Clientes[[#This Row],[Columna1]]=""),0,SUBSTITUTE(Clientes[[#This Row],[Columna1]]," días",""))</f>
        <v>0</v>
      </c>
      <c r="E134" s="34"/>
      <c r="F134"/>
      <c r="G134" s="77"/>
      <c r="I134"/>
      <c r="J134" s="34"/>
      <c r="K134"/>
    </row>
    <row r="135" ht="45" spans="1:11">
      <c r="A135" s="102" t="s">
        <v>206</v>
      </c>
      <c r="B135" s="102" t="s">
        <v>207</v>
      </c>
      <c r="C135" s="102" t="s">
        <v>56</v>
      </c>
      <c r="D135" s="99">
        <f>IF(OR(Clientes[[#This Row],[Columna1]]="Pago inmediato",Clientes[[#This Row],[Columna1]]=""),0,SUBSTITUTE(Clientes[[#This Row],[Columna1]]," días",""))</f>
        <v>0</v>
      </c>
      <c r="E135" s="34"/>
      <c r="F135"/>
      <c r="G135" s="77"/>
      <c r="I135"/>
      <c r="J135" s="34"/>
      <c r="K135"/>
    </row>
    <row r="136" spans="1:11">
      <c r="A136" s="102" t="s">
        <v>208</v>
      </c>
      <c r="B136" s="102" t="s">
        <v>16</v>
      </c>
      <c r="C136" s="102" t="s">
        <v>56</v>
      </c>
      <c r="D136" s="99">
        <f>IF(OR(Clientes[[#This Row],[Columna1]]="Pago inmediato",Clientes[[#This Row],[Columna1]]=""),0,SUBSTITUTE(Clientes[[#This Row],[Columna1]]," días",""))</f>
        <v>0</v>
      </c>
      <c r="E136" s="34"/>
      <c r="F136"/>
      <c r="G136" s="77"/>
      <c r="I136"/>
      <c r="J136" s="34"/>
      <c r="K136"/>
    </row>
    <row r="137" spans="1:11">
      <c r="A137" s="102" t="s">
        <v>209</v>
      </c>
      <c r="B137" s="102" t="s">
        <v>210</v>
      </c>
      <c r="C137" s="102" t="s">
        <v>56</v>
      </c>
      <c r="D137" s="99">
        <f>IF(OR(Clientes[[#This Row],[Columna1]]="Pago inmediato",Clientes[[#This Row],[Columna1]]=""),0,SUBSTITUTE(Clientes[[#This Row],[Columna1]]," días",""))</f>
        <v>0</v>
      </c>
      <c r="E137" s="34"/>
      <c r="F137"/>
      <c r="G137" s="77"/>
      <c r="I137"/>
      <c r="J137" s="34"/>
      <c r="K137"/>
    </row>
    <row r="138" ht="30" spans="1:11">
      <c r="A138" s="102" t="s">
        <v>211</v>
      </c>
      <c r="B138" s="102" t="s">
        <v>212</v>
      </c>
      <c r="C138" s="102" t="s">
        <v>61</v>
      </c>
      <c r="D138" s="99" t="str">
        <f>IF(OR(Clientes[[#This Row],[Columna1]]="Pago inmediato",Clientes[[#This Row],[Columna1]]=""),0,SUBSTITUTE(Clientes[[#This Row],[Columna1]]," días",""))</f>
        <v>15</v>
      </c>
      <c r="E138" s="34"/>
      <c r="F138"/>
      <c r="G138" s="77"/>
      <c r="I138"/>
      <c r="J138" s="34"/>
      <c r="K138"/>
    </row>
    <row r="139" spans="1:11">
      <c r="A139" s="102" t="s">
        <v>213</v>
      </c>
      <c r="B139" s="102" t="s">
        <v>214</v>
      </c>
      <c r="C139" s="102" t="s">
        <v>56</v>
      </c>
      <c r="D139" s="99">
        <f>IF(OR(Clientes[[#This Row],[Columna1]]="Pago inmediato",Clientes[[#This Row],[Columna1]]=""),0,SUBSTITUTE(Clientes[[#This Row],[Columna1]]," días",""))</f>
        <v>0</v>
      </c>
      <c r="E139" s="34"/>
      <c r="F139"/>
      <c r="G139" s="77"/>
      <c r="I139"/>
      <c r="J139" s="34"/>
      <c r="K139"/>
    </row>
    <row r="140" ht="30" spans="1:11">
      <c r="A140" s="102" t="s">
        <v>215</v>
      </c>
      <c r="B140" s="102" t="s">
        <v>216</v>
      </c>
      <c r="C140" s="102">
        <v>90</v>
      </c>
      <c r="D140" s="99" t="str">
        <f>IF(OR(Clientes[[#This Row],[Columna1]]="Pago inmediato",Clientes[[#This Row],[Columna1]]=""),0,SUBSTITUTE(Clientes[[#This Row],[Columna1]]," días",""))</f>
        <v>90</v>
      </c>
      <c r="E140" s="34"/>
      <c r="F140"/>
      <c r="G140" s="77"/>
      <c r="I140"/>
      <c r="J140" s="34"/>
      <c r="K140"/>
    </row>
    <row r="141" ht="30" spans="1:11">
      <c r="A141" s="102" t="s">
        <v>217</v>
      </c>
      <c r="B141" s="102" t="s">
        <v>218</v>
      </c>
      <c r="C141" s="102">
        <v>90</v>
      </c>
      <c r="D141" s="99" t="str">
        <f>IF(OR(Clientes[[#This Row],[Columna1]]="Pago inmediato",Clientes[[#This Row],[Columna1]]=""),0,SUBSTITUTE(Clientes[[#This Row],[Columna1]]," días",""))</f>
        <v>90</v>
      </c>
      <c r="E141" s="34"/>
      <c r="F141"/>
      <c r="G141" s="77"/>
      <c r="I141"/>
      <c r="J141" s="34"/>
      <c r="K141"/>
    </row>
    <row r="142" spans="1:11">
      <c r="A142" s="102" t="s">
        <v>219</v>
      </c>
      <c r="B142" s="102" t="s">
        <v>220</v>
      </c>
      <c r="C142" s="102" t="s">
        <v>56</v>
      </c>
      <c r="D142" s="99">
        <f>IF(OR(Clientes[[#This Row],[Columna1]]="Pago inmediato",Clientes[[#This Row],[Columna1]]=""),0,SUBSTITUTE(Clientes[[#This Row],[Columna1]]," días",""))</f>
        <v>0</v>
      </c>
      <c r="E142" s="34"/>
      <c r="F142"/>
      <c r="G142" s="77"/>
      <c r="I142"/>
      <c r="J142" s="34"/>
      <c r="K142"/>
    </row>
    <row r="143" ht="30" spans="1:11">
      <c r="A143" s="102" t="s">
        <v>221</v>
      </c>
      <c r="B143" s="102" t="s">
        <v>222</v>
      </c>
      <c r="C143" s="102" t="s">
        <v>56</v>
      </c>
      <c r="D143" s="99">
        <f>IF(OR(Clientes[[#This Row],[Columna1]]="Pago inmediato",Clientes[[#This Row],[Columna1]]=""),0,SUBSTITUTE(Clientes[[#This Row],[Columna1]]," días",""))</f>
        <v>0</v>
      </c>
      <c r="E143" s="34"/>
      <c r="F143"/>
      <c r="G143" s="77"/>
      <c r="I143"/>
      <c r="J143" s="34"/>
      <c r="K143"/>
    </row>
    <row r="144" ht="60" spans="1:11">
      <c r="A144" s="102" t="s">
        <v>221</v>
      </c>
      <c r="B144" s="102" t="s">
        <v>223</v>
      </c>
      <c r="C144" s="102" t="s">
        <v>56</v>
      </c>
      <c r="D144" s="99">
        <f>IF(OR(Clientes[[#This Row],[Columna1]]="Pago inmediato",Clientes[[#This Row],[Columna1]]=""),0,SUBSTITUTE(Clientes[[#This Row],[Columna1]]," días",""))</f>
        <v>0</v>
      </c>
      <c r="E144" s="34"/>
      <c r="F144"/>
      <c r="G144" s="77"/>
      <c r="I144"/>
      <c r="J144" s="34"/>
      <c r="K144"/>
    </row>
    <row r="145" ht="30" spans="1:11">
      <c r="A145" s="102" t="s">
        <v>224</v>
      </c>
      <c r="B145" s="102" t="s">
        <v>225</v>
      </c>
      <c r="C145" s="102">
        <v>90</v>
      </c>
      <c r="D145" s="99" t="str">
        <f>IF(OR(Clientes[[#This Row],[Columna1]]="Pago inmediato",Clientes[[#This Row],[Columna1]]=""),0,SUBSTITUTE(Clientes[[#This Row],[Columna1]]," días",""))</f>
        <v>90</v>
      </c>
      <c r="E145" s="34"/>
      <c r="F145"/>
      <c r="G145" s="77"/>
      <c r="I145"/>
      <c r="J145" s="34"/>
      <c r="K145"/>
    </row>
    <row r="146" ht="30" spans="1:11">
      <c r="A146" s="102" t="s">
        <v>226</v>
      </c>
      <c r="B146" s="102" t="s">
        <v>225</v>
      </c>
      <c r="C146" s="102"/>
      <c r="D146" s="99">
        <f>IF(OR(Clientes[[#This Row],[Columna1]]="Pago inmediato",Clientes[[#This Row],[Columna1]]=""),0,SUBSTITUTE(Clientes[[#This Row],[Columna1]]," días",""))</f>
        <v>0</v>
      </c>
      <c r="E146" s="34"/>
      <c r="F146"/>
      <c r="G146" s="77"/>
      <c r="I146"/>
      <c r="J146" s="34"/>
      <c r="K146"/>
    </row>
    <row r="147" ht="30" spans="1:11">
      <c r="A147" s="102" t="s">
        <v>227</v>
      </c>
      <c r="B147" s="102" t="s">
        <v>228</v>
      </c>
      <c r="C147" s="102" t="s">
        <v>56</v>
      </c>
      <c r="D147" s="99">
        <f>IF(OR(Clientes[[#This Row],[Columna1]]="Pago inmediato",Clientes[[#This Row],[Columna1]]=""),0,SUBSTITUTE(Clientes[[#This Row],[Columna1]]," días",""))</f>
        <v>0</v>
      </c>
      <c r="E147" s="34"/>
      <c r="F147"/>
      <c r="G147" s="77"/>
      <c r="I147"/>
      <c r="J147" s="34"/>
      <c r="K147"/>
    </row>
    <row r="148" spans="1:11">
      <c r="A148" s="102" t="s">
        <v>229</v>
      </c>
      <c r="B148" s="102" t="s">
        <v>230</v>
      </c>
      <c r="C148" s="102" t="s">
        <v>56</v>
      </c>
      <c r="D148" s="99">
        <f>IF(OR(Clientes[[#This Row],[Columna1]]="Pago inmediato",Clientes[[#This Row],[Columna1]]=""),0,SUBSTITUTE(Clientes[[#This Row],[Columna1]]," días",""))</f>
        <v>0</v>
      </c>
      <c r="E148" s="34"/>
      <c r="F148"/>
      <c r="G148" s="77"/>
      <c r="I148"/>
      <c r="J148" s="34"/>
      <c r="K148"/>
    </row>
    <row r="149" ht="30" spans="1:11">
      <c r="A149" s="102" t="s">
        <v>231</v>
      </c>
      <c r="B149" s="102" t="s">
        <v>232</v>
      </c>
      <c r="C149" s="102" t="s">
        <v>56</v>
      </c>
      <c r="D149" s="99">
        <f>IF(OR(Clientes[[#This Row],[Columna1]]="Pago inmediato",Clientes[[#This Row],[Columna1]]=""),0,SUBSTITUTE(Clientes[[#This Row],[Columna1]]," días",""))</f>
        <v>0</v>
      </c>
      <c r="E149" s="34"/>
      <c r="F149"/>
      <c r="G149" s="77"/>
      <c r="I149"/>
      <c r="J149" s="34"/>
      <c r="K149"/>
    </row>
    <row r="150" ht="30" spans="1:11">
      <c r="A150" s="102" t="s">
        <v>233</v>
      </c>
      <c r="B150" s="102" t="s">
        <v>234</v>
      </c>
      <c r="C150" s="102" t="s">
        <v>56</v>
      </c>
      <c r="D150" s="99">
        <f>IF(OR(Clientes[[#This Row],[Columna1]]="Pago inmediato",Clientes[[#This Row],[Columna1]]=""),0,SUBSTITUTE(Clientes[[#This Row],[Columna1]]," días",""))</f>
        <v>0</v>
      </c>
      <c r="E150" s="34"/>
      <c r="F150"/>
      <c r="G150" s="77"/>
      <c r="I150"/>
      <c r="J150" s="34"/>
      <c r="K150"/>
    </row>
    <row r="151" ht="30" spans="1:11">
      <c r="A151" s="102" t="s">
        <v>233</v>
      </c>
      <c r="B151" s="102" t="s">
        <v>235</v>
      </c>
      <c r="C151" s="102" t="s">
        <v>56</v>
      </c>
      <c r="D151" s="99">
        <f>IF(OR(Clientes[[#This Row],[Columna1]]="Pago inmediato",Clientes[[#This Row],[Columna1]]=""),0,SUBSTITUTE(Clientes[[#This Row],[Columna1]]," días",""))</f>
        <v>0</v>
      </c>
      <c r="E151" s="34"/>
      <c r="F151"/>
      <c r="G151" s="77"/>
      <c r="I151"/>
      <c r="J151" s="34"/>
      <c r="K151"/>
    </row>
    <row r="152" spans="1:11">
      <c r="A152" s="102" t="s">
        <v>236</v>
      </c>
      <c r="B152" s="102" t="s">
        <v>237</v>
      </c>
      <c r="C152" s="102" t="s">
        <v>56</v>
      </c>
      <c r="D152" s="99">
        <f>IF(OR(Clientes[[#This Row],[Columna1]]="Pago inmediato",Clientes[[#This Row],[Columna1]]=""),0,SUBSTITUTE(Clientes[[#This Row],[Columna1]]," días",""))</f>
        <v>0</v>
      </c>
      <c r="E152" s="34"/>
      <c r="F152"/>
      <c r="G152" s="77"/>
      <c r="I152"/>
      <c r="J152" s="34"/>
      <c r="K152"/>
    </row>
    <row r="153" spans="1:11">
      <c r="A153" s="102" t="s">
        <v>238</v>
      </c>
      <c r="B153" s="102" t="s">
        <v>239</v>
      </c>
      <c r="C153" s="102" t="s">
        <v>56</v>
      </c>
      <c r="D153" s="99">
        <f>IF(OR(Clientes[[#This Row],[Columna1]]="Pago inmediato",Clientes[[#This Row],[Columna1]]=""),0,SUBSTITUTE(Clientes[[#This Row],[Columna1]]," días",""))</f>
        <v>0</v>
      </c>
      <c r="E153" s="34"/>
      <c r="F153"/>
      <c r="G153" s="77"/>
      <c r="I153"/>
      <c r="J153" s="34"/>
      <c r="K153"/>
    </row>
    <row r="154" ht="30" spans="1:11">
      <c r="A154" s="102" t="s">
        <v>240</v>
      </c>
      <c r="B154" s="102" t="s">
        <v>241</v>
      </c>
      <c r="C154" s="102" t="s">
        <v>56</v>
      </c>
      <c r="D154" s="99">
        <f>IF(OR(Clientes[[#This Row],[Columna1]]="Pago inmediato",Clientes[[#This Row],[Columna1]]=""),0,SUBSTITUTE(Clientes[[#This Row],[Columna1]]," días",""))</f>
        <v>0</v>
      </c>
      <c r="E154" s="34"/>
      <c r="F154"/>
      <c r="G154" s="77"/>
      <c r="I154"/>
      <c r="J154" s="34"/>
      <c r="K154"/>
    </row>
    <row r="155" ht="75" spans="1:11">
      <c r="A155" s="102" t="s">
        <v>242</v>
      </c>
      <c r="B155" s="102" t="s">
        <v>243</v>
      </c>
      <c r="C155" s="102" t="s">
        <v>56</v>
      </c>
      <c r="D155" s="99">
        <f>IF(OR(Clientes[[#This Row],[Columna1]]="Pago inmediato",Clientes[[#This Row],[Columna1]]=""),0,SUBSTITUTE(Clientes[[#This Row],[Columna1]]," días",""))</f>
        <v>0</v>
      </c>
      <c r="E155" s="34"/>
      <c r="F155"/>
      <c r="G155" s="77"/>
      <c r="I155"/>
      <c r="J155" s="34"/>
      <c r="K155"/>
    </row>
    <row r="156" spans="1:11">
      <c r="A156" s="102" t="s">
        <v>244</v>
      </c>
      <c r="B156" s="102" t="s">
        <v>245</v>
      </c>
      <c r="C156" s="102" t="s">
        <v>56</v>
      </c>
      <c r="D156" s="99">
        <f>IF(OR(Clientes[[#This Row],[Columna1]]="Pago inmediato",Clientes[[#This Row],[Columna1]]=""),0,SUBSTITUTE(Clientes[[#This Row],[Columna1]]," días",""))</f>
        <v>0</v>
      </c>
      <c r="E156" s="34"/>
      <c r="F156"/>
      <c r="G156" s="77"/>
      <c r="I156"/>
      <c r="J156" s="34"/>
      <c r="K156"/>
    </row>
    <row r="157" spans="1:11">
      <c r="A157" s="102" t="s">
        <v>246</v>
      </c>
      <c r="B157" s="102" t="s">
        <v>247</v>
      </c>
      <c r="C157" s="102" t="s">
        <v>56</v>
      </c>
      <c r="D157" s="99">
        <f>IF(OR(Clientes[[#This Row],[Columna1]]="Pago inmediato",Clientes[[#This Row],[Columna1]]=""),0,SUBSTITUTE(Clientes[[#This Row],[Columna1]]," días",""))</f>
        <v>0</v>
      </c>
      <c r="E157" s="34"/>
      <c r="F157"/>
      <c r="G157" s="77"/>
      <c r="I157"/>
      <c r="J157" s="34"/>
      <c r="K157"/>
    </row>
    <row r="158" spans="1:11">
      <c r="A158" s="102" t="s">
        <v>248</v>
      </c>
      <c r="B158" s="102" t="s">
        <v>249</v>
      </c>
      <c r="C158" s="102" t="s">
        <v>56</v>
      </c>
      <c r="D158" s="99">
        <f>IF(OR(Clientes[[#This Row],[Columna1]]="Pago inmediato",Clientes[[#This Row],[Columna1]]=""),0,SUBSTITUTE(Clientes[[#This Row],[Columna1]]," días",""))</f>
        <v>0</v>
      </c>
      <c r="E158" s="34"/>
      <c r="F158"/>
      <c r="G158" s="77"/>
      <c r="I158"/>
      <c r="J158" s="34"/>
      <c r="K158"/>
    </row>
    <row r="159" ht="30" spans="1:11">
      <c r="A159" s="102" t="s">
        <v>248</v>
      </c>
      <c r="B159" s="102" t="s">
        <v>250</v>
      </c>
      <c r="C159" s="102" t="s">
        <v>56</v>
      </c>
      <c r="D159" s="99">
        <f>IF(OR(Clientes[[#This Row],[Columna1]]="Pago inmediato",Clientes[[#This Row],[Columna1]]=""),0,SUBSTITUTE(Clientes[[#This Row],[Columna1]]," días",""))</f>
        <v>0</v>
      </c>
      <c r="E159" s="34"/>
      <c r="F159"/>
      <c r="G159" s="77"/>
      <c r="I159"/>
      <c r="J159" s="34"/>
      <c r="K159"/>
    </row>
    <row r="160" spans="1:11">
      <c r="A160" s="102" t="s">
        <v>251</v>
      </c>
      <c r="B160" s="102" t="s">
        <v>252</v>
      </c>
      <c r="C160" s="102" t="s">
        <v>56</v>
      </c>
      <c r="D160" s="99">
        <f>IF(OR(Clientes[[#This Row],[Columna1]]="Pago inmediato",Clientes[[#This Row],[Columna1]]=""),0,SUBSTITUTE(Clientes[[#This Row],[Columna1]]," días",""))</f>
        <v>0</v>
      </c>
      <c r="E160" s="34"/>
      <c r="F160"/>
      <c r="G160" s="77"/>
      <c r="I160"/>
      <c r="J160" s="34"/>
      <c r="K160"/>
    </row>
    <row r="161" ht="45" spans="1:11">
      <c r="A161" s="102" t="s">
        <v>253</v>
      </c>
      <c r="B161" s="102" t="s">
        <v>254</v>
      </c>
      <c r="C161" s="102" t="s">
        <v>56</v>
      </c>
      <c r="D161" s="99">
        <f>IF(OR(Clientes[[#This Row],[Columna1]]="Pago inmediato",Clientes[[#This Row],[Columna1]]=""),0,SUBSTITUTE(Clientes[[#This Row],[Columna1]]," días",""))</f>
        <v>0</v>
      </c>
      <c r="E161" s="34"/>
      <c r="F161"/>
      <c r="G161" s="77"/>
      <c r="I161"/>
      <c r="J161" s="34"/>
      <c r="K161"/>
    </row>
    <row r="162" ht="30" spans="1:11">
      <c r="A162" s="102" t="s">
        <v>255</v>
      </c>
      <c r="B162" s="102" t="s">
        <v>256</v>
      </c>
      <c r="C162" s="102" t="s">
        <v>61</v>
      </c>
      <c r="D162" s="99" t="str">
        <f>IF(OR(Clientes[[#This Row],[Columna1]]="Pago inmediato",Clientes[[#This Row],[Columna1]]=""),0,SUBSTITUTE(Clientes[[#This Row],[Columna1]]," días",""))</f>
        <v>15</v>
      </c>
      <c r="E162" s="34"/>
      <c r="F162"/>
      <c r="G162" s="77"/>
      <c r="I162"/>
      <c r="J162" s="34"/>
      <c r="K162"/>
    </row>
    <row r="163" ht="30" spans="1:11">
      <c r="A163" s="102" t="s">
        <v>257</v>
      </c>
      <c r="B163" s="102" t="s">
        <v>258</v>
      </c>
      <c r="C163" s="102" t="s">
        <v>56</v>
      </c>
      <c r="D163" s="99">
        <f>IF(OR(Clientes[[#This Row],[Columna1]]="Pago inmediato",Clientes[[#This Row],[Columna1]]=""),0,SUBSTITUTE(Clientes[[#This Row],[Columna1]]," días",""))</f>
        <v>0</v>
      </c>
      <c r="E163" s="34"/>
      <c r="F163"/>
      <c r="G163" s="77"/>
      <c r="I163"/>
      <c r="J163" s="34"/>
      <c r="K163"/>
    </row>
    <row r="164" spans="1:11">
      <c r="A164" s="102" t="s">
        <v>259</v>
      </c>
      <c r="B164" s="102" t="s">
        <v>260</v>
      </c>
      <c r="C164" s="102" t="s">
        <v>61</v>
      </c>
      <c r="D164" s="99" t="str">
        <f>IF(OR(Clientes[[#This Row],[Columna1]]="Pago inmediato",Clientes[[#This Row],[Columna1]]=""),0,SUBSTITUTE(Clientes[[#This Row],[Columna1]]," días",""))</f>
        <v>15</v>
      </c>
      <c r="E164" s="34"/>
      <c r="F164"/>
      <c r="G164" s="77"/>
      <c r="I164"/>
      <c r="J164" s="34"/>
      <c r="K164"/>
    </row>
    <row r="165" ht="45" spans="1:11">
      <c r="A165" s="102" t="s">
        <v>261</v>
      </c>
      <c r="B165" s="102" t="s">
        <v>262</v>
      </c>
      <c r="C165" s="102" t="s">
        <v>56</v>
      </c>
      <c r="D165" s="99">
        <f>IF(OR(Clientes[[#This Row],[Columna1]]="Pago inmediato",Clientes[[#This Row],[Columna1]]=""),0,SUBSTITUTE(Clientes[[#This Row],[Columna1]]," días",""))</f>
        <v>0</v>
      </c>
      <c r="E165" s="34"/>
      <c r="F165"/>
      <c r="G165" s="77"/>
      <c r="I165"/>
      <c r="J165" s="34"/>
      <c r="K165"/>
    </row>
    <row r="166" ht="30" spans="1:11">
      <c r="A166" s="102" t="s">
        <v>263</v>
      </c>
      <c r="B166" s="102" t="s">
        <v>264</v>
      </c>
      <c r="C166" s="102" t="s">
        <v>56</v>
      </c>
      <c r="D166" s="99">
        <f>IF(OR(Clientes[[#This Row],[Columna1]]="Pago inmediato",Clientes[[#This Row],[Columna1]]=""),0,SUBSTITUTE(Clientes[[#This Row],[Columna1]]," días",""))</f>
        <v>0</v>
      </c>
      <c r="E166" s="34"/>
      <c r="F166"/>
      <c r="G166" s="77"/>
      <c r="I166"/>
      <c r="J166" s="34"/>
      <c r="K166"/>
    </row>
    <row r="167" ht="75" spans="1:11">
      <c r="A167" s="102" t="s">
        <v>265</v>
      </c>
      <c r="B167" s="102" t="s">
        <v>266</v>
      </c>
      <c r="C167" s="102" t="s">
        <v>56</v>
      </c>
      <c r="D167" s="99">
        <f>IF(OR(Clientes[[#This Row],[Columna1]]="Pago inmediato",Clientes[[#This Row],[Columna1]]=""),0,SUBSTITUTE(Clientes[[#This Row],[Columna1]]," días",""))</f>
        <v>0</v>
      </c>
      <c r="E167" s="34"/>
      <c r="F167"/>
      <c r="G167" s="77"/>
      <c r="I167"/>
      <c r="J167" s="34"/>
      <c r="K167"/>
    </row>
    <row r="168" ht="45" spans="1:11">
      <c r="A168" s="102" t="s">
        <v>267</v>
      </c>
      <c r="B168" s="102" t="s">
        <v>268</v>
      </c>
      <c r="C168" s="102" t="s">
        <v>56</v>
      </c>
      <c r="D168" s="99">
        <f>IF(OR(Clientes[[#This Row],[Columna1]]="Pago inmediato",Clientes[[#This Row],[Columna1]]=""),0,SUBSTITUTE(Clientes[[#This Row],[Columna1]]," días",""))</f>
        <v>0</v>
      </c>
      <c r="E168" s="34"/>
      <c r="F168"/>
      <c r="G168" s="77"/>
      <c r="I168"/>
      <c r="J168" s="34"/>
      <c r="K168"/>
    </row>
    <row r="169" ht="60" spans="1:11">
      <c r="A169" s="102" t="s">
        <v>269</v>
      </c>
      <c r="B169" s="102" t="s">
        <v>270</v>
      </c>
      <c r="C169" s="102" t="s">
        <v>56</v>
      </c>
      <c r="D169" s="99">
        <f>IF(OR(Clientes[[#This Row],[Columna1]]="Pago inmediato",Clientes[[#This Row],[Columna1]]=""),0,SUBSTITUTE(Clientes[[#This Row],[Columna1]]," días",""))</f>
        <v>0</v>
      </c>
      <c r="E169" s="34"/>
      <c r="F169"/>
      <c r="G169" s="77"/>
      <c r="I169"/>
      <c r="J169" s="34"/>
      <c r="K169"/>
    </row>
    <row r="170" ht="75" spans="1:11">
      <c r="A170" s="102" t="s">
        <v>271</v>
      </c>
      <c r="B170" s="102" t="s">
        <v>272</v>
      </c>
      <c r="C170" s="102" t="s">
        <v>56</v>
      </c>
      <c r="D170" s="99">
        <f>IF(OR(Clientes[[#This Row],[Columna1]]="Pago inmediato",Clientes[[#This Row],[Columna1]]=""),0,SUBSTITUTE(Clientes[[#This Row],[Columna1]]," días",""))</f>
        <v>0</v>
      </c>
      <c r="E170" s="34"/>
      <c r="F170"/>
      <c r="G170" s="77"/>
      <c r="I170"/>
      <c r="J170" s="34"/>
      <c r="K170"/>
    </row>
    <row r="171" ht="90" spans="1:11">
      <c r="A171" s="102" t="s">
        <v>271</v>
      </c>
      <c r="B171" s="102" t="s">
        <v>273</v>
      </c>
      <c r="C171" s="102" t="s">
        <v>56</v>
      </c>
      <c r="D171" s="99">
        <f>IF(OR(Clientes[[#This Row],[Columna1]]="Pago inmediato",Clientes[[#This Row],[Columna1]]=""),0,SUBSTITUTE(Clientes[[#This Row],[Columna1]]," días",""))</f>
        <v>0</v>
      </c>
      <c r="E171" s="34"/>
      <c r="F171"/>
      <c r="G171" s="77"/>
      <c r="I171"/>
      <c r="J171" s="34"/>
      <c r="K171"/>
    </row>
    <row r="172" ht="30" spans="1:11">
      <c r="A172" s="102" t="s">
        <v>274</v>
      </c>
      <c r="B172" s="102" t="s">
        <v>275</v>
      </c>
      <c r="C172" s="102" t="s">
        <v>56</v>
      </c>
      <c r="D172" s="99">
        <f>IF(OR(Clientes[[#This Row],[Columna1]]="Pago inmediato",Clientes[[#This Row],[Columna1]]=""),0,SUBSTITUTE(Clientes[[#This Row],[Columna1]]," días",""))</f>
        <v>0</v>
      </c>
      <c r="E172" s="34"/>
      <c r="F172"/>
      <c r="G172" s="77"/>
      <c r="I172"/>
      <c r="J172" s="34"/>
      <c r="K172"/>
    </row>
    <row r="173" ht="30" spans="1:11">
      <c r="A173" s="102" t="s">
        <v>276</v>
      </c>
      <c r="B173" s="102" t="s">
        <v>277</v>
      </c>
      <c r="C173" s="102" t="s">
        <v>56</v>
      </c>
      <c r="D173" s="99">
        <f>IF(OR(Clientes[[#This Row],[Columna1]]="Pago inmediato",Clientes[[#This Row],[Columna1]]=""),0,SUBSTITUTE(Clientes[[#This Row],[Columna1]]," días",""))</f>
        <v>0</v>
      </c>
      <c r="E173" s="34"/>
      <c r="F173"/>
      <c r="G173" s="77"/>
      <c r="I173"/>
      <c r="J173" s="34"/>
      <c r="K173"/>
    </row>
    <row r="174" ht="60" spans="1:11">
      <c r="A174" s="102" t="s">
        <v>276</v>
      </c>
      <c r="B174" s="102" t="s">
        <v>278</v>
      </c>
      <c r="C174" s="102" t="s">
        <v>56</v>
      </c>
      <c r="D174" s="99">
        <f>IF(OR(Clientes[[#This Row],[Columna1]]="Pago inmediato",Clientes[[#This Row],[Columna1]]=""),0,SUBSTITUTE(Clientes[[#This Row],[Columna1]]," días",""))</f>
        <v>0</v>
      </c>
      <c r="E174" s="34"/>
      <c r="F174"/>
      <c r="G174" s="77"/>
      <c r="I174"/>
      <c r="J174" s="34"/>
      <c r="K174"/>
    </row>
    <row r="175" spans="1:11">
      <c r="A175" s="102" t="s">
        <v>279</v>
      </c>
      <c r="B175" s="102" t="s">
        <v>280</v>
      </c>
      <c r="C175" s="102" t="s">
        <v>56</v>
      </c>
      <c r="D175" s="99">
        <f>IF(OR(Clientes[[#This Row],[Columna1]]="Pago inmediato",Clientes[[#This Row],[Columna1]]=""),0,SUBSTITUTE(Clientes[[#This Row],[Columna1]]," días",""))</f>
        <v>0</v>
      </c>
      <c r="E175" s="34"/>
      <c r="F175"/>
      <c r="G175" s="77"/>
      <c r="I175"/>
      <c r="J175" s="34"/>
      <c r="K175"/>
    </row>
    <row r="176" spans="1:11">
      <c r="A176" s="102" t="s">
        <v>281</v>
      </c>
      <c r="B176" s="102" t="s">
        <v>18</v>
      </c>
      <c r="C176" s="102" t="s">
        <v>282</v>
      </c>
      <c r="D176" s="99" t="str">
        <f>IF(OR(Clientes[[#This Row],[Columna1]]="Pago inmediato",Clientes[[#This Row],[Columna1]]=""),0,SUBSTITUTE(Clientes[[#This Row],[Columna1]]," días",""))</f>
        <v>10</v>
      </c>
      <c r="E176" s="34"/>
      <c r="F176"/>
      <c r="G176" s="77"/>
      <c r="I176"/>
      <c r="J176" s="34"/>
      <c r="K176"/>
    </row>
    <row r="177" ht="30" spans="1:11">
      <c r="A177" s="102" t="s">
        <v>283</v>
      </c>
      <c r="B177" s="102" t="s">
        <v>284</v>
      </c>
      <c r="C177" s="102" t="s">
        <v>56</v>
      </c>
      <c r="D177" s="99">
        <f>IF(OR(Clientes[[#This Row],[Columna1]]="Pago inmediato",Clientes[[#This Row],[Columna1]]=""),0,SUBSTITUTE(Clientes[[#This Row],[Columna1]]," días",""))</f>
        <v>0</v>
      </c>
      <c r="E177" s="34"/>
      <c r="F177"/>
      <c r="G177" s="77"/>
      <c r="I177"/>
      <c r="J177" s="34"/>
      <c r="K177"/>
    </row>
    <row r="178" ht="30" spans="1:11">
      <c r="A178" s="102" t="s">
        <v>285</v>
      </c>
      <c r="B178" s="102" t="s">
        <v>286</v>
      </c>
      <c r="C178" s="102" t="s">
        <v>56</v>
      </c>
      <c r="D178" s="99">
        <f>IF(OR(Clientes[[#This Row],[Columna1]]="Pago inmediato",Clientes[[#This Row],[Columna1]]=""),0,SUBSTITUTE(Clientes[[#This Row],[Columna1]]," días",""))</f>
        <v>0</v>
      </c>
      <c r="E178" s="34"/>
      <c r="F178"/>
      <c r="G178" s="77"/>
      <c r="I178"/>
      <c r="J178" s="34"/>
      <c r="K178"/>
    </row>
    <row r="179" ht="30" spans="1:11">
      <c r="A179" s="102" t="s">
        <v>287</v>
      </c>
      <c r="B179" s="102" t="s">
        <v>288</v>
      </c>
      <c r="C179" s="102" t="s">
        <v>56</v>
      </c>
      <c r="D179" s="99">
        <f>IF(OR(Clientes[[#This Row],[Columna1]]="Pago inmediato",Clientes[[#This Row],[Columna1]]=""),0,SUBSTITUTE(Clientes[[#This Row],[Columna1]]," días",""))</f>
        <v>0</v>
      </c>
      <c r="E179" s="34"/>
      <c r="F179"/>
      <c r="G179" s="77"/>
      <c r="I179"/>
      <c r="J179" s="34"/>
      <c r="K179"/>
    </row>
    <row r="180" ht="30" spans="1:11">
      <c r="A180" s="102" t="s">
        <v>289</v>
      </c>
      <c r="B180" s="102" t="s">
        <v>290</v>
      </c>
      <c r="C180" s="102" t="s">
        <v>56</v>
      </c>
      <c r="D180" s="99">
        <f>IF(OR(Clientes[[#This Row],[Columna1]]="Pago inmediato",Clientes[[#This Row],[Columna1]]=""),0,SUBSTITUTE(Clientes[[#This Row],[Columna1]]," días",""))</f>
        <v>0</v>
      </c>
      <c r="E180" s="34"/>
      <c r="F180"/>
      <c r="G180" s="77"/>
      <c r="I180"/>
      <c r="J180" s="34"/>
      <c r="K180"/>
    </row>
    <row r="181" ht="30" spans="1:11">
      <c r="A181" s="102" t="s">
        <v>291</v>
      </c>
      <c r="B181" s="102" t="s">
        <v>292</v>
      </c>
      <c r="C181" s="102" t="s">
        <v>56</v>
      </c>
      <c r="D181" s="99">
        <f>IF(OR(Clientes[[#This Row],[Columna1]]="Pago inmediato",Clientes[[#This Row],[Columna1]]=""),0,SUBSTITUTE(Clientes[[#This Row],[Columna1]]," días",""))</f>
        <v>0</v>
      </c>
      <c r="E181" s="34"/>
      <c r="F181"/>
      <c r="G181" s="77"/>
      <c r="I181"/>
      <c r="J181" s="34"/>
      <c r="K181"/>
    </row>
    <row r="182" ht="45" spans="1:11">
      <c r="A182" s="102" t="s">
        <v>293</v>
      </c>
      <c r="B182" s="102" t="s">
        <v>294</v>
      </c>
      <c r="C182" s="102" t="s">
        <v>56</v>
      </c>
      <c r="D182" s="99">
        <f>IF(OR(Clientes[[#This Row],[Columna1]]="Pago inmediato",Clientes[[#This Row],[Columna1]]=""),0,SUBSTITUTE(Clientes[[#This Row],[Columna1]]," días",""))</f>
        <v>0</v>
      </c>
      <c r="E182" s="34"/>
      <c r="F182"/>
      <c r="G182" s="77"/>
      <c r="I182"/>
      <c r="J182" s="34"/>
      <c r="K182"/>
    </row>
    <row r="183" ht="30" spans="1:11">
      <c r="A183" s="102" t="s">
        <v>295</v>
      </c>
      <c r="B183" s="102" t="s">
        <v>296</v>
      </c>
      <c r="C183" s="102" t="s">
        <v>54</v>
      </c>
      <c r="D183" s="99" t="str">
        <f>IF(OR(Clientes[[#This Row],[Columna1]]="Pago inmediato",Clientes[[#This Row],[Columna1]]=""),0,SUBSTITUTE(Clientes[[#This Row],[Columna1]]," días",""))</f>
        <v>7</v>
      </c>
      <c r="E183" s="34"/>
      <c r="F183"/>
      <c r="G183" s="77"/>
      <c r="I183"/>
      <c r="J183" s="34"/>
      <c r="K183"/>
    </row>
    <row r="184" ht="45" spans="1:11">
      <c r="A184" s="102" t="s">
        <v>297</v>
      </c>
      <c r="B184" s="102" t="s">
        <v>298</v>
      </c>
      <c r="C184" s="102" t="s">
        <v>56</v>
      </c>
      <c r="D184" s="99">
        <f>IF(OR(Clientes[[#This Row],[Columna1]]="Pago inmediato",Clientes[[#This Row],[Columna1]]=""),0,SUBSTITUTE(Clientes[[#This Row],[Columna1]]," días",""))</f>
        <v>0</v>
      </c>
      <c r="E184" s="34"/>
      <c r="F184"/>
      <c r="G184" s="77"/>
      <c r="I184"/>
      <c r="J184" s="34"/>
      <c r="K184"/>
    </row>
    <row r="185" spans="1:11">
      <c r="A185" s="102" t="s">
        <v>299</v>
      </c>
      <c r="B185" s="102" t="s">
        <v>300</v>
      </c>
      <c r="C185" s="102" t="s">
        <v>56</v>
      </c>
      <c r="D185" s="99">
        <f>IF(OR(Clientes[[#This Row],[Columna1]]="Pago inmediato",Clientes[[#This Row],[Columna1]]=""),0,SUBSTITUTE(Clientes[[#This Row],[Columna1]]," días",""))</f>
        <v>0</v>
      </c>
      <c r="E185" s="34"/>
      <c r="F185"/>
      <c r="G185" s="77"/>
      <c r="I185"/>
      <c r="J185" s="34"/>
      <c r="K185"/>
    </row>
    <row r="186" ht="30" spans="1:11">
      <c r="A186" s="102" t="s">
        <v>301</v>
      </c>
      <c r="B186" s="102" t="s">
        <v>302</v>
      </c>
      <c r="C186" s="102" t="s">
        <v>56</v>
      </c>
      <c r="D186" s="99">
        <f>IF(OR(Clientes[[#This Row],[Columna1]]="Pago inmediato",Clientes[[#This Row],[Columna1]]=""),0,SUBSTITUTE(Clientes[[#This Row],[Columna1]]," días",""))</f>
        <v>0</v>
      </c>
      <c r="E186" s="34"/>
      <c r="F186"/>
      <c r="G186" s="77"/>
      <c r="I186"/>
      <c r="J186" s="34"/>
      <c r="K186"/>
    </row>
    <row r="187" spans="1:11">
      <c r="A187" s="102"/>
      <c r="B187" s="102" t="s">
        <v>303</v>
      </c>
      <c r="C187" s="102"/>
      <c r="D187" s="99">
        <f>IF(OR(Clientes[[#This Row],[Columna1]]="Pago inmediato",Clientes[[#This Row],[Columna1]]=""),0,SUBSTITUTE(Clientes[[#This Row],[Columna1]]," días",""))</f>
        <v>0</v>
      </c>
      <c r="E187" s="34"/>
      <c r="F187"/>
      <c r="G187" s="77"/>
      <c r="I187"/>
      <c r="J187" s="34"/>
      <c r="K187"/>
    </row>
    <row r="188" spans="1:11">
      <c r="A188" s="102"/>
      <c r="B188" s="102" t="s">
        <v>304</v>
      </c>
      <c r="C188" s="102"/>
      <c r="D188" s="99">
        <f>IF(OR(Clientes[[#This Row],[Columna1]]="Pago inmediato",Clientes[[#This Row],[Columna1]]=""),0,SUBSTITUTE(Clientes[[#This Row],[Columna1]]," días",""))</f>
        <v>0</v>
      </c>
      <c r="E188" s="34"/>
      <c r="F188"/>
      <c r="G188" s="77"/>
      <c r="I188"/>
      <c r="J188" s="34"/>
      <c r="K188"/>
    </row>
    <row r="189" spans="1:11">
      <c r="A189" s="102"/>
      <c r="B189" s="102" t="s">
        <v>305</v>
      </c>
      <c r="C189" s="102"/>
      <c r="D189" s="99">
        <f>IF(OR(Clientes[[#This Row],[Columna1]]="Pago inmediato",Clientes[[#This Row],[Columna1]]=""),0,SUBSTITUTE(Clientes[[#This Row],[Columna1]]," días",""))</f>
        <v>0</v>
      </c>
      <c r="E189" s="34"/>
      <c r="F189"/>
      <c r="G189" s="77"/>
      <c r="I189"/>
      <c r="J189" s="34"/>
      <c r="K189"/>
    </row>
    <row r="190" spans="1:11">
      <c r="A190" s="102"/>
      <c r="B190" s="102" t="s">
        <v>306</v>
      </c>
      <c r="C190" s="102"/>
      <c r="D190" s="99">
        <f>IF(OR(Clientes[[#This Row],[Columna1]]="Pago inmediato",Clientes[[#This Row],[Columna1]]=""),0,SUBSTITUTE(Clientes[[#This Row],[Columna1]]," días",""))</f>
        <v>0</v>
      </c>
      <c r="E190" s="34"/>
      <c r="F190"/>
      <c r="G190" s="77"/>
      <c r="I190"/>
      <c r="J190" s="34"/>
      <c r="K190"/>
    </row>
    <row r="191" spans="1:11">
      <c r="A191" s="102"/>
      <c r="B191" s="102" t="s">
        <v>307</v>
      </c>
      <c r="C191" s="102"/>
      <c r="D191" s="99">
        <f>IF(OR(Clientes[[#This Row],[Columna1]]="Pago inmediato",Clientes[[#This Row],[Columna1]]=""),0,SUBSTITUTE(Clientes[[#This Row],[Columna1]]," días",""))</f>
        <v>0</v>
      </c>
      <c r="E191" s="34"/>
      <c r="F191"/>
      <c r="G191" s="77"/>
      <c r="I191"/>
      <c r="J191" s="34"/>
      <c r="K191"/>
    </row>
    <row r="192" spans="1:11">
      <c r="A192" s="102"/>
      <c r="B192" s="102" t="s">
        <v>308</v>
      </c>
      <c r="C192" s="102"/>
      <c r="D192" s="99">
        <f>IF(OR(Clientes[[#This Row],[Columna1]]="Pago inmediato",Clientes[[#This Row],[Columna1]]=""),0,SUBSTITUTE(Clientes[[#This Row],[Columna1]]," días",""))</f>
        <v>0</v>
      </c>
      <c r="E192" s="34"/>
      <c r="F192"/>
      <c r="G192" s="77"/>
      <c r="I192"/>
      <c r="J192" s="34"/>
      <c r="K192"/>
    </row>
    <row r="193" spans="1:11">
      <c r="A193" s="102"/>
      <c r="B193" s="102" t="s">
        <v>309</v>
      </c>
      <c r="C193" s="102"/>
      <c r="D193" s="99">
        <f>IF(OR(Clientes[[#This Row],[Columna1]]="Pago inmediato",Clientes[[#This Row],[Columna1]]=""),0,SUBSTITUTE(Clientes[[#This Row],[Columna1]]," días",""))</f>
        <v>0</v>
      </c>
      <c r="E193" s="34"/>
      <c r="F193"/>
      <c r="G193" s="77"/>
      <c r="I193"/>
      <c r="J193" s="34"/>
      <c r="K193"/>
    </row>
    <row r="194" spans="1:11">
      <c r="A194" s="102"/>
      <c r="B194" s="102" t="s">
        <v>310</v>
      </c>
      <c r="C194" s="102"/>
      <c r="D194" s="99">
        <f>IF(OR(Clientes[[#This Row],[Columna1]]="Pago inmediato",Clientes[[#This Row],[Columna1]]=""),0,SUBSTITUTE(Clientes[[#This Row],[Columna1]]," días",""))</f>
        <v>0</v>
      </c>
      <c r="E194" s="34"/>
      <c r="F194"/>
      <c r="G194" s="77"/>
      <c r="I194"/>
      <c r="J194" s="34"/>
      <c r="K194"/>
    </row>
    <row r="195" spans="1:11">
      <c r="A195" s="102"/>
      <c r="B195" s="102" t="s">
        <v>311</v>
      </c>
      <c r="C195" s="102"/>
      <c r="D195" s="99">
        <f>IF(OR(Clientes[[#This Row],[Columna1]]="Pago inmediato",Clientes[[#This Row],[Columna1]]=""),0,SUBSTITUTE(Clientes[[#This Row],[Columna1]]," días",""))</f>
        <v>0</v>
      </c>
      <c r="E195" s="34"/>
      <c r="F195"/>
      <c r="G195" s="77"/>
      <c r="I195"/>
      <c r="J195" s="34"/>
      <c r="K195"/>
    </row>
    <row r="196" ht="30" spans="1:11">
      <c r="A196" s="102"/>
      <c r="B196" s="102" t="s">
        <v>312</v>
      </c>
      <c r="C196" s="102"/>
      <c r="D196" s="99">
        <f>IF(OR(Clientes[[#This Row],[Columna1]]="Pago inmediato",Clientes[[#This Row],[Columna1]]=""),0,SUBSTITUTE(Clientes[[#This Row],[Columna1]]," días",""))</f>
        <v>0</v>
      </c>
      <c r="E196" s="34"/>
      <c r="F196"/>
      <c r="G196" s="77"/>
      <c r="I196"/>
      <c r="J196" s="34"/>
      <c r="K196"/>
    </row>
    <row r="197" spans="1:11">
      <c r="A197" s="102"/>
      <c r="B197" s="102" t="s">
        <v>313</v>
      </c>
      <c r="C197" s="102"/>
      <c r="D197" s="99">
        <f>IF(OR(Clientes[[#This Row],[Columna1]]="Pago inmediato",Clientes[[#This Row],[Columna1]]=""),0,SUBSTITUTE(Clientes[[#This Row],[Columna1]]," días",""))</f>
        <v>0</v>
      </c>
      <c r="E197" s="34"/>
      <c r="F197"/>
      <c r="G197" s="77"/>
      <c r="I197"/>
      <c r="J197" s="34"/>
      <c r="K197"/>
    </row>
    <row r="198" ht="45" spans="1:11">
      <c r="A198" s="102" t="s">
        <v>314</v>
      </c>
      <c r="B198" s="102" t="s">
        <v>315</v>
      </c>
      <c r="C198" s="102" t="s">
        <v>56</v>
      </c>
      <c r="D198" s="99">
        <f>IF(OR(Clientes[[#This Row],[Columna1]]="Pago inmediato",Clientes[[#This Row],[Columna1]]=""),0,SUBSTITUTE(Clientes[[#This Row],[Columna1]]," días",""))</f>
        <v>0</v>
      </c>
      <c r="E198" s="34"/>
      <c r="F198"/>
      <c r="G198" s="77"/>
      <c r="I198"/>
      <c r="J198" s="34"/>
      <c r="K198"/>
    </row>
    <row r="199" ht="30" spans="1:11">
      <c r="A199" s="102" t="s">
        <v>316</v>
      </c>
      <c r="B199" s="102" t="s">
        <v>317</v>
      </c>
      <c r="C199" s="102"/>
      <c r="D199" s="99">
        <f>IF(OR(Clientes[[#This Row],[Columna1]]="Pago inmediato",Clientes[[#This Row],[Columna1]]=""),0,SUBSTITUTE(Clientes[[#This Row],[Columna1]]," días",""))</f>
        <v>0</v>
      </c>
      <c r="E199" s="34"/>
      <c r="F199"/>
      <c r="G199" s="77"/>
      <c r="I199"/>
      <c r="J199" s="34"/>
      <c r="K199"/>
    </row>
    <row r="200" ht="30" spans="1:11">
      <c r="A200" s="102" t="s">
        <v>318</v>
      </c>
      <c r="B200" s="102" t="s">
        <v>319</v>
      </c>
      <c r="C200" s="102" t="s">
        <v>56</v>
      </c>
      <c r="D200" s="99">
        <f>IF(OR(Clientes[[#This Row],[Columna1]]="Pago inmediato",Clientes[[#This Row],[Columna1]]=""),0,SUBSTITUTE(Clientes[[#This Row],[Columna1]]," días",""))</f>
        <v>0</v>
      </c>
      <c r="E200" s="34"/>
      <c r="F200"/>
      <c r="G200" s="77"/>
      <c r="I200"/>
      <c r="J200" s="34"/>
      <c r="K200"/>
    </row>
    <row r="201" spans="1:11">
      <c r="A201" s="102" t="s">
        <v>320</v>
      </c>
      <c r="B201" s="102" t="s">
        <v>321</v>
      </c>
      <c r="C201" s="102" t="s">
        <v>56</v>
      </c>
      <c r="D201" s="99">
        <f>IF(OR(Clientes[[#This Row],[Columna1]]="Pago inmediato",Clientes[[#This Row],[Columna1]]=""),0,SUBSTITUTE(Clientes[[#This Row],[Columna1]]," días",""))</f>
        <v>0</v>
      </c>
      <c r="E201" s="34"/>
      <c r="F201"/>
      <c r="G201" s="77"/>
      <c r="I201"/>
      <c r="J201" s="34"/>
      <c r="K201"/>
    </row>
    <row r="202" ht="30" spans="1:11">
      <c r="A202" s="102" t="s">
        <v>322</v>
      </c>
      <c r="B202" s="102" t="s">
        <v>323</v>
      </c>
      <c r="C202" s="102" t="s">
        <v>56</v>
      </c>
      <c r="D202" s="99">
        <f>IF(OR(Clientes[[#This Row],[Columna1]]="Pago inmediato",Clientes[[#This Row],[Columna1]]=""),0,SUBSTITUTE(Clientes[[#This Row],[Columna1]]," días",""))</f>
        <v>0</v>
      </c>
      <c r="E202" s="34"/>
      <c r="F202"/>
      <c r="G202" s="77"/>
      <c r="I202"/>
      <c r="J202" s="34"/>
      <c r="K202"/>
    </row>
    <row r="203" ht="30" spans="1:11">
      <c r="A203" s="102" t="s">
        <v>324</v>
      </c>
      <c r="B203" s="102" t="s">
        <v>325</v>
      </c>
      <c r="C203" s="102" t="s">
        <v>56</v>
      </c>
      <c r="D203" s="99">
        <f>IF(OR(Clientes[[#This Row],[Columna1]]="Pago inmediato",Clientes[[#This Row],[Columna1]]=""),0,SUBSTITUTE(Clientes[[#This Row],[Columna1]]," días",""))</f>
        <v>0</v>
      </c>
      <c r="E203" s="34"/>
      <c r="F203"/>
      <c r="G203" s="77"/>
      <c r="I203"/>
      <c r="J203" s="34"/>
      <c r="K203"/>
    </row>
    <row r="204" ht="60" spans="1:11">
      <c r="A204" s="102" t="s">
        <v>326</v>
      </c>
      <c r="B204" s="102" t="s">
        <v>327</v>
      </c>
      <c r="C204" s="102" t="s">
        <v>56</v>
      </c>
      <c r="D204" s="99">
        <f>IF(OR(Clientes[[#This Row],[Columna1]]="Pago inmediato",Clientes[[#This Row],[Columna1]]=""),0,SUBSTITUTE(Clientes[[#This Row],[Columna1]]," días",""))</f>
        <v>0</v>
      </c>
      <c r="E204" s="34"/>
      <c r="F204"/>
      <c r="G204" s="77"/>
      <c r="I204"/>
      <c r="J204" s="34"/>
      <c r="K204"/>
    </row>
    <row r="205" ht="30" spans="1:11">
      <c r="A205" s="102" t="s">
        <v>328</v>
      </c>
      <c r="B205" s="102" t="s">
        <v>329</v>
      </c>
      <c r="C205" s="102" t="s">
        <v>56</v>
      </c>
      <c r="D205" s="99">
        <f>IF(OR(Clientes[[#This Row],[Columna1]]="Pago inmediato",Clientes[[#This Row],[Columna1]]=""),0,SUBSTITUTE(Clientes[[#This Row],[Columna1]]," días",""))</f>
        <v>0</v>
      </c>
      <c r="E205" s="34"/>
      <c r="F205"/>
      <c r="G205" s="77"/>
      <c r="I205"/>
      <c r="J205" s="34"/>
      <c r="K205"/>
    </row>
    <row r="206" ht="30" spans="1:11">
      <c r="A206" s="102" t="s">
        <v>330</v>
      </c>
      <c r="B206" s="102" t="s">
        <v>331</v>
      </c>
      <c r="C206" s="102" t="s">
        <v>56</v>
      </c>
      <c r="D206" s="99">
        <f>IF(OR(Clientes[[#This Row],[Columna1]]="Pago inmediato",Clientes[[#This Row],[Columna1]]=""),0,SUBSTITUTE(Clientes[[#This Row],[Columna1]]," días",""))</f>
        <v>0</v>
      </c>
      <c r="E206" s="34"/>
      <c r="F206"/>
      <c r="G206" s="77"/>
      <c r="I206"/>
      <c r="J206" s="34"/>
      <c r="K206"/>
    </row>
    <row r="207" ht="30" spans="1:11">
      <c r="A207" s="102" t="s">
        <v>332</v>
      </c>
      <c r="B207" s="102" t="s">
        <v>333</v>
      </c>
      <c r="C207" s="102" t="s">
        <v>56</v>
      </c>
      <c r="D207" s="99">
        <f>IF(OR(Clientes[[#This Row],[Columna1]]="Pago inmediato",Clientes[[#This Row],[Columna1]]=""),0,SUBSTITUTE(Clientes[[#This Row],[Columna1]]," días",""))</f>
        <v>0</v>
      </c>
      <c r="E207" s="34"/>
      <c r="F207"/>
      <c r="G207" s="77"/>
      <c r="I207"/>
      <c r="J207" s="34"/>
      <c r="K207"/>
    </row>
    <row r="208" ht="30" spans="1:11">
      <c r="A208" s="102" t="s">
        <v>334</v>
      </c>
      <c r="B208" s="102" t="s">
        <v>335</v>
      </c>
      <c r="C208" s="102" t="s">
        <v>56</v>
      </c>
      <c r="D208" s="99">
        <f>IF(OR(Clientes[[#This Row],[Columna1]]="Pago inmediato",Clientes[[#This Row],[Columna1]]=""),0,SUBSTITUTE(Clientes[[#This Row],[Columna1]]," días",""))</f>
        <v>0</v>
      </c>
      <c r="E208" s="34"/>
      <c r="F208"/>
      <c r="G208" s="77"/>
      <c r="I208"/>
      <c r="J208" s="34"/>
      <c r="K208"/>
    </row>
    <row r="209" ht="30" spans="1:11">
      <c r="A209" s="102" t="s">
        <v>334</v>
      </c>
      <c r="B209" s="102" t="s">
        <v>336</v>
      </c>
      <c r="C209" s="102" t="s">
        <v>56</v>
      </c>
      <c r="D209" s="99">
        <f>IF(OR(Clientes[[#This Row],[Columna1]]="Pago inmediato",Clientes[[#This Row],[Columna1]]=""),0,SUBSTITUTE(Clientes[[#This Row],[Columna1]]," días",""))</f>
        <v>0</v>
      </c>
      <c r="E209" s="34"/>
      <c r="F209"/>
      <c r="G209" s="77"/>
      <c r="I209"/>
      <c r="J209" s="34"/>
      <c r="K209"/>
    </row>
    <row r="210" ht="30" spans="1:11">
      <c r="A210" s="102" t="s">
        <v>337</v>
      </c>
      <c r="B210" s="102" t="s">
        <v>338</v>
      </c>
      <c r="C210" s="102" t="s">
        <v>56</v>
      </c>
      <c r="D210" s="99">
        <f>IF(OR(Clientes[[#This Row],[Columna1]]="Pago inmediato",Clientes[[#This Row],[Columna1]]=""),0,SUBSTITUTE(Clientes[[#This Row],[Columna1]]," días",""))</f>
        <v>0</v>
      </c>
      <c r="E210" s="34"/>
      <c r="F210"/>
      <c r="G210" s="77"/>
      <c r="I210"/>
      <c r="J210" s="34"/>
      <c r="K210"/>
    </row>
    <row r="211" ht="30" spans="1:11">
      <c r="A211" s="102" t="s">
        <v>339</v>
      </c>
      <c r="B211" s="102" t="s">
        <v>340</v>
      </c>
      <c r="C211" s="102" t="s">
        <v>56</v>
      </c>
      <c r="D211" s="99">
        <f>IF(OR(Clientes[[#This Row],[Columna1]]="Pago inmediato",Clientes[[#This Row],[Columna1]]=""),0,SUBSTITUTE(Clientes[[#This Row],[Columna1]]," días",""))</f>
        <v>0</v>
      </c>
      <c r="E211" s="34"/>
      <c r="F211"/>
      <c r="G211" s="77"/>
      <c r="I211"/>
      <c r="J211" s="34"/>
      <c r="K211"/>
    </row>
    <row r="212" ht="30" spans="1:11">
      <c r="A212" s="102" t="s">
        <v>339</v>
      </c>
      <c r="B212" s="102" t="s">
        <v>341</v>
      </c>
      <c r="C212" s="102" t="s">
        <v>56</v>
      </c>
      <c r="D212" s="99">
        <f>IF(OR(Clientes[[#This Row],[Columna1]]="Pago inmediato",Clientes[[#This Row],[Columna1]]=""),0,SUBSTITUTE(Clientes[[#This Row],[Columna1]]," días",""))</f>
        <v>0</v>
      </c>
      <c r="E212" s="34"/>
      <c r="F212"/>
      <c r="G212" s="77"/>
      <c r="I212"/>
      <c r="J212" s="34"/>
      <c r="K212"/>
    </row>
    <row r="213" ht="30" spans="1:11">
      <c r="A213" s="102" t="s">
        <v>342</v>
      </c>
      <c r="B213" s="102" t="s">
        <v>343</v>
      </c>
      <c r="C213" s="102" t="s">
        <v>56</v>
      </c>
      <c r="D213" s="99">
        <f>IF(OR(Clientes[[#This Row],[Columna1]]="Pago inmediato",Clientes[[#This Row],[Columna1]]=""),0,SUBSTITUTE(Clientes[[#This Row],[Columna1]]," días",""))</f>
        <v>0</v>
      </c>
      <c r="E213" s="34"/>
      <c r="F213"/>
      <c r="G213" s="77"/>
      <c r="I213"/>
      <c r="J213" s="34"/>
      <c r="K213"/>
    </row>
    <row r="214" ht="30" spans="1:11">
      <c r="A214" s="102" t="s">
        <v>344</v>
      </c>
      <c r="B214" s="102" t="s">
        <v>345</v>
      </c>
      <c r="C214" s="102" t="s">
        <v>56</v>
      </c>
      <c r="D214" s="99">
        <f>IF(OR(Clientes[[#This Row],[Columna1]]="Pago inmediato",Clientes[[#This Row],[Columna1]]=""),0,SUBSTITUTE(Clientes[[#This Row],[Columna1]]," días",""))</f>
        <v>0</v>
      </c>
      <c r="E214" s="34"/>
      <c r="F214"/>
      <c r="G214" s="77"/>
      <c r="I214"/>
      <c r="J214" s="34"/>
      <c r="K214"/>
    </row>
    <row r="215" ht="30" spans="1:11">
      <c r="A215" s="102" t="s">
        <v>344</v>
      </c>
      <c r="B215" s="102" t="s">
        <v>346</v>
      </c>
      <c r="C215" s="102" t="s">
        <v>56</v>
      </c>
      <c r="D215" s="99">
        <f>IF(OR(Clientes[[#This Row],[Columna1]]="Pago inmediato",Clientes[[#This Row],[Columna1]]=""),0,SUBSTITUTE(Clientes[[#This Row],[Columna1]]," días",""))</f>
        <v>0</v>
      </c>
      <c r="E215" s="34"/>
      <c r="F215"/>
      <c r="G215" s="77"/>
      <c r="I215"/>
      <c r="J215" s="34"/>
      <c r="K215"/>
    </row>
    <row r="216" ht="45" spans="1:11">
      <c r="A216" s="102" t="s">
        <v>347</v>
      </c>
      <c r="B216" s="102" t="s">
        <v>348</v>
      </c>
      <c r="C216" s="102" t="s">
        <v>56</v>
      </c>
      <c r="D216" s="99">
        <f>IF(OR(Clientes[[#This Row],[Columna1]]="Pago inmediato",Clientes[[#This Row],[Columna1]]=""),0,SUBSTITUTE(Clientes[[#This Row],[Columna1]]," días",""))</f>
        <v>0</v>
      </c>
      <c r="E216" s="34"/>
      <c r="F216"/>
      <c r="G216" s="77"/>
      <c r="I216"/>
      <c r="J216" s="34"/>
      <c r="K216"/>
    </row>
    <row r="217" spans="1:11">
      <c r="A217" s="102"/>
      <c r="B217" s="102" t="s">
        <v>349</v>
      </c>
      <c r="C217" s="102" t="s">
        <v>56</v>
      </c>
      <c r="D217" s="99">
        <f>IF(OR(Clientes[[#This Row],[Columna1]]="Pago inmediato",Clientes[[#This Row],[Columna1]]=""),0,SUBSTITUTE(Clientes[[#This Row],[Columna1]]," días",""))</f>
        <v>0</v>
      </c>
      <c r="E217" s="34"/>
      <c r="F217"/>
      <c r="G217" s="77"/>
      <c r="I217"/>
      <c r="J217" s="34"/>
      <c r="K217"/>
    </row>
    <row r="218" ht="30" spans="1:11">
      <c r="A218" s="102" t="s">
        <v>350</v>
      </c>
      <c r="B218" s="102" t="s">
        <v>351</v>
      </c>
      <c r="C218" s="102" t="s">
        <v>56</v>
      </c>
      <c r="D218" s="99">
        <f>IF(OR(Clientes[[#This Row],[Columna1]]="Pago inmediato",Clientes[[#This Row],[Columna1]]=""),0,SUBSTITUTE(Clientes[[#This Row],[Columna1]]," días",""))</f>
        <v>0</v>
      </c>
      <c r="E218" s="34"/>
      <c r="F218"/>
      <c r="G218" s="77"/>
      <c r="I218"/>
      <c r="J218" s="34"/>
      <c r="K218"/>
    </row>
    <row r="219" ht="30" spans="1:11">
      <c r="A219" s="102" t="s">
        <v>352</v>
      </c>
      <c r="B219" s="102" t="s">
        <v>353</v>
      </c>
      <c r="C219" s="102" t="s">
        <v>56</v>
      </c>
      <c r="D219" s="99">
        <f>IF(OR(Clientes[[#This Row],[Columna1]]="Pago inmediato",Clientes[[#This Row],[Columna1]]=""),0,SUBSTITUTE(Clientes[[#This Row],[Columna1]]," días",""))</f>
        <v>0</v>
      </c>
      <c r="E219" s="34"/>
      <c r="F219"/>
      <c r="G219" s="77"/>
      <c r="I219"/>
      <c r="J219" s="34"/>
      <c r="K219"/>
    </row>
    <row r="220" ht="45" spans="1:11">
      <c r="A220" s="102" t="s">
        <v>354</v>
      </c>
      <c r="B220" s="102" t="s">
        <v>355</v>
      </c>
      <c r="C220" s="102" t="s">
        <v>56</v>
      </c>
      <c r="D220" s="99">
        <f>IF(OR(Clientes[[#This Row],[Columna1]]="Pago inmediato",Clientes[[#This Row],[Columna1]]=""),0,SUBSTITUTE(Clientes[[#This Row],[Columna1]]," días",""))</f>
        <v>0</v>
      </c>
      <c r="E220" s="34"/>
      <c r="F220"/>
      <c r="G220" s="77"/>
      <c r="I220"/>
      <c r="J220" s="34"/>
      <c r="K220"/>
    </row>
    <row r="221" spans="1:11">
      <c r="A221" s="102" t="s">
        <v>356</v>
      </c>
      <c r="B221" s="102" t="s">
        <v>357</v>
      </c>
      <c r="C221" s="102" t="s">
        <v>56</v>
      </c>
      <c r="D221" s="99">
        <f>IF(OR(Clientes[[#This Row],[Columna1]]="Pago inmediato",Clientes[[#This Row],[Columna1]]=""),0,SUBSTITUTE(Clientes[[#This Row],[Columna1]]," días",""))</f>
        <v>0</v>
      </c>
      <c r="E221" s="34"/>
      <c r="F221"/>
      <c r="G221" s="77"/>
      <c r="I221"/>
      <c r="J221" s="34"/>
      <c r="K221"/>
    </row>
    <row r="222" ht="30" spans="1:11">
      <c r="A222" s="102" t="s">
        <v>358</v>
      </c>
      <c r="B222" s="102" t="s">
        <v>359</v>
      </c>
      <c r="C222" s="102" t="s">
        <v>56</v>
      </c>
      <c r="D222" s="99">
        <f>IF(OR(Clientes[[#This Row],[Columna1]]="Pago inmediato",Clientes[[#This Row],[Columna1]]=""),0,SUBSTITUTE(Clientes[[#This Row],[Columna1]]," días",""))</f>
        <v>0</v>
      </c>
      <c r="E222" s="34"/>
      <c r="F222"/>
      <c r="G222" s="77"/>
      <c r="I222"/>
      <c r="J222" s="34"/>
      <c r="K222"/>
    </row>
    <row r="223" ht="45" spans="1:11">
      <c r="A223" s="102" t="s">
        <v>358</v>
      </c>
      <c r="B223" s="102" t="s">
        <v>360</v>
      </c>
      <c r="C223" s="102" t="s">
        <v>56</v>
      </c>
      <c r="D223" s="99">
        <f>IF(OR(Clientes[[#This Row],[Columna1]]="Pago inmediato",Clientes[[#This Row],[Columna1]]=""),0,SUBSTITUTE(Clientes[[#This Row],[Columna1]]," días",""))</f>
        <v>0</v>
      </c>
      <c r="E223" s="34"/>
      <c r="F223"/>
      <c r="G223" s="77"/>
      <c r="I223"/>
      <c r="J223" s="34"/>
      <c r="K223"/>
    </row>
    <row r="224" spans="1:11">
      <c r="A224" s="102" t="s">
        <v>361</v>
      </c>
      <c r="B224" s="102" t="s">
        <v>362</v>
      </c>
      <c r="C224" s="102" t="s">
        <v>56</v>
      </c>
      <c r="D224" s="99">
        <f>IF(OR(Clientes[[#This Row],[Columna1]]="Pago inmediato",Clientes[[#This Row],[Columna1]]=""),0,SUBSTITUTE(Clientes[[#This Row],[Columna1]]," días",""))</f>
        <v>0</v>
      </c>
      <c r="E224" s="34"/>
      <c r="F224"/>
      <c r="G224" s="77"/>
      <c r="I224"/>
      <c r="J224" s="34"/>
      <c r="K224"/>
    </row>
    <row r="225" ht="45" spans="1:11">
      <c r="A225" s="102" t="s">
        <v>363</v>
      </c>
      <c r="B225" s="102" t="s">
        <v>364</v>
      </c>
      <c r="C225" s="102" t="s">
        <v>56</v>
      </c>
      <c r="D225" s="99">
        <f>IF(OR(Clientes[[#This Row],[Columna1]]="Pago inmediato",Clientes[[#This Row],[Columna1]]=""),0,SUBSTITUTE(Clientes[[#This Row],[Columna1]]," días",""))</f>
        <v>0</v>
      </c>
      <c r="E225" s="34"/>
      <c r="F225"/>
      <c r="G225" s="77"/>
      <c r="I225"/>
      <c r="J225" s="34"/>
      <c r="K225"/>
    </row>
    <row r="226" ht="45" spans="1:11">
      <c r="A226" s="102" t="s">
        <v>365</v>
      </c>
      <c r="B226" s="102" t="s">
        <v>366</v>
      </c>
      <c r="C226" s="102" t="s">
        <v>56</v>
      </c>
      <c r="D226" s="99">
        <f>IF(OR(Clientes[[#This Row],[Columna1]]="Pago inmediato",Clientes[[#This Row],[Columna1]]=""),0,SUBSTITUTE(Clientes[[#This Row],[Columna1]]," días",""))</f>
        <v>0</v>
      </c>
      <c r="E226" s="34"/>
      <c r="F226"/>
      <c r="G226" s="77"/>
      <c r="I226"/>
      <c r="J226" s="34"/>
      <c r="K226"/>
    </row>
    <row r="227" spans="1:11">
      <c r="A227" s="102" t="s">
        <v>367</v>
      </c>
      <c r="B227" s="102" t="s">
        <v>368</v>
      </c>
      <c r="C227" s="102" t="s">
        <v>56</v>
      </c>
      <c r="D227" s="99">
        <f>IF(OR(Clientes[[#This Row],[Columna1]]="Pago inmediato",Clientes[[#This Row],[Columna1]]=""),0,SUBSTITUTE(Clientes[[#This Row],[Columna1]]," días",""))</f>
        <v>0</v>
      </c>
      <c r="E227" s="34"/>
      <c r="F227"/>
      <c r="G227" s="77"/>
      <c r="I227"/>
      <c r="J227" s="34"/>
      <c r="K227"/>
    </row>
    <row r="228" ht="30" spans="1:11">
      <c r="A228" s="102" t="s">
        <v>367</v>
      </c>
      <c r="B228" s="102" t="s">
        <v>369</v>
      </c>
      <c r="C228" s="102" t="s">
        <v>56</v>
      </c>
      <c r="D228" s="99">
        <f>IF(OR(Clientes[[#This Row],[Columna1]]="Pago inmediato",Clientes[[#This Row],[Columna1]]=""),0,SUBSTITUTE(Clientes[[#This Row],[Columna1]]," días",""))</f>
        <v>0</v>
      </c>
      <c r="E228" s="34"/>
      <c r="F228"/>
      <c r="G228" s="77"/>
      <c r="I228"/>
      <c r="J228" s="34"/>
      <c r="K228"/>
    </row>
    <row r="229" ht="30" spans="1:11">
      <c r="A229" s="102" t="s">
        <v>370</v>
      </c>
      <c r="B229" s="102" t="s">
        <v>371</v>
      </c>
      <c r="C229" s="102" t="s">
        <v>56</v>
      </c>
      <c r="D229" s="99">
        <f>IF(OR(Clientes[[#This Row],[Columna1]]="Pago inmediato",Clientes[[#This Row],[Columna1]]=""),0,SUBSTITUTE(Clientes[[#This Row],[Columna1]]," días",""))</f>
        <v>0</v>
      </c>
      <c r="E229" s="34"/>
      <c r="F229"/>
      <c r="G229" s="77"/>
      <c r="I229"/>
      <c r="J229" s="34"/>
      <c r="K229"/>
    </row>
    <row r="230" ht="30" spans="1:11">
      <c r="A230" s="102" t="s">
        <v>372</v>
      </c>
      <c r="B230" s="102" t="s">
        <v>373</v>
      </c>
      <c r="C230" s="102" t="s">
        <v>56</v>
      </c>
      <c r="D230" s="99">
        <f>IF(OR(Clientes[[#This Row],[Columna1]]="Pago inmediato",Clientes[[#This Row],[Columna1]]=""),0,SUBSTITUTE(Clientes[[#This Row],[Columna1]]," días",""))</f>
        <v>0</v>
      </c>
      <c r="E230" s="34"/>
      <c r="F230"/>
      <c r="G230" s="77"/>
      <c r="I230"/>
      <c r="J230" s="34"/>
      <c r="K230"/>
    </row>
    <row r="231" spans="1:11">
      <c r="A231" s="102"/>
      <c r="B231" s="102" t="s">
        <v>374</v>
      </c>
      <c r="C231" s="102" t="s">
        <v>56</v>
      </c>
      <c r="D231" s="99">
        <f>IF(OR(Clientes[[#This Row],[Columna1]]="Pago inmediato",Clientes[[#This Row],[Columna1]]=""),0,SUBSTITUTE(Clientes[[#This Row],[Columna1]]," días",""))</f>
        <v>0</v>
      </c>
      <c r="E231" s="34"/>
      <c r="F231"/>
      <c r="G231" s="77"/>
      <c r="I231"/>
      <c r="J231" s="34"/>
      <c r="K231"/>
    </row>
    <row r="232" spans="1:11">
      <c r="A232" s="102"/>
      <c r="B232" s="102" t="s">
        <v>375</v>
      </c>
      <c r="C232" s="102"/>
      <c r="D232" s="99">
        <f>IF(OR(Clientes[[#This Row],[Columna1]]="Pago inmediato",Clientes[[#This Row],[Columna1]]=""),0,SUBSTITUTE(Clientes[[#This Row],[Columna1]]," días",""))</f>
        <v>0</v>
      </c>
      <c r="E232" s="34"/>
      <c r="F232"/>
      <c r="G232" s="77"/>
      <c r="I232"/>
      <c r="J232" s="34"/>
      <c r="K232"/>
    </row>
    <row r="233" spans="1:11">
      <c r="A233" s="102" t="s">
        <v>376</v>
      </c>
      <c r="B233" s="102" t="s">
        <v>377</v>
      </c>
      <c r="C233" s="102"/>
      <c r="D233" s="99">
        <f>IF(OR(Clientes[[#This Row],[Columna1]]="Pago inmediato",Clientes[[#This Row],[Columna1]]=""),0,SUBSTITUTE(Clientes[[#This Row],[Columna1]]," días",""))</f>
        <v>0</v>
      </c>
      <c r="E233" s="34"/>
      <c r="F233"/>
      <c r="G233" s="77"/>
      <c r="I233"/>
      <c r="J233" s="34"/>
      <c r="K233"/>
    </row>
    <row r="234" ht="30" spans="1:11">
      <c r="A234" s="102" t="s">
        <v>378</v>
      </c>
      <c r="B234" s="102" t="s">
        <v>379</v>
      </c>
      <c r="C234" s="102" t="s">
        <v>56</v>
      </c>
      <c r="D234" s="99">
        <f>IF(OR(Clientes[[#This Row],[Columna1]]="Pago inmediato",Clientes[[#This Row],[Columna1]]=""),0,SUBSTITUTE(Clientes[[#This Row],[Columna1]]," días",""))</f>
        <v>0</v>
      </c>
      <c r="E234" s="34"/>
      <c r="F234"/>
      <c r="G234" s="77"/>
      <c r="I234"/>
      <c r="J234" s="34"/>
      <c r="K234"/>
    </row>
    <row r="235" spans="1:11">
      <c r="A235" s="102" t="s">
        <v>380</v>
      </c>
      <c r="B235" s="102" t="s">
        <v>381</v>
      </c>
      <c r="C235" s="102" t="s">
        <v>56</v>
      </c>
      <c r="D235" s="99">
        <f>IF(OR(Clientes[[#This Row],[Columna1]]="Pago inmediato",Clientes[[#This Row],[Columna1]]=""),0,SUBSTITUTE(Clientes[[#This Row],[Columna1]]," días",""))</f>
        <v>0</v>
      </c>
      <c r="E235" s="34"/>
      <c r="F235"/>
      <c r="G235" s="77"/>
      <c r="I235"/>
      <c r="J235" s="34"/>
      <c r="K235"/>
    </row>
    <row r="236" ht="30" spans="1:11">
      <c r="A236" s="102" t="s">
        <v>382</v>
      </c>
      <c r="B236" s="102" t="s">
        <v>383</v>
      </c>
      <c r="C236" s="102" t="s">
        <v>56</v>
      </c>
      <c r="D236" s="99">
        <f>IF(OR(Clientes[[#This Row],[Columna1]]="Pago inmediato",Clientes[[#This Row],[Columna1]]=""),0,SUBSTITUTE(Clientes[[#This Row],[Columna1]]," días",""))</f>
        <v>0</v>
      </c>
      <c r="E236" s="34"/>
      <c r="F236"/>
      <c r="G236" s="77"/>
      <c r="I236"/>
      <c r="J236" s="34"/>
      <c r="K236"/>
    </row>
    <row r="237" ht="30" spans="1:11">
      <c r="A237" s="102" t="s">
        <v>384</v>
      </c>
      <c r="B237" s="102" t="s">
        <v>385</v>
      </c>
      <c r="C237" s="102"/>
      <c r="D237" s="99">
        <f>IF(OR(Clientes[[#This Row],[Columna1]]="Pago inmediato",Clientes[[#This Row],[Columna1]]=""),0,SUBSTITUTE(Clientes[[#This Row],[Columna1]]," días",""))</f>
        <v>0</v>
      </c>
      <c r="E237" s="34"/>
      <c r="F237"/>
      <c r="G237" s="77"/>
      <c r="I237"/>
      <c r="J237" s="34"/>
      <c r="K237"/>
    </row>
    <row r="238" ht="45" spans="1:11">
      <c r="A238" s="102" t="s">
        <v>386</v>
      </c>
      <c r="B238" s="102" t="s">
        <v>387</v>
      </c>
      <c r="C238" s="102" t="s">
        <v>56</v>
      </c>
      <c r="D238" s="99">
        <f>IF(OR(Clientes[[#This Row],[Columna1]]="Pago inmediato",Clientes[[#This Row],[Columna1]]=""),0,SUBSTITUTE(Clientes[[#This Row],[Columna1]]," días",""))</f>
        <v>0</v>
      </c>
      <c r="E238" s="34"/>
      <c r="F238"/>
      <c r="G238" s="77"/>
      <c r="I238"/>
      <c r="J238" s="34"/>
      <c r="K238"/>
    </row>
    <row r="239" ht="30" spans="1:11">
      <c r="A239" s="102" t="s">
        <v>388</v>
      </c>
      <c r="B239" s="102" t="s">
        <v>389</v>
      </c>
      <c r="C239" s="102" t="s">
        <v>56</v>
      </c>
      <c r="D239" s="99">
        <f>IF(OR(Clientes[[#This Row],[Columna1]]="Pago inmediato",Clientes[[#This Row],[Columna1]]=""),0,SUBSTITUTE(Clientes[[#This Row],[Columna1]]," días",""))</f>
        <v>0</v>
      </c>
      <c r="E239" s="34"/>
      <c r="F239"/>
      <c r="G239" s="77"/>
      <c r="I239"/>
      <c r="J239" s="34"/>
      <c r="K239"/>
    </row>
    <row r="240" ht="30" spans="1:11">
      <c r="A240" s="102" t="s">
        <v>390</v>
      </c>
      <c r="B240" s="102" t="s">
        <v>391</v>
      </c>
      <c r="C240" s="102" t="s">
        <v>56</v>
      </c>
      <c r="D240" s="99">
        <f>IF(OR(Clientes[[#This Row],[Columna1]]="Pago inmediato",Clientes[[#This Row],[Columna1]]=""),0,SUBSTITUTE(Clientes[[#This Row],[Columna1]]," días",""))</f>
        <v>0</v>
      </c>
      <c r="E240" s="34"/>
      <c r="F240"/>
      <c r="G240" s="77"/>
      <c r="I240"/>
      <c r="J240" s="34"/>
      <c r="K240"/>
    </row>
    <row r="241" ht="30" spans="1:11">
      <c r="A241" s="102" t="s">
        <v>390</v>
      </c>
      <c r="B241" s="102" t="s">
        <v>392</v>
      </c>
      <c r="C241" s="102" t="s">
        <v>56</v>
      </c>
      <c r="D241" s="99">
        <f>IF(OR(Clientes[[#This Row],[Columna1]]="Pago inmediato",Clientes[[#This Row],[Columna1]]=""),0,SUBSTITUTE(Clientes[[#This Row],[Columna1]]," días",""))</f>
        <v>0</v>
      </c>
      <c r="E241" s="34"/>
      <c r="F241"/>
      <c r="G241" s="77"/>
      <c r="I241"/>
      <c r="J241" s="34"/>
      <c r="K241"/>
    </row>
    <row r="242" ht="30" spans="1:11">
      <c r="A242" s="102" t="s">
        <v>393</v>
      </c>
      <c r="B242" s="102" t="s">
        <v>394</v>
      </c>
      <c r="C242" s="102"/>
      <c r="D242" s="99">
        <f>IF(OR(Clientes[[#This Row],[Columna1]]="Pago inmediato",Clientes[[#This Row],[Columna1]]=""),0,SUBSTITUTE(Clientes[[#This Row],[Columna1]]," días",""))</f>
        <v>0</v>
      </c>
      <c r="E242" s="34"/>
      <c r="F242"/>
      <c r="G242" s="77"/>
      <c r="I242"/>
      <c r="J242" s="34"/>
      <c r="K242"/>
    </row>
    <row r="243" ht="75" spans="1:11">
      <c r="A243" s="102" t="s">
        <v>395</v>
      </c>
      <c r="B243" s="102" t="s">
        <v>396</v>
      </c>
      <c r="C243" s="102" t="s">
        <v>56</v>
      </c>
      <c r="D243" s="99">
        <f>IF(OR(Clientes[[#This Row],[Columna1]]="Pago inmediato",Clientes[[#This Row],[Columna1]]=""),0,SUBSTITUTE(Clientes[[#This Row],[Columna1]]," días",""))</f>
        <v>0</v>
      </c>
      <c r="E243" s="34"/>
      <c r="F243"/>
      <c r="G243" s="77"/>
      <c r="I243"/>
      <c r="J243" s="34"/>
      <c r="K243"/>
    </row>
    <row r="244" ht="30" spans="1:11">
      <c r="A244" s="102" t="s">
        <v>397</v>
      </c>
      <c r="B244" s="102" t="s">
        <v>398</v>
      </c>
      <c r="C244" s="102" t="s">
        <v>56</v>
      </c>
      <c r="D244" s="99">
        <f>IF(OR(Clientes[[#This Row],[Columna1]]="Pago inmediato",Clientes[[#This Row],[Columna1]]=""),0,SUBSTITUTE(Clientes[[#This Row],[Columna1]]," días",""))</f>
        <v>0</v>
      </c>
      <c r="E244" s="34"/>
      <c r="F244"/>
      <c r="G244" s="77"/>
      <c r="I244"/>
      <c r="J244" s="34"/>
      <c r="K244"/>
    </row>
    <row r="245" spans="1:11">
      <c r="A245" s="102" t="s">
        <v>399</v>
      </c>
      <c r="B245" s="102" t="s">
        <v>400</v>
      </c>
      <c r="C245" s="102" t="s">
        <v>282</v>
      </c>
      <c r="D245" s="99" t="str">
        <f>IF(OR(Clientes[[#This Row],[Columna1]]="Pago inmediato",Clientes[[#This Row],[Columna1]]=""),0,SUBSTITUTE(Clientes[[#This Row],[Columna1]]," días",""))</f>
        <v>10</v>
      </c>
      <c r="E245" s="34"/>
      <c r="F245"/>
      <c r="G245" s="77"/>
      <c r="I245"/>
      <c r="J245" s="34"/>
      <c r="K245"/>
    </row>
    <row r="246" ht="45" spans="1:11">
      <c r="A246" s="102" t="s">
        <v>401</v>
      </c>
      <c r="B246" s="102" t="s">
        <v>402</v>
      </c>
      <c r="C246" s="102" t="s">
        <v>56</v>
      </c>
      <c r="D246" s="99">
        <f>IF(OR(Clientes[[#This Row],[Columna1]]="Pago inmediato",Clientes[[#This Row],[Columna1]]=""),0,SUBSTITUTE(Clientes[[#This Row],[Columna1]]," días",""))</f>
        <v>0</v>
      </c>
      <c r="E246" s="34"/>
      <c r="F246"/>
      <c r="G246" s="77"/>
      <c r="I246"/>
      <c r="J246" s="34"/>
      <c r="K246"/>
    </row>
    <row r="247" ht="30" spans="1:11">
      <c r="A247" s="102" t="s">
        <v>403</v>
      </c>
      <c r="B247" s="102" t="s">
        <v>404</v>
      </c>
      <c r="C247" s="102" t="s">
        <v>56</v>
      </c>
      <c r="D247" s="99">
        <f>IF(OR(Clientes[[#This Row],[Columna1]]="Pago inmediato",Clientes[[#This Row],[Columna1]]=""),0,SUBSTITUTE(Clientes[[#This Row],[Columna1]]," días",""))</f>
        <v>0</v>
      </c>
      <c r="E247" s="34"/>
      <c r="F247"/>
      <c r="G247" s="77"/>
      <c r="I247"/>
      <c r="J247" s="34"/>
      <c r="K247"/>
    </row>
    <row r="248" ht="30" spans="1:11">
      <c r="A248" s="102" t="s">
        <v>405</v>
      </c>
      <c r="B248" s="102" t="s">
        <v>406</v>
      </c>
      <c r="C248" s="102" t="s">
        <v>56</v>
      </c>
      <c r="D248" s="99">
        <f>IF(OR(Clientes[[#This Row],[Columna1]]="Pago inmediato",Clientes[[#This Row],[Columna1]]=""),0,SUBSTITUTE(Clientes[[#This Row],[Columna1]]," días",""))</f>
        <v>0</v>
      </c>
      <c r="E248" s="34"/>
      <c r="F248"/>
      <c r="G248" s="77"/>
      <c r="I248"/>
      <c r="J248" s="34"/>
      <c r="K248"/>
    </row>
    <row r="249" ht="30" spans="1:11">
      <c r="A249" s="102" t="s">
        <v>407</v>
      </c>
      <c r="B249" s="102" t="s">
        <v>408</v>
      </c>
      <c r="C249" s="102"/>
      <c r="D249" s="99">
        <f>IF(OR(Clientes[[#This Row],[Columna1]]="Pago inmediato",Clientes[[#This Row],[Columna1]]=""),0,SUBSTITUTE(Clientes[[#This Row],[Columna1]]," días",""))</f>
        <v>0</v>
      </c>
      <c r="E249" s="34"/>
      <c r="F249"/>
      <c r="G249" s="77"/>
      <c r="I249"/>
      <c r="J249" s="34"/>
      <c r="K249"/>
    </row>
    <row r="250" ht="30" spans="1:11">
      <c r="A250" s="102" t="s">
        <v>409</v>
      </c>
      <c r="B250" s="102" t="s">
        <v>410</v>
      </c>
      <c r="C250" s="102" t="s">
        <v>54</v>
      </c>
      <c r="D250" s="99" t="str">
        <f>IF(OR(Clientes[[#This Row],[Columna1]]="Pago inmediato",Clientes[[#This Row],[Columna1]]=""),0,SUBSTITUTE(Clientes[[#This Row],[Columna1]]," días",""))</f>
        <v>7</v>
      </c>
      <c r="E250" s="34"/>
      <c r="F250"/>
      <c r="G250" s="77"/>
      <c r="I250"/>
      <c r="J250" s="34"/>
      <c r="K250"/>
    </row>
    <row r="251" ht="30" spans="1:11">
      <c r="A251" s="102" t="s">
        <v>411</v>
      </c>
      <c r="B251" s="102" t="s">
        <v>412</v>
      </c>
      <c r="C251" s="102" t="s">
        <v>56</v>
      </c>
      <c r="D251" s="99">
        <f>IF(OR(Clientes[[#This Row],[Columna1]]="Pago inmediato",Clientes[[#This Row],[Columna1]]=""),0,SUBSTITUTE(Clientes[[#This Row],[Columna1]]," días",""))</f>
        <v>0</v>
      </c>
      <c r="E251" s="34"/>
      <c r="F251"/>
      <c r="G251" s="77"/>
      <c r="I251"/>
      <c r="J251" s="34"/>
      <c r="K251"/>
    </row>
    <row r="252" spans="1:11">
      <c r="A252" s="102" t="s">
        <v>413</v>
      </c>
      <c r="B252" s="102" t="s">
        <v>414</v>
      </c>
      <c r="C252" s="102" t="s">
        <v>56</v>
      </c>
      <c r="D252" s="99">
        <f>IF(OR(Clientes[[#This Row],[Columna1]]="Pago inmediato",Clientes[[#This Row],[Columna1]]=""),0,SUBSTITUTE(Clientes[[#This Row],[Columna1]]," días",""))</f>
        <v>0</v>
      </c>
      <c r="E252" s="34"/>
      <c r="F252"/>
      <c r="G252" s="77"/>
      <c r="I252"/>
      <c r="J252" s="34"/>
      <c r="K252"/>
    </row>
    <row r="253" spans="1:11">
      <c r="A253" s="102" t="s">
        <v>415</v>
      </c>
      <c r="B253" s="102" t="s">
        <v>416</v>
      </c>
      <c r="C253" s="102" t="s">
        <v>56</v>
      </c>
      <c r="D253" s="99">
        <f>IF(OR(Clientes[[#This Row],[Columna1]]="Pago inmediato",Clientes[[#This Row],[Columna1]]=""),0,SUBSTITUTE(Clientes[[#This Row],[Columna1]]," días",""))</f>
        <v>0</v>
      </c>
      <c r="E253" s="34"/>
      <c r="F253"/>
      <c r="G253" s="77"/>
      <c r="I253"/>
      <c r="J253" s="34"/>
      <c r="K253"/>
    </row>
    <row r="254" ht="30" spans="1:11">
      <c r="A254" s="102" t="s">
        <v>417</v>
      </c>
      <c r="B254" s="102" t="s">
        <v>418</v>
      </c>
      <c r="C254" s="102" t="s">
        <v>56</v>
      </c>
      <c r="D254" s="99">
        <f>IF(OR(Clientes[[#This Row],[Columna1]]="Pago inmediato",Clientes[[#This Row],[Columna1]]=""),0,SUBSTITUTE(Clientes[[#This Row],[Columna1]]," días",""))</f>
        <v>0</v>
      </c>
      <c r="E254" s="34"/>
      <c r="F254"/>
      <c r="G254" s="77"/>
      <c r="I254"/>
      <c r="J254" s="34"/>
      <c r="K254"/>
    </row>
    <row r="255" ht="75" spans="1:11">
      <c r="A255" s="102" t="s">
        <v>419</v>
      </c>
      <c r="B255" s="102" t="s">
        <v>420</v>
      </c>
      <c r="C255" s="102" t="s">
        <v>56</v>
      </c>
      <c r="D255" s="99">
        <f>IF(OR(Clientes[[#This Row],[Columna1]]="Pago inmediato",Clientes[[#This Row],[Columna1]]=""),0,SUBSTITUTE(Clientes[[#This Row],[Columna1]]," días",""))</f>
        <v>0</v>
      </c>
      <c r="E255" s="34"/>
      <c r="F255"/>
      <c r="G255" s="77"/>
      <c r="I255"/>
      <c r="J255" s="34"/>
      <c r="K255"/>
    </row>
    <row r="256" ht="30" spans="1:11">
      <c r="A256" s="102" t="s">
        <v>421</v>
      </c>
      <c r="B256" s="102" t="s">
        <v>422</v>
      </c>
      <c r="C256" s="102" t="s">
        <v>56</v>
      </c>
      <c r="D256" s="99">
        <f>IF(OR(Clientes[[#This Row],[Columna1]]="Pago inmediato",Clientes[[#This Row],[Columna1]]=""),0,SUBSTITUTE(Clientes[[#This Row],[Columna1]]," días",""))</f>
        <v>0</v>
      </c>
      <c r="E256" s="34"/>
      <c r="F256"/>
      <c r="G256" s="77"/>
      <c r="I256"/>
      <c r="J256" s="34"/>
      <c r="K256"/>
    </row>
    <row r="257" ht="30" spans="1:11">
      <c r="A257" s="102" t="s">
        <v>423</v>
      </c>
      <c r="B257" s="102" t="s">
        <v>424</v>
      </c>
      <c r="C257" s="102" t="s">
        <v>56</v>
      </c>
      <c r="D257" s="99">
        <f>IF(OR(Clientes[[#This Row],[Columna1]]="Pago inmediato",Clientes[[#This Row],[Columna1]]=""),0,SUBSTITUTE(Clientes[[#This Row],[Columna1]]," días",""))</f>
        <v>0</v>
      </c>
      <c r="E257" s="34"/>
      <c r="F257"/>
      <c r="G257" s="77"/>
      <c r="I257"/>
      <c r="J257" s="34"/>
      <c r="K257"/>
    </row>
    <row r="258" ht="60" spans="1:11">
      <c r="A258" s="102" t="s">
        <v>425</v>
      </c>
      <c r="B258" s="102" t="s">
        <v>426</v>
      </c>
      <c r="C258" s="102" t="s">
        <v>56</v>
      </c>
      <c r="D258" s="99">
        <f>IF(OR(Clientes[[#This Row],[Columna1]]="Pago inmediato",Clientes[[#This Row],[Columna1]]=""),0,SUBSTITUTE(Clientes[[#This Row],[Columna1]]," días",""))</f>
        <v>0</v>
      </c>
      <c r="E258" s="34"/>
      <c r="F258"/>
      <c r="G258" s="77"/>
      <c r="I258"/>
      <c r="J258" s="34"/>
      <c r="K258"/>
    </row>
    <row r="259" spans="1:11">
      <c r="A259" s="102" t="s">
        <v>427</v>
      </c>
      <c r="B259" s="102" t="s">
        <v>428</v>
      </c>
      <c r="C259" s="102" t="s">
        <v>56</v>
      </c>
      <c r="D259" s="99">
        <f>IF(OR(Clientes[[#This Row],[Columna1]]="Pago inmediato",Clientes[[#This Row],[Columna1]]=""),0,SUBSTITUTE(Clientes[[#This Row],[Columna1]]," días",""))</f>
        <v>0</v>
      </c>
      <c r="E259" s="34"/>
      <c r="F259"/>
      <c r="G259" s="77"/>
      <c r="I259"/>
      <c r="J259" s="34"/>
      <c r="K259"/>
    </row>
    <row r="260" ht="30" spans="1:11">
      <c r="A260" s="102" t="s">
        <v>427</v>
      </c>
      <c r="B260" s="102" t="s">
        <v>429</v>
      </c>
      <c r="C260" s="102" t="s">
        <v>56</v>
      </c>
      <c r="D260" s="99">
        <f>IF(OR(Clientes[[#This Row],[Columna1]]="Pago inmediato",Clientes[[#This Row],[Columna1]]=""),0,SUBSTITUTE(Clientes[[#This Row],[Columna1]]," días",""))</f>
        <v>0</v>
      </c>
      <c r="E260" s="34"/>
      <c r="F260"/>
      <c r="G260" s="77"/>
      <c r="I260"/>
      <c r="J260" s="34"/>
      <c r="K260"/>
    </row>
    <row r="261" ht="30" spans="1:11">
      <c r="A261" s="102" t="s">
        <v>430</v>
      </c>
      <c r="B261" s="102" t="s">
        <v>431</v>
      </c>
      <c r="C261" s="102"/>
      <c r="D261" s="99">
        <f>IF(OR(Clientes[[#This Row],[Columna1]]="Pago inmediato",Clientes[[#This Row],[Columna1]]=""),0,SUBSTITUTE(Clientes[[#This Row],[Columna1]]," días",""))</f>
        <v>0</v>
      </c>
      <c r="E261" s="34"/>
      <c r="F261"/>
      <c r="G261" s="77"/>
      <c r="I261"/>
      <c r="J261" s="34"/>
      <c r="K261"/>
    </row>
    <row r="262" ht="60" spans="1:11">
      <c r="A262" s="102" t="s">
        <v>432</v>
      </c>
      <c r="B262" s="102" t="s">
        <v>433</v>
      </c>
      <c r="C262" s="102" t="s">
        <v>56</v>
      </c>
      <c r="D262" s="99">
        <f>IF(OR(Clientes[[#This Row],[Columna1]]="Pago inmediato",Clientes[[#This Row],[Columna1]]=""),0,SUBSTITUTE(Clientes[[#This Row],[Columna1]]," días",""))</f>
        <v>0</v>
      </c>
      <c r="E262" s="34"/>
      <c r="F262"/>
      <c r="G262" s="77"/>
      <c r="I262"/>
      <c r="J262" s="34"/>
      <c r="K262"/>
    </row>
    <row r="263" ht="30" spans="1:11">
      <c r="A263" s="102" t="s">
        <v>434</v>
      </c>
      <c r="B263" s="102" t="s">
        <v>435</v>
      </c>
      <c r="C263" s="102" t="s">
        <v>56</v>
      </c>
      <c r="D263" s="99">
        <f>IF(OR(Clientes[[#This Row],[Columna1]]="Pago inmediato",Clientes[[#This Row],[Columna1]]=""),0,SUBSTITUTE(Clientes[[#This Row],[Columna1]]," días",""))</f>
        <v>0</v>
      </c>
      <c r="E263" s="34"/>
      <c r="F263"/>
      <c r="G263" s="77"/>
      <c r="I263"/>
      <c r="J263" s="34"/>
      <c r="K263"/>
    </row>
    <row r="264" ht="45" spans="1:11">
      <c r="A264" s="102" t="s">
        <v>436</v>
      </c>
      <c r="B264" s="102" t="s">
        <v>437</v>
      </c>
      <c r="C264" s="102"/>
      <c r="D264" s="99">
        <f>IF(OR(Clientes[[#This Row],[Columna1]]="Pago inmediato",Clientes[[#This Row],[Columna1]]=""),0,SUBSTITUTE(Clientes[[#This Row],[Columna1]]," días",""))</f>
        <v>0</v>
      </c>
      <c r="E264" s="34"/>
      <c r="F264"/>
      <c r="G264" s="77"/>
      <c r="I264"/>
      <c r="J264" s="34"/>
      <c r="K264"/>
    </row>
    <row r="265" spans="1:11">
      <c r="A265" s="102" t="s">
        <v>438</v>
      </c>
      <c r="B265" s="102" t="s">
        <v>439</v>
      </c>
      <c r="C265" s="102" t="s">
        <v>56</v>
      </c>
      <c r="D265" s="99">
        <f>IF(OR(Clientes[[#This Row],[Columna1]]="Pago inmediato",Clientes[[#This Row],[Columna1]]=""),0,SUBSTITUTE(Clientes[[#This Row],[Columna1]]," días",""))</f>
        <v>0</v>
      </c>
      <c r="E265" s="34"/>
      <c r="F265"/>
      <c r="G265" s="77"/>
      <c r="I265"/>
      <c r="J265" s="34"/>
      <c r="K265"/>
    </row>
    <row r="266" ht="30" spans="1:11">
      <c r="A266" s="102" t="s">
        <v>440</v>
      </c>
      <c r="B266" s="102" t="s">
        <v>441</v>
      </c>
      <c r="C266" s="102" t="s">
        <v>61</v>
      </c>
      <c r="D266" s="99" t="str">
        <f>IF(OR(Clientes[[#This Row],[Columna1]]="Pago inmediato",Clientes[[#This Row],[Columna1]]=""),0,SUBSTITUTE(Clientes[[#This Row],[Columna1]]," días",""))</f>
        <v>15</v>
      </c>
      <c r="E266" s="34"/>
      <c r="F266"/>
      <c r="G266" s="77"/>
      <c r="I266"/>
      <c r="J266" s="34"/>
      <c r="K266"/>
    </row>
    <row r="267" ht="30" spans="1:11">
      <c r="A267" s="102" t="s">
        <v>442</v>
      </c>
      <c r="B267" s="102" t="s">
        <v>443</v>
      </c>
      <c r="C267" s="102" t="s">
        <v>61</v>
      </c>
      <c r="D267" s="99" t="str">
        <f>IF(OR(Clientes[[#This Row],[Columna1]]="Pago inmediato",Clientes[[#This Row],[Columna1]]=""),0,SUBSTITUTE(Clientes[[#This Row],[Columna1]]," días",""))</f>
        <v>15</v>
      </c>
      <c r="E267" s="34"/>
      <c r="F267"/>
      <c r="G267" s="77"/>
      <c r="I267"/>
      <c r="J267" s="34"/>
      <c r="K267"/>
    </row>
    <row r="268" ht="45" spans="1:11">
      <c r="A268" s="102" t="s">
        <v>444</v>
      </c>
      <c r="B268" s="102" t="s">
        <v>445</v>
      </c>
      <c r="C268" s="102" t="s">
        <v>56</v>
      </c>
      <c r="D268" s="99">
        <f>IF(OR(Clientes[[#This Row],[Columna1]]="Pago inmediato",Clientes[[#This Row],[Columna1]]=""),0,SUBSTITUTE(Clientes[[#This Row],[Columna1]]," días",""))</f>
        <v>0</v>
      </c>
      <c r="E268" s="34"/>
      <c r="F268"/>
      <c r="G268" s="77"/>
      <c r="I268"/>
      <c r="J268" s="34"/>
      <c r="K268"/>
    </row>
    <row r="269" ht="45" spans="1:11">
      <c r="A269" s="102" t="s">
        <v>446</v>
      </c>
      <c r="B269" s="102" t="s">
        <v>447</v>
      </c>
      <c r="C269" s="102" t="s">
        <v>56</v>
      </c>
      <c r="D269" s="99">
        <f>IF(OR(Clientes[[#This Row],[Columna1]]="Pago inmediato",Clientes[[#This Row],[Columna1]]=""),0,SUBSTITUTE(Clientes[[#This Row],[Columna1]]," días",""))</f>
        <v>0</v>
      </c>
      <c r="E269" s="34"/>
      <c r="F269"/>
      <c r="G269" s="77"/>
      <c r="I269"/>
      <c r="J269" s="34"/>
      <c r="K269"/>
    </row>
    <row r="270" ht="45" spans="1:11">
      <c r="A270" s="102" t="s">
        <v>448</v>
      </c>
      <c r="B270" s="102" t="s">
        <v>449</v>
      </c>
      <c r="C270" s="102" t="s">
        <v>56</v>
      </c>
      <c r="D270" s="99">
        <f>IF(OR(Clientes[[#This Row],[Columna1]]="Pago inmediato",Clientes[[#This Row],[Columna1]]=""),0,SUBSTITUTE(Clientes[[#This Row],[Columna1]]," días",""))</f>
        <v>0</v>
      </c>
      <c r="E270" s="34"/>
      <c r="F270"/>
      <c r="G270" s="77"/>
      <c r="I270"/>
      <c r="J270" s="34"/>
      <c r="K270"/>
    </row>
    <row r="271" ht="45" spans="1:11">
      <c r="A271" s="102" t="s">
        <v>450</v>
      </c>
      <c r="B271" s="102" t="s">
        <v>451</v>
      </c>
      <c r="C271" s="102" t="s">
        <v>56</v>
      </c>
      <c r="D271" s="99">
        <f>IF(OR(Clientes[[#This Row],[Columna1]]="Pago inmediato",Clientes[[#This Row],[Columna1]]=""),0,SUBSTITUTE(Clientes[[#This Row],[Columna1]]," días",""))</f>
        <v>0</v>
      </c>
      <c r="E271" s="34"/>
      <c r="F271"/>
      <c r="G271" s="77"/>
      <c r="I271"/>
      <c r="J271" s="34"/>
      <c r="K271"/>
    </row>
    <row r="272" ht="30" spans="1:11">
      <c r="A272" s="102" t="s">
        <v>452</v>
      </c>
      <c r="B272" s="102" t="s">
        <v>453</v>
      </c>
      <c r="C272" s="102" t="s">
        <v>454</v>
      </c>
      <c r="D272" s="99" t="str">
        <f>IF(OR(Clientes[[#This Row],[Columna1]]="Pago inmediato",Clientes[[#This Row],[Columna1]]=""),0,SUBSTITUTE(Clientes[[#This Row],[Columna1]]," días",""))</f>
        <v>21</v>
      </c>
      <c r="E272" s="34"/>
      <c r="F272"/>
      <c r="G272" s="77"/>
      <c r="I272"/>
      <c r="J272" s="34"/>
      <c r="K272"/>
    </row>
    <row r="273" ht="45" spans="1:11">
      <c r="A273" s="102" t="s">
        <v>455</v>
      </c>
      <c r="B273" s="102" t="s">
        <v>456</v>
      </c>
      <c r="C273" s="102" t="s">
        <v>54</v>
      </c>
      <c r="D273" s="99" t="str">
        <f>IF(OR(Clientes[[#This Row],[Columna1]]="Pago inmediato",Clientes[[#This Row],[Columna1]]=""),0,SUBSTITUTE(Clientes[[#This Row],[Columna1]]," días",""))</f>
        <v>7</v>
      </c>
      <c r="E273" s="34"/>
      <c r="F273"/>
      <c r="G273" s="77"/>
      <c r="I273"/>
      <c r="J273" s="34"/>
      <c r="K273"/>
    </row>
    <row r="274" spans="1:11">
      <c r="A274" s="102" t="s">
        <v>457</v>
      </c>
      <c r="B274" s="102" t="s">
        <v>458</v>
      </c>
      <c r="C274" s="102" t="s">
        <v>56</v>
      </c>
      <c r="D274" s="99">
        <f>IF(OR(Clientes[[#This Row],[Columna1]]="Pago inmediato",Clientes[[#This Row],[Columna1]]=""),0,SUBSTITUTE(Clientes[[#This Row],[Columna1]]," días",""))</f>
        <v>0</v>
      </c>
      <c r="E274" s="34"/>
      <c r="F274"/>
      <c r="G274" s="77"/>
      <c r="I274"/>
      <c r="J274" s="34"/>
      <c r="K274"/>
    </row>
    <row r="275" ht="45" spans="1:11">
      <c r="A275" s="102" t="s">
        <v>459</v>
      </c>
      <c r="B275" s="102" t="s">
        <v>460</v>
      </c>
      <c r="C275" s="102" t="s">
        <v>56</v>
      </c>
      <c r="D275" s="99">
        <f>IF(OR(Clientes[[#This Row],[Columna1]]="Pago inmediato",Clientes[[#This Row],[Columna1]]=""),0,SUBSTITUTE(Clientes[[#This Row],[Columna1]]," días",""))</f>
        <v>0</v>
      </c>
      <c r="E275" s="34"/>
      <c r="F275"/>
      <c r="G275" s="77"/>
      <c r="I275"/>
      <c r="J275" s="34"/>
      <c r="K275"/>
    </row>
    <row r="276" ht="30" spans="1:11">
      <c r="A276" s="102" t="s">
        <v>461</v>
      </c>
      <c r="B276" s="102" t="s">
        <v>462</v>
      </c>
      <c r="C276" s="102" t="s">
        <v>56</v>
      </c>
      <c r="D276" s="99">
        <f>IF(OR(Clientes[[#This Row],[Columna1]]="Pago inmediato",Clientes[[#This Row],[Columna1]]=""),0,SUBSTITUTE(Clientes[[#This Row],[Columna1]]," días",""))</f>
        <v>0</v>
      </c>
      <c r="E276" s="34"/>
      <c r="F276"/>
      <c r="G276" s="77"/>
      <c r="I276"/>
      <c r="J276" s="34"/>
      <c r="K276"/>
    </row>
    <row r="277" ht="30" spans="1:11">
      <c r="A277" s="102" t="s">
        <v>463</v>
      </c>
      <c r="B277" s="102" t="s">
        <v>464</v>
      </c>
      <c r="C277" s="102" t="s">
        <v>465</v>
      </c>
      <c r="D277" s="99" t="str">
        <f>IF(OR(Clientes[[#This Row],[Columna1]]="Pago inmediato",Clientes[[#This Row],[Columna1]]=""),0,SUBSTITUTE(Clientes[[#This Row],[Columna1]]," días",""))</f>
        <v>3</v>
      </c>
      <c r="E277" s="34"/>
      <c r="F277"/>
      <c r="G277" s="77"/>
      <c r="I277"/>
      <c r="J277" s="34"/>
      <c r="K277"/>
    </row>
    <row r="278" spans="1:11">
      <c r="A278" s="102"/>
      <c r="B278" s="102" t="s">
        <v>466</v>
      </c>
      <c r="C278" s="102"/>
      <c r="D278" s="99">
        <f>IF(OR(Clientes[[#This Row],[Columna1]]="Pago inmediato",Clientes[[#This Row],[Columna1]]=""),0,SUBSTITUTE(Clientes[[#This Row],[Columna1]]," días",""))</f>
        <v>0</v>
      </c>
      <c r="E278" s="34"/>
      <c r="F278"/>
      <c r="G278" s="77"/>
      <c r="I278"/>
      <c r="J278" s="34"/>
      <c r="K278"/>
    </row>
    <row r="279" ht="30" spans="1:11">
      <c r="A279" s="102" t="s">
        <v>467</v>
      </c>
      <c r="B279" s="102" t="s">
        <v>468</v>
      </c>
      <c r="C279" s="102" t="s">
        <v>56</v>
      </c>
      <c r="D279" s="99">
        <f>IF(OR(Clientes[[#This Row],[Columna1]]="Pago inmediato",Clientes[[#This Row],[Columna1]]=""),0,SUBSTITUTE(Clientes[[#This Row],[Columna1]]," días",""))</f>
        <v>0</v>
      </c>
      <c r="E279" s="34"/>
      <c r="F279"/>
      <c r="G279" s="77"/>
      <c r="I279"/>
      <c r="J279" s="34"/>
      <c r="K279"/>
    </row>
    <row r="280" ht="30" spans="1:11">
      <c r="A280" s="102" t="s">
        <v>469</v>
      </c>
      <c r="B280" s="102" t="s">
        <v>470</v>
      </c>
      <c r="C280" s="102" t="s">
        <v>61</v>
      </c>
      <c r="D280" s="99" t="str">
        <f>IF(OR(Clientes[[#This Row],[Columna1]]="Pago inmediato",Clientes[[#This Row],[Columna1]]=""),0,SUBSTITUTE(Clientes[[#This Row],[Columna1]]," días",""))</f>
        <v>15</v>
      </c>
      <c r="E280" s="34"/>
      <c r="F280"/>
      <c r="G280" s="77"/>
      <c r="I280"/>
      <c r="J280" s="34"/>
      <c r="K280"/>
    </row>
    <row r="281" ht="30" spans="1:11">
      <c r="A281" s="102" t="s">
        <v>471</v>
      </c>
      <c r="B281" s="102" t="s">
        <v>472</v>
      </c>
      <c r="C281" s="102" t="s">
        <v>56</v>
      </c>
      <c r="D281" s="99">
        <f>IF(OR(Clientes[[#This Row],[Columna1]]="Pago inmediato",Clientes[[#This Row],[Columna1]]=""),0,SUBSTITUTE(Clientes[[#This Row],[Columna1]]," días",""))</f>
        <v>0</v>
      </c>
      <c r="E281" s="34"/>
      <c r="F281"/>
      <c r="G281" s="77"/>
      <c r="I281"/>
      <c r="J281" s="34"/>
      <c r="K281"/>
    </row>
    <row r="282" spans="1:11">
      <c r="A282" s="102" t="s">
        <v>473</v>
      </c>
      <c r="B282" s="102" t="s">
        <v>474</v>
      </c>
      <c r="C282" s="102" t="s">
        <v>56</v>
      </c>
      <c r="D282" s="99">
        <f>IF(OR(Clientes[[#This Row],[Columna1]]="Pago inmediato",Clientes[[#This Row],[Columna1]]=""),0,SUBSTITUTE(Clientes[[#This Row],[Columna1]]," días",""))</f>
        <v>0</v>
      </c>
      <c r="E282" s="34"/>
      <c r="F282"/>
      <c r="G282" s="77"/>
      <c r="I282"/>
      <c r="J282" s="34"/>
      <c r="K282"/>
    </row>
    <row r="283" spans="1:11">
      <c r="A283" s="102" t="s">
        <v>475</v>
      </c>
      <c r="B283" s="102" t="s">
        <v>476</v>
      </c>
      <c r="C283" s="102" t="s">
        <v>56</v>
      </c>
      <c r="D283" s="99">
        <f>IF(OR(Clientes[[#This Row],[Columna1]]="Pago inmediato",Clientes[[#This Row],[Columna1]]=""),0,SUBSTITUTE(Clientes[[#This Row],[Columna1]]," días",""))</f>
        <v>0</v>
      </c>
      <c r="E283" s="34"/>
      <c r="F283"/>
      <c r="G283" s="77"/>
      <c r="I283"/>
      <c r="J283" s="34"/>
      <c r="K283"/>
    </row>
    <row r="284" spans="1:11">
      <c r="A284" s="102" t="s">
        <v>477</v>
      </c>
      <c r="B284" s="102" t="s">
        <v>478</v>
      </c>
      <c r="C284" s="102" t="s">
        <v>56</v>
      </c>
      <c r="D284" s="99">
        <f>IF(OR(Clientes[[#This Row],[Columna1]]="Pago inmediato",Clientes[[#This Row],[Columna1]]=""),0,SUBSTITUTE(Clientes[[#This Row],[Columna1]]," días",""))</f>
        <v>0</v>
      </c>
      <c r="E284" s="34"/>
      <c r="F284"/>
      <c r="G284" s="77"/>
      <c r="I284"/>
      <c r="J284" s="34"/>
      <c r="K284"/>
    </row>
    <row r="285" ht="30" spans="1:11">
      <c r="A285" s="102" t="s">
        <v>479</v>
      </c>
      <c r="B285" s="102" t="s">
        <v>480</v>
      </c>
      <c r="C285" s="102" t="s">
        <v>56</v>
      </c>
      <c r="D285" s="99">
        <f>IF(OR(Clientes[[#This Row],[Columna1]]="Pago inmediato",Clientes[[#This Row],[Columna1]]=""),0,SUBSTITUTE(Clientes[[#This Row],[Columna1]]," días",""))</f>
        <v>0</v>
      </c>
      <c r="E285" s="34"/>
      <c r="F285"/>
      <c r="G285" s="77"/>
      <c r="I285"/>
      <c r="J285" s="34"/>
      <c r="K285"/>
    </row>
    <row r="286" spans="1:11">
      <c r="A286" s="102" t="s">
        <v>481</v>
      </c>
      <c r="B286" s="102" t="s">
        <v>482</v>
      </c>
      <c r="C286" s="102" t="s">
        <v>56</v>
      </c>
      <c r="D286" s="99">
        <f>IF(OR(Clientes[[#This Row],[Columna1]]="Pago inmediato",Clientes[[#This Row],[Columna1]]=""),0,SUBSTITUTE(Clientes[[#This Row],[Columna1]]," días",""))</f>
        <v>0</v>
      </c>
      <c r="E286" s="34"/>
      <c r="F286"/>
      <c r="G286" s="77"/>
      <c r="I286"/>
      <c r="J286" s="34"/>
      <c r="K286"/>
    </row>
    <row r="287" ht="30" spans="1:11">
      <c r="A287" s="102" t="s">
        <v>481</v>
      </c>
      <c r="B287" s="102" t="s">
        <v>483</v>
      </c>
      <c r="C287" s="102" t="s">
        <v>56</v>
      </c>
      <c r="D287" s="99">
        <f>IF(OR(Clientes[[#This Row],[Columna1]]="Pago inmediato",Clientes[[#This Row],[Columna1]]=""),0,SUBSTITUTE(Clientes[[#This Row],[Columna1]]," días",""))</f>
        <v>0</v>
      </c>
      <c r="E287" s="34"/>
      <c r="F287"/>
      <c r="G287" s="77"/>
      <c r="I287"/>
      <c r="J287" s="34"/>
      <c r="K287"/>
    </row>
    <row r="288" spans="1:11">
      <c r="A288" s="102" t="s">
        <v>484</v>
      </c>
      <c r="B288" s="102" t="s">
        <v>485</v>
      </c>
      <c r="C288" s="102" t="s">
        <v>486</v>
      </c>
      <c r="D288" s="99" t="str">
        <f>IF(OR(Clientes[[#This Row],[Columna1]]="Pago inmediato",Clientes[[#This Row],[Columna1]]=""),0,SUBSTITUTE(Clientes[[#This Row],[Columna1]]," días",""))</f>
        <v>30</v>
      </c>
      <c r="E288" s="34"/>
      <c r="F288"/>
      <c r="G288" s="77"/>
      <c r="I288"/>
      <c r="J288" s="34"/>
      <c r="K288"/>
    </row>
    <row r="289" ht="30" spans="1:11">
      <c r="A289" s="102" t="s">
        <v>484</v>
      </c>
      <c r="B289" s="102" t="s">
        <v>487</v>
      </c>
      <c r="C289" s="102" t="s">
        <v>486</v>
      </c>
      <c r="D289" s="99" t="str">
        <f>IF(OR(Clientes[[#This Row],[Columna1]]="Pago inmediato",Clientes[[#This Row],[Columna1]]=""),0,SUBSTITUTE(Clientes[[#This Row],[Columna1]]," días",""))</f>
        <v>30</v>
      </c>
      <c r="E289" s="34"/>
      <c r="F289"/>
      <c r="G289" s="77"/>
      <c r="I289"/>
      <c r="J289" s="34"/>
      <c r="K289"/>
    </row>
    <row r="290" ht="30" spans="1:11">
      <c r="A290" s="102" t="s">
        <v>488</v>
      </c>
      <c r="B290" s="102" t="s">
        <v>489</v>
      </c>
      <c r="C290" s="102" t="s">
        <v>56</v>
      </c>
      <c r="D290" s="99">
        <f>IF(OR(Clientes[[#This Row],[Columna1]]="Pago inmediato",Clientes[[#This Row],[Columna1]]=""),0,SUBSTITUTE(Clientes[[#This Row],[Columna1]]," días",""))</f>
        <v>0</v>
      </c>
      <c r="E290" s="34"/>
      <c r="F290"/>
      <c r="G290" s="77"/>
      <c r="I290"/>
      <c r="J290" s="34"/>
      <c r="K290"/>
    </row>
    <row r="291" ht="30" spans="1:11">
      <c r="A291" s="102" t="s">
        <v>490</v>
      </c>
      <c r="B291" s="102" t="s">
        <v>491</v>
      </c>
      <c r="C291" s="102" t="s">
        <v>486</v>
      </c>
      <c r="D291" s="99" t="str">
        <f>IF(OR(Clientes[[#This Row],[Columna1]]="Pago inmediato",Clientes[[#This Row],[Columna1]]=""),0,SUBSTITUTE(Clientes[[#This Row],[Columna1]]," días",""))</f>
        <v>30</v>
      </c>
      <c r="E291" s="34"/>
      <c r="F291"/>
      <c r="G291" s="77"/>
      <c r="I291"/>
      <c r="J291" s="34"/>
      <c r="K291"/>
    </row>
    <row r="292" spans="1:11">
      <c r="A292" s="102" t="s">
        <v>492</v>
      </c>
      <c r="B292" s="102" t="s">
        <v>493</v>
      </c>
      <c r="C292" s="102" t="s">
        <v>56</v>
      </c>
      <c r="D292" s="99">
        <f>IF(OR(Clientes[[#This Row],[Columna1]]="Pago inmediato",Clientes[[#This Row],[Columna1]]=""),0,SUBSTITUTE(Clientes[[#This Row],[Columna1]]," días",""))</f>
        <v>0</v>
      </c>
      <c r="E292" s="34"/>
      <c r="F292"/>
      <c r="G292" s="77"/>
      <c r="I292"/>
      <c r="J292" s="34"/>
      <c r="K292"/>
    </row>
    <row r="293" ht="30" spans="1:11">
      <c r="A293" s="102" t="s">
        <v>494</v>
      </c>
      <c r="B293" s="102" t="s">
        <v>495</v>
      </c>
      <c r="C293" s="102" t="s">
        <v>56</v>
      </c>
      <c r="D293" s="99">
        <f>IF(OR(Clientes[[#This Row],[Columna1]]="Pago inmediato",Clientes[[#This Row],[Columna1]]=""),0,SUBSTITUTE(Clientes[[#This Row],[Columna1]]," días",""))</f>
        <v>0</v>
      </c>
      <c r="E293" s="34"/>
      <c r="F293"/>
      <c r="G293" s="77"/>
      <c r="I293"/>
      <c r="J293" s="34"/>
      <c r="K293"/>
    </row>
    <row r="294" ht="30" spans="1:11">
      <c r="A294" s="102" t="s">
        <v>494</v>
      </c>
      <c r="B294" s="102" t="s">
        <v>496</v>
      </c>
      <c r="C294" s="102" t="s">
        <v>56</v>
      </c>
      <c r="D294" s="99">
        <f>IF(OR(Clientes[[#This Row],[Columna1]]="Pago inmediato",Clientes[[#This Row],[Columna1]]=""),0,SUBSTITUTE(Clientes[[#This Row],[Columna1]]," días",""))</f>
        <v>0</v>
      </c>
      <c r="E294" s="34"/>
      <c r="F294"/>
      <c r="G294" s="77"/>
      <c r="I294"/>
      <c r="J294" s="34"/>
      <c r="K294"/>
    </row>
    <row r="295" ht="30" spans="1:11">
      <c r="A295" s="102" t="s">
        <v>497</v>
      </c>
      <c r="B295" s="102" t="s">
        <v>498</v>
      </c>
      <c r="C295" s="102" t="s">
        <v>56</v>
      </c>
      <c r="D295" s="99">
        <f>IF(OR(Clientes[[#This Row],[Columna1]]="Pago inmediato",Clientes[[#This Row],[Columna1]]=""),0,SUBSTITUTE(Clientes[[#This Row],[Columna1]]," días",""))</f>
        <v>0</v>
      </c>
      <c r="E295" s="34"/>
      <c r="F295"/>
      <c r="G295" s="77"/>
      <c r="I295"/>
      <c r="J295" s="34"/>
      <c r="K295"/>
    </row>
    <row r="296" spans="1:11">
      <c r="A296" s="102" t="s">
        <v>499</v>
      </c>
      <c r="B296" s="102" t="s">
        <v>500</v>
      </c>
      <c r="C296" s="102" t="s">
        <v>56</v>
      </c>
      <c r="D296" s="99">
        <f>IF(OR(Clientes[[#This Row],[Columna1]]="Pago inmediato",Clientes[[#This Row],[Columna1]]=""),0,SUBSTITUTE(Clientes[[#This Row],[Columna1]]," días",""))</f>
        <v>0</v>
      </c>
      <c r="E296" s="34"/>
      <c r="F296"/>
      <c r="G296" s="77"/>
      <c r="I296"/>
      <c r="J296" s="34"/>
      <c r="K296"/>
    </row>
    <row r="297" ht="30" spans="1:11">
      <c r="A297" s="102" t="s">
        <v>501</v>
      </c>
      <c r="B297" s="102" t="s">
        <v>502</v>
      </c>
      <c r="C297" s="102" t="s">
        <v>56</v>
      </c>
      <c r="D297" s="99">
        <f>IF(OR(Clientes[[#This Row],[Columna1]]="Pago inmediato",Clientes[[#This Row],[Columna1]]=""),0,SUBSTITUTE(Clientes[[#This Row],[Columna1]]," días",""))</f>
        <v>0</v>
      </c>
      <c r="E297" s="34"/>
      <c r="F297"/>
      <c r="G297" s="77"/>
      <c r="I297"/>
      <c r="J297" s="34"/>
      <c r="K297"/>
    </row>
    <row r="298" spans="1:11">
      <c r="A298" s="102" t="s">
        <v>503</v>
      </c>
      <c r="B298" s="102" t="s">
        <v>504</v>
      </c>
      <c r="C298" s="102" t="s">
        <v>56</v>
      </c>
      <c r="D298" s="99">
        <f>IF(OR(Clientes[[#This Row],[Columna1]]="Pago inmediato",Clientes[[#This Row],[Columna1]]=""),0,SUBSTITUTE(Clientes[[#This Row],[Columna1]]," días",""))</f>
        <v>0</v>
      </c>
      <c r="E298" s="34"/>
      <c r="F298"/>
      <c r="G298" s="77"/>
      <c r="I298"/>
      <c r="J298" s="34"/>
      <c r="K298"/>
    </row>
    <row r="299" ht="30" spans="1:11">
      <c r="A299" s="102" t="s">
        <v>505</v>
      </c>
      <c r="B299" s="102" t="s">
        <v>506</v>
      </c>
      <c r="C299" s="102" t="s">
        <v>56</v>
      </c>
      <c r="D299" s="99">
        <f>IF(OR(Clientes[[#This Row],[Columna1]]="Pago inmediato",Clientes[[#This Row],[Columna1]]=""),0,SUBSTITUTE(Clientes[[#This Row],[Columna1]]," días",""))</f>
        <v>0</v>
      </c>
      <c r="E299" s="34"/>
      <c r="F299"/>
      <c r="G299" s="77"/>
      <c r="I299"/>
      <c r="J299" s="34"/>
      <c r="K299"/>
    </row>
    <row r="300" ht="30" spans="1:11">
      <c r="A300" s="102" t="s">
        <v>507</v>
      </c>
      <c r="B300" s="102" t="s">
        <v>508</v>
      </c>
      <c r="C300" s="102" t="s">
        <v>56</v>
      </c>
      <c r="D300" s="99">
        <f>IF(OR(Clientes[[#This Row],[Columna1]]="Pago inmediato",Clientes[[#This Row],[Columna1]]=""),0,SUBSTITUTE(Clientes[[#This Row],[Columna1]]," días",""))</f>
        <v>0</v>
      </c>
      <c r="E300" s="34"/>
      <c r="F300"/>
      <c r="G300" s="77"/>
      <c r="I300"/>
      <c r="J300" s="34"/>
      <c r="K300"/>
    </row>
    <row r="301" ht="45" spans="1:11">
      <c r="A301" s="102" t="s">
        <v>507</v>
      </c>
      <c r="B301" s="102" t="s">
        <v>509</v>
      </c>
      <c r="C301" s="102" t="s">
        <v>56</v>
      </c>
      <c r="D301" s="99">
        <f>IF(OR(Clientes[[#This Row],[Columna1]]="Pago inmediato",Clientes[[#This Row],[Columna1]]=""),0,SUBSTITUTE(Clientes[[#This Row],[Columna1]]," días",""))</f>
        <v>0</v>
      </c>
      <c r="E301" s="34"/>
      <c r="F301"/>
      <c r="G301" s="77"/>
      <c r="I301"/>
      <c r="J301" s="34"/>
      <c r="K301"/>
    </row>
    <row r="302" ht="60" spans="1:11">
      <c r="A302" s="102" t="s">
        <v>507</v>
      </c>
      <c r="B302" s="102" t="s">
        <v>510</v>
      </c>
      <c r="C302" s="102" t="s">
        <v>56</v>
      </c>
      <c r="D302" s="99">
        <f>IF(OR(Clientes[[#This Row],[Columna1]]="Pago inmediato",Clientes[[#This Row],[Columna1]]=""),0,SUBSTITUTE(Clientes[[#This Row],[Columna1]]," días",""))</f>
        <v>0</v>
      </c>
      <c r="E302" s="34"/>
      <c r="F302"/>
      <c r="G302" s="77"/>
      <c r="I302"/>
      <c r="J302" s="34"/>
      <c r="K302"/>
    </row>
    <row r="303" ht="30" spans="1:11">
      <c r="A303" s="102" t="s">
        <v>511</v>
      </c>
      <c r="B303" s="102" t="s">
        <v>512</v>
      </c>
      <c r="C303" s="102" t="s">
        <v>56</v>
      </c>
      <c r="D303" s="99">
        <f>IF(OR(Clientes[[#This Row],[Columna1]]="Pago inmediato",Clientes[[#This Row],[Columna1]]=""),0,SUBSTITUTE(Clientes[[#This Row],[Columna1]]," días",""))</f>
        <v>0</v>
      </c>
      <c r="E303" s="34"/>
      <c r="F303"/>
      <c r="G303" s="77"/>
      <c r="I303"/>
      <c r="J303" s="34"/>
      <c r="K303"/>
    </row>
    <row r="304" ht="30" spans="1:11">
      <c r="A304" s="102" t="s">
        <v>513</v>
      </c>
      <c r="B304" s="102" t="s">
        <v>514</v>
      </c>
      <c r="C304" s="102" t="s">
        <v>56</v>
      </c>
      <c r="D304" s="99">
        <f>IF(OR(Clientes[[#This Row],[Columna1]]="Pago inmediato",Clientes[[#This Row],[Columna1]]=""),0,SUBSTITUTE(Clientes[[#This Row],[Columna1]]," días",""))</f>
        <v>0</v>
      </c>
      <c r="E304" s="34"/>
      <c r="F304"/>
      <c r="G304" s="77"/>
      <c r="I304"/>
      <c r="J304" s="34"/>
      <c r="K304"/>
    </row>
    <row r="305" ht="30" spans="1:11">
      <c r="A305" s="102" t="s">
        <v>515</v>
      </c>
      <c r="B305" s="102" t="s">
        <v>516</v>
      </c>
      <c r="C305" s="102" t="s">
        <v>56</v>
      </c>
      <c r="D305" s="99">
        <f>IF(OR(Clientes[[#This Row],[Columna1]]="Pago inmediato",Clientes[[#This Row],[Columna1]]=""),0,SUBSTITUTE(Clientes[[#This Row],[Columna1]]," días",""))</f>
        <v>0</v>
      </c>
      <c r="E305" s="34"/>
      <c r="F305"/>
      <c r="G305" s="77"/>
      <c r="I305"/>
      <c r="J305" s="34"/>
      <c r="K305"/>
    </row>
    <row r="306" ht="45" spans="1:11">
      <c r="A306" s="102" t="s">
        <v>515</v>
      </c>
      <c r="B306" s="102" t="s">
        <v>517</v>
      </c>
      <c r="C306" s="102" t="s">
        <v>56</v>
      </c>
      <c r="D306" s="99">
        <f>IF(OR(Clientes[[#This Row],[Columna1]]="Pago inmediato",Clientes[[#This Row],[Columna1]]=""),0,SUBSTITUTE(Clientes[[#This Row],[Columna1]]," días",""))</f>
        <v>0</v>
      </c>
      <c r="E306" s="34"/>
      <c r="F306"/>
      <c r="G306" s="77"/>
      <c r="I306"/>
      <c r="J306" s="34"/>
      <c r="K306"/>
    </row>
    <row r="307" ht="30" spans="1:11">
      <c r="A307" s="102" t="s">
        <v>518</v>
      </c>
      <c r="B307" s="102" t="s">
        <v>519</v>
      </c>
      <c r="C307" s="102" t="s">
        <v>56</v>
      </c>
      <c r="D307" s="99">
        <f>IF(OR(Clientes[[#This Row],[Columna1]]="Pago inmediato",Clientes[[#This Row],[Columna1]]=""),0,SUBSTITUTE(Clientes[[#This Row],[Columna1]]," días",""))</f>
        <v>0</v>
      </c>
      <c r="E307" s="34"/>
      <c r="F307"/>
      <c r="G307" s="77"/>
      <c r="I307"/>
      <c r="J307" s="34"/>
      <c r="K307"/>
    </row>
    <row r="308" ht="45" spans="1:11">
      <c r="A308" s="102" t="s">
        <v>518</v>
      </c>
      <c r="B308" s="102" t="s">
        <v>520</v>
      </c>
      <c r="C308" s="102" t="s">
        <v>56</v>
      </c>
      <c r="D308" s="99">
        <f>IF(OR(Clientes[[#This Row],[Columna1]]="Pago inmediato",Clientes[[#This Row],[Columna1]]=""),0,SUBSTITUTE(Clientes[[#This Row],[Columna1]]," días",""))</f>
        <v>0</v>
      </c>
      <c r="E308" s="34"/>
      <c r="F308"/>
      <c r="G308" s="77"/>
      <c r="I308"/>
      <c r="J308" s="34"/>
      <c r="K308"/>
    </row>
    <row r="309" ht="30" spans="1:11">
      <c r="A309" s="102" t="s">
        <v>521</v>
      </c>
      <c r="B309" s="102" t="s">
        <v>522</v>
      </c>
      <c r="C309" s="102" t="s">
        <v>56</v>
      </c>
      <c r="D309" s="99">
        <f>IF(OR(Clientes[[#This Row],[Columna1]]="Pago inmediato",Clientes[[#This Row],[Columna1]]=""),0,SUBSTITUTE(Clientes[[#This Row],[Columna1]]," días",""))</f>
        <v>0</v>
      </c>
      <c r="E309" s="34"/>
      <c r="F309"/>
      <c r="G309" s="77"/>
      <c r="I309"/>
      <c r="J309" s="34"/>
      <c r="K309"/>
    </row>
    <row r="310" ht="30" spans="1:11">
      <c r="A310" s="102" t="s">
        <v>523</v>
      </c>
      <c r="B310" s="102" t="s">
        <v>524</v>
      </c>
      <c r="C310" s="102" t="s">
        <v>56</v>
      </c>
      <c r="D310" s="99">
        <f>IF(OR(Clientes[[#This Row],[Columna1]]="Pago inmediato",Clientes[[#This Row],[Columna1]]=""),0,SUBSTITUTE(Clientes[[#This Row],[Columna1]]," días",""))</f>
        <v>0</v>
      </c>
      <c r="E310" s="34"/>
      <c r="F310"/>
      <c r="G310" s="77"/>
      <c r="I310"/>
      <c r="J310" s="34"/>
      <c r="K310"/>
    </row>
    <row r="311" ht="45" spans="1:11">
      <c r="A311" s="102" t="s">
        <v>523</v>
      </c>
      <c r="B311" s="102" t="s">
        <v>525</v>
      </c>
      <c r="C311" s="102" t="s">
        <v>56</v>
      </c>
      <c r="D311" s="99">
        <f>IF(OR(Clientes[[#This Row],[Columna1]]="Pago inmediato",Clientes[[#This Row],[Columna1]]=""),0,SUBSTITUTE(Clientes[[#This Row],[Columna1]]," días",""))</f>
        <v>0</v>
      </c>
      <c r="E311" s="34"/>
      <c r="F311"/>
      <c r="G311" s="77"/>
      <c r="I311"/>
      <c r="J311" s="34"/>
      <c r="K311"/>
    </row>
    <row r="312" ht="30" spans="1:11">
      <c r="A312" s="102" t="s">
        <v>526</v>
      </c>
      <c r="B312" s="102" t="s">
        <v>527</v>
      </c>
      <c r="C312" s="102" t="s">
        <v>56</v>
      </c>
      <c r="D312" s="99">
        <f>IF(OR(Clientes[[#This Row],[Columna1]]="Pago inmediato",Clientes[[#This Row],[Columna1]]=""),0,SUBSTITUTE(Clientes[[#This Row],[Columna1]]," días",""))</f>
        <v>0</v>
      </c>
      <c r="E312" s="34"/>
      <c r="F312"/>
      <c r="G312" s="77"/>
      <c r="I312"/>
      <c r="J312" s="34"/>
      <c r="K312"/>
    </row>
    <row r="313" ht="45" spans="1:11">
      <c r="A313" s="102" t="s">
        <v>528</v>
      </c>
      <c r="B313" s="102" t="s">
        <v>529</v>
      </c>
      <c r="C313" s="102" t="s">
        <v>56</v>
      </c>
      <c r="D313" s="99">
        <f>IF(OR(Clientes[[#This Row],[Columna1]]="Pago inmediato",Clientes[[#This Row],[Columna1]]=""),0,SUBSTITUTE(Clientes[[#This Row],[Columna1]]," días",""))</f>
        <v>0</v>
      </c>
      <c r="E313" s="34"/>
      <c r="F313"/>
      <c r="G313" s="77"/>
      <c r="I313"/>
      <c r="J313" s="34"/>
      <c r="K313"/>
    </row>
    <row r="314" ht="30" spans="1:11">
      <c r="A314" s="102" t="s">
        <v>530</v>
      </c>
      <c r="B314" s="102" t="s">
        <v>531</v>
      </c>
      <c r="C314" s="102" t="s">
        <v>61</v>
      </c>
      <c r="D314" s="99" t="str">
        <f>IF(OR(Clientes[[#This Row],[Columna1]]="Pago inmediato",Clientes[[#This Row],[Columna1]]=""),0,SUBSTITUTE(Clientes[[#This Row],[Columna1]]," días",""))</f>
        <v>15</v>
      </c>
      <c r="E314" s="34"/>
      <c r="F314"/>
      <c r="G314" s="77"/>
      <c r="I314"/>
      <c r="J314" s="34"/>
      <c r="K314"/>
    </row>
    <row r="315" ht="30" spans="1:11">
      <c r="A315" s="102" t="s">
        <v>532</v>
      </c>
      <c r="B315" s="102" t="s">
        <v>533</v>
      </c>
      <c r="C315" s="102" t="s">
        <v>56</v>
      </c>
      <c r="D315" s="99">
        <f>IF(OR(Clientes[[#This Row],[Columna1]]="Pago inmediato",Clientes[[#This Row],[Columna1]]=""),0,SUBSTITUTE(Clientes[[#This Row],[Columna1]]," días",""))</f>
        <v>0</v>
      </c>
      <c r="E315" s="34"/>
      <c r="F315"/>
      <c r="G315" s="77"/>
      <c r="I315"/>
      <c r="J315" s="34"/>
      <c r="K315"/>
    </row>
    <row r="316" ht="45" spans="1:11">
      <c r="A316" s="102" t="s">
        <v>534</v>
      </c>
      <c r="B316" s="102" t="s">
        <v>535</v>
      </c>
      <c r="C316" s="102" t="s">
        <v>454</v>
      </c>
      <c r="D316" s="99" t="str">
        <f>IF(OR(Clientes[[#This Row],[Columna1]]="Pago inmediato",Clientes[[#This Row],[Columna1]]=""),0,SUBSTITUTE(Clientes[[#This Row],[Columna1]]," días",""))</f>
        <v>21</v>
      </c>
      <c r="E316" s="34"/>
      <c r="F316"/>
      <c r="G316" s="77"/>
      <c r="I316"/>
      <c r="J316" s="34"/>
      <c r="K316"/>
    </row>
    <row r="317" ht="30" spans="1:11">
      <c r="A317" s="102" t="s">
        <v>536</v>
      </c>
      <c r="B317" s="102" t="s">
        <v>537</v>
      </c>
      <c r="C317" s="102" t="s">
        <v>56</v>
      </c>
      <c r="D317" s="99">
        <f>IF(OR(Clientes[[#This Row],[Columna1]]="Pago inmediato",Clientes[[#This Row],[Columna1]]=""),0,SUBSTITUTE(Clientes[[#This Row],[Columna1]]," días",""))</f>
        <v>0</v>
      </c>
      <c r="E317" s="34"/>
      <c r="F317"/>
      <c r="G317" s="77"/>
      <c r="I317"/>
      <c r="J317" s="34"/>
      <c r="K317"/>
    </row>
    <row r="318" ht="30" spans="1:11">
      <c r="A318" s="102" t="s">
        <v>538</v>
      </c>
      <c r="B318" s="102" t="s">
        <v>539</v>
      </c>
      <c r="C318" s="102" t="s">
        <v>56</v>
      </c>
      <c r="D318" s="99">
        <f>IF(OR(Clientes[[#This Row],[Columna1]]="Pago inmediato",Clientes[[#This Row],[Columna1]]=""),0,SUBSTITUTE(Clientes[[#This Row],[Columna1]]," días",""))</f>
        <v>0</v>
      </c>
      <c r="E318" s="34"/>
      <c r="F318"/>
      <c r="G318" s="77"/>
      <c r="I318"/>
      <c r="J318" s="34"/>
      <c r="K318"/>
    </row>
    <row r="319" ht="45" spans="1:11">
      <c r="A319" s="102" t="s">
        <v>538</v>
      </c>
      <c r="B319" s="102" t="s">
        <v>540</v>
      </c>
      <c r="C319" s="102" t="s">
        <v>56</v>
      </c>
      <c r="D319" s="99">
        <f>IF(OR(Clientes[[#This Row],[Columna1]]="Pago inmediato",Clientes[[#This Row],[Columna1]]=""),0,SUBSTITUTE(Clientes[[#This Row],[Columna1]]," días",""))</f>
        <v>0</v>
      </c>
      <c r="E319" s="34"/>
      <c r="F319"/>
      <c r="G319" s="77"/>
      <c r="I319"/>
      <c r="J319" s="34"/>
      <c r="K319"/>
    </row>
    <row r="320" ht="30" spans="1:11">
      <c r="A320" s="102" t="s">
        <v>541</v>
      </c>
      <c r="B320" s="102" t="s">
        <v>542</v>
      </c>
      <c r="C320" s="102" t="s">
        <v>56</v>
      </c>
      <c r="D320" s="99">
        <f>IF(OR(Clientes[[#This Row],[Columna1]]="Pago inmediato",Clientes[[#This Row],[Columna1]]=""),0,SUBSTITUTE(Clientes[[#This Row],[Columna1]]," días",""))</f>
        <v>0</v>
      </c>
      <c r="E320" s="34"/>
      <c r="F320"/>
      <c r="G320" s="77"/>
      <c r="I320"/>
      <c r="J320" s="34"/>
      <c r="K320"/>
    </row>
    <row r="321" ht="30" spans="1:11">
      <c r="A321" s="102" t="s">
        <v>543</v>
      </c>
      <c r="B321" s="102" t="s">
        <v>544</v>
      </c>
      <c r="C321" s="102" t="s">
        <v>56</v>
      </c>
      <c r="D321" s="99">
        <f>IF(OR(Clientes[[#This Row],[Columna1]]="Pago inmediato",Clientes[[#This Row],[Columna1]]=""),0,SUBSTITUTE(Clientes[[#This Row],[Columna1]]," días",""))</f>
        <v>0</v>
      </c>
      <c r="E321" s="34"/>
      <c r="F321"/>
      <c r="G321" s="77"/>
      <c r="I321"/>
      <c r="J321" s="34"/>
      <c r="K321"/>
    </row>
    <row r="322" ht="45" spans="1:11">
      <c r="A322" s="102" t="s">
        <v>543</v>
      </c>
      <c r="B322" s="102" t="s">
        <v>545</v>
      </c>
      <c r="C322" s="102" t="s">
        <v>56</v>
      </c>
      <c r="D322" s="99">
        <f>IF(OR(Clientes[[#This Row],[Columna1]]="Pago inmediato",Clientes[[#This Row],[Columna1]]=""),0,SUBSTITUTE(Clientes[[#This Row],[Columna1]]," días",""))</f>
        <v>0</v>
      </c>
      <c r="E322" s="34"/>
      <c r="F322"/>
      <c r="G322" s="77"/>
      <c r="I322"/>
      <c r="J322" s="34"/>
      <c r="K322"/>
    </row>
    <row r="323" ht="30" spans="1:11">
      <c r="A323" s="102" t="s">
        <v>546</v>
      </c>
      <c r="B323" s="102" t="s">
        <v>547</v>
      </c>
      <c r="C323" s="102" t="s">
        <v>56</v>
      </c>
      <c r="D323" s="99">
        <f>IF(OR(Clientes[[#This Row],[Columna1]]="Pago inmediato",Clientes[[#This Row],[Columna1]]=""),0,SUBSTITUTE(Clientes[[#This Row],[Columna1]]," días",""))</f>
        <v>0</v>
      </c>
      <c r="E323" s="34"/>
      <c r="F323"/>
      <c r="G323" s="77"/>
      <c r="I323"/>
      <c r="J323" s="34"/>
      <c r="K323"/>
    </row>
    <row r="324" ht="45" spans="1:11">
      <c r="A324" s="102" t="s">
        <v>548</v>
      </c>
      <c r="B324" s="102" t="s">
        <v>549</v>
      </c>
      <c r="C324" s="102" t="s">
        <v>56</v>
      </c>
      <c r="D324" s="99">
        <f>IF(OR(Clientes[[#This Row],[Columna1]]="Pago inmediato",Clientes[[#This Row],[Columna1]]=""),0,SUBSTITUTE(Clientes[[#This Row],[Columna1]]," días",""))</f>
        <v>0</v>
      </c>
      <c r="E324" s="34"/>
      <c r="F324"/>
      <c r="G324" s="77"/>
      <c r="I324"/>
      <c r="J324" s="34"/>
      <c r="K324"/>
    </row>
    <row r="325" ht="30" spans="1:11">
      <c r="A325" s="102" t="s">
        <v>550</v>
      </c>
      <c r="B325" s="102" t="s">
        <v>551</v>
      </c>
      <c r="C325" s="102" t="s">
        <v>56</v>
      </c>
      <c r="D325" s="99">
        <f>IF(OR(Clientes[[#This Row],[Columna1]]="Pago inmediato",Clientes[[#This Row],[Columna1]]=""),0,SUBSTITUTE(Clientes[[#This Row],[Columna1]]," días",""))</f>
        <v>0</v>
      </c>
      <c r="E325" s="34"/>
      <c r="F325"/>
      <c r="G325" s="77"/>
      <c r="I325"/>
      <c r="J325" s="34"/>
      <c r="K325"/>
    </row>
    <row r="326" ht="30" spans="1:11">
      <c r="A326" s="102" t="s">
        <v>552</v>
      </c>
      <c r="B326" s="102" t="s">
        <v>553</v>
      </c>
      <c r="C326" s="102" t="s">
        <v>56</v>
      </c>
      <c r="D326" s="99">
        <f>IF(OR(Clientes[[#This Row],[Columna1]]="Pago inmediato",Clientes[[#This Row],[Columna1]]=""),0,SUBSTITUTE(Clientes[[#This Row],[Columna1]]," días",""))</f>
        <v>0</v>
      </c>
      <c r="E326" s="34"/>
      <c r="F326"/>
      <c r="G326" s="77"/>
      <c r="I326"/>
      <c r="J326" s="34"/>
      <c r="K326"/>
    </row>
    <row r="327" ht="30" spans="1:11">
      <c r="A327" s="102" t="s">
        <v>554</v>
      </c>
      <c r="B327" s="102" t="s">
        <v>555</v>
      </c>
      <c r="C327" s="102" t="s">
        <v>56</v>
      </c>
      <c r="D327" s="99">
        <f>IF(OR(Clientes[[#This Row],[Columna1]]="Pago inmediato",Clientes[[#This Row],[Columna1]]=""),0,SUBSTITUTE(Clientes[[#This Row],[Columna1]]," días",""))</f>
        <v>0</v>
      </c>
      <c r="E327" s="34"/>
      <c r="F327"/>
      <c r="G327" s="77"/>
      <c r="I327"/>
      <c r="J327" s="34"/>
      <c r="K327"/>
    </row>
    <row r="328" ht="30" spans="1:11">
      <c r="A328" s="102" t="s">
        <v>556</v>
      </c>
      <c r="B328" s="102" t="s">
        <v>557</v>
      </c>
      <c r="C328" s="102" t="s">
        <v>56</v>
      </c>
      <c r="D328" s="99">
        <f>IF(OR(Clientes[[#This Row],[Columna1]]="Pago inmediato",Clientes[[#This Row],[Columna1]]=""),0,SUBSTITUTE(Clientes[[#This Row],[Columna1]]," días",""))</f>
        <v>0</v>
      </c>
      <c r="E328" s="34"/>
      <c r="F328"/>
      <c r="G328" s="77"/>
      <c r="I328"/>
      <c r="J328" s="34"/>
      <c r="K328"/>
    </row>
    <row r="329" ht="45" spans="1:11">
      <c r="A329" s="102" t="s">
        <v>558</v>
      </c>
      <c r="B329" s="102" t="s">
        <v>559</v>
      </c>
      <c r="C329" s="102" t="s">
        <v>56</v>
      </c>
      <c r="D329" s="99">
        <f>IF(OR(Clientes[[#This Row],[Columna1]]="Pago inmediato",Clientes[[#This Row],[Columna1]]=""),0,SUBSTITUTE(Clientes[[#This Row],[Columna1]]," días",""))</f>
        <v>0</v>
      </c>
      <c r="E329" s="34"/>
      <c r="F329"/>
      <c r="G329" s="77"/>
      <c r="I329"/>
      <c r="J329" s="34"/>
      <c r="K329"/>
    </row>
    <row r="330" ht="30" spans="1:11">
      <c r="A330" s="102" t="s">
        <v>560</v>
      </c>
      <c r="B330" s="102" t="s">
        <v>561</v>
      </c>
      <c r="C330" s="102" t="s">
        <v>56</v>
      </c>
      <c r="D330" s="99">
        <f>IF(OR(Clientes[[#This Row],[Columna1]]="Pago inmediato",Clientes[[#This Row],[Columna1]]=""),0,SUBSTITUTE(Clientes[[#This Row],[Columna1]]," días",""))</f>
        <v>0</v>
      </c>
      <c r="E330" s="34"/>
      <c r="F330"/>
      <c r="G330" s="77"/>
      <c r="I330"/>
      <c r="J330" s="34"/>
      <c r="K330"/>
    </row>
    <row r="331" ht="30" spans="1:11">
      <c r="A331" s="102" t="s">
        <v>562</v>
      </c>
      <c r="B331" s="102" t="s">
        <v>563</v>
      </c>
      <c r="C331" s="102" t="s">
        <v>56</v>
      </c>
      <c r="D331" s="99">
        <f>IF(OR(Clientes[[#This Row],[Columna1]]="Pago inmediato",Clientes[[#This Row],[Columna1]]=""),0,SUBSTITUTE(Clientes[[#This Row],[Columna1]]," días",""))</f>
        <v>0</v>
      </c>
      <c r="E331" s="34"/>
      <c r="F331"/>
      <c r="G331" s="77"/>
      <c r="I331"/>
      <c r="J331" s="34"/>
      <c r="K331"/>
    </row>
    <row r="332" ht="30" spans="1:11">
      <c r="A332" s="102" t="s">
        <v>564</v>
      </c>
      <c r="B332" s="102" t="s">
        <v>565</v>
      </c>
      <c r="C332" s="102" t="s">
        <v>56</v>
      </c>
      <c r="D332" s="99">
        <f>IF(OR(Clientes[[#This Row],[Columna1]]="Pago inmediato",Clientes[[#This Row],[Columna1]]=""),0,SUBSTITUTE(Clientes[[#This Row],[Columna1]]," días",""))</f>
        <v>0</v>
      </c>
      <c r="E332" s="34"/>
      <c r="F332"/>
      <c r="G332" s="77"/>
      <c r="I332"/>
      <c r="J332" s="34"/>
      <c r="K332"/>
    </row>
    <row r="333" ht="45" spans="1:11">
      <c r="A333" s="102" t="s">
        <v>566</v>
      </c>
      <c r="B333" s="102" t="s">
        <v>567</v>
      </c>
      <c r="C333" s="102" t="s">
        <v>56</v>
      </c>
      <c r="D333" s="99">
        <f>IF(OR(Clientes[[#This Row],[Columna1]]="Pago inmediato",Clientes[[#This Row],[Columna1]]=""),0,SUBSTITUTE(Clientes[[#This Row],[Columna1]]," días",""))</f>
        <v>0</v>
      </c>
      <c r="E333" s="34"/>
      <c r="F333"/>
      <c r="G333" s="77"/>
      <c r="I333"/>
      <c r="J333" s="34"/>
      <c r="K333"/>
    </row>
    <row r="334" spans="1:11">
      <c r="A334" s="102" t="s">
        <v>568</v>
      </c>
      <c r="B334" s="102" t="s">
        <v>569</v>
      </c>
      <c r="C334" s="102"/>
      <c r="D334" s="99">
        <f>IF(OR(Clientes[[#This Row],[Columna1]]="Pago inmediato",Clientes[[#This Row],[Columna1]]=""),0,SUBSTITUTE(Clientes[[#This Row],[Columna1]]," días",""))</f>
        <v>0</v>
      </c>
      <c r="E334" s="34"/>
      <c r="F334"/>
      <c r="G334" s="77"/>
      <c r="I334"/>
      <c r="J334" s="34"/>
      <c r="K334"/>
    </row>
    <row r="335" spans="1:11">
      <c r="A335" s="102" t="s">
        <v>570</v>
      </c>
      <c r="B335" s="102" t="s">
        <v>571</v>
      </c>
      <c r="C335" s="102" t="s">
        <v>56</v>
      </c>
      <c r="D335" s="99">
        <f>IF(OR(Clientes[[#This Row],[Columna1]]="Pago inmediato",Clientes[[#This Row],[Columna1]]=""),0,SUBSTITUTE(Clientes[[#This Row],[Columna1]]," días",""))</f>
        <v>0</v>
      </c>
      <c r="E335" s="34"/>
      <c r="F335"/>
      <c r="G335" s="77"/>
      <c r="I335"/>
      <c r="J335" s="34"/>
      <c r="K335"/>
    </row>
    <row r="336" spans="1:11">
      <c r="A336" s="102" t="s">
        <v>572</v>
      </c>
      <c r="B336" s="102" t="s">
        <v>573</v>
      </c>
      <c r="C336" s="102" t="s">
        <v>61</v>
      </c>
      <c r="D336" s="99" t="str">
        <f>IF(OR(Clientes[[#This Row],[Columna1]]="Pago inmediato",Clientes[[#This Row],[Columna1]]=""),0,SUBSTITUTE(Clientes[[#This Row],[Columna1]]," días",""))</f>
        <v>15</v>
      </c>
      <c r="E336" s="34"/>
      <c r="F336"/>
      <c r="G336" s="77"/>
      <c r="I336"/>
      <c r="J336" s="34"/>
      <c r="K336"/>
    </row>
    <row r="337" ht="30" spans="1:11">
      <c r="A337" s="102" t="s">
        <v>574</v>
      </c>
      <c r="B337" s="102" t="s">
        <v>575</v>
      </c>
      <c r="C337" s="102" t="s">
        <v>56</v>
      </c>
      <c r="D337" s="99">
        <f>IF(OR(Clientes[[#This Row],[Columna1]]="Pago inmediato",Clientes[[#This Row],[Columna1]]=""),0,SUBSTITUTE(Clientes[[#This Row],[Columna1]]," días",""))</f>
        <v>0</v>
      </c>
      <c r="E337" s="34"/>
      <c r="F337"/>
      <c r="G337" s="77"/>
      <c r="I337"/>
      <c r="J337" s="34"/>
      <c r="K337"/>
    </row>
    <row r="338" ht="30" spans="1:11">
      <c r="A338" s="102" t="s">
        <v>576</v>
      </c>
      <c r="B338" s="102" t="s">
        <v>577</v>
      </c>
      <c r="C338" s="102" t="s">
        <v>454</v>
      </c>
      <c r="D338" s="99" t="str">
        <f>IF(OR(Clientes[[#This Row],[Columna1]]="Pago inmediato",Clientes[[#This Row],[Columna1]]=""),0,SUBSTITUTE(Clientes[[#This Row],[Columna1]]," días",""))</f>
        <v>21</v>
      </c>
      <c r="E338" s="34"/>
      <c r="F338"/>
      <c r="G338" s="77"/>
      <c r="I338"/>
      <c r="J338" s="34"/>
      <c r="K338"/>
    </row>
    <row r="339" spans="1:11">
      <c r="A339" s="102" t="s">
        <v>578</v>
      </c>
      <c r="B339" s="102" t="s">
        <v>579</v>
      </c>
      <c r="C339" s="102" t="s">
        <v>486</v>
      </c>
      <c r="D339" s="99" t="str">
        <f>IF(OR(Clientes[[#This Row],[Columna1]]="Pago inmediato",Clientes[[#This Row],[Columna1]]=""),0,SUBSTITUTE(Clientes[[#This Row],[Columna1]]," días",""))</f>
        <v>30</v>
      </c>
      <c r="E339" s="34"/>
      <c r="F339"/>
      <c r="G339" s="77"/>
      <c r="I339"/>
      <c r="J339" s="34"/>
      <c r="K339"/>
    </row>
    <row r="340" spans="1:11">
      <c r="A340" s="102" t="s">
        <v>580</v>
      </c>
      <c r="B340" s="102" t="s">
        <v>581</v>
      </c>
      <c r="C340" s="102" t="s">
        <v>56</v>
      </c>
      <c r="D340" s="99">
        <f>IF(OR(Clientes[[#This Row],[Columna1]]="Pago inmediato",Clientes[[#This Row],[Columna1]]=""),0,SUBSTITUTE(Clientes[[#This Row],[Columna1]]," días",""))</f>
        <v>0</v>
      </c>
      <c r="E340" s="34"/>
      <c r="F340"/>
      <c r="G340" s="77"/>
      <c r="I340"/>
      <c r="J340" s="34"/>
      <c r="K340"/>
    </row>
    <row r="341" ht="30" spans="1:11">
      <c r="A341" s="102" t="s">
        <v>582</v>
      </c>
      <c r="B341" s="102" t="s">
        <v>583</v>
      </c>
      <c r="C341" s="102" t="s">
        <v>56</v>
      </c>
      <c r="D341" s="99">
        <f>IF(OR(Clientes[[#This Row],[Columna1]]="Pago inmediato",Clientes[[#This Row],[Columna1]]=""),0,SUBSTITUTE(Clientes[[#This Row],[Columna1]]," días",""))</f>
        <v>0</v>
      </c>
      <c r="E341" s="34"/>
      <c r="F341"/>
      <c r="G341" s="77"/>
      <c r="I341"/>
      <c r="J341" s="34"/>
      <c r="K341"/>
    </row>
    <row r="342" ht="45" spans="1:11">
      <c r="A342" s="102" t="s">
        <v>584</v>
      </c>
      <c r="B342" s="102" t="s">
        <v>585</v>
      </c>
      <c r="C342" s="102" t="s">
        <v>56</v>
      </c>
      <c r="D342" s="99">
        <f>IF(OR(Clientes[[#This Row],[Columna1]]="Pago inmediato",Clientes[[#This Row],[Columna1]]=""),0,SUBSTITUTE(Clientes[[#This Row],[Columna1]]," días",""))</f>
        <v>0</v>
      </c>
      <c r="E342" s="34"/>
      <c r="F342"/>
      <c r="G342" s="77"/>
      <c r="I342"/>
      <c r="J342" s="34"/>
      <c r="K342"/>
    </row>
    <row r="343" spans="1:11">
      <c r="A343" s="102" t="s">
        <v>586</v>
      </c>
      <c r="B343" s="102" t="s">
        <v>587</v>
      </c>
      <c r="C343" s="102" t="s">
        <v>56</v>
      </c>
      <c r="D343" s="99">
        <f>IF(OR(Clientes[[#This Row],[Columna1]]="Pago inmediato",Clientes[[#This Row],[Columna1]]=""),0,SUBSTITUTE(Clientes[[#This Row],[Columna1]]," días",""))</f>
        <v>0</v>
      </c>
      <c r="E343" s="34"/>
      <c r="F343"/>
      <c r="G343" s="77"/>
      <c r="I343"/>
      <c r="J343" s="34"/>
      <c r="K343"/>
    </row>
    <row r="344" spans="1:11">
      <c r="A344" s="102" t="s">
        <v>588</v>
      </c>
      <c r="B344" s="102" t="s">
        <v>589</v>
      </c>
      <c r="C344" s="102" t="s">
        <v>56</v>
      </c>
      <c r="D344" s="99">
        <f>IF(OR(Clientes[[#This Row],[Columna1]]="Pago inmediato",Clientes[[#This Row],[Columna1]]=""),0,SUBSTITUTE(Clientes[[#This Row],[Columna1]]," días",""))</f>
        <v>0</v>
      </c>
      <c r="E344" s="34"/>
      <c r="F344"/>
      <c r="G344" s="77"/>
      <c r="I344"/>
      <c r="J344" s="34"/>
      <c r="K344"/>
    </row>
    <row r="345" ht="30" spans="1:11">
      <c r="A345" s="102" t="s">
        <v>590</v>
      </c>
      <c r="B345" s="102" t="s">
        <v>591</v>
      </c>
      <c r="C345" s="102" t="s">
        <v>56</v>
      </c>
      <c r="D345" s="99">
        <f>IF(OR(Clientes[[#This Row],[Columna1]]="Pago inmediato",Clientes[[#This Row],[Columna1]]=""),0,SUBSTITUTE(Clientes[[#This Row],[Columna1]]," días",""))</f>
        <v>0</v>
      </c>
      <c r="E345" s="34"/>
      <c r="F345"/>
      <c r="G345" s="77"/>
      <c r="I345"/>
      <c r="J345" s="34"/>
      <c r="K345"/>
    </row>
    <row r="346" ht="30" spans="1:11">
      <c r="A346" s="102" t="s">
        <v>592</v>
      </c>
      <c r="B346" s="102" t="s">
        <v>593</v>
      </c>
      <c r="C346" s="102" t="s">
        <v>56</v>
      </c>
      <c r="D346" s="99">
        <f>IF(OR(Clientes[[#This Row],[Columna1]]="Pago inmediato",Clientes[[#This Row],[Columna1]]=""),0,SUBSTITUTE(Clientes[[#This Row],[Columna1]]," días",""))</f>
        <v>0</v>
      </c>
      <c r="E346" s="34"/>
      <c r="F346"/>
      <c r="G346" s="77"/>
      <c r="I346"/>
      <c r="J346" s="34"/>
      <c r="K346"/>
    </row>
    <row r="347" ht="45" spans="1:11">
      <c r="A347" s="102" t="s">
        <v>594</v>
      </c>
      <c r="B347" s="102" t="s">
        <v>595</v>
      </c>
      <c r="C347" s="102" t="s">
        <v>56</v>
      </c>
      <c r="D347" s="99">
        <f>IF(OR(Clientes[[#This Row],[Columna1]]="Pago inmediato",Clientes[[#This Row],[Columna1]]=""),0,SUBSTITUTE(Clientes[[#This Row],[Columna1]]," días",""))</f>
        <v>0</v>
      </c>
      <c r="E347" s="34"/>
      <c r="F347"/>
      <c r="G347" s="77"/>
      <c r="I347"/>
      <c r="J347" s="34"/>
      <c r="K347"/>
    </row>
    <row r="348" spans="1:11">
      <c r="A348" s="102" t="s">
        <v>596</v>
      </c>
      <c r="B348" s="102" t="s">
        <v>597</v>
      </c>
      <c r="C348" s="102" t="s">
        <v>56</v>
      </c>
      <c r="D348" s="99">
        <f>IF(OR(Clientes[[#This Row],[Columna1]]="Pago inmediato",Clientes[[#This Row],[Columna1]]=""),0,SUBSTITUTE(Clientes[[#This Row],[Columna1]]," días",""))</f>
        <v>0</v>
      </c>
      <c r="E348" s="34"/>
      <c r="F348"/>
      <c r="G348" s="77"/>
      <c r="I348"/>
      <c r="J348" s="34"/>
      <c r="K348"/>
    </row>
    <row r="349" ht="30" spans="1:11">
      <c r="A349" s="102" t="s">
        <v>598</v>
      </c>
      <c r="B349" s="102" t="s">
        <v>599</v>
      </c>
      <c r="C349" s="102" t="s">
        <v>56</v>
      </c>
      <c r="D349" s="99">
        <f>IF(OR(Clientes[[#This Row],[Columna1]]="Pago inmediato",Clientes[[#This Row],[Columna1]]=""),0,SUBSTITUTE(Clientes[[#This Row],[Columna1]]," días",""))</f>
        <v>0</v>
      </c>
      <c r="E349" s="34"/>
      <c r="F349"/>
      <c r="G349" s="77"/>
      <c r="I349"/>
      <c r="J349" s="34"/>
      <c r="K349"/>
    </row>
    <row r="350" spans="1:11">
      <c r="A350" s="102" t="s">
        <v>600</v>
      </c>
      <c r="B350" s="102" t="s">
        <v>601</v>
      </c>
      <c r="C350" s="102" t="s">
        <v>56</v>
      </c>
      <c r="D350" s="99">
        <f>IF(OR(Clientes[[#This Row],[Columna1]]="Pago inmediato",Clientes[[#This Row],[Columna1]]=""),0,SUBSTITUTE(Clientes[[#This Row],[Columna1]]," días",""))</f>
        <v>0</v>
      </c>
      <c r="E350" s="34"/>
      <c r="F350"/>
      <c r="G350" s="77"/>
      <c r="I350"/>
      <c r="J350" s="34"/>
      <c r="K350"/>
    </row>
    <row r="351" ht="30" spans="1:11">
      <c r="A351" s="102" t="s">
        <v>602</v>
      </c>
      <c r="B351" s="102" t="s">
        <v>603</v>
      </c>
      <c r="C351" s="102" t="s">
        <v>56</v>
      </c>
      <c r="D351" s="99">
        <f>IF(OR(Clientes[[#This Row],[Columna1]]="Pago inmediato",Clientes[[#This Row],[Columna1]]=""),0,SUBSTITUTE(Clientes[[#This Row],[Columna1]]," días",""))</f>
        <v>0</v>
      </c>
      <c r="E351" s="34"/>
      <c r="F351"/>
      <c r="G351" s="77"/>
      <c r="I351"/>
      <c r="J351" s="34"/>
      <c r="K351"/>
    </row>
    <row r="352" ht="30" spans="1:11">
      <c r="A352" s="102" t="s">
        <v>604</v>
      </c>
      <c r="B352" s="102" t="s">
        <v>605</v>
      </c>
      <c r="C352" s="102" t="s">
        <v>56</v>
      </c>
      <c r="D352" s="99">
        <f>IF(OR(Clientes[[#This Row],[Columna1]]="Pago inmediato",Clientes[[#This Row],[Columna1]]=""),0,SUBSTITUTE(Clientes[[#This Row],[Columna1]]," días",""))</f>
        <v>0</v>
      </c>
      <c r="E352" s="34"/>
      <c r="F352"/>
      <c r="G352" s="77"/>
      <c r="I352"/>
      <c r="J352" s="34"/>
      <c r="K352"/>
    </row>
    <row r="353" spans="1:11">
      <c r="A353" s="102" t="s">
        <v>606</v>
      </c>
      <c r="B353" s="102" t="s">
        <v>607</v>
      </c>
      <c r="C353" s="102" t="s">
        <v>54</v>
      </c>
      <c r="D353" s="99" t="str">
        <f>IF(OR(Clientes[[#This Row],[Columna1]]="Pago inmediato",Clientes[[#This Row],[Columna1]]=""),0,SUBSTITUTE(Clientes[[#This Row],[Columna1]]," días",""))</f>
        <v>7</v>
      </c>
      <c r="E353" s="34"/>
      <c r="F353"/>
      <c r="G353" s="77"/>
      <c r="I353"/>
      <c r="J353" s="34"/>
      <c r="K353"/>
    </row>
    <row r="354" ht="30" spans="1:11">
      <c r="A354" s="102" t="s">
        <v>608</v>
      </c>
      <c r="B354" s="102" t="s">
        <v>609</v>
      </c>
      <c r="C354" s="102" t="s">
        <v>56</v>
      </c>
      <c r="D354" s="99">
        <f>IF(OR(Clientes[[#This Row],[Columna1]]="Pago inmediato",Clientes[[#This Row],[Columna1]]=""),0,SUBSTITUTE(Clientes[[#This Row],[Columna1]]," días",""))</f>
        <v>0</v>
      </c>
      <c r="E354" s="34"/>
      <c r="F354"/>
      <c r="G354" s="77"/>
      <c r="I354"/>
      <c r="J354" s="34"/>
      <c r="K354"/>
    </row>
    <row r="355" ht="30" spans="1:11">
      <c r="A355" s="102" t="s">
        <v>610</v>
      </c>
      <c r="B355" s="102" t="s">
        <v>611</v>
      </c>
      <c r="C355" s="102" t="s">
        <v>56</v>
      </c>
      <c r="D355" s="99">
        <f>IF(OR(Clientes[[#This Row],[Columna1]]="Pago inmediato",Clientes[[#This Row],[Columna1]]=""),0,SUBSTITUTE(Clientes[[#This Row],[Columna1]]," días",""))</f>
        <v>0</v>
      </c>
      <c r="E355" s="34"/>
      <c r="F355"/>
      <c r="G355" s="77"/>
      <c r="I355"/>
      <c r="J355" s="34"/>
      <c r="K355"/>
    </row>
    <row r="356" ht="30" spans="1:11">
      <c r="A356" s="102" t="s">
        <v>612</v>
      </c>
      <c r="B356" s="102" t="s">
        <v>613</v>
      </c>
      <c r="C356" s="102" t="s">
        <v>282</v>
      </c>
      <c r="D356" s="99" t="str">
        <f>IF(OR(Clientes[[#This Row],[Columna1]]="Pago inmediato",Clientes[[#This Row],[Columna1]]=""),0,SUBSTITUTE(Clientes[[#This Row],[Columna1]]," días",""))</f>
        <v>10</v>
      </c>
      <c r="E356" s="34"/>
      <c r="F356"/>
      <c r="G356" s="77"/>
      <c r="I356"/>
      <c r="J356" s="34"/>
      <c r="K356"/>
    </row>
    <row r="357" spans="1:11">
      <c r="A357" s="102" t="s">
        <v>614</v>
      </c>
      <c r="B357" s="102" t="s">
        <v>615</v>
      </c>
      <c r="C357" s="102" t="s">
        <v>61</v>
      </c>
      <c r="D357" s="99" t="str">
        <f>IF(OR(Clientes[[#This Row],[Columna1]]="Pago inmediato",Clientes[[#This Row],[Columna1]]=""),0,SUBSTITUTE(Clientes[[#This Row],[Columna1]]," días",""))</f>
        <v>15</v>
      </c>
      <c r="E357" s="34"/>
      <c r="F357"/>
      <c r="G357" s="77"/>
      <c r="I357"/>
      <c r="J357" s="34"/>
      <c r="K357"/>
    </row>
    <row r="358" spans="1:11">
      <c r="A358" s="102" t="s">
        <v>616</v>
      </c>
      <c r="B358" s="102" t="s">
        <v>617</v>
      </c>
      <c r="C358" s="102" t="s">
        <v>61</v>
      </c>
      <c r="D358" s="99" t="str">
        <f>IF(OR(Clientes[[#This Row],[Columna1]]="Pago inmediato",Clientes[[#This Row],[Columna1]]=""),0,SUBSTITUTE(Clientes[[#This Row],[Columna1]]," días",""))</f>
        <v>15</v>
      </c>
      <c r="E358" s="34"/>
      <c r="F358"/>
      <c r="G358" s="77"/>
      <c r="I358"/>
      <c r="J358" s="34"/>
      <c r="K358"/>
    </row>
    <row r="359" ht="30" spans="1:11">
      <c r="A359" s="102" t="s">
        <v>616</v>
      </c>
      <c r="B359" s="102" t="s">
        <v>618</v>
      </c>
      <c r="C359" s="102" t="s">
        <v>61</v>
      </c>
      <c r="D359" s="99" t="str">
        <f>IF(OR(Clientes[[#This Row],[Columna1]]="Pago inmediato",Clientes[[#This Row],[Columna1]]=""),0,SUBSTITUTE(Clientes[[#This Row],[Columna1]]," días",""))</f>
        <v>15</v>
      </c>
      <c r="E359" s="34"/>
      <c r="F359"/>
      <c r="G359" s="77"/>
      <c r="I359"/>
      <c r="J359" s="34"/>
      <c r="K359"/>
    </row>
    <row r="360" spans="1:11">
      <c r="A360" s="102" t="s">
        <v>619</v>
      </c>
      <c r="B360" s="102" t="s">
        <v>620</v>
      </c>
      <c r="C360" s="102" t="s">
        <v>56</v>
      </c>
      <c r="D360" s="99">
        <f>IF(OR(Clientes[[#This Row],[Columna1]]="Pago inmediato",Clientes[[#This Row],[Columna1]]=""),0,SUBSTITUTE(Clientes[[#This Row],[Columna1]]," días",""))</f>
        <v>0</v>
      </c>
      <c r="E360" s="34"/>
      <c r="F360"/>
      <c r="G360" s="77"/>
      <c r="I360"/>
      <c r="J360" s="34"/>
      <c r="K360"/>
    </row>
    <row r="361" ht="30" spans="1:11">
      <c r="A361" s="102" t="s">
        <v>619</v>
      </c>
      <c r="B361" s="102" t="s">
        <v>621</v>
      </c>
      <c r="C361" s="102" t="s">
        <v>56</v>
      </c>
      <c r="D361" s="99">
        <f>IF(OR(Clientes[[#This Row],[Columna1]]="Pago inmediato",Clientes[[#This Row],[Columna1]]=""),0,SUBSTITUTE(Clientes[[#This Row],[Columna1]]," días",""))</f>
        <v>0</v>
      </c>
      <c r="E361" s="34"/>
      <c r="F361"/>
      <c r="G361" s="77"/>
      <c r="I361"/>
      <c r="J361" s="34"/>
      <c r="K361"/>
    </row>
    <row r="362" ht="45" spans="1:11">
      <c r="A362" s="102" t="s">
        <v>622</v>
      </c>
      <c r="B362" s="102" t="s">
        <v>623</v>
      </c>
      <c r="C362" s="102" t="s">
        <v>56</v>
      </c>
      <c r="D362" s="99">
        <f>IF(OR(Clientes[[#This Row],[Columna1]]="Pago inmediato",Clientes[[#This Row],[Columna1]]=""),0,SUBSTITUTE(Clientes[[#This Row],[Columna1]]," días",""))</f>
        <v>0</v>
      </c>
      <c r="E362" s="34"/>
      <c r="F362"/>
      <c r="G362" s="77"/>
      <c r="I362"/>
      <c r="J362" s="34"/>
      <c r="K362"/>
    </row>
    <row r="363" ht="60" spans="1:11">
      <c r="A363" s="102" t="s">
        <v>622</v>
      </c>
      <c r="B363" s="102" t="s">
        <v>624</v>
      </c>
      <c r="C363" s="102" t="s">
        <v>56</v>
      </c>
      <c r="D363" s="99">
        <f>IF(OR(Clientes[[#This Row],[Columna1]]="Pago inmediato",Clientes[[#This Row],[Columna1]]=""),0,SUBSTITUTE(Clientes[[#This Row],[Columna1]]," días",""))</f>
        <v>0</v>
      </c>
      <c r="E363" s="34"/>
      <c r="F363"/>
      <c r="G363" s="77"/>
      <c r="I363"/>
      <c r="J363" s="34"/>
      <c r="K363"/>
    </row>
    <row r="364" ht="30" spans="1:11">
      <c r="A364" s="102" t="s">
        <v>625</v>
      </c>
      <c r="B364" s="102" t="s">
        <v>626</v>
      </c>
      <c r="C364" s="102" t="s">
        <v>56</v>
      </c>
      <c r="D364" s="99">
        <f>IF(OR(Clientes[[#This Row],[Columna1]]="Pago inmediato",Clientes[[#This Row],[Columna1]]=""),0,SUBSTITUTE(Clientes[[#This Row],[Columna1]]," días",""))</f>
        <v>0</v>
      </c>
      <c r="E364" s="34"/>
      <c r="F364"/>
      <c r="G364" s="77"/>
      <c r="I364"/>
      <c r="J364" s="34"/>
      <c r="K364"/>
    </row>
    <row r="365" ht="30" spans="1:11">
      <c r="A365" s="102" t="s">
        <v>627</v>
      </c>
      <c r="B365" s="102" t="s">
        <v>628</v>
      </c>
      <c r="C365" s="102" t="s">
        <v>56</v>
      </c>
      <c r="D365" s="99">
        <f>IF(OR(Clientes[[#This Row],[Columna1]]="Pago inmediato",Clientes[[#This Row],[Columna1]]=""),0,SUBSTITUTE(Clientes[[#This Row],[Columna1]]," días",""))</f>
        <v>0</v>
      </c>
      <c r="E365" s="34"/>
      <c r="F365"/>
      <c r="G365" s="77"/>
      <c r="I365"/>
      <c r="J365" s="34"/>
      <c r="K365"/>
    </row>
    <row r="366" ht="45" spans="1:11">
      <c r="A366" s="102" t="s">
        <v>629</v>
      </c>
      <c r="B366" s="102" t="s">
        <v>630</v>
      </c>
      <c r="C366" s="102" t="s">
        <v>56</v>
      </c>
      <c r="D366" s="99">
        <f>IF(OR(Clientes[[#This Row],[Columna1]]="Pago inmediato",Clientes[[#This Row],[Columna1]]=""),0,SUBSTITUTE(Clientes[[#This Row],[Columna1]]," días",""))</f>
        <v>0</v>
      </c>
      <c r="E366" s="34"/>
      <c r="F366"/>
      <c r="G366" s="77"/>
      <c r="I366"/>
      <c r="J366" s="34"/>
      <c r="K366"/>
    </row>
    <row r="367" ht="30" spans="1:11">
      <c r="A367" s="102" t="s">
        <v>631</v>
      </c>
      <c r="B367" s="102" t="s">
        <v>632</v>
      </c>
      <c r="C367" s="102" t="s">
        <v>56</v>
      </c>
      <c r="D367" s="99">
        <f>IF(OR(Clientes[[#This Row],[Columna1]]="Pago inmediato",Clientes[[#This Row],[Columna1]]=""),0,SUBSTITUTE(Clientes[[#This Row],[Columna1]]," días",""))</f>
        <v>0</v>
      </c>
      <c r="E367" s="34"/>
      <c r="F367"/>
      <c r="G367" s="77"/>
      <c r="I367"/>
      <c r="J367" s="34"/>
      <c r="K367"/>
    </row>
    <row r="368" spans="1:11">
      <c r="A368" s="102" t="s">
        <v>633</v>
      </c>
      <c r="B368" s="102" t="s">
        <v>634</v>
      </c>
      <c r="C368" s="102" t="s">
        <v>56</v>
      </c>
      <c r="D368" s="99">
        <f>IF(OR(Clientes[[#This Row],[Columna1]]="Pago inmediato",Clientes[[#This Row],[Columna1]]=""),0,SUBSTITUTE(Clientes[[#This Row],[Columna1]]," días",""))</f>
        <v>0</v>
      </c>
      <c r="E368" s="34"/>
      <c r="F368"/>
      <c r="G368" s="77"/>
      <c r="I368"/>
      <c r="J368" s="34"/>
      <c r="K368"/>
    </row>
    <row r="369" spans="1:11">
      <c r="A369" s="102" t="s">
        <v>635</v>
      </c>
      <c r="B369" s="102" t="s">
        <v>636</v>
      </c>
      <c r="C369" s="102" t="s">
        <v>61</v>
      </c>
      <c r="D369" s="99" t="str">
        <f>IF(OR(Clientes[[#This Row],[Columna1]]="Pago inmediato",Clientes[[#This Row],[Columna1]]=""),0,SUBSTITUTE(Clientes[[#This Row],[Columna1]]," días",""))</f>
        <v>15</v>
      </c>
      <c r="E369" s="34"/>
      <c r="F369"/>
      <c r="G369" s="77"/>
      <c r="I369"/>
      <c r="J369" s="34"/>
      <c r="K369"/>
    </row>
    <row r="370" ht="30" spans="1:11">
      <c r="A370" s="102" t="s">
        <v>637</v>
      </c>
      <c r="B370" s="102" t="s">
        <v>638</v>
      </c>
      <c r="C370" s="102" t="s">
        <v>56</v>
      </c>
      <c r="D370" s="99">
        <f>IF(OR(Clientes[[#This Row],[Columna1]]="Pago inmediato",Clientes[[#This Row],[Columna1]]=""),0,SUBSTITUTE(Clientes[[#This Row],[Columna1]]," días",""))</f>
        <v>0</v>
      </c>
      <c r="E370" s="34"/>
      <c r="F370"/>
      <c r="G370" s="77"/>
      <c r="I370"/>
      <c r="J370" s="34"/>
      <c r="K370"/>
    </row>
    <row r="371" ht="30" spans="1:11">
      <c r="A371" s="102" t="s">
        <v>639</v>
      </c>
      <c r="B371" s="102" t="s">
        <v>640</v>
      </c>
      <c r="C371" s="102" t="s">
        <v>56</v>
      </c>
      <c r="D371" s="99">
        <f>IF(OR(Clientes[[#This Row],[Columna1]]="Pago inmediato",Clientes[[#This Row],[Columna1]]=""),0,SUBSTITUTE(Clientes[[#This Row],[Columna1]]," días",""))</f>
        <v>0</v>
      </c>
      <c r="E371" s="34"/>
      <c r="F371"/>
      <c r="G371" s="77"/>
      <c r="I371"/>
      <c r="J371" s="34"/>
      <c r="K371"/>
    </row>
    <row r="372" ht="30" spans="1:11">
      <c r="A372" s="102" t="s">
        <v>641</v>
      </c>
      <c r="B372" s="102" t="s">
        <v>642</v>
      </c>
      <c r="C372" s="102" t="s">
        <v>56</v>
      </c>
      <c r="D372" s="99">
        <f>IF(OR(Clientes[[#This Row],[Columna1]]="Pago inmediato",Clientes[[#This Row],[Columna1]]=""),0,SUBSTITUTE(Clientes[[#This Row],[Columna1]]," días",""))</f>
        <v>0</v>
      </c>
      <c r="E372" s="34"/>
      <c r="F372"/>
      <c r="G372" s="77"/>
      <c r="I372"/>
      <c r="J372" s="34"/>
      <c r="K372"/>
    </row>
    <row r="373" ht="45" spans="1:11">
      <c r="A373" s="102" t="s">
        <v>641</v>
      </c>
      <c r="B373" s="102" t="s">
        <v>643</v>
      </c>
      <c r="C373" s="102" t="s">
        <v>56</v>
      </c>
      <c r="D373" s="99">
        <f>IF(OR(Clientes[[#This Row],[Columna1]]="Pago inmediato",Clientes[[#This Row],[Columna1]]=""),0,SUBSTITUTE(Clientes[[#This Row],[Columna1]]," días",""))</f>
        <v>0</v>
      </c>
      <c r="E373" s="34"/>
      <c r="F373"/>
      <c r="G373" s="77"/>
      <c r="I373"/>
      <c r="J373" s="34"/>
      <c r="K373"/>
    </row>
    <row r="374" spans="1:11">
      <c r="A374" s="102" t="s">
        <v>644</v>
      </c>
      <c r="B374" s="102" t="s">
        <v>645</v>
      </c>
      <c r="C374" s="102" t="s">
        <v>56</v>
      </c>
      <c r="D374" s="99">
        <f>IF(OR(Clientes[[#This Row],[Columna1]]="Pago inmediato",Clientes[[#This Row],[Columna1]]=""),0,SUBSTITUTE(Clientes[[#This Row],[Columna1]]," días",""))</f>
        <v>0</v>
      </c>
      <c r="E374" s="34"/>
      <c r="F374"/>
      <c r="G374" s="77"/>
      <c r="I374"/>
      <c r="J374" s="34"/>
      <c r="K374"/>
    </row>
    <row r="375" ht="45" spans="1:11">
      <c r="A375" s="102" t="s">
        <v>646</v>
      </c>
      <c r="B375" s="102" t="s">
        <v>647</v>
      </c>
      <c r="C375" s="102" t="s">
        <v>56</v>
      </c>
      <c r="D375" s="99">
        <f>IF(OR(Clientes[[#This Row],[Columna1]]="Pago inmediato",Clientes[[#This Row],[Columna1]]=""),0,SUBSTITUTE(Clientes[[#This Row],[Columna1]]," días",""))</f>
        <v>0</v>
      </c>
      <c r="E375" s="34"/>
      <c r="F375"/>
      <c r="G375" s="77"/>
      <c r="I375"/>
      <c r="J375" s="34"/>
      <c r="K375"/>
    </row>
    <row r="376" ht="30" spans="1:11">
      <c r="A376" s="102" t="s">
        <v>648</v>
      </c>
      <c r="B376" s="102" t="s">
        <v>649</v>
      </c>
      <c r="C376" s="102" t="s">
        <v>56</v>
      </c>
      <c r="D376" s="99">
        <f>IF(OR(Clientes[[#This Row],[Columna1]]="Pago inmediato",Clientes[[#This Row],[Columna1]]=""),0,SUBSTITUTE(Clientes[[#This Row],[Columna1]]," días",""))</f>
        <v>0</v>
      </c>
      <c r="E376" s="34"/>
      <c r="F376"/>
      <c r="G376" s="77"/>
      <c r="I376"/>
      <c r="J376" s="34"/>
      <c r="K376"/>
    </row>
    <row r="377" ht="30" spans="1:11">
      <c r="A377" s="102" t="s">
        <v>650</v>
      </c>
      <c r="B377" s="102" t="s">
        <v>651</v>
      </c>
      <c r="C377" s="102" t="s">
        <v>54</v>
      </c>
      <c r="D377" s="99" t="str">
        <f>IF(OR(Clientes[[#This Row],[Columna1]]="Pago inmediato",Clientes[[#This Row],[Columna1]]=""),0,SUBSTITUTE(Clientes[[#This Row],[Columna1]]," días",""))</f>
        <v>7</v>
      </c>
      <c r="E377" s="34"/>
      <c r="F377"/>
      <c r="G377" s="77"/>
      <c r="I377"/>
      <c r="J377" s="34"/>
      <c r="K377"/>
    </row>
    <row r="378" ht="45" spans="1:11">
      <c r="A378" s="102" t="s">
        <v>652</v>
      </c>
      <c r="B378" s="102" t="s">
        <v>653</v>
      </c>
      <c r="C378" s="102" t="s">
        <v>56</v>
      </c>
      <c r="D378" s="99">
        <f>IF(OR(Clientes[[#This Row],[Columna1]]="Pago inmediato",Clientes[[#This Row],[Columna1]]=""),0,SUBSTITUTE(Clientes[[#This Row],[Columna1]]," días",""))</f>
        <v>0</v>
      </c>
      <c r="E378" s="34"/>
      <c r="F378"/>
      <c r="G378" s="77"/>
      <c r="I378"/>
      <c r="J378" s="34"/>
      <c r="K378"/>
    </row>
    <row r="379" spans="1:11">
      <c r="A379" s="102" t="s">
        <v>654</v>
      </c>
      <c r="B379" s="102" t="s">
        <v>655</v>
      </c>
      <c r="C379" s="102" t="s">
        <v>56</v>
      </c>
      <c r="D379" s="99">
        <f>IF(OR(Clientes[[#This Row],[Columna1]]="Pago inmediato",Clientes[[#This Row],[Columna1]]=""),0,SUBSTITUTE(Clientes[[#This Row],[Columna1]]," días",""))</f>
        <v>0</v>
      </c>
      <c r="E379" s="34"/>
      <c r="F379"/>
      <c r="G379" s="77"/>
      <c r="I379"/>
      <c r="J379" s="34"/>
      <c r="K379"/>
    </row>
    <row r="380" ht="30" spans="1:11">
      <c r="A380" s="102" t="s">
        <v>656</v>
      </c>
      <c r="B380" s="102" t="s">
        <v>657</v>
      </c>
      <c r="C380" s="102" t="s">
        <v>56</v>
      </c>
      <c r="D380" s="99">
        <f>IF(OR(Clientes[[#This Row],[Columna1]]="Pago inmediato",Clientes[[#This Row],[Columna1]]=""),0,SUBSTITUTE(Clientes[[#This Row],[Columna1]]," días",""))</f>
        <v>0</v>
      </c>
      <c r="E380" s="34"/>
      <c r="F380"/>
      <c r="G380" s="77"/>
      <c r="I380"/>
      <c r="J380" s="34"/>
      <c r="K380"/>
    </row>
    <row r="381" spans="1:11">
      <c r="A381" s="102" t="s">
        <v>658</v>
      </c>
      <c r="B381" s="102" t="s">
        <v>659</v>
      </c>
      <c r="C381" s="102" t="s">
        <v>56</v>
      </c>
      <c r="D381" s="99">
        <f>IF(OR(Clientes[[#This Row],[Columna1]]="Pago inmediato",Clientes[[#This Row],[Columna1]]=""),0,SUBSTITUTE(Clientes[[#This Row],[Columna1]]," días",""))</f>
        <v>0</v>
      </c>
      <c r="E381" s="34"/>
      <c r="F381"/>
      <c r="G381" s="77"/>
      <c r="I381"/>
      <c r="J381" s="34"/>
      <c r="K381"/>
    </row>
    <row r="382" ht="30" spans="1:11">
      <c r="A382" s="102" t="s">
        <v>660</v>
      </c>
      <c r="B382" s="102" t="s">
        <v>661</v>
      </c>
      <c r="C382" s="102" t="s">
        <v>56</v>
      </c>
      <c r="D382" s="99">
        <f>IF(OR(Clientes[[#This Row],[Columna1]]="Pago inmediato",Clientes[[#This Row],[Columna1]]=""),0,SUBSTITUTE(Clientes[[#This Row],[Columna1]]," días",""))</f>
        <v>0</v>
      </c>
      <c r="E382" s="34"/>
      <c r="F382"/>
      <c r="G382" s="77"/>
      <c r="I382"/>
      <c r="J382" s="34"/>
      <c r="K382"/>
    </row>
    <row r="383" ht="60" spans="1:11">
      <c r="A383" s="102" t="s">
        <v>662</v>
      </c>
      <c r="B383" s="102" t="s">
        <v>663</v>
      </c>
      <c r="C383" s="102" t="s">
        <v>56</v>
      </c>
      <c r="D383" s="99">
        <f>IF(OR(Clientes[[#This Row],[Columna1]]="Pago inmediato",Clientes[[#This Row],[Columna1]]=""),0,SUBSTITUTE(Clientes[[#This Row],[Columna1]]," días",""))</f>
        <v>0</v>
      </c>
      <c r="E383" s="34"/>
      <c r="F383"/>
      <c r="G383" s="77"/>
      <c r="I383"/>
      <c r="J383" s="34"/>
      <c r="K383"/>
    </row>
    <row r="384" ht="30" spans="1:11">
      <c r="A384" s="102" t="s">
        <v>664</v>
      </c>
      <c r="B384" s="102" t="s">
        <v>665</v>
      </c>
      <c r="C384" s="102" t="s">
        <v>56</v>
      </c>
      <c r="D384" s="99">
        <f>IF(OR(Clientes[[#This Row],[Columna1]]="Pago inmediato",Clientes[[#This Row],[Columna1]]=""),0,SUBSTITUTE(Clientes[[#This Row],[Columna1]]," días",""))</f>
        <v>0</v>
      </c>
      <c r="E384" s="34"/>
      <c r="F384"/>
      <c r="G384" s="77"/>
      <c r="I384"/>
      <c r="J384" s="34"/>
      <c r="K384"/>
    </row>
    <row r="385" ht="45" spans="1:11">
      <c r="A385" s="102" t="s">
        <v>666</v>
      </c>
      <c r="B385" s="102" t="s">
        <v>667</v>
      </c>
      <c r="C385" s="102" t="s">
        <v>56</v>
      </c>
      <c r="D385" s="99">
        <f>IF(OR(Clientes[[#This Row],[Columna1]]="Pago inmediato",Clientes[[#This Row],[Columna1]]=""),0,SUBSTITUTE(Clientes[[#This Row],[Columna1]]," días",""))</f>
        <v>0</v>
      </c>
      <c r="E385" s="34"/>
      <c r="F385"/>
      <c r="G385" s="77"/>
      <c r="I385"/>
      <c r="J385" s="34"/>
      <c r="K385"/>
    </row>
    <row r="386" ht="30" spans="1:11">
      <c r="A386" s="102" t="s">
        <v>668</v>
      </c>
      <c r="B386" s="102" t="s">
        <v>669</v>
      </c>
      <c r="C386" s="102" t="s">
        <v>56</v>
      </c>
      <c r="D386" s="99">
        <f>IF(OR(Clientes[[#This Row],[Columna1]]="Pago inmediato",Clientes[[#This Row],[Columna1]]=""),0,SUBSTITUTE(Clientes[[#This Row],[Columna1]]," días",""))</f>
        <v>0</v>
      </c>
      <c r="E386" s="34"/>
      <c r="F386"/>
      <c r="G386" s="77"/>
      <c r="I386"/>
      <c r="J386" s="34"/>
      <c r="K386"/>
    </row>
    <row r="387" ht="30" spans="1:11">
      <c r="A387" s="102" t="s">
        <v>670</v>
      </c>
      <c r="B387" s="102" t="s">
        <v>671</v>
      </c>
      <c r="C387" s="102" t="s">
        <v>56</v>
      </c>
      <c r="D387" s="99">
        <f>IF(OR(Clientes[[#This Row],[Columna1]]="Pago inmediato",Clientes[[#This Row],[Columna1]]=""),0,SUBSTITUTE(Clientes[[#This Row],[Columna1]]," días",""))</f>
        <v>0</v>
      </c>
      <c r="E387" s="34"/>
      <c r="F387"/>
      <c r="G387" s="77"/>
      <c r="I387"/>
      <c r="J387" s="34"/>
      <c r="K387"/>
    </row>
    <row r="388" ht="30" spans="1:11">
      <c r="A388" s="102" t="s">
        <v>672</v>
      </c>
      <c r="B388" s="102" t="s">
        <v>673</v>
      </c>
      <c r="C388" s="102" t="s">
        <v>56</v>
      </c>
      <c r="D388" s="99">
        <f>IF(OR(Clientes[[#This Row],[Columna1]]="Pago inmediato",Clientes[[#This Row],[Columna1]]=""),0,SUBSTITUTE(Clientes[[#This Row],[Columna1]]," días",""))</f>
        <v>0</v>
      </c>
      <c r="E388" s="34"/>
      <c r="F388"/>
      <c r="G388" s="77"/>
      <c r="I388"/>
      <c r="J388" s="34"/>
      <c r="K388"/>
    </row>
    <row r="389" ht="45" spans="1:11">
      <c r="A389" s="102" t="s">
        <v>674</v>
      </c>
      <c r="B389" s="102" t="s">
        <v>675</v>
      </c>
      <c r="C389" s="102" t="s">
        <v>56</v>
      </c>
      <c r="D389" s="99">
        <f>IF(OR(Clientes[[#This Row],[Columna1]]="Pago inmediato",Clientes[[#This Row],[Columna1]]=""),0,SUBSTITUTE(Clientes[[#This Row],[Columna1]]," días",""))</f>
        <v>0</v>
      </c>
      <c r="E389" s="34"/>
      <c r="F389"/>
      <c r="G389" s="77"/>
      <c r="I389"/>
      <c r="J389" s="34"/>
      <c r="K389"/>
    </row>
    <row r="390" ht="60" spans="1:11">
      <c r="A390" s="102" t="s">
        <v>676</v>
      </c>
      <c r="B390" s="102" t="s">
        <v>677</v>
      </c>
      <c r="C390" s="102" t="s">
        <v>56</v>
      </c>
      <c r="D390" s="99">
        <f>IF(OR(Clientes[[#This Row],[Columna1]]="Pago inmediato",Clientes[[#This Row],[Columna1]]=""),0,SUBSTITUTE(Clientes[[#This Row],[Columna1]]," días",""))</f>
        <v>0</v>
      </c>
      <c r="E390" s="34"/>
      <c r="F390"/>
      <c r="G390" s="77"/>
      <c r="I390"/>
      <c r="J390" s="34"/>
      <c r="K390"/>
    </row>
    <row r="391" ht="30" spans="1:11">
      <c r="A391" s="102" t="s">
        <v>678</v>
      </c>
      <c r="B391" s="102" t="s">
        <v>679</v>
      </c>
      <c r="C391" s="102" t="s">
        <v>56</v>
      </c>
      <c r="D391" s="99">
        <f>IF(OR(Clientes[[#This Row],[Columna1]]="Pago inmediato",Clientes[[#This Row],[Columna1]]=""),0,SUBSTITUTE(Clientes[[#This Row],[Columna1]]," días",""))</f>
        <v>0</v>
      </c>
      <c r="E391" s="34"/>
      <c r="F391"/>
      <c r="G391" s="77"/>
      <c r="I391"/>
      <c r="J391" s="34"/>
      <c r="K391"/>
    </row>
    <row r="392" ht="30" spans="1:11">
      <c r="A392" s="102" t="s">
        <v>680</v>
      </c>
      <c r="B392" s="102" t="s">
        <v>681</v>
      </c>
      <c r="C392" s="102" t="s">
        <v>56</v>
      </c>
      <c r="D392" s="99">
        <f>IF(OR(Clientes[[#This Row],[Columna1]]="Pago inmediato",Clientes[[#This Row],[Columna1]]=""),0,SUBSTITUTE(Clientes[[#This Row],[Columna1]]," días",""))</f>
        <v>0</v>
      </c>
      <c r="E392" s="34"/>
      <c r="F392"/>
      <c r="G392" s="77"/>
      <c r="I392"/>
      <c r="J392" s="34"/>
      <c r="K392"/>
    </row>
    <row r="393" ht="30" spans="1:11">
      <c r="A393" s="102" t="s">
        <v>682</v>
      </c>
      <c r="B393" s="102" t="s">
        <v>683</v>
      </c>
      <c r="C393" s="102" t="s">
        <v>56</v>
      </c>
      <c r="D393" s="99">
        <f>IF(OR(Clientes[[#This Row],[Columna1]]="Pago inmediato",Clientes[[#This Row],[Columna1]]=""),0,SUBSTITUTE(Clientes[[#This Row],[Columna1]]," días",""))</f>
        <v>0</v>
      </c>
      <c r="E393" s="34"/>
      <c r="F393"/>
      <c r="G393" s="77"/>
      <c r="I393"/>
      <c r="J393" s="34"/>
      <c r="K393"/>
    </row>
    <row r="394" ht="30" spans="1:11">
      <c r="A394" s="102" t="s">
        <v>684</v>
      </c>
      <c r="B394" s="102" t="s">
        <v>685</v>
      </c>
      <c r="C394" s="102" t="s">
        <v>56</v>
      </c>
      <c r="D394" s="99">
        <f>IF(OR(Clientes[[#This Row],[Columna1]]="Pago inmediato",Clientes[[#This Row],[Columna1]]=""),0,SUBSTITUTE(Clientes[[#This Row],[Columna1]]," días",""))</f>
        <v>0</v>
      </c>
      <c r="E394" s="34"/>
      <c r="F394"/>
      <c r="G394" s="77"/>
      <c r="I394"/>
      <c r="J394" s="34"/>
      <c r="K394"/>
    </row>
    <row r="395" spans="1:11">
      <c r="A395" s="102" t="s">
        <v>686</v>
      </c>
      <c r="B395" s="102" t="s">
        <v>687</v>
      </c>
      <c r="C395" s="102" t="s">
        <v>54</v>
      </c>
      <c r="D395" s="99" t="str">
        <f>IF(OR(Clientes[[#This Row],[Columna1]]="Pago inmediato",Clientes[[#This Row],[Columna1]]=""),0,SUBSTITUTE(Clientes[[#This Row],[Columna1]]," días",""))</f>
        <v>7</v>
      </c>
      <c r="E395" s="34"/>
      <c r="F395"/>
      <c r="G395" s="77"/>
      <c r="I395"/>
      <c r="J395" s="34"/>
      <c r="K395"/>
    </row>
    <row r="396" ht="30" spans="1:11">
      <c r="A396" s="102" t="s">
        <v>688</v>
      </c>
      <c r="B396" s="102" t="s">
        <v>689</v>
      </c>
      <c r="C396" s="102" t="s">
        <v>56</v>
      </c>
      <c r="D396" s="99">
        <f>IF(OR(Clientes[[#This Row],[Columna1]]="Pago inmediato",Clientes[[#This Row],[Columna1]]=""),0,SUBSTITUTE(Clientes[[#This Row],[Columna1]]," días",""))</f>
        <v>0</v>
      </c>
      <c r="E396" s="34"/>
      <c r="F396"/>
      <c r="G396" s="77"/>
      <c r="I396"/>
      <c r="J396" s="34"/>
      <c r="K396"/>
    </row>
    <row r="397" ht="30" spans="1:11">
      <c r="A397" s="102" t="s">
        <v>690</v>
      </c>
      <c r="B397" s="102" t="s">
        <v>691</v>
      </c>
      <c r="C397" s="102" t="s">
        <v>56</v>
      </c>
      <c r="D397" s="99">
        <f>IF(OR(Clientes[[#This Row],[Columna1]]="Pago inmediato",Clientes[[#This Row],[Columna1]]=""),0,SUBSTITUTE(Clientes[[#This Row],[Columna1]]," días",""))</f>
        <v>0</v>
      </c>
      <c r="E397" s="34"/>
      <c r="F397"/>
      <c r="G397" s="77"/>
      <c r="I397"/>
      <c r="J397" s="34"/>
      <c r="K397"/>
    </row>
    <row r="398" ht="45" spans="1:11">
      <c r="A398" s="102" t="s">
        <v>692</v>
      </c>
      <c r="B398" s="102" t="s">
        <v>693</v>
      </c>
      <c r="C398" s="102" t="s">
        <v>56</v>
      </c>
      <c r="D398" s="99">
        <f>IF(OR(Clientes[[#This Row],[Columna1]]="Pago inmediato",Clientes[[#This Row],[Columna1]]=""),0,SUBSTITUTE(Clientes[[#This Row],[Columna1]]," días",""))</f>
        <v>0</v>
      </c>
      <c r="E398" s="34"/>
      <c r="F398"/>
      <c r="G398" s="77"/>
      <c r="I398"/>
      <c r="J398" s="34"/>
      <c r="K398"/>
    </row>
    <row r="399" spans="1:11">
      <c r="A399" s="102"/>
      <c r="B399" s="102" t="s">
        <v>694</v>
      </c>
      <c r="C399" s="102" t="s">
        <v>56</v>
      </c>
      <c r="D399" s="99">
        <f>IF(OR(Clientes[[#This Row],[Columna1]]="Pago inmediato",Clientes[[#This Row],[Columna1]]=""),0,SUBSTITUTE(Clientes[[#This Row],[Columna1]]," días",""))</f>
        <v>0</v>
      </c>
      <c r="E399" s="34"/>
      <c r="F399"/>
      <c r="G399" s="77"/>
      <c r="I399"/>
      <c r="J399" s="34"/>
      <c r="K399"/>
    </row>
    <row r="400" ht="45" spans="1:11">
      <c r="A400" s="102" t="s">
        <v>695</v>
      </c>
      <c r="B400" s="102" t="s">
        <v>696</v>
      </c>
      <c r="C400" s="102" t="s">
        <v>56</v>
      </c>
      <c r="D400" s="99">
        <f>IF(OR(Clientes[[#This Row],[Columna1]]="Pago inmediato",Clientes[[#This Row],[Columna1]]=""),0,SUBSTITUTE(Clientes[[#This Row],[Columna1]]," días",""))</f>
        <v>0</v>
      </c>
      <c r="E400" s="34"/>
      <c r="F400"/>
      <c r="G400" s="77"/>
      <c r="I400"/>
      <c r="J400" s="34"/>
      <c r="K400"/>
    </row>
    <row r="401" ht="75" spans="1:11">
      <c r="A401" s="102" t="s">
        <v>697</v>
      </c>
      <c r="B401" s="102" t="s">
        <v>698</v>
      </c>
      <c r="C401" s="102" t="s">
        <v>56</v>
      </c>
      <c r="D401" s="99">
        <f>IF(OR(Clientes[[#This Row],[Columna1]]="Pago inmediato",Clientes[[#This Row],[Columna1]]=""),0,SUBSTITUTE(Clientes[[#This Row],[Columna1]]," días",""))</f>
        <v>0</v>
      </c>
      <c r="E401" s="34"/>
      <c r="F401"/>
      <c r="G401" s="77"/>
      <c r="I401"/>
      <c r="J401" s="34"/>
      <c r="K401"/>
    </row>
    <row r="402" ht="30" spans="1:11">
      <c r="A402" s="102" t="s">
        <v>699</v>
      </c>
      <c r="B402" s="102" t="s">
        <v>700</v>
      </c>
      <c r="C402" s="102" t="s">
        <v>56</v>
      </c>
      <c r="D402" s="99">
        <f>IF(OR(Clientes[[#This Row],[Columna1]]="Pago inmediato",Clientes[[#This Row],[Columna1]]=""),0,SUBSTITUTE(Clientes[[#This Row],[Columna1]]," días",""))</f>
        <v>0</v>
      </c>
      <c r="E402" s="34"/>
      <c r="F402"/>
      <c r="G402" s="77"/>
      <c r="I402"/>
      <c r="J402" s="34"/>
      <c r="K402"/>
    </row>
    <row r="403" ht="30" spans="1:11">
      <c r="A403" s="102" t="s">
        <v>701</v>
      </c>
      <c r="B403" s="102" t="s">
        <v>702</v>
      </c>
      <c r="C403" s="102" t="s">
        <v>56</v>
      </c>
      <c r="D403" s="99">
        <f>IF(OR(Clientes[[#This Row],[Columna1]]="Pago inmediato",Clientes[[#This Row],[Columna1]]=""),0,SUBSTITUTE(Clientes[[#This Row],[Columna1]]," días",""))</f>
        <v>0</v>
      </c>
      <c r="E403" s="34"/>
      <c r="F403"/>
      <c r="G403" s="77"/>
      <c r="I403"/>
      <c r="J403" s="34"/>
      <c r="K403"/>
    </row>
    <row r="404" spans="1:11">
      <c r="A404" s="102" t="s">
        <v>703</v>
      </c>
      <c r="B404" s="102" t="s">
        <v>704</v>
      </c>
      <c r="C404" s="102" t="s">
        <v>486</v>
      </c>
      <c r="D404" s="99" t="str">
        <f>IF(OR(Clientes[[#This Row],[Columna1]]="Pago inmediato",Clientes[[#This Row],[Columna1]]=""),0,SUBSTITUTE(Clientes[[#This Row],[Columna1]]," días",""))</f>
        <v>30</v>
      </c>
      <c r="E404" s="34"/>
      <c r="F404"/>
      <c r="G404" s="77"/>
      <c r="I404"/>
      <c r="J404" s="34"/>
      <c r="K404"/>
    </row>
    <row r="405" spans="1:11">
      <c r="A405" s="102" t="s">
        <v>705</v>
      </c>
      <c r="B405" s="102" t="s">
        <v>706</v>
      </c>
      <c r="C405" s="102" t="s">
        <v>56</v>
      </c>
      <c r="D405" s="99">
        <f>IF(OR(Clientes[[#This Row],[Columna1]]="Pago inmediato",Clientes[[#This Row],[Columna1]]=""),0,SUBSTITUTE(Clientes[[#This Row],[Columna1]]," días",""))</f>
        <v>0</v>
      </c>
      <c r="E405" s="34"/>
      <c r="F405"/>
      <c r="G405" s="77"/>
      <c r="I405"/>
      <c r="J405" s="34"/>
      <c r="K405"/>
    </row>
    <row r="406" ht="30" spans="1:11">
      <c r="A406" s="102" t="s">
        <v>707</v>
      </c>
      <c r="B406" s="102" t="s">
        <v>708</v>
      </c>
      <c r="C406" s="102" t="s">
        <v>454</v>
      </c>
      <c r="D406" s="99" t="str">
        <f>IF(OR(Clientes[[#This Row],[Columna1]]="Pago inmediato",Clientes[[#This Row],[Columna1]]=""),0,SUBSTITUTE(Clientes[[#This Row],[Columna1]]," días",""))</f>
        <v>21</v>
      </c>
      <c r="E406" s="34"/>
      <c r="F406"/>
      <c r="G406" s="77"/>
      <c r="I406"/>
      <c r="J406" s="34"/>
      <c r="K406"/>
    </row>
    <row r="407" ht="45" spans="1:11">
      <c r="A407" s="102" t="s">
        <v>709</v>
      </c>
      <c r="B407" s="102" t="s">
        <v>710</v>
      </c>
      <c r="C407" s="102" t="s">
        <v>56</v>
      </c>
      <c r="D407" s="99">
        <f>IF(OR(Clientes[[#This Row],[Columna1]]="Pago inmediato",Clientes[[#This Row],[Columna1]]=""),0,SUBSTITUTE(Clientes[[#This Row],[Columna1]]," días",""))</f>
        <v>0</v>
      </c>
      <c r="E407" s="34"/>
      <c r="F407"/>
      <c r="G407" s="77"/>
      <c r="I407"/>
      <c r="J407" s="34"/>
      <c r="K407"/>
    </row>
    <row r="408" ht="30" spans="1:11">
      <c r="A408" s="102" t="s">
        <v>711</v>
      </c>
      <c r="B408" s="102" t="s">
        <v>712</v>
      </c>
      <c r="C408" s="102" t="s">
        <v>56</v>
      </c>
      <c r="D408" s="99">
        <f>IF(OR(Clientes[[#This Row],[Columna1]]="Pago inmediato",Clientes[[#This Row],[Columna1]]=""),0,SUBSTITUTE(Clientes[[#This Row],[Columna1]]," días",""))</f>
        <v>0</v>
      </c>
      <c r="E408" s="34"/>
      <c r="F408"/>
      <c r="G408" s="77"/>
      <c r="I408"/>
      <c r="J408" s="34"/>
      <c r="K408"/>
    </row>
    <row r="409" ht="30" spans="1:11">
      <c r="A409" s="102" t="s">
        <v>713</v>
      </c>
      <c r="B409" s="102" t="s">
        <v>714</v>
      </c>
      <c r="C409" s="102"/>
      <c r="D409" s="99">
        <f>IF(OR(Clientes[[#This Row],[Columna1]]="Pago inmediato",Clientes[[#This Row],[Columna1]]=""),0,SUBSTITUTE(Clientes[[#This Row],[Columna1]]," días",""))</f>
        <v>0</v>
      </c>
      <c r="E409" s="34"/>
      <c r="F409"/>
      <c r="G409" s="77"/>
      <c r="I409"/>
      <c r="J409" s="34"/>
      <c r="K409"/>
    </row>
    <row r="410" spans="1:11">
      <c r="A410" s="102" t="s">
        <v>715</v>
      </c>
      <c r="B410" s="102" t="s">
        <v>716</v>
      </c>
      <c r="C410" s="102" t="s">
        <v>56</v>
      </c>
      <c r="D410" s="99">
        <f>IF(OR(Clientes[[#This Row],[Columna1]]="Pago inmediato",Clientes[[#This Row],[Columna1]]=""),0,SUBSTITUTE(Clientes[[#This Row],[Columna1]]," días",""))</f>
        <v>0</v>
      </c>
      <c r="E410" s="34"/>
      <c r="F410"/>
      <c r="G410" s="77"/>
      <c r="I410"/>
      <c r="J410" s="34"/>
      <c r="K410"/>
    </row>
    <row r="411" ht="30" spans="1:11">
      <c r="A411" s="102" t="s">
        <v>717</v>
      </c>
      <c r="B411" s="102" t="s">
        <v>718</v>
      </c>
      <c r="C411" s="102" t="s">
        <v>56</v>
      </c>
      <c r="D411" s="99">
        <f>IF(OR(Clientes[[#This Row],[Columna1]]="Pago inmediato",Clientes[[#This Row],[Columna1]]=""),0,SUBSTITUTE(Clientes[[#This Row],[Columna1]]," días",""))</f>
        <v>0</v>
      </c>
      <c r="E411" s="34"/>
      <c r="F411"/>
      <c r="G411" s="77"/>
      <c r="I411"/>
      <c r="J411" s="34"/>
      <c r="K411"/>
    </row>
    <row r="412" ht="30" spans="1:11">
      <c r="A412" s="102" t="s">
        <v>719</v>
      </c>
      <c r="B412" s="102" t="s">
        <v>720</v>
      </c>
      <c r="C412" s="102" t="s">
        <v>54</v>
      </c>
      <c r="D412" s="99" t="str">
        <f>IF(OR(Clientes[[#This Row],[Columna1]]="Pago inmediato",Clientes[[#This Row],[Columna1]]=""),0,SUBSTITUTE(Clientes[[#This Row],[Columna1]]," días",""))</f>
        <v>7</v>
      </c>
      <c r="E412" s="34"/>
      <c r="F412"/>
      <c r="G412" s="77"/>
      <c r="I412"/>
      <c r="J412" s="34"/>
      <c r="K412"/>
    </row>
    <row r="413" ht="30" spans="1:11">
      <c r="A413" s="102" t="s">
        <v>721</v>
      </c>
      <c r="B413" s="102" t="s">
        <v>722</v>
      </c>
      <c r="C413" s="102" t="s">
        <v>56</v>
      </c>
      <c r="D413" s="99">
        <f>IF(OR(Clientes[[#This Row],[Columna1]]="Pago inmediato",Clientes[[#This Row],[Columna1]]=""),0,SUBSTITUTE(Clientes[[#This Row],[Columna1]]," días",""))</f>
        <v>0</v>
      </c>
      <c r="E413" s="34"/>
      <c r="F413"/>
      <c r="G413" s="77"/>
      <c r="I413"/>
      <c r="J413" s="34"/>
      <c r="K413"/>
    </row>
    <row r="414" ht="30" spans="1:11">
      <c r="A414" s="102" t="s">
        <v>723</v>
      </c>
      <c r="B414" s="102" t="s">
        <v>724</v>
      </c>
      <c r="C414" s="102" t="s">
        <v>56</v>
      </c>
      <c r="D414" s="99">
        <f>IF(OR(Clientes[[#This Row],[Columna1]]="Pago inmediato",Clientes[[#This Row],[Columna1]]=""),0,SUBSTITUTE(Clientes[[#This Row],[Columna1]]," días",""))</f>
        <v>0</v>
      </c>
      <c r="E414" s="34"/>
      <c r="F414"/>
      <c r="G414" s="77"/>
      <c r="I414"/>
      <c r="J414" s="34"/>
      <c r="K414"/>
    </row>
    <row r="415" ht="30" spans="1:11">
      <c r="A415" s="102" t="s">
        <v>725</v>
      </c>
      <c r="B415" s="102" t="s">
        <v>726</v>
      </c>
      <c r="C415" s="102" t="s">
        <v>61</v>
      </c>
      <c r="D415" s="99" t="str">
        <f>IF(OR(Clientes[[#This Row],[Columna1]]="Pago inmediato",Clientes[[#This Row],[Columna1]]=""),0,SUBSTITUTE(Clientes[[#This Row],[Columna1]]," días",""))</f>
        <v>15</v>
      </c>
      <c r="E415" s="34"/>
      <c r="F415"/>
      <c r="G415" s="77"/>
      <c r="I415"/>
      <c r="J415" s="34"/>
      <c r="K415"/>
    </row>
    <row r="416" ht="30" spans="1:11">
      <c r="A416" s="102" t="s">
        <v>727</v>
      </c>
      <c r="B416" s="102" t="s">
        <v>728</v>
      </c>
      <c r="C416" s="102" t="s">
        <v>56</v>
      </c>
      <c r="D416" s="99">
        <f>IF(OR(Clientes[[#This Row],[Columna1]]="Pago inmediato",Clientes[[#This Row],[Columna1]]=""),0,SUBSTITUTE(Clientes[[#This Row],[Columna1]]," días",""))</f>
        <v>0</v>
      </c>
      <c r="E416" s="34"/>
      <c r="F416"/>
      <c r="G416" s="77"/>
      <c r="I416"/>
      <c r="J416" s="34"/>
      <c r="K416"/>
    </row>
    <row r="417" ht="60" spans="1:11">
      <c r="A417" s="102" t="s">
        <v>729</v>
      </c>
      <c r="B417" s="102" t="s">
        <v>730</v>
      </c>
      <c r="C417" s="102" t="s">
        <v>56</v>
      </c>
      <c r="D417" s="99">
        <f>IF(OR(Clientes[[#This Row],[Columna1]]="Pago inmediato",Clientes[[#This Row],[Columna1]]=""),0,SUBSTITUTE(Clientes[[#This Row],[Columna1]]," días",""))</f>
        <v>0</v>
      </c>
      <c r="E417" s="34"/>
      <c r="F417"/>
      <c r="G417" s="77"/>
      <c r="I417"/>
      <c r="J417" s="34"/>
      <c r="K417"/>
    </row>
    <row r="418" ht="30" spans="1:11">
      <c r="A418" s="102" t="s">
        <v>731</v>
      </c>
      <c r="B418" s="102" t="s">
        <v>732</v>
      </c>
      <c r="C418" s="102" t="s">
        <v>454</v>
      </c>
      <c r="D418" s="99" t="str">
        <f>IF(OR(Clientes[[#This Row],[Columna1]]="Pago inmediato",Clientes[[#This Row],[Columna1]]=""),0,SUBSTITUTE(Clientes[[#This Row],[Columna1]]," días",""))</f>
        <v>21</v>
      </c>
      <c r="E418" s="34"/>
      <c r="F418"/>
      <c r="G418" s="77"/>
      <c r="I418"/>
      <c r="J418" s="34"/>
      <c r="K418"/>
    </row>
    <row r="419" ht="30" spans="1:11">
      <c r="A419" s="102" t="s">
        <v>733</v>
      </c>
      <c r="B419" s="102" t="s">
        <v>734</v>
      </c>
      <c r="C419" s="102" t="s">
        <v>735</v>
      </c>
      <c r="D419" s="99" t="str">
        <f>IF(OR(Clientes[[#This Row],[Columna1]]="Pago inmediato",Clientes[[#This Row],[Columna1]]=""),0,SUBSTITUTE(Clientes[[#This Row],[Columna1]]," días",""))</f>
        <v>60</v>
      </c>
      <c r="E419" s="34"/>
      <c r="F419"/>
      <c r="G419" s="77"/>
      <c r="I419"/>
      <c r="J419" s="34"/>
      <c r="K419"/>
    </row>
    <row r="420" ht="45" spans="1:11">
      <c r="A420" s="102" t="s">
        <v>736</v>
      </c>
      <c r="B420" s="102" t="s">
        <v>737</v>
      </c>
      <c r="C420" s="102" t="s">
        <v>56</v>
      </c>
      <c r="D420" s="99">
        <f>IF(OR(Clientes[[#This Row],[Columna1]]="Pago inmediato",Clientes[[#This Row],[Columna1]]=""),0,SUBSTITUTE(Clientes[[#This Row],[Columna1]]," días",""))</f>
        <v>0</v>
      </c>
      <c r="E420" s="34"/>
      <c r="F420"/>
      <c r="G420" s="77"/>
      <c r="I420"/>
      <c r="J420" s="34"/>
      <c r="K420"/>
    </row>
    <row r="421" ht="30" spans="1:11">
      <c r="A421" s="102" t="s">
        <v>738</v>
      </c>
      <c r="B421" s="102" t="s">
        <v>739</v>
      </c>
      <c r="C421" s="102" t="s">
        <v>56</v>
      </c>
      <c r="D421" s="99">
        <f>IF(OR(Clientes[[#This Row],[Columna1]]="Pago inmediato",Clientes[[#This Row],[Columna1]]=""),0,SUBSTITUTE(Clientes[[#This Row],[Columna1]]," días",""))</f>
        <v>0</v>
      </c>
      <c r="E421" s="34"/>
      <c r="F421"/>
      <c r="G421" s="77"/>
      <c r="I421"/>
      <c r="J421" s="34"/>
      <c r="K421"/>
    </row>
    <row r="422" ht="30" spans="1:11">
      <c r="A422" s="102" t="s">
        <v>740</v>
      </c>
      <c r="B422" s="102" t="s">
        <v>741</v>
      </c>
      <c r="C422" s="102" t="s">
        <v>56</v>
      </c>
      <c r="D422" s="99">
        <f>IF(OR(Clientes[[#This Row],[Columna1]]="Pago inmediato",Clientes[[#This Row],[Columna1]]=""),0,SUBSTITUTE(Clientes[[#This Row],[Columna1]]," días",""))</f>
        <v>0</v>
      </c>
      <c r="E422" s="34"/>
      <c r="F422"/>
      <c r="G422" s="77"/>
      <c r="I422"/>
      <c r="J422" s="34"/>
      <c r="K422"/>
    </row>
    <row r="423" ht="30" spans="1:11">
      <c r="A423" s="102" t="s">
        <v>742</v>
      </c>
      <c r="B423" s="102" t="s">
        <v>743</v>
      </c>
      <c r="C423" s="102" t="s">
        <v>56</v>
      </c>
      <c r="D423" s="99">
        <f>IF(OR(Clientes[[#This Row],[Columna1]]="Pago inmediato",Clientes[[#This Row],[Columna1]]=""),0,SUBSTITUTE(Clientes[[#This Row],[Columna1]]," días",""))</f>
        <v>0</v>
      </c>
      <c r="E423" s="34"/>
      <c r="F423"/>
      <c r="G423" s="77"/>
      <c r="I423"/>
      <c r="J423" s="34"/>
      <c r="K423"/>
    </row>
    <row r="424" ht="30" spans="1:11">
      <c r="A424" s="102" t="s">
        <v>744</v>
      </c>
      <c r="B424" s="102" t="s">
        <v>745</v>
      </c>
      <c r="C424" s="102" t="s">
        <v>56</v>
      </c>
      <c r="D424" s="99">
        <f>IF(OR(Clientes[[#This Row],[Columna1]]="Pago inmediato",Clientes[[#This Row],[Columna1]]=""),0,SUBSTITUTE(Clientes[[#This Row],[Columna1]]," días",""))</f>
        <v>0</v>
      </c>
      <c r="E424" s="34"/>
      <c r="F424"/>
      <c r="G424" s="77"/>
      <c r="I424"/>
      <c r="J424" s="34"/>
      <c r="K424"/>
    </row>
    <row r="425" ht="30" spans="1:11">
      <c r="A425" s="102" t="s">
        <v>746</v>
      </c>
      <c r="B425" s="102" t="s">
        <v>747</v>
      </c>
      <c r="C425" s="102" t="s">
        <v>56</v>
      </c>
      <c r="D425" s="99">
        <f>IF(OR(Clientes[[#This Row],[Columna1]]="Pago inmediato",Clientes[[#This Row],[Columna1]]=""),0,SUBSTITUTE(Clientes[[#This Row],[Columna1]]," días",""))</f>
        <v>0</v>
      </c>
      <c r="E425" s="34"/>
      <c r="F425"/>
      <c r="G425" s="77"/>
      <c r="I425"/>
      <c r="J425" s="34"/>
      <c r="K425"/>
    </row>
    <row r="426" ht="30" spans="1:11">
      <c r="A426" s="102" t="s">
        <v>748</v>
      </c>
      <c r="B426" s="102" t="s">
        <v>749</v>
      </c>
      <c r="C426" s="102" t="s">
        <v>56</v>
      </c>
      <c r="D426" s="99">
        <f>IF(OR(Clientes[[#This Row],[Columna1]]="Pago inmediato",Clientes[[#This Row],[Columna1]]=""),0,SUBSTITUTE(Clientes[[#This Row],[Columna1]]," días",""))</f>
        <v>0</v>
      </c>
      <c r="E426" s="34"/>
      <c r="F426"/>
      <c r="G426" s="77"/>
      <c r="I426"/>
      <c r="J426" s="34"/>
      <c r="K426"/>
    </row>
    <row r="427" ht="30" spans="1:11">
      <c r="A427" s="102" t="s">
        <v>750</v>
      </c>
      <c r="B427" s="102" t="s">
        <v>751</v>
      </c>
      <c r="C427" s="102" t="s">
        <v>56</v>
      </c>
      <c r="D427" s="99">
        <f>IF(OR(Clientes[[#This Row],[Columna1]]="Pago inmediato",Clientes[[#This Row],[Columna1]]=""),0,SUBSTITUTE(Clientes[[#This Row],[Columna1]]," días",""))</f>
        <v>0</v>
      </c>
      <c r="E427" s="34"/>
      <c r="F427"/>
      <c r="G427" s="77"/>
      <c r="I427"/>
      <c r="J427" s="34"/>
      <c r="K427"/>
    </row>
    <row r="428" ht="60" spans="1:11">
      <c r="A428" s="102" t="s">
        <v>752</v>
      </c>
      <c r="B428" s="102" t="s">
        <v>753</v>
      </c>
      <c r="C428" s="102" t="s">
        <v>56</v>
      </c>
      <c r="D428" s="99">
        <f>IF(OR(Clientes[[#This Row],[Columna1]]="Pago inmediato",Clientes[[#This Row],[Columna1]]=""),0,SUBSTITUTE(Clientes[[#This Row],[Columna1]]," días",""))</f>
        <v>0</v>
      </c>
      <c r="E428" s="34"/>
      <c r="F428"/>
      <c r="G428" s="77"/>
      <c r="I428"/>
      <c r="J428" s="34"/>
      <c r="K428"/>
    </row>
    <row r="429" ht="30" spans="1:11">
      <c r="A429" s="102" t="s">
        <v>754</v>
      </c>
      <c r="B429" s="102" t="s">
        <v>755</v>
      </c>
      <c r="C429" s="102" t="s">
        <v>56</v>
      </c>
      <c r="D429" s="99">
        <f>IF(OR(Clientes[[#This Row],[Columna1]]="Pago inmediato",Clientes[[#This Row],[Columna1]]=""),0,SUBSTITUTE(Clientes[[#This Row],[Columna1]]," días",""))</f>
        <v>0</v>
      </c>
      <c r="E429" s="34"/>
      <c r="F429"/>
      <c r="G429" s="77"/>
      <c r="I429"/>
      <c r="J429" s="34"/>
      <c r="K429"/>
    </row>
    <row r="430" ht="30" spans="1:11">
      <c r="A430" s="102" t="s">
        <v>756</v>
      </c>
      <c r="B430" s="102" t="s">
        <v>757</v>
      </c>
      <c r="C430" s="102" t="s">
        <v>56</v>
      </c>
      <c r="D430" s="99">
        <f>IF(OR(Clientes[[#This Row],[Columna1]]="Pago inmediato",Clientes[[#This Row],[Columna1]]=""),0,SUBSTITUTE(Clientes[[#This Row],[Columna1]]," días",""))</f>
        <v>0</v>
      </c>
      <c r="E430" s="34"/>
      <c r="F430"/>
      <c r="G430" s="77"/>
      <c r="I430"/>
      <c r="J430" s="34"/>
      <c r="K430"/>
    </row>
    <row r="431" ht="30" spans="1:11">
      <c r="A431" s="102" t="s">
        <v>758</v>
      </c>
      <c r="B431" s="102" t="s">
        <v>759</v>
      </c>
      <c r="C431" s="102" t="s">
        <v>54</v>
      </c>
      <c r="D431" s="99" t="str">
        <f>IF(OR(Clientes[[#This Row],[Columna1]]="Pago inmediato",Clientes[[#This Row],[Columna1]]=""),0,SUBSTITUTE(Clientes[[#This Row],[Columna1]]," días",""))</f>
        <v>7</v>
      </c>
      <c r="E431" s="34"/>
      <c r="F431"/>
      <c r="G431" s="77"/>
      <c r="I431"/>
      <c r="J431" s="34"/>
      <c r="K431"/>
    </row>
    <row r="432" ht="30" spans="1:11">
      <c r="A432" s="102" t="s">
        <v>760</v>
      </c>
      <c r="B432" s="102" t="s">
        <v>761</v>
      </c>
      <c r="C432" s="102" t="s">
        <v>56</v>
      </c>
      <c r="D432" s="99">
        <f>IF(OR(Clientes[[#This Row],[Columna1]]="Pago inmediato",Clientes[[#This Row],[Columna1]]=""),0,SUBSTITUTE(Clientes[[#This Row],[Columna1]]," días",""))</f>
        <v>0</v>
      </c>
      <c r="E432" s="34"/>
      <c r="F432"/>
      <c r="G432" s="77"/>
      <c r="I432"/>
      <c r="J432" s="34"/>
      <c r="K432"/>
    </row>
    <row r="433" ht="30" spans="1:11">
      <c r="A433" s="102" t="s">
        <v>762</v>
      </c>
      <c r="B433" s="102" t="s">
        <v>763</v>
      </c>
      <c r="C433" s="102" t="s">
        <v>56</v>
      </c>
      <c r="D433" s="99">
        <f>IF(OR(Clientes[[#This Row],[Columna1]]="Pago inmediato",Clientes[[#This Row],[Columna1]]=""),0,SUBSTITUTE(Clientes[[#This Row],[Columna1]]," días",""))</f>
        <v>0</v>
      </c>
      <c r="E433" s="34"/>
      <c r="F433"/>
      <c r="G433" s="77"/>
      <c r="I433"/>
      <c r="J433" s="34"/>
      <c r="K433"/>
    </row>
    <row r="434" ht="45" spans="1:11">
      <c r="A434" s="102" t="s">
        <v>764</v>
      </c>
      <c r="B434" s="102" t="s">
        <v>765</v>
      </c>
      <c r="C434" s="102">
        <v>90</v>
      </c>
      <c r="D434" s="99" t="str">
        <f>IF(OR(Clientes[[#This Row],[Columna1]]="Pago inmediato",Clientes[[#This Row],[Columna1]]=""),0,SUBSTITUTE(Clientes[[#This Row],[Columna1]]," días",""))</f>
        <v>90</v>
      </c>
      <c r="E434" s="34"/>
      <c r="F434"/>
      <c r="G434" s="77"/>
      <c r="I434"/>
      <c r="J434" s="34"/>
      <c r="K434"/>
    </row>
    <row r="435" ht="45" spans="1:11">
      <c r="A435" s="102" t="s">
        <v>766</v>
      </c>
      <c r="B435" s="102" t="s">
        <v>767</v>
      </c>
      <c r="C435" s="102" t="s">
        <v>56</v>
      </c>
      <c r="D435" s="99">
        <f>IF(OR(Clientes[[#This Row],[Columna1]]="Pago inmediato",Clientes[[#This Row],[Columna1]]=""),0,SUBSTITUTE(Clientes[[#This Row],[Columna1]]," días",""))</f>
        <v>0</v>
      </c>
      <c r="E435" s="34"/>
      <c r="F435"/>
      <c r="G435" s="77"/>
      <c r="I435"/>
      <c r="J435" s="34"/>
      <c r="K435"/>
    </row>
    <row r="436" ht="30" spans="1:11">
      <c r="A436" s="102" t="s">
        <v>768</v>
      </c>
      <c r="B436" s="102" t="s">
        <v>769</v>
      </c>
      <c r="C436" s="102" t="s">
        <v>56</v>
      </c>
      <c r="D436" s="99">
        <f>IF(OR(Clientes[[#This Row],[Columna1]]="Pago inmediato",Clientes[[#This Row],[Columna1]]=""),0,SUBSTITUTE(Clientes[[#This Row],[Columna1]]," días",""))</f>
        <v>0</v>
      </c>
      <c r="E436" s="34"/>
      <c r="F436"/>
      <c r="G436" s="77"/>
      <c r="I436"/>
      <c r="J436" s="34"/>
      <c r="K436"/>
    </row>
    <row r="437" ht="30" spans="1:11">
      <c r="A437" s="102" t="s">
        <v>770</v>
      </c>
      <c r="B437" s="102" t="s">
        <v>771</v>
      </c>
      <c r="C437" s="102" t="s">
        <v>56</v>
      </c>
      <c r="D437" s="99">
        <f>IF(OR(Clientes[[#This Row],[Columna1]]="Pago inmediato",Clientes[[#This Row],[Columna1]]=""),0,SUBSTITUTE(Clientes[[#This Row],[Columna1]]," días",""))</f>
        <v>0</v>
      </c>
      <c r="E437" s="34"/>
      <c r="F437"/>
      <c r="G437" s="77"/>
      <c r="I437"/>
      <c r="J437" s="34"/>
      <c r="K437"/>
    </row>
    <row r="438" ht="30" spans="1:11">
      <c r="A438" s="102" t="s">
        <v>772</v>
      </c>
      <c r="B438" s="102" t="s">
        <v>773</v>
      </c>
      <c r="C438" s="102" t="s">
        <v>56</v>
      </c>
      <c r="D438" s="99">
        <f>IF(OR(Clientes[[#This Row],[Columna1]]="Pago inmediato",Clientes[[#This Row],[Columna1]]=""),0,SUBSTITUTE(Clientes[[#This Row],[Columna1]]," días",""))</f>
        <v>0</v>
      </c>
      <c r="E438" s="34"/>
      <c r="F438"/>
      <c r="G438" s="77"/>
      <c r="I438"/>
      <c r="J438" s="34"/>
      <c r="K438"/>
    </row>
    <row r="439" ht="30" spans="1:11">
      <c r="A439" s="102" t="s">
        <v>774</v>
      </c>
      <c r="B439" s="102" t="s">
        <v>775</v>
      </c>
      <c r="C439" s="102" t="s">
        <v>56</v>
      </c>
      <c r="D439" s="99">
        <f>IF(OR(Clientes[[#This Row],[Columna1]]="Pago inmediato",Clientes[[#This Row],[Columna1]]=""),0,SUBSTITUTE(Clientes[[#This Row],[Columna1]]," días",""))</f>
        <v>0</v>
      </c>
      <c r="E439" s="34"/>
      <c r="F439"/>
      <c r="G439" s="77"/>
      <c r="I439"/>
      <c r="J439" s="34"/>
      <c r="K439"/>
    </row>
    <row r="440" ht="30" spans="1:11">
      <c r="A440" s="102" t="s">
        <v>776</v>
      </c>
      <c r="B440" s="102" t="s">
        <v>777</v>
      </c>
      <c r="C440" s="102" t="s">
        <v>454</v>
      </c>
      <c r="D440" s="99" t="str">
        <f>IF(OR(Clientes[[#This Row],[Columna1]]="Pago inmediato",Clientes[[#This Row],[Columna1]]=""),0,SUBSTITUTE(Clientes[[#This Row],[Columna1]]," días",""))</f>
        <v>21</v>
      </c>
      <c r="E440" s="34"/>
      <c r="F440"/>
      <c r="G440" s="77"/>
      <c r="I440"/>
      <c r="J440" s="34"/>
      <c r="K440"/>
    </row>
    <row r="441" ht="45" spans="1:11">
      <c r="A441" s="102" t="s">
        <v>778</v>
      </c>
      <c r="B441" s="102" t="s">
        <v>779</v>
      </c>
      <c r="C441" s="102" t="s">
        <v>56</v>
      </c>
      <c r="D441" s="99">
        <f>IF(OR(Clientes[[#This Row],[Columna1]]="Pago inmediato",Clientes[[#This Row],[Columna1]]=""),0,SUBSTITUTE(Clientes[[#This Row],[Columna1]]," días",""))</f>
        <v>0</v>
      </c>
      <c r="E441" s="34"/>
      <c r="F441"/>
      <c r="G441" s="77"/>
      <c r="I441"/>
      <c r="J441" s="34"/>
      <c r="K441"/>
    </row>
    <row r="442" ht="45" spans="1:11">
      <c r="A442" s="102" t="s">
        <v>780</v>
      </c>
      <c r="B442" s="102" t="s">
        <v>781</v>
      </c>
      <c r="C442" s="102" t="s">
        <v>56</v>
      </c>
      <c r="D442" s="99">
        <f>IF(OR(Clientes[[#This Row],[Columna1]]="Pago inmediato",Clientes[[#This Row],[Columna1]]=""),0,SUBSTITUTE(Clientes[[#This Row],[Columna1]]," días",""))</f>
        <v>0</v>
      </c>
      <c r="E442" s="34"/>
      <c r="F442"/>
      <c r="G442" s="77"/>
      <c r="I442"/>
      <c r="J442" s="34"/>
      <c r="K442"/>
    </row>
    <row r="443" ht="45" spans="1:11">
      <c r="A443" s="102" t="s">
        <v>780</v>
      </c>
      <c r="B443" s="102" t="s">
        <v>782</v>
      </c>
      <c r="C443" s="102" t="s">
        <v>56</v>
      </c>
      <c r="D443" s="99">
        <f>IF(OR(Clientes[[#This Row],[Columna1]]="Pago inmediato",Clientes[[#This Row],[Columna1]]=""),0,SUBSTITUTE(Clientes[[#This Row],[Columna1]]," días",""))</f>
        <v>0</v>
      </c>
      <c r="E443" s="34"/>
      <c r="F443"/>
      <c r="G443" s="77"/>
      <c r="I443"/>
      <c r="J443" s="34"/>
      <c r="K443"/>
    </row>
    <row r="444" ht="45" spans="1:11">
      <c r="A444" s="102" t="s">
        <v>783</v>
      </c>
      <c r="B444" s="102" t="s">
        <v>784</v>
      </c>
      <c r="C444" s="102" t="s">
        <v>56</v>
      </c>
      <c r="D444" s="99">
        <f>IF(OR(Clientes[[#This Row],[Columna1]]="Pago inmediato",Clientes[[#This Row],[Columna1]]=""),0,SUBSTITUTE(Clientes[[#This Row],[Columna1]]," días",""))</f>
        <v>0</v>
      </c>
      <c r="E444" s="34"/>
      <c r="F444"/>
      <c r="G444" s="77"/>
      <c r="I444"/>
      <c r="J444" s="34"/>
      <c r="K444"/>
    </row>
    <row r="445" ht="30" spans="1:11">
      <c r="A445" s="102" t="s">
        <v>785</v>
      </c>
      <c r="B445" s="102" t="s">
        <v>786</v>
      </c>
      <c r="C445" s="102" t="s">
        <v>56</v>
      </c>
      <c r="D445" s="99">
        <f>IF(OR(Clientes[[#This Row],[Columna1]]="Pago inmediato",Clientes[[#This Row],[Columna1]]=""),0,SUBSTITUTE(Clientes[[#This Row],[Columna1]]," días",""))</f>
        <v>0</v>
      </c>
      <c r="E445" s="34"/>
      <c r="F445"/>
      <c r="G445" s="77"/>
      <c r="I445"/>
      <c r="J445" s="34"/>
      <c r="K445"/>
    </row>
    <row r="446" ht="30" spans="1:11">
      <c r="A446" s="102" t="s">
        <v>787</v>
      </c>
      <c r="B446" s="102" t="s">
        <v>788</v>
      </c>
      <c r="C446" s="102" t="s">
        <v>56</v>
      </c>
      <c r="D446" s="99">
        <f>IF(OR(Clientes[[#This Row],[Columna1]]="Pago inmediato",Clientes[[#This Row],[Columna1]]=""),0,SUBSTITUTE(Clientes[[#This Row],[Columna1]]," días",""))</f>
        <v>0</v>
      </c>
      <c r="E446" s="34"/>
      <c r="F446"/>
      <c r="G446" s="77"/>
      <c r="I446"/>
      <c r="J446" s="34"/>
      <c r="K446"/>
    </row>
    <row r="447" ht="30" spans="1:11">
      <c r="A447" s="102" t="s">
        <v>789</v>
      </c>
      <c r="B447" s="102" t="s">
        <v>790</v>
      </c>
      <c r="C447" s="102" t="s">
        <v>56</v>
      </c>
      <c r="D447" s="99">
        <f>IF(OR(Clientes[[#This Row],[Columna1]]="Pago inmediato",Clientes[[#This Row],[Columna1]]=""),0,SUBSTITUTE(Clientes[[#This Row],[Columna1]]," días",""))</f>
        <v>0</v>
      </c>
      <c r="E447" s="34"/>
      <c r="F447"/>
      <c r="G447" s="77"/>
      <c r="I447"/>
      <c r="J447" s="34"/>
      <c r="K447"/>
    </row>
    <row r="448" ht="45" spans="1:11">
      <c r="A448" s="102" t="s">
        <v>791</v>
      </c>
      <c r="B448" s="102" t="s">
        <v>792</v>
      </c>
      <c r="C448" s="102" t="s">
        <v>56</v>
      </c>
      <c r="D448" s="99">
        <f>IF(OR(Clientes[[#This Row],[Columna1]]="Pago inmediato",Clientes[[#This Row],[Columna1]]=""),0,SUBSTITUTE(Clientes[[#This Row],[Columna1]]," días",""))</f>
        <v>0</v>
      </c>
      <c r="E448" s="34"/>
      <c r="F448"/>
      <c r="G448" s="77"/>
      <c r="I448"/>
      <c r="J448" s="34"/>
      <c r="K448"/>
    </row>
    <row r="449" ht="30" spans="1:11">
      <c r="A449" s="102" t="s">
        <v>793</v>
      </c>
      <c r="B449" s="102" t="s">
        <v>794</v>
      </c>
      <c r="C449" s="102" t="s">
        <v>56</v>
      </c>
      <c r="D449" s="99">
        <f>IF(OR(Clientes[[#This Row],[Columna1]]="Pago inmediato",Clientes[[#This Row],[Columna1]]=""),0,SUBSTITUTE(Clientes[[#This Row],[Columna1]]," días",""))</f>
        <v>0</v>
      </c>
      <c r="E449" s="34"/>
      <c r="F449"/>
      <c r="G449" s="77"/>
      <c r="I449"/>
      <c r="J449" s="34"/>
      <c r="K449"/>
    </row>
    <row r="450" ht="30" spans="1:11">
      <c r="A450" s="102" t="s">
        <v>795</v>
      </c>
      <c r="B450" s="102" t="s">
        <v>796</v>
      </c>
      <c r="C450" s="102" t="s">
        <v>56</v>
      </c>
      <c r="D450" s="99">
        <f>IF(OR(Clientes[[#This Row],[Columna1]]="Pago inmediato",Clientes[[#This Row],[Columna1]]=""),0,SUBSTITUTE(Clientes[[#This Row],[Columna1]]," días",""))</f>
        <v>0</v>
      </c>
      <c r="E450" s="34"/>
      <c r="F450"/>
      <c r="G450" s="77"/>
      <c r="I450"/>
      <c r="J450" s="34"/>
      <c r="K450"/>
    </row>
    <row r="451" ht="30" spans="1:11">
      <c r="A451" s="102" t="s">
        <v>797</v>
      </c>
      <c r="B451" s="102" t="s">
        <v>798</v>
      </c>
      <c r="C451" s="102" t="s">
        <v>56</v>
      </c>
      <c r="D451" s="99">
        <f>IF(OR(Clientes[[#This Row],[Columna1]]="Pago inmediato",Clientes[[#This Row],[Columna1]]=""),0,SUBSTITUTE(Clientes[[#This Row],[Columna1]]," días",""))</f>
        <v>0</v>
      </c>
      <c r="E451" s="34"/>
      <c r="F451"/>
      <c r="G451" s="77"/>
      <c r="I451"/>
      <c r="J451" s="34"/>
      <c r="K451"/>
    </row>
    <row r="452" ht="45" spans="1:11">
      <c r="A452" s="102" t="s">
        <v>799</v>
      </c>
      <c r="B452" s="102" t="s">
        <v>800</v>
      </c>
      <c r="C452" s="102" t="s">
        <v>56</v>
      </c>
      <c r="D452" s="99">
        <f>IF(OR(Clientes[[#This Row],[Columna1]]="Pago inmediato",Clientes[[#This Row],[Columna1]]=""),0,SUBSTITUTE(Clientes[[#This Row],[Columna1]]," días",""))</f>
        <v>0</v>
      </c>
      <c r="E452" s="34"/>
      <c r="F452"/>
      <c r="G452" s="77"/>
      <c r="I452"/>
      <c r="J452" s="34"/>
      <c r="K452"/>
    </row>
    <row r="453" ht="45" spans="1:11">
      <c r="A453" s="102" t="s">
        <v>801</v>
      </c>
      <c r="B453" s="102" t="s">
        <v>802</v>
      </c>
      <c r="C453" s="102" t="s">
        <v>56</v>
      </c>
      <c r="D453" s="99">
        <f>IF(OR(Clientes[[#This Row],[Columna1]]="Pago inmediato",Clientes[[#This Row],[Columna1]]=""),0,SUBSTITUTE(Clientes[[#This Row],[Columna1]]," días",""))</f>
        <v>0</v>
      </c>
      <c r="E453" s="34"/>
      <c r="F453"/>
      <c r="G453" s="77"/>
      <c r="I453"/>
      <c r="J453" s="34"/>
      <c r="K453"/>
    </row>
    <row r="454" ht="30" spans="1:11">
      <c r="A454" s="102" t="s">
        <v>803</v>
      </c>
      <c r="B454" s="102" t="s">
        <v>804</v>
      </c>
      <c r="C454" s="102" t="s">
        <v>56</v>
      </c>
      <c r="D454" s="99">
        <f>IF(OR(Clientes[[#This Row],[Columna1]]="Pago inmediato",Clientes[[#This Row],[Columna1]]=""),0,SUBSTITUTE(Clientes[[#This Row],[Columna1]]," días",""))</f>
        <v>0</v>
      </c>
      <c r="E454" s="34"/>
      <c r="F454"/>
      <c r="G454" s="77"/>
      <c r="I454"/>
      <c r="J454" s="34"/>
      <c r="K454"/>
    </row>
    <row r="455" ht="30" spans="1:11">
      <c r="A455" s="102" t="s">
        <v>805</v>
      </c>
      <c r="B455" s="102" t="s">
        <v>806</v>
      </c>
      <c r="C455" s="102" t="s">
        <v>56</v>
      </c>
      <c r="D455" s="99">
        <f>IF(OR(Clientes[[#This Row],[Columna1]]="Pago inmediato",Clientes[[#This Row],[Columna1]]=""),0,SUBSTITUTE(Clientes[[#This Row],[Columna1]]," días",""))</f>
        <v>0</v>
      </c>
      <c r="E455" s="34"/>
      <c r="F455"/>
      <c r="G455" s="77"/>
      <c r="I455"/>
      <c r="J455" s="34"/>
      <c r="K455"/>
    </row>
    <row r="456" ht="45" spans="1:11">
      <c r="A456" s="102" t="s">
        <v>807</v>
      </c>
      <c r="B456" s="102" t="s">
        <v>808</v>
      </c>
      <c r="C456" s="102" t="s">
        <v>54</v>
      </c>
      <c r="D456" s="99" t="str">
        <f>IF(OR(Clientes[[#This Row],[Columna1]]="Pago inmediato",Clientes[[#This Row],[Columna1]]=""),0,SUBSTITUTE(Clientes[[#This Row],[Columna1]]," días",""))</f>
        <v>7</v>
      </c>
      <c r="E456" s="34"/>
      <c r="F456"/>
      <c r="G456" s="77"/>
      <c r="I456"/>
      <c r="J456" s="34"/>
      <c r="K456"/>
    </row>
    <row r="457" ht="30" spans="1:11">
      <c r="A457" s="102" t="s">
        <v>809</v>
      </c>
      <c r="B457" s="102" t="s">
        <v>810</v>
      </c>
      <c r="C457" s="102" t="s">
        <v>56</v>
      </c>
      <c r="D457" s="99">
        <f>IF(OR(Clientes[[#This Row],[Columna1]]="Pago inmediato",Clientes[[#This Row],[Columna1]]=""),0,SUBSTITUTE(Clientes[[#This Row],[Columna1]]," días",""))</f>
        <v>0</v>
      </c>
      <c r="E457" s="34"/>
      <c r="F457"/>
      <c r="G457" s="77"/>
      <c r="I457"/>
      <c r="J457" s="34"/>
      <c r="K457"/>
    </row>
    <row r="458" ht="30" spans="1:11">
      <c r="A458" s="102" t="s">
        <v>811</v>
      </c>
      <c r="B458" s="102" t="s">
        <v>812</v>
      </c>
      <c r="C458" s="102" t="s">
        <v>56</v>
      </c>
      <c r="D458" s="99">
        <f>IF(OR(Clientes[[#This Row],[Columna1]]="Pago inmediato",Clientes[[#This Row],[Columna1]]=""),0,SUBSTITUTE(Clientes[[#This Row],[Columna1]]," días",""))</f>
        <v>0</v>
      </c>
      <c r="E458" s="34"/>
      <c r="F458"/>
      <c r="G458" s="77"/>
      <c r="I458"/>
      <c r="J458" s="34"/>
      <c r="K458"/>
    </row>
    <row r="459" ht="45" spans="1:11">
      <c r="A459" s="102" t="s">
        <v>813</v>
      </c>
      <c r="B459" s="102" t="s">
        <v>814</v>
      </c>
      <c r="C459" s="102" t="s">
        <v>56</v>
      </c>
      <c r="D459" s="99">
        <f>IF(OR(Clientes[[#This Row],[Columna1]]="Pago inmediato",Clientes[[#This Row],[Columna1]]=""),0,SUBSTITUTE(Clientes[[#This Row],[Columna1]]," días",""))</f>
        <v>0</v>
      </c>
      <c r="E459" s="34"/>
      <c r="F459"/>
      <c r="G459" s="77"/>
      <c r="I459"/>
      <c r="J459" s="34"/>
      <c r="K459"/>
    </row>
    <row r="460" ht="60" spans="1:11">
      <c r="A460" s="102" t="s">
        <v>813</v>
      </c>
      <c r="B460" s="102" t="s">
        <v>815</v>
      </c>
      <c r="C460" s="102" t="s">
        <v>56</v>
      </c>
      <c r="D460" s="99">
        <f>IF(OR(Clientes[[#This Row],[Columna1]]="Pago inmediato",Clientes[[#This Row],[Columna1]]=""),0,SUBSTITUTE(Clientes[[#This Row],[Columna1]]," días",""))</f>
        <v>0</v>
      </c>
      <c r="E460" s="34"/>
      <c r="F460"/>
      <c r="G460" s="77"/>
      <c r="I460"/>
      <c r="J460" s="34"/>
      <c r="K460"/>
    </row>
    <row r="461" ht="30" spans="1:11">
      <c r="A461" s="102" t="s">
        <v>816</v>
      </c>
      <c r="B461" s="102" t="s">
        <v>817</v>
      </c>
      <c r="C461" s="102" t="s">
        <v>56</v>
      </c>
      <c r="D461" s="99">
        <f>IF(OR(Clientes[[#This Row],[Columna1]]="Pago inmediato",Clientes[[#This Row],[Columna1]]=""),0,SUBSTITUTE(Clientes[[#This Row],[Columna1]]," días",""))</f>
        <v>0</v>
      </c>
      <c r="E461" s="34"/>
      <c r="F461"/>
      <c r="G461" s="77"/>
      <c r="I461"/>
      <c r="J461" s="34"/>
      <c r="K461"/>
    </row>
    <row r="462" ht="45" spans="1:11">
      <c r="A462" s="102" t="s">
        <v>816</v>
      </c>
      <c r="B462" s="102" t="s">
        <v>818</v>
      </c>
      <c r="C462" s="102" t="s">
        <v>56</v>
      </c>
      <c r="D462" s="99">
        <f>IF(OR(Clientes[[#This Row],[Columna1]]="Pago inmediato",Clientes[[#This Row],[Columna1]]=""),0,SUBSTITUTE(Clientes[[#This Row],[Columna1]]," días",""))</f>
        <v>0</v>
      </c>
      <c r="E462" s="34"/>
      <c r="F462"/>
      <c r="G462" s="77"/>
      <c r="I462"/>
      <c r="J462" s="34"/>
      <c r="K462"/>
    </row>
    <row r="463" ht="30" spans="1:11">
      <c r="A463" s="102" t="s">
        <v>819</v>
      </c>
      <c r="B463" s="102" t="s">
        <v>820</v>
      </c>
      <c r="C463" s="102" t="s">
        <v>150</v>
      </c>
      <c r="D463" s="99" t="str">
        <f>IF(OR(Clientes[[#This Row],[Columna1]]="Pago inmediato",Clientes[[#This Row],[Columna1]]=""),0,SUBSTITUTE(Clientes[[#This Row],[Columna1]]," días",""))</f>
        <v>45</v>
      </c>
      <c r="E463" s="34"/>
      <c r="F463"/>
      <c r="G463" s="77"/>
      <c r="I463"/>
      <c r="J463" s="34"/>
      <c r="K463"/>
    </row>
    <row r="464" ht="45" spans="1:11">
      <c r="A464" s="102" t="s">
        <v>821</v>
      </c>
      <c r="B464" s="102" t="s">
        <v>822</v>
      </c>
      <c r="C464" s="102" t="s">
        <v>56</v>
      </c>
      <c r="D464" s="99">
        <f>IF(OR(Clientes[[#This Row],[Columna1]]="Pago inmediato",Clientes[[#This Row],[Columna1]]=""),0,SUBSTITUTE(Clientes[[#This Row],[Columna1]]," días",""))</f>
        <v>0</v>
      </c>
      <c r="E464" s="34"/>
      <c r="F464"/>
      <c r="G464" s="77"/>
      <c r="I464"/>
      <c r="J464" s="34"/>
      <c r="K464"/>
    </row>
    <row r="465" ht="30" spans="1:11">
      <c r="A465" s="102" t="s">
        <v>823</v>
      </c>
      <c r="B465" s="102" t="s">
        <v>824</v>
      </c>
      <c r="C465" s="102" t="s">
        <v>56</v>
      </c>
      <c r="D465" s="99">
        <f>IF(OR(Clientes[[#This Row],[Columna1]]="Pago inmediato",Clientes[[#This Row],[Columna1]]=""),0,SUBSTITUTE(Clientes[[#This Row],[Columna1]]," días",""))</f>
        <v>0</v>
      </c>
      <c r="E465" s="34"/>
      <c r="F465"/>
      <c r="G465" s="77"/>
      <c r="I465"/>
      <c r="J465" s="34"/>
      <c r="K465"/>
    </row>
    <row r="466" ht="30" spans="1:11">
      <c r="A466" s="102" t="s">
        <v>825</v>
      </c>
      <c r="B466" s="102" t="s">
        <v>826</v>
      </c>
      <c r="C466" s="102" t="s">
        <v>56</v>
      </c>
      <c r="D466" s="99">
        <f>IF(OR(Clientes[[#This Row],[Columna1]]="Pago inmediato",Clientes[[#This Row],[Columna1]]=""),0,SUBSTITUTE(Clientes[[#This Row],[Columna1]]," días",""))</f>
        <v>0</v>
      </c>
      <c r="E466" s="34"/>
      <c r="F466"/>
      <c r="G466" s="77"/>
      <c r="I466"/>
      <c r="J466" s="34"/>
      <c r="K466"/>
    </row>
    <row r="467" ht="30" spans="1:11">
      <c r="A467" s="102" t="s">
        <v>827</v>
      </c>
      <c r="B467" s="102" t="s">
        <v>828</v>
      </c>
      <c r="C467" s="102" t="s">
        <v>56</v>
      </c>
      <c r="D467" s="99">
        <f>IF(OR(Clientes[[#This Row],[Columna1]]="Pago inmediato",Clientes[[#This Row],[Columna1]]=""),0,SUBSTITUTE(Clientes[[#This Row],[Columna1]]," días",""))</f>
        <v>0</v>
      </c>
      <c r="E467" s="34"/>
      <c r="F467"/>
      <c r="G467" s="77"/>
      <c r="I467"/>
      <c r="J467" s="34"/>
      <c r="K467"/>
    </row>
    <row r="468" ht="45" spans="1:11">
      <c r="A468" s="102" t="s">
        <v>829</v>
      </c>
      <c r="B468" s="102" t="s">
        <v>830</v>
      </c>
      <c r="C468" s="102" t="s">
        <v>735</v>
      </c>
      <c r="D468" s="99" t="str">
        <f>IF(OR(Clientes[[#This Row],[Columna1]]="Pago inmediato",Clientes[[#This Row],[Columna1]]=""),0,SUBSTITUTE(Clientes[[#This Row],[Columna1]]," días",""))</f>
        <v>60</v>
      </c>
      <c r="E468" s="34"/>
      <c r="F468"/>
      <c r="G468" s="77"/>
      <c r="I468"/>
      <c r="J468" s="34"/>
      <c r="K468"/>
    </row>
    <row r="469" ht="30" spans="1:11">
      <c r="A469" s="102" t="s">
        <v>831</v>
      </c>
      <c r="B469" s="102" t="s">
        <v>832</v>
      </c>
      <c r="C469" s="102" t="s">
        <v>56</v>
      </c>
      <c r="D469" s="99">
        <f>IF(OR(Clientes[[#This Row],[Columna1]]="Pago inmediato",Clientes[[#This Row],[Columna1]]=""),0,SUBSTITUTE(Clientes[[#This Row],[Columna1]]," días",""))</f>
        <v>0</v>
      </c>
      <c r="E469" s="34"/>
      <c r="F469"/>
      <c r="G469" s="77"/>
      <c r="I469"/>
      <c r="J469" s="34"/>
      <c r="K469"/>
    </row>
    <row r="470" ht="30" spans="1:11">
      <c r="A470" s="102" t="s">
        <v>833</v>
      </c>
      <c r="B470" s="102" t="s">
        <v>834</v>
      </c>
      <c r="C470" s="102" t="s">
        <v>56</v>
      </c>
      <c r="D470" s="99">
        <f>IF(OR(Clientes[[#This Row],[Columna1]]="Pago inmediato",Clientes[[#This Row],[Columna1]]=""),0,SUBSTITUTE(Clientes[[#This Row],[Columna1]]," días",""))</f>
        <v>0</v>
      </c>
      <c r="E470" s="34"/>
      <c r="F470"/>
      <c r="G470" s="77"/>
      <c r="I470"/>
      <c r="J470" s="34"/>
      <c r="K470"/>
    </row>
    <row r="471" ht="30" spans="1:11">
      <c r="A471" s="102" t="s">
        <v>835</v>
      </c>
      <c r="B471" s="102" t="s">
        <v>836</v>
      </c>
      <c r="C471" s="102" t="s">
        <v>56</v>
      </c>
      <c r="D471" s="99">
        <f>IF(OR(Clientes[[#This Row],[Columna1]]="Pago inmediato",Clientes[[#This Row],[Columna1]]=""),0,SUBSTITUTE(Clientes[[#This Row],[Columna1]]," días",""))</f>
        <v>0</v>
      </c>
      <c r="E471" s="34"/>
      <c r="F471"/>
      <c r="G471" s="77"/>
      <c r="I471"/>
      <c r="J471" s="34"/>
      <c r="K471"/>
    </row>
    <row r="472" ht="30" spans="1:11">
      <c r="A472" s="102" t="s">
        <v>837</v>
      </c>
      <c r="B472" s="102" t="s">
        <v>838</v>
      </c>
      <c r="C472" s="102" t="s">
        <v>61</v>
      </c>
      <c r="D472" s="99" t="str">
        <f>IF(OR(Clientes[[#This Row],[Columna1]]="Pago inmediato",Clientes[[#This Row],[Columna1]]=""),0,SUBSTITUTE(Clientes[[#This Row],[Columna1]]," días",""))</f>
        <v>15</v>
      </c>
      <c r="E472" s="34"/>
      <c r="F472"/>
      <c r="G472" s="77"/>
      <c r="I472"/>
      <c r="J472" s="34"/>
      <c r="K472"/>
    </row>
    <row r="473" ht="45" spans="1:11">
      <c r="A473" s="102" t="s">
        <v>839</v>
      </c>
      <c r="B473" s="102" t="s">
        <v>840</v>
      </c>
      <c r="C473" s="102" t="s">
        <v>56</v>
      </c>
      <c r="D473" s="99">
        <f>IF(OR(Clientes[[#This Row],[Columna1]]="Pago inmediato",Clientes[[#This Row],[Columna1]]=""),0,SUBSTITUTE(Clientes[[#This Row],[Columna1]]," días",""))</f>
        <v>0</v>
      </c>
      <c r="E473" s="34"/>
      <c r="F473"/>
      <c r="G473" s="77"/>
      <c r="I473"/>
      <c r="J473" s="34"/>
      <c r="K473"/>
    </row>
    <row r="474" ht="45" spans="1:11">
      <c r="A474" s="102" t="s">
        <v>841</v>
      </c>
      <c r="B474" s="102" t="s">
        <v>842</v>
      </c>
      <c r="C474" s="102" t="s">
        <v>56</v>
      </c>
      <c r="D474" s="99">
        <f>IF(OR(Clientes[[#This Row],[Columna1]]="Pago inmediato",Clientes[[#This Row],[Columna1]]=""),0,SUBSTITUTE(Clientes[[#This Row],[Columna1]]," días",""))</f>
        <v>0</v>
      </c>
      <c r="E474" s="34"/>
      <c r="F474"/>
      <c r="G474" s="77"/>
      <c r="I474"/>
      <c r="J474" s="34"/>
      <c r="K474"/>
    </row>
    <row r="475" ht="75" spans="1:11">
      <c r="A475" s="102" t="s">
        <v>843</v>
      </c>
      <c r="B475" s="102" t="s">
        <v>844</v>
      </c>
      <c r="C475" s="102" t="s">
        <v>56</v>
      </c>
      <c r="D475" s="99">
        <f>IF(OR(Clientes[[#This Row],[Columna1]]="Pago inmediato",Clientes[[#This Row],[Columna1]]=""),0,SUBSTITUTE(Clientes[[#This Row],[Columna1]]," días",""))</f>
        <v>0</v>
      </c>
      <c r="E475" s="34"/>
      <c r="F475"/>
      <c r="G475" s="77"/>
      <c r="I475"/>
      <c r="J475" s="34"/>
      <c r="K475"/>
    </row>
    <row r="476" ht="45" spans="1:11">
      <c r="A476" s="102" t="s">
        <v>845</v>
      </c>
      <c r="B476" s="102" t="s">
        <v>846</v>
      </c>
      <c r="C476" s="102" t="s">
        <v>56</v>
      </c>
      <c r="D476" s="99">
        <f>IF(OR(Clientes[[#This Row],[Columna1]]="Pago inmediato",Clientes[[#This Row],[Columna1]]=""),0,SUBSTITUTE(Clientes[[#This Row],[Columna1]]," días",""))</f>
        <v>0</v>
      </c>
      <c r="E476" s="34"/>
      <c r="F476"/>
      <c r="G476" s="77"/>
      <c r="I476"/>
      <c r="J476" s="34"/>
      <c r="K476"/>
    </row>
    <row r="477" ht="45" spans="1:11">
      <c r="A477" s="102" t="s">
        <v>847</v>
      </c>
      <c r="B477" s="102" t="s">
        <v>848</v>
      </c>
      <c r="C477" s="102" t="s">
        <v>56</v>
      </c>
      <c r="D477" s="99">
        <f>IF(OR(Clientes[[#This Row],[Columna1]]="Pago inmediato",Clientes[[#This Row],[Columna1]]=""),0,SUBSTITUTE(Clientes[[#This Row],[Columna1]]," días",""))</f>
        <v>0</v>
      </c>
      <c r="E477" s="34"/>
      <c r="F477"/>
      <c r="G477" s="77"/>
      <c r="I477"/>
      <c r="J477" s="34"/>
      <c r="K477"/>
    </row>
    <row r="478" ht="30" spans="1:11">
      <c r="A478" s="102" t="s">
        <v>849</v>
      </c>
      <c r="B478" s="102" t="s">
        <v>850</v>
      </c>
      <c r="C478" s="102" t="s">
        <v>735</v>
      </c>
      <c r="D478" s="99" t="str">
        <f>IF(OR(Clientes[[#This Row],[Columna1]]="Pago inmediato",Clientes[[#This Row],[Columna1]]=""),0,SUBSTITUTE(Clientes[[#This Row],[Columna1]]," días",""))</f>
        <v>60</v>
      </c>
      <c r="E478" s="34"/>
      <c r="F478"/>
      <c r="G478" s="77"/>
      <c r="I478"/>
      <c r="J478" s="34"/>
      <c r="K478"/>
    </row>
    <row r="479" ht="30" spans="1:11">
      <c r="A479" s="102" t="s">
        <v>851</v>
      </c>
      <c r="B479" s="102" t="s">
        <v>852</v>
      </c>
      <c r="C479" s="102" t="s">
        <v>56</v>
      </c>
      <c r="D479" s="99">
        <f>IF(OR(Clientes[[#This Row],[Columna1]]="Pago inmediato",Clientes[[#This Row],[Columna1]]=""),0,SUBSTITUTE(Clientes[[#This Row],[Columna1]]," días",""))</f>
        <v>0</v>
      </c>
      <c r="E479" s="34"/>
      <c r="F479"/>
      <c r="G479" s="77"/>
      <c r="I479"/>
      <c r="J479" s="34"/>
      <c r="K479"/>
    </row>
    <row r="480" ht="30" spans="1:11">
      <c r="A480" s="102" t="s">
        <v>853</v>
      </c>
      <c r="B480" s="102" t="s">
        <v>854</v>
      </c>
      <c r="C480" s="102" t="s">
        <v>486</v>
      </c>
      <c r="D480" s="99" t="str">
        <f>IF(OR(Clientes[[#This Row],[Columna1]]="Pago inmediato",Clientes[[#This Row],[Columna1]]=""),0,SUBSTITUTE(Clientes[[#This Row],[Columna1]]," días",""))</f>
        <v>30</v>
      </c>
      <c r="E480" s="34"/>
      <c r="F480"/>
      <c r="G480" s="77"/>
      <c r="I480"/>
      <c r="J480" s="34"/>
      <c r="K480"/>
    </row>
    <row r="481" ht="30" spans="1:11">
      <c r="A481" s="102" t="s">
        <v>855</v>
      </c>
      <c r="B481" s="102" t="s">
        <v>856</v>
      </c>
      <c r="C481" s="102" t="s">
        <v>56</v>
      </c>
      <c r="D481" s="99">
        <f>IF(OR(Clientes[[#This Row],[Columna1]]="Pago inmediato",Clientes[[#This Row],[Columna1]]=""),0,SUBSTITUTE(Clientes[[#This Row],[Columna1]]," días",""))</f>
        <v>0</v>
      </c>
      <c r="E481" s="34"/>
      <c r="F481"/>
      <c r="G481" s="77"/>
      <c r="I481"/>
      <c r="J481" s="34"/>
      <c r="K481"/>
    </row>
    <row r="482" ht="45" spans="1:11">
      <c r="A482" s="102" t="s">
        <v>857</v>
      </c>
      <c r="B482" s="102" t="s">
        <v>858</v>
      </c>
      <c r="C482" s="102" t="s">
        <v>56</v>
      </c>
      <c r="D482" s="99">
        <f>IF(OR(Clientes[[#This Row],[Columna1]]="Pago inmediato",Clientes[[#This Row],[Columna1]]=""),0,SUBSTITUTE(Clientes[[#This Row],[Columna1]]," días",""))</f>
        <v>0</v>
      </c>
      <c r="E482" s="34"/>
      <c r="F482"/>
      <c r="G482" s="77"/>
      <c r="I482"/>
      <c r="J482" s="34"/>
      <c r="K482"/>
    </row>
    <row r="483" ht="30" spans="1:11">
      <c r="A483" s="102" t="s">
        <v>859</v>
      </c>
      <c r="B483" s="102" t="s">
        <v>860</v>
      </c>
      <c r="C483" s="102" t="s">
        <v>56</v>
      </c>
      <c r="D483" s="99">
        <f>IF(OR(Clientes[[#This Row],[Columna1]]="Pago inmediato",Clientes[[#This Row],[Columna1]]=""),0,SUBSTITUTE(Clientes[[#This Row],[Columna1]]," días",""))</f>
        <v>0</v>
      </c>
      <c r="E483" s="34"/>
      <c r="F483"/>
      <c r="G483" s="77"/>
      <c r="I483"/>
      <c r="J483" s="34"/>
      <c r="K483"/>
    </row>
    <row r="484" ht="30" spans="1:11">
      <c r="A484" s="102" t="s">
        <v>861</v>
      </c>
      <c r="B484" s="102" t="s">
        <v>862</v>
      </c>
      <c r="C484" s="102" t="s">
        <v>56</v>
      </c>
      <c r="D484" s="99">
        <f>IF(OR(Clientes[[#This Row],[Columna1]]="Pago inmediato",Clientes[[#This Row],[Columna1]]=""),0,SUBSTITUTE(Clientes[[#This Row],[Columna1]]," días",""))</f>
        <v>0</v>
      </c>
      <c r="E484" s="34"/>
      <c r="F484"/>
      <c r="G484" s="77"/>
      <c r="I484"/>
      <c r="J484" s="34"/>
      <c r="K484"/>
    </row>
    <row r="485" ht="45" spans="1:11">
      <c r="A485" s="102" t="s">
        <v>861</v>
      </c>
      <c r="B485" s="102" t="s">
        <v>863</v>
      </c>
      <c r="C485" s="102" t="s">
        <v>56</v>
      </c>
      <c r="D485" s="99">
        <f>IF(OR(Clientes[[#This Row],[Columna1]]="Pago inmediato",Clientes[[#This Row],[Columna1]]=""),0,SUBSTITUTE(Clientes[[#This Row],[Columna1]]," días",""))</f>
        <v>0</v>
      </c>
      <c r="E485" s="34"/>
      <c r="F485"/>
      <c r="G485" s="77"/>
      <c r="I485"/>
      <c r="J485" s="34"/>
      <c r="K485"/>
    </row>
    <row r="486" ht="45" spans="1:11">
      <c r="A486" s="102" t="s">
        <v>864</v>
      </c>
      <c r="B486" s="102" t="s">
        <v>865</v>
      </c>
      <c r="C486" s="102" t="s">
        <v>61</v>
      </c>
      <c r="D486" s="99" t="str">
        <f>IF(OR(Clientes[[#This Row],[Columna1]]="Pago inmediato",Clientes[[#This Row],[Columna1]]=""),0,SUBSTITUTE(Clientes[[#This Row],[Columna1]]," días",""))</f>
        <v>15</v>
      </c>
      <c r="E486" s="34"/>
      <c r="F486"/>
      <c r="G486" s="77"/>
      <c r="I486"/>
      <c r="J486" s="34"/>
      <c r="K486"/>
    </row>
    <row r="487" ht="30" spans="1:11">
      <c r="A487" s="102" t="s">
        <v>866</v>
      </c>
      <c r="B487" s="102" t="s">
        <v>867</v>
      </c>
      <c r="C487" s="102" t="s">
        <v>56</v>
      </c>
      <c r="D487" s="99">
        <f>IF(OR(Clientes[[#This Row],[Columna1]]="Pago inmediato",Clientes[[#This Row],[Columna1]]=""),0,SUBSTITUTE(Clientes[[#This Row],[Columna1]]," días",""))</f>
        <v>0</v>
      </c>
      <c r="E487" s="34"/>
      <c r="F487"/>
      <c r="G487" s="77"/>
      <c r="I487"/>
      <c r="J487" s="34"/>
      <c r="K487"/>
    </row>
    <row r="488" ht="45" spans="1:11">
      <c r="A488" s="102" t="s">
        <v>868</v>
      </c>
      <c r="B488" s="102" t="s">
        <v>869</v>
      </c>
      <c r="C488" s="102" t="s">
        <v>56</v>
      </c>
      <c r="D488" s="99">
        <f>IF(OR(Clientes[[#This Row],[Columna1]]="Pago inmediato",Clientes[[#This Row],[Columna1]]=""),0,SUBSTITUTE(Clientes[[#This Row],[Columna1]]," días",""))</f>
        <v>0</v>
      </c>
      <c r="E488" s="34"/>
      <c r="F488"/>
      <c r="G488" s="77"/>
      <c r="I488"/>
      <c r="J488" s="34"/>
      <c r="K488"/>
    </row>
    <row r="489" ht="30" spans="1:11">
      <c r="A489" s="102" t="s">
        <v>870</v>
      </c>
      <c r="B489" s="102" t="s">
        <v>871</v>
      </c>
      <c r="C489" s="102" t="s">
        <v>56</v>
      </c>
      <c r="D489" s="99">
        <f>IF(OR(Clientes[[#This Row],[Columna1]]="Pago inmediato",Clientes[[#This Row],[Columna1]]=""),0,SUBSTITUTE(Clientes[[#This Row],[Columna1]]," días",""))</f>
        <v>0</v>
      </c>
      <c r="E489" s="34"/>
      <c r="F489"/>
      <c r="G489" s="77"/>
      <c r="I489"/>
      <c r="J489" s="34"/>
      <c r="K489"/>
    </row>
    <row r="490" spans="1:11">
      <c r="A490" s="102" t="s">
        <v>872</v>
      </c>
      <c r="B490" s="102" t="s">
        <v>873</v>
      </c>
      <c r="C490" s="102" t="s">
        <v>56</v>
      </c>
      <c r="D490" s="99">
        <f>IF(OR(Clientes[[#This Row],[Columna1]]="Pago inmediato",Clientes[[#This Row],[Columna1]]=""),0,SUBSTITUTE(Clientes[[#This Row],[Columna1]]," días",""))</f>
        <v>0</v>
      </c>
      <c r="E490" s="34"/>
      <c r="F490"/>
      <c r="G490" s="77"/>
      <c r="I490"/>
      <c r="J490" s="34"/>
      <c r="K490"/>
    </row>
    <row r="491" ht="45" spans="1:11">
      <c r="A491" s="102" t="s">
        <v>874</v>
      </c>
      <c r="B491" s="102" t="s">
        <v>875</v>
      </c>
      <c r="C491" s="102" t="s">
        <v>56</v>
      </c>
      <c r="D491" s="99">
        <f>IF(OR(Clientes[[#This Row],[Columna1]]="Pago inmediato",Clientes[[#This Row],[Columna1]]=""),0,SUBSTITUTE(Clientes[[#This Row],[Columna1]]," días",""))</f>
        <v>0</v>
      </c>
      <c r="E491" s="34"/>
      <c r="F491"/>
      <c r="G491" s="77"/>
      <c r="I491"/>
      <c r="J491" s="34"/>
      <c r="K491"/>
    </row>
    <row r="492" spans="1:11">
      <c r="A492" s="102" t="s">
        <v>876</v>
      </c>
      <c r="B492" s="102" t="s">
        <v>877</v>
      </c>
      <c r="C492" s="102" t="s">
        <v>56</v>
      </c>
      <c r="D492" s="99">
        <f>IF(OR(Clientes[[#This Row],[Columna1]]="Pago inmediato",Clientes[[#This Row],[Columna1]]=""),0,SUBSTITUTE(Clientes[[#This Row],[Columna1]]," días",""))</f>
        <v>0</v>
      </c>
      <c r="E492" s="34"/>
      <c r="F492"/>
      <c r="G492" s="77"/>
      <c r="I492"/>
      <c r="J492" s="34"/>
      <c r="K492"/>
    </row>
    <row r="493" ht="45" spans="1:11">
      <c r="A493" s="102" t="s">
        <v>878</v>
      </c>
      <c r="B493" s="102" t="s">
        <v>879</v>
      </c>
      <c r="C493" s="102" t="s">
        <v>56</v>
      </c>
      <c r="D493" s="99">
        <f>IF(OR(Clientes[[#This Row],[Columna1]]="Pago inmediato",Clientes[[#This Row],[Columna1]]=""),0,SUBSTITUTE(Clientes[[#This Row],[Columna1]]," días",""))</f>
        <v>0</v>
      </c>
      <c r="E493" s="34"/>
      <c r="F493"/>
      <c r="G493" s="77"/>
      <c r="I493"/>
      <c r="J493" s="34"/>
      <c r="K493"/>
    </row>
    <row r="494" ht="30" spans="1:11">
      <c r="A494" s="102" t="s">
        <v>880</v>
      </c>
      <c r="B494" s="102" t="s">
        <v>881</v>
      </c>
      <c r="C494" s="102" t="s">
        <v>56</v>
      </c>
      <c r="D494" s="99">
        <f>IF(OR(Clientes[[#This Row],[Columna1]]="Pago inmediato",Clientes[[#This Row],[Columna1]]=""),0,SUBSTITUTE(Clientes[[#This Row],[Columna1]]," días",""))</f>
        <v>0</v>
      </c>
      <c r="E494" s="34"/>
      <c r="F494"/>
      <c r="G494" s="77"/>
      <c r="I494"/>
      <c r="J494" s="34"/>
      <c r="K494"/>
    </row>
    <row r="495" ht="30" spans="1:11">
      <c r="A495" s="102" t="s">
        <v>882</v>
      </c>
      <c r="B495" s="102" t="s">
        <v>883</v>
      </c>
      <c r="C495" s="102" t="s">
        <v>56</v>
      </c>
      <c r="D495" s="99">
        <f>IF(OR(Clientes[[#This Row],[Columna1]]="Pago inmediato",Clientes[[#This Row],[Columna1]]=""),0,SUBSTITUTE(Clientes[[#This Row],[Columna1]]," días",""))</f>
        <v>0</v>
      </c>
      <c r="E495" s="34"/>
      <c r="F495"/>
      <c r="G495" s="77"/>
      <c r="I495"/>
      <c r="J495" s="34"/>
      <c r="K495"/>
    </row>
    <row r="496" ht="45" spans="1:11">
      <c r="A496" s="102" t="s">
        <v>882</v>
      </c>
      <c r="B496" s="102" t="s">
        <v>884</v>
      </c>
      <c r="C496" s="102" t="s">
        <v>56</v>
      </c>
      <c r="D496" s="99">
        <f>IF(OR(Clientes[[#This Row],[Columna1]]="Pago inmediato",Clientes[[#This Row],[Columna1]]=""),0,SUBSTITUTE(Clientes[[#This Row],[Columna1]]," días",""))</f>
        <v>0</v>
      </c>
      <c r="E496" s="34"/>
      <c r="F496"/>
      <c r="G496" s="77"/>
      <c r="I496"/>
      <c r="J496" s="34"/>
      <c r="K496"/>
    </row>
    <row r="497" ht="30" spans="1:11">
      <c r="A497" s="102" t="s">
        <v>885</v>
      </c>
      <c r="B497" s="102" t="s">
        <v>886</v>
      </c>
      <c r="C497" s="102" t="s">
        <v>56</v>
      </c>
      <c r="D497" s="99">
        <f>IF(OR(Clientes[[#This Row],[Columna1]]="Pago inmediato",Clientes[[#This Row],[Columna1]]=""),0,SUBSTITUTE(Clientes[[#This Row],[Columna1]]," días",""))</f>
        <v>0</v>
      </c>
      <c r="E497" s="34"/>
      <c r="F497"/>
      <c r="G497" s="77"/>
      <c r="I497"/>
      <c r="J497" s="34"/>
      <c r="K497"/>
    </row>
    <row r="498" spans="1:11">
      <c r="A498" s="102" t="s">
        <v>887</v>
      </c>
      <c r="B498" s="102" t="s">
        <v>888</v>
      </c>
      <c r="C498" s="102" t="s">
        <v>56</v>
      </c>
      <c r="D498" s="99">
        <f>IF(OR(Clientes[[#This Row],[Columna1]]="Pago inmediato",Clientes[[#This Row],[Columna1]]=""),0,SUBSTITUTE(Clientes[[#This Row],[Columna1]]," días",""))</f>
        <v>0</v>
      </c>
      <c r="E498" s="34"/>
      <c r="F498"/>
      <c r="G498" s="77"/>
      <c r="I498"/>
      <c r="J498" s="34"/>
      <c r="K498"/>
    </row>
    <row r="499" ht="30" spans="1:11">
      <c r="A499" s="102" t="s">
        <v>889</v>
      </c>
      <c r="B499" s="102" t="s">
        <v>890</v>
      </c>
      <c r="C499" s="102" t="s">
        <v>56</v>
      </c>
      <c r="D499" s="99">
        <f>IF(OR(Clientes[[#This Row],[Columna1]]="Pago inmediato",Clientes[[#This Row],[Columna1]]=""),0,SUBSTITUTE(Clientes[[#This Row],[Columna1]]," días",""))</f>
        <v>0</v>
      </c>
      <c r="E499" s="34"/>
      <c r="F499"/>
      <c r="G499" s="77"/>
      <c r="I499"/>
      <c r="J499" s="34"/>
      <c r="K499"/>
    </row>
    <row r="500" ht="30" spans="1:11">
      <c r="A500" s="102"/>
      <c r="B500" s="102" t="s">
        <v>891</v>
      </c>
      <c r="C500" s="102"/>
      <c r="D500" s="99">
        <f>IF(OR(Clientes[[#This Row],[Columna1]]="Pago inmediato",Clientes[[#This Row],[Columna1]]=""),0,SUBSTITUTE(Clientes[[#This Row],[Columna1]]," días",""))</f>
        <v>0</v>
      </c>
      <c r="E500" s="34"/>
      <c r="F500"/>
      <c r="G500" s="77"/>
      <c r="I500"/>
      <c r="J500" s="34"/>
      <c r="K500"/>
    </row>
    <row r="501" ht="30" spans="1:11">
      <c r="A501" s="102" t="s">
        <v>892</v>
      </c>
      <c r="B501" s="102" t="s">
        <v>893</v>
      </c>
      <c r="C501" s="102" t="s">
        <v>56</v>
      </c>
      <c r="D501" s="99">
        <f>IF(OR(Clientes[[#This Row],[Columna1]]="Pago inmediato",Clientes[[#This Row],[Columna1]]=""),0,SUBSTITUTE(Clientes[[#This Row],[Columna1]]," días",""))</f>
        <v>0</v>
      </c>
      <c r="E501" s="34"/>
      <c r="F501"/>
      <c r="G501" s="77"/>
      <c r="I501"/>
      <c r="J501" s="34"/>
      <c r="K501"/>
    </row>
    <row r="502" ht="30" spans="1:11">
      <c r="A502" s="102" t="s">
        <v>894</v>
      </c>
      <c r="B502" s="102" t="s">
        <v>895</v>
      </c>
      <c r="C502" s="102" t="s">
        <v>56</v>
      </c>
      <c r="D502" s="99">
        <f>IF(OR(Clientes[[#This Row],[Columna1]]="Pago inmediato",Clientes[[#This Row],[Columna1]]=""),0,SUBSTITUTE(Clientes[[#This Row],[Columna1]]," días",""))</f>
        <v>0</v>
      </c>
      <c r="E502" s="34"/>
      <c r="F502"/>
      <c r="G502" s="77"/>
      <c r="I502"/>
      <c r="J502" s="34"/>
      <c r="K502"/>
    </row>
    <row r="503" ht="30" spans="1:11">
      <c r="A503" s="102" t="s">
        <v>896</v>
      </c>
      <c r="B503" s="102" t="s">
        <v>897</v>
      </c>
      <c r="C503" s="102" t="s">
        <v>54</v>
      </c>
      <c r="D503" s="99" t="str">
        <f>IF(OR(Clientes[[#This Row],[Columna1]]="Pago inmediato",Clientes[[#This Row],[Columna1]]=""),0,SUBSTITUTE(Clientes[[#This Row],[Columna1]]," días",""))</f>
        <v>7</v>
      </c>
      <c r="E503" s="34"/>
      <c r="F503"/>
      <c r="G503" s="77"/>
      <c r="I503"/>
      <c r="J503" s="34"/>
      <c r="K503"/>
    </row>
    <row r="504" ht="30" spans="1:11">
      <c r="A504" s="102" t="s">
        <v>898</v>
      </c>
      <c r="B504" s="102" t="s">
        <v>899</v>
      </c>
      <c r="C504" s="102" t="s">
        <v>56</v>
      </c>
      <c r="D504" s="99">
        <f>IF(OR(Clientes[[#This Row],[Columna1]]="Pago inmediato",Clientes[[#This Row],[Columna1]]=""),0,SUBSTITUTE(Clientes[[#This Row],[Columna1]]," días",""))</f>
        <v>0</v>
      </c>
      <c r="E504" s="34"/>
      <c r="F504"/>
      <c r="G504" s="77"/>
      <c r="I504"/>
      <c r="J504" s="34"/>
      <c r="K504"/>
    </row>
    <row r="505" ht="30" spans="1:11">
      <c r="A505" s="102" t="s">
        <v>900</v>
      </c>
      <c r="B505" s="102" t="s">
        <v>901</v>
      </c>
      <c r="C505" s="102" t="s">
        <v>56</v>
      </c>
      <c r="D505" s="99">
        <f>IF(OR(Clientes[[#This Row],[Columna1]]="Pago inmediato",Clientes[[#This Row],[Columna1]]=""),0,SUBSTITUTE(Clientes[[#This Row],[Columna1]]," días",""))</f>
        <v>0</v>
      </c>
      <c r="E505" s="34"/>
      <c r="F505"/>
      <c r="G505" s="77"/>
      <c r="I505"/>
      <c r="J505" s="34"/>
      <c r="K505"/>
    </row>
    <row r="506" ht="30" spans="1:11">
      <c r="A506" s="102" t="s">
        <v>902</v>
      </c>
      <c r="B506" s="102" t="s">
        <v>903</v>
      </c>
      <c r="C506" s="102" t="s">
        <v>56</v>
      </c>
      <c r="D506" s="99">
        <f>IF(OR(Clientes[[#This Row],[Columna1]]="Pago inmediato",Clientes[[#This Row],[Columna1]]=""),0,SUBSTITUTE(Clientes[[#This Row],[Columna1]]," días",""))</f>
        <v>0</v>
      </c>
      <c r="E506" s="34"/>
      <c r="F506"/>
      <c r="G506" s="77"/>
      <c r="I506"/>
      <c r="J506" s="34"/>
      <c r="K506"/>
    </row>
    <row r="507" ht="45" spans="1:11">
      <c r="A507" s="102" t="s">
        <v>902</v>
      </c>
      <c r="B507" s="102" t="s">
        <v>904</v>
      </c>
      <c r="C507" s="102" t="s">
        <v>56</v>
      </c>
      <c r="D507" s="99">
        <f>IF(OR(Clientes[[#This Row],[Columna1]]="Pago inmediato",Clientes[[#This Row],[Columna1]]=""),0,SUBSTITUTE(Clientes[[#This Row],[Columna1]]," días",""))</f>
        <v>0</v>
      </c>
      <c r="E507" s="34"/>
      <c r="F507"/>
      <c r="G507" s="77"/>
      <c r="I507"/>
      <c r="J507" s="34"/>
      <c r="K507"/>
    </row>
    <row r="508" spans="1:11">
      <c r="A508" s="102" t="s">
        <v>905</v>
      </c>
      <c r="B508" s="102" t="s">
        <v>906</v>
      </c>
      <c r="C508" s="102" t="s">
        <v>56</v>
      </c>
      <c r="D508" s="99">
        <f>IF(OR(Clientes[[#This Row],[Columna1]]="Pago inmediato",Clientes[[#This Row],[Columna1]]=""),0,SUBSTITUTE(Clientes[[#This Row],[Columna1]]," días",""))</f>
        <v>0</v>
      </c>
      <c r="E508" s="34"/>
      <c r="F508"/>
      <c r="G508" s="77"/>
      <c r="I508"/>
      <c r="J508" s="34"/>
      <c r="K508"/>
    </row>
    <row r="509" spans="1:11">
      <c r="A509" s="102" t="s">
        <v>907</v>
      </c>
      <c r="B509" s="102" t="s">
        <v>908</v>
      </c>
      <c r="C509" s="102"/>
      <c r="D509" s="99">
        <f>IF(OR(Clientes[[#This Row],[Columna1]]="Pago inmediato",Clientes[[#This Row],[Columna1]]=""),0,SUBSTITUTE(Clientes[[#This Row],[Columna1]]," días",""))</f>
        <v>0</v>
      </c>
      <c r="E509" s="34"/>
      <c r="F509"/>
      <c r="G509" s="77"/>
      <c r="I509"/>
      <c r="J509" s="34"/>
      <c r="K509"/>
    </row>
    <row r="510" spans="1:11">
      <c r="A510" s="102" t="s">
        <v>909</v>
      </c>
      <c r="B510" s="102" t="s">
        <v>910</v>
      </c>
      <c r="C510" s="102"/>
      <c r="D510" s="99">
        <f>IF(OR(Clientes[[#This Row],[Columna1]]="Pago inmediato",Clientes[[#This Row],[Columna1]]=""),0,SUBSTITUTE(Clientes[[#This Row],[Columna1]]," días",""))</f>
        <v>0</v>
      </c>
      <c r="E510" s="34"/>
      <c r="F510"/>
      <c r="G510" s="77"/>
      <c r="I510"/>
      <c r="J510" s="34"/>
      <c r="K510"/>
    </row>
    <row r="511" spans="1:11">
      <c r="A511" s="102"/>
      <c r="B511" s="102" t="s">
        <v>911</v>
      </c>
      <c r="C511" s="102"/>
      <c r="D511" s="99">
        <f>IF(OR(Clientes[[#This Row],[Columna1]]="Pago inmediato",Clientes[[#This Row],[Columna1]]=""),0,SUBSTITUTE(Clientes[[#This Row],[Columna1]]," días",""))</f>
        <v>0</v>
      </c>
      <c r="E511" s="34"/>
      <c r="F511"/>
      <c r="G511" s="77"/>
      <c r="I511"/>
      <c r="J511" s="34"/>
      <c r="K511"/>
    </row>
    <row r="512" ht="30" spans="1:11">
      <c r="A512" s="102" t="s">
        <v>912</v>
      </c>
      <c r="B512" s="102" t="s">
        <v>913</v>
      </c>
      <c r="C512" s="102" t="s">
        <v>56</v>
      </c>
      <c r="D512" s="99">
        <f>IF(OR(Clientes[[#This Row],[Columna1]]="Pago inmediato",Clientes[[#This Row],[Columna1]]=""),0,SUBSTITUTE(Clientes[[#This Row],[Columna1]]," días",""))</f>
        <v>0</v>
      </c>
      <c r="E512" s="34"/>
      <c r="F512"/>
      <c r="G512" s="77"/>
      <c r="I512"/>
      <c r="J512" s="34"/>
      <c r="K512"/>
    </row>
    <row r="513" ht="45" spans="1:11">
      <c r="A513" s="102" t="s">
        <v>912</v>
      </c>
      <c r="B513" s="102" t="s">
        <v>914</v>
      </c>
      <c r="C513" s="102" t="s">
        <v>56</v>
      </c>
      <c r="D513" s="99">
        <f>IF(OR(Clientes[[#This Row],[Columna1]]="Pago inmediato",Clientes[[#This Row],[Columna1]]=""),0,SUBSTITUTE(Clientes[[#This Row],[Columna1]]," días",""))</f>
        <v>0</v>
      </c>
      <c r="E513" s="34"/>
      <c r="F513"/>
      <c r="G513" s="77"/>
      <c r="I513"/>
      <c r="J513" s="34"/>
      <c r="K513"/>
    </row>
    <row r="514" ht="30" spans="1:11">
      <c r="A514" s="102" t="s">
        <v>915</v>
      </c>
      <c r="B514" s="102" t="s">
        <v>916</v>
      </c>
      <c r="C514" s="102" t="s">
        <v>56</v>
      </c>
      <c r="D514" s="99">
        <f>IF(OR(Clientes[[#This Row],[Columna1]]="Pago inmediato",Clientes[[#This Row],[Columna1]]=""),0,SUBSTITUTE(Clientes[[#This Row],[Columna1]]," días",""))</f>
        <v>0</v>
      </c>
      <c r="E514" s="34"/>
      <c r="F514"/>
      <c r="G514" s="77"/>
      <c r="I514"/>
      <c r="J514" s="34"/>
      <c r="K514"/>
    </row>
    <row r="515" ht="30" spans="1:11">
      <c r="A515" s="102" t="s">
        <v>917</v>
      </c>
      <c r="B515" s="102" t="s">
        <v>918</v>
      </c>
      <c r="C515" s="102" t="s">
        <v>56</v>
      </c>
      <c r="D515" s="99">
        <f>IF(OR(Clientes[[#This Row],[Columna1]]="Pago inmediato",Clientes[[#This Row],[Columna1]]=""),0,SUBSTITUTE(Clientes[[#This Row],[Columna1]]," días",""))</f>
        <v>0</v>
      </c>
      <c r="E515" s="34"/>
      <c r="F515"/>
      <c r="G515" s="77"/>
      <c r="I515"/>
      <c r="J515" s="34"/>
      <c r="K515"/>
    </row>
    <row r="516" ht="30" spans="1:11">
      <c r="A516" s="102" t="s">
        <v>919</v>
      </c>
      <c r="B516" s="102" t="s">
        <v>920</v>
      </c>
      <c r="C516" s="102" t="s">
        <v>56</v>
      </c>
      <c r="D516" s="99">
        <f>IF(OR(Clientes[[#This Row],[Columna1]]="Pago inmediato",Clientes[[#This Row],[Columna1]]=""),0,SUBSTITUTE(Clientes[[#This Row],[Columna1]]," días",""))</f>
        <v>0</v>
      </c>
      <c r="E516" s="34"/>
      <c r="F516"/>
      <c r="G516" s="77"/>
      <c r="I516"/>
      <c r="J516" s="34"/>
      <c r="K516"/>
    </row>
    <row r="517" spans="1:11">
      <c r="A517" s="102" t="s">
        <v>921</v>
      </c>
      <c r="B517" s="102" t="s">
        <v>922</v>
      </c>
      <c r="C517" s="102" t="s">
        <v>454</v>
      </c>
      <c r="D517" s="99" t="str">
        <f>IF(OR(Clientes[[#This Row],[Columna1]]="Pago inmediato",Clientes[[#This Row],[Columna1]]=""),0,SUBSTITUTE(Clientes[[#This Row],[Columna1]]," días",""))</f>
        <v>21</v>
      </c>
      <c r="E517" s="34"/>
      <c r="F517"/>
      <c r="G517" s="77"/>
      <c r="I517"/>
      <c r="J517" s="34"/>
      <c r="K517"/>
    </row>
    <row r="518" ht="30" spans="1:11">
      <c r="A518" s="102" t="s">
        <v>923</v>
      </c>
      <c r="B518" s="102" t="s">
        <v>924</v>
      </c>
      <c r="C518" s="102" t="s">
        <v>56</v>
      </c>
      <c r="D518" s="99">
        <f>IF(OR(Clientes[[#This Row],[Columna1]]="Pago inmediato",Clientes[[#This Row],[Columna1]]=""),0,SUBSTITUTE(Clientes[[#This Row],[Columna1]]," días",""))</f>
        <v>0</v>
      </c>
      <c r="E518" s="34"/>
      <c r="F518"/>
      <c r="G518" s="77"/>
      <c r="I518"/>
      <c r="J518" s="34"/>
      <c r="K518"/>
    </row>
    <row r="519" ht="30" spans="1:11">
      <c r="A519" s="102" t="s">
        <v>925</v>
      </c>
      <c r="B519" s="102" t="s">
        <v>926</v>
      </c>
      <c r="C519" s="102" t="s">
        <v>56</v>
      </c>
      <c r="D519" s="99">
        <f>IF(OR(Clientes[[#This Row],[Columna1]]="Pago inmediato",Clientes[[#This Row],[Columna1]]=""),0,SUBSTITUTE(Clientes[[#This Row],[Columna1]]," días",""))</f>
        <v>0</v>
      </c>
      <c r="E519" s="34"/>
      <c r="F519"/>
      <c r="G519" s="77"/>
      <c r="I519"/>
      <c r="J519" s="34"/>
      <c r="K519"/>
    </row>
    <row r="520" ht="30" spans="1:11">
      <c r="A520" s="102" t="s">
        <v>927</v>
      </c>
      <c r="B520" s="102" t="s">
        <v>928</v>
      </c>
      <c r="C520" s="102" t="s">
        <v>56</v>
      </c>
      <c r="D520" s="99">
        <f>IF(OR(Clientes[[#This Row],[Columna1]]="Pago inmediato",Clientes[[#This Row],[Columna1]]=""),0,SUBSTITUTE(Clientes[[#This Row],[Columna1]]," días",""))</f>
        <v>0</v>
      </c>
      <c r="E520" s="34"/>
      <c r="F520"/>
      <c r="G520" s="77"/>
      <c r="I520"/>
      <c r="J520" s="34"/>
      <c r="K520"/>
    </row>
    <row r="521" ht="30" spans="1:11">
      <c r="A521" s="102" t="s">
        <v>929</v>
      </c>
      <c r="B521" s="102" t="s">
        <v>930</v>
      </c>
      <c r="C521" s="102" t="s">
        <v>56</v>
      </c>
      <c r="D521" s="99">
        <f>IF(OR(Clientes[[#This Row],[Columna1]]="Pago inmediato",Clientes[[#This Row],[Columna1]]=""),0,SUBSTITUTE(Clientes[[#This Row],[Columna1]]," días",""))</f>
        <v>0</v>
      </c>
      <c r="E521" s="34"/>
      <c r="F521"/>
      <c r="G521" s="77"/>
      <c r="I521"/>
      <c r="J521" s="34"/>
      <c r="K521"/>
    </row>
    <row r="522" ht="45" spans="1:11">
      <c r="A522" s="102" t="s">
        <v>929</v>
      </c>
      <c r="B522" s="102" t="s">
        <v>931</v>
      </c>
      <c r="C522" s="102" t="s">
        <v>56</v>
      </c>
      <c r="D522" s="99">
        <f>IF(OR(Clientes[[#This Row],[Columna1]]="Pago inmediato",Clientes[[#This Row],[Columna1]]=""),0,SUBSTITUTE(Clientes[[#This Row],[Columna1]]," días",""))</f>
        <v>0</v>
      </c>
      <c r="E522" s="34"/>
      <c r="F522"/>
      <c r="G522" s="77"/>
      <c r="I522"/>
      <c r="J522" s="34"/>
      <c r="K522"/>
    </row>
    <row r="523" ht="30" spans="1:11">
      <c r="A523" s="102" t="s">
        <v>932</v>
      </c>
      <c r="B523" s="102" t="s">
        <v>933</v>
      </c>
      <c r="C523" s="102" t="s">
        <v>56</v>
      </c>
      <c r="D523" s="99">
        <f>IF(OR(Clientes[[#This Row],[Columna1]]="Pago inmediato",Clientes[[#This Row],[Columna1]]=""),0,SUBSTITUTE(Clientes[[#This Row],[Columna1]]," días",""))</f>
        <v>0</v>
      </c>
      <c r="E523" s="34"/>
      <c r="F523"/>
      <c r="G523" s="77"/>
      <c r="I523"/>
      <c r="J523" s="34"/>
      <c r="K523"/>
    </row>
    <row r="524" ht="45" spans="1:11">
      <c r="A524" s="102" t="s">
        <v>934</v>
      </c>
      <c r="B524" s="102" t="s">
        <v>935</v>
      </c>
      <c r="C524" s="102" t="s">
        <v>56</v>
      </c>
      <c r="D524" s="99">
        <f>IF(OR(Clientes[[#This Row],[Columna1]]="Pago inmediato",Clientes[[#This Row],[Columna1]]=""),0,SUBSTITUTE(Clientes[[#This Row],[Columna1]]," días",""))</f>
        <v>0</v>
      </c>
      <c r="E524" s="34"/>
      <c r="F524"/>
      <c r="G524" s="77"/>
      <c r="I524"/>
      <c r="J524" s="34"/>
      <c r="K524"/>
    </row>
    <row r="525" spans="1:11">
      <c r="A525" s="102" t="s">
        <v>936</v>
      </c>
      <c r="B525" s="102" t="s">
        <v>937</v>
      </c>
      <c r="C525" s="102" t="s">
        <v>61</v>
      </c>
      <c r="D525" s="99" t="str">
        <f>IF(OR(Clientes[[#This Row],[Columna1]]="Pago inmediato",Clientes[[#This Row],[Columna1]]=""),0,SUBSTITUTE(Clientes[[#This Row],[Columna1]]," días",""))</f>
        <v>15</v>
      </c>
      <c r="E525" s="34"/>
      <c r="F525"/>
      <c r="G525" s="77"/>
      <c r="I525"/>
      <c r="J525" s="34"/>
      <c r="K525"/>
    </row>
    <row r="526" spans="1:11">
      <c r="A526" s="102" t="s">
        <v>938</v>
      </c>
      <c r="B526" s="102" t="s">
        <v>939</v>
      </c>
      <c r="C526" s="102" t="s">
        <v>56</v>
      </c>
      <c r="D526" s="99">
        <f>IF(OR(Clientes[[#This Row],[Columna1]]="Pago inmediato",Clientes[[#This Row],[Columna1]]=""),0,SUBSTITUTE(Clientes[[#This Row],[Columna1]]," días",""))</f>
        <v>0</v>
      </c>
      <c r="E526" s="34"/>
      <c r="F526"/>
      <c r="G526" s="77"/>
      <c r="I526"/>
      <c r="J526" s="34"/>
      <c r="K526"/>
    </row>
    <row r="527" ht="75" spans="1:11">
      <c r="A527" s="102" t="s">
        <v>940</v>
      </c>
      <c r="B527" s="102" t="s">
        <v>941</v>
      </c>
      <c r="C527" s="102" t="s">
        <v>56</v>
      </c>
      <c r="D527" s="99">
        <f>IF(OR(Clientes[[#This Row],[Columna1]]="Pago inmediato",Clientes[[#This Row],[Columna1]]=""),0,SUBSTITUTE(Clientes[[#This Row],[Columna1]]," días",""))</f>
        <v>0</v>
      </c>
      <c r="E527" s="34"/>
      <c r="F527"/>
      <c r="G527" s="77"/>
      <c r="I527"/>
      <c r="J527" s="34"/>
      <c r="K527"/>
    </row>
    <row r="528" ht="30" spans="1:11">
      <c r="A528" s="102" t="s">
        <v>942</v>
      </c>
      <c r="B528" s="102" t="s">
        <v>943</v>
      </c>
      <c r="C528" s="102" t="s">
        <v>56</v>
      </c>
      <c r="D528" s="99">
        <f>IF(OR(Clientes[[#This Row],[Columna1]]="Pago inmediato",Clientes[[#This Row],[Columna1]]=""),0,SUBSTITUTE(Clientes[[#This Row],[Columna1]]," días",""))</f>
        <v>0</v>
      </c>
      <c r="E528" s="34"/>
      <c r="F528"/>
      <c r="G528" s="77"/>
      <c r="I528"/>
      <c r="J528" s="34"/>
      <c r="K528"/>
    </row>
    <row r="529" ht="30" spans="1:11">
      <c r="A529" s="102" t="s">
        <v>944</v>
      </c>
      <c r="B529" s="102" t="s">
        <v>945</v>
      </c>
      <c r="C529" s="102" t="s">
        <v>56</v>
      </c>
      <c r="D529" s="99">
        <f>IF(OR(Clientes[[#This Row],[Columna1]]="Pago inmediato",Clientes[[#This Row],[Columna1]]=""),0,SUBSTITUTE(Clientes[[#This Row],[Columna1]]," días",""))</f>
        <v>0</v>
      </c>
      <c r="E529" s="34"/>
      <c r="F529"/>
      <c r="G529" s="77"/>
      <c r="I529"/>
      <c r="J529" s="34"/>
      <c r="K529"/>
    </row>
    <row r="530" spans="1:11">
      <c r="A530" s="102" t="s">
        <v>946</v>
      </c>
      <c r="B530" s="102" t="s">
        <v>947</v>
      </c>
      <c r="C530" s="102" t="s">
        <v>56</v>
      </c>
      <c r="D530" s="99">
        <f>IF(OR(Clientes[[#This Row],[Columna1]]="Pago inmediato",Clientes[[#This Row],[Columna1]]=""),0,SUBSTITUTE(Clientes[[#This Row],[Columna1]]," días",""))</f>
        <v>0</v>
      </c>
      <c r="E530" s="34"/>
      <c r="F530"/>
      <c r="G530" s="77"/>
      <c r="I530"/>
      <c r="J530" s="34"/>
      <c r="K530"/>
    </row>
    <row r="531" ht="30" spans="1:11">
      <c r="A531" s="102" t="s">
        <v>946</v>
      </c>
      <c r="B531" s="102" t="s">
        <v>948</v>
      </c>
      <c r="C531" s="102" t="s">
        <v>56</v>
      </c>
      <c r="D531" s="99">
        <f>IF(OR(Clientes[[#This Row],[Columna1]]="Pago inmediato",Clientes[[#This Row],[Columna1]]=""),0,SUBSTITUTE(Clientes[[#This Row],[Columna1]]," días",""))</f>
        <v>0</v>
      </c>
      <c r="E531" s="34"/>
      <c r="F531"/>
      <c r="G531" s="77"/>
      <c r="I531"/>
      <c r="J531" s="34"/>
      <c r="K531"/>
    </row>
    <row r="532" ht="30" spans="1:11">
      <c r="A532" s="102" t="s">
        <v>949</v>
      </c>
      <c r="B532" s="102" t="s">
        <v>950</v>
      </c>
      <c r="C532" s="102" t="s">
        <v>56</v>
      </c>
      <c r="D532" s="99">
        <f>IF(OR(Clientes[[#This Row],[Columna1]]="Pago inmediato",Clientes[[#This Row],[Columna1]]=""),0,SUBSTITUTE(Clientes[[#This Row],[Columna1]]," días",""))</f>
        <v>0</v>
      </c>
      <c r="E532" s="34"/>
      <c r="F532"/>
      <c r="G532" s="77"/>
      <c r="I532"/>
      <c r="J532" s="34"/>
      <c r="K532"/>
    </row>
    <row r="533" ht="30" spans="1:11">
      <c r="A533" s="102" t="s">
        <v>951</v>
      </c>
      <c r="B533" s="102" t="s">
        <v>952</v>
      </c>
      <c r="C533" s="102" t="s">
        <v>56</v>
      </c>
      <c r="D533" s="99">
        <f>IF(OR(Clientes[[#This Row],[Columna1]]="Pago inmediato",Clientes[[#This Row],[Columna1]]=""),0,SUBSTITUTE(Clientes[[#This Row],[Columna1]]," días",""))</f>
        <v>0</v>
      </c>
      <c r="E533" s="34"/>
      <c r="F533"/>
      <c r="G533" s="77"/>
      <c r="I533"/>
      <c r="J533" s="34"/>
      <c r="K533"/>
    </row>
    <row r="534" spans="1:11">
      <c r="A534" s="102" t="s">
        <v>953</v>
      </c>
      <c r="B534" s="102" t="s">
        <v>19</v>
      </c>
      <c r="C534" s="102"/>
      <c r="D534" s="99">
        <f>IF(OR(Clientes[[#This Row],[Columna1]]="Pago inmediato",Clientes[[#This Row],[Columna1]]=""),0,SUBSTITUTE(Clientes[[#This Row],[Columna1]]," días",""))</f>
        <v>0</v>
      </c>
      <c r="E534" s="34"/>
      <c r="F534"/>
      <c r="G534" s="77"/>
      <c r="I534"/>
      <c r="J534" s="34"/>
      <c r="K534"/>
    </row>
    <row r="535" spans="1:11">
      <c r="A535" s="102" t="s">
        <v>954</v>
      </c>
      <c r="B535" s="102" t="s">
        <v>955</v>
      </c>
      <c r="C535" s="102" t="s">
        <v>56</v>
      </c>
      <c r="D535" s="99">
        <f>IF(OR(Clientes[[#This Row],[Columna1]]="Pago inmediato",Clientes[[#This Row],[Columna1]]=""),0,SUBSTITUTE(Clientes[[#This Row],[Columna1]]," días",""))</f>
        <v>0</v>
      </c>
      <c r="E535" s="34"/>
      <c r="F535"/>
      <c r="G535" s="77"/>
      <c r="I535"/>
      <c r="J535" s="34"/>
      <c r="K535"/>
    </row>
    <row r="536" ht="30" spans="1:11">
      <c r="A536" s="102" t="s">
        <v>956</v>
      </c>
      <c r="B536" s="102" t="s">
        <v>957</v>
      </c>
      <c r="C536" s="102" t="s">
        <v>61</v>
      </c>
      <c r="D536" s="99" t="str">
        <f>IF(OR(Clientes[[#This Row],[Columna1]]="Pago inmediato",Clientes[[#This Row],[Columna1]]=""),0,SUBSTITUTE(Clientes[[#This Row],[Columna1]]," días",""))</f>
        <v>15</v>
      </c>
      <c r="E536" s="34"/>
      <c r="F536"/>
      <c r="G536" s="77"/>
      <c r="I536"/>
      <c r="J536" s="34"/>
      <c r="K536"/>
    </row>
    <row r="537" spans="1:11">
      <c r="A537" s="102" t="s">
        <v>958</v>
      </c>
      <c r="B537" s="102" t="s">
        <v>959</v>
      </c>
      <c r="C537" s="102" t="s">
        <v>486</v>
      </c>
      <c r="D537" s="99" t="str">
        <f>IF(OR(Clientes[[#This Row],[Columna1]]="Pago inmediato",Clientes[[#This Row],[Columna1]]=""),0,SUBSTITUTE(Clientes[[#This Row],[Columna1]]," días",""))</f>
        <v>30</v>
      </c>
      <c r="E537" s="34"/>
      <c r="F537"/>
      <c r="G537" s="77"/>
      <c r="I537"/>
      <c r="J537" s="34"/>
      <c r="K537"/>
    </row>
    <row r="538" spans="1:11">
      <c r="A538" s="102" t="s">
        <v>960</v>
      </c>
      <c r="B538" s="102" t="s">
        <v>961</v>
      </c>
      <c r="C538" s="102" t="s">
        <v>454</v>
      </c>
      <c r="D538" s="99" t="str">
        <f>IF(OR(Clientes[[#This Row],[Columna1]]="Pago inmediato",Clientes[[#This Row],[Columna1]]=""),0,SUBSTITUTE(Clientes[[#This Row],[Columna1]]," días",""))</f>
        <v>21</v>
      </c>
      <c r="E538" s="34"/>
      <c r="F538"/>
      <c r="G538" s="77"/>
      <c r="I538"/>
      <c r="J538" s="34"/>
      <c r="K538"/>
    </row>
    <row r="539" spans="1:11">
      <c r="A539" s="102" t="s">
        <v>962</v>
      </c>
      <c r="B539" s="102" t="s">
        <v>963</v>
      </c>
      <c r="C539" s="102" t="s">
        <v>56</v>
      </c>
      <c r="D539" s="99">
        <f>IF(OR(Clientes[[#This Row],[Columna1]]="Pago inmediato",Clientes[[#This Row],[Columna1]]=""),0,SUBSTITUTE(Clientes[[#This Row],[Columna1]]," días",""))</f>
        <v>0</v>
      </c>
      <c r="E539" s="34"/>
      <c r="F539"/>
      <c r="G539" s="77"/>
      <c r="I539"/>
      <c r="J539" s="34"/>
      <c r="K539"/>
    </row>
    <row r="540" ht="30" spans="1:11">
      <c r="A540" s="102" t="s">
        <v>962</v>
      </c>
      <c r="B540" s="102" t="s">
        <v>964</v>
      </c>
      <c r="C540" s="102" t="s">
        <v>56</v>
      </c>
      <c r="D540" s="99">
        <f>IF(OR(Clientes[[#This Row],[Columna1]]="Pago inmediato",Clientes[[#This Row],[Columna1]]=""),0,SUBSTITUTE(Clientes[[#This Row],[Columna1]]," días",""))</f>
        <v>0</v>
      </c>
      <c r="E540" s="34"/>
      <c r="F540"/>
      <c r="G540" s="77"/>
      <c r="I540"/>
      <c r="J540" s="34"/>
      <c r="K540"/>
    </row>
    <row r="541" ht="30" spans="1:11">
      <c r="A541" s="102" t="s">
        <v>965</v>
      </c>
      <c r="B541" s="102" t="s">
        <v>966</v>
      </c>
      <c r="C541" s="102" t="s">
        <v>56</v>
      </c>
      <c r="D541" s="99">
        <f>IF(OR(Clientes[[#This Row],[Columna1]]="Pago inmediato",Clientes[[#This Row],[Columna1]]=""),0,SUBSTITUTE(Clientes[[#This Row],[Columna1]]," días",""))</f>
        <v>0</v>
      </c>
      <c r="E541" s="34"/>
      <c r="F541"/>
      <c r="G541" s="77"/>
      <c r="I541"/>
      <c r="J541" s="34"/>
      <c r="K541"/>
    </row>
    <row r="542" ht="30" spans="1:11">
      <c r="A542" s="102" t="s">
        <v>967</v>
      </c>
      <c r="B542" s="102" t="s">
        <v>968</v>
      </c>
      <c r="C542" s="102" t="s">
        <v>56</v>
      </c>
      <c r="D542" s="99">
        <f>IF(OR(Clientes[[#This Row],[Columna1]]="Pago inmediato",Clientes[[#This Row],[Columna1]]=""),0,SUBSTITUTE(Clientes[[#This Row],[Columna1]]," días",""))</f>
        <v>0</v>
      </c>
      <c r="E542" s="34"/>
      <c r="F542"/>
      <c r="G542" s="77"/>
      <c r="I542"/>
      <c r="J542" s="34"/>
      <c r="K542"/>
    </row>
    <row r="543" ht="30" spans="1:11">
      <c r="A543" s="102" t="s">
        <v>967</v>
      </c>
      <c r="B543" s="102" t="s">
        <v>969</v>
      </c>
      <c r="C543" s="102" t="s">
        <v>56</v>
      </c>
      <c r="D543" s="99">
        <f>IF(OR(Clientes[[#This Row],[Columna1]]="Pago inmediato",Clientes[[#This Row],[Columna1]]=""),0,SUBSTITUTE(Clientes[[#This Row],[Columna1]]," días",""))</f>
        <v>0</v>
      </c>
      <c r="E543" s="34"/>
      <c r="F543"/>
      <c r="G543" s="77"/>
      <c r="I543"/>
      <c r="J543" s="34"/>
      <c r="K543"/>
    </row>
    <row r="544" ht="30" spans="1:11">
      <c r="A544" s="102" t="s">
        <v>970</v>
      </c>
      <c r="B544" s="102" t="s">
        <v>971</v>
      </c>
      <c r="C544" s="102" t="s">
        <v>56</v>
      </c>
      <c r="D544" s="99">
        <f>IF(OR(Clientes[[#This Row],[Columna1]]="Pago inmediato",Clientes[[#This Row],[Columna1]]=""),0,SUBSTITUTE(Clientes[[#This Row],[Columna1]]," días",""))</f>
        <v>0</v>
      </c>
      <c r="E544" s="34"/>
      <c r="F544"/>
      <c r="G544" s="77"/>
      <c r="I544"/>
      <c r="J544" s="34"/>
      <c r="K544"/>
    </row>
    <row r="545" spans="1:11">
      <c r="A545" s="102" t="s">
        <v>972</v>
      </c>
      <c r="B545" s="102" t="s">
        <v>973</v>
      </c>
      <c r="C545" s="102" t="s">
        <v>56</v>
      </c>
      <c r="D545" s="99">
        <f>IF(OR(Clientes[[#This Row],[Columna1]]="Pago inmediato",Clientes[[#This Row],[Columna1]]=""),0,SUBSTITUTE(Clientes[[#This Row],[Columna1]]," días",""))</f>
        <v>0</v>
      </c>
      <c r="E545" s="34"/>
      <c r="F545"/>
      <c r="G545" s="77"/>
      <c r="I545"/>
      <c r="J545" s="34"/>
      <c r="K545"/>
    </row>
    <row r="546" ht="30" spans="1:11">
      <c r="A546" s="102" t="s">
        <v>974</v>
      </c>
      <c r="B546" s="102" t="s">
        <v>974</v>
      </c>
      <c r="C546" s="102" t="s">
        <v>56</v>
      </c>
      <c r="D546" s="99">
        <f>IF(OR(Clientes[[#This Row],[Columna1]]="Pago inmediato",Clientes[[#This Row],[Columna1]]=""),0,SUBSTITUTE(Clientes[[#This Row],[Columna1]]," días",""))</f>
        <v>0</v>
      </c>
      <c r="E546" s="34"/>
      <c r="F546"/>
      <c r="G546" s="77"/>
      <c r="I546"/>
      <c r="J546" s="34"/>
      <c r="K546"/>
    </row>
    <row r="547" ht="30" spans="1:11">
      <c r="A547" s="102" t="s">
        <v>975</v>
      </c>
      <c r="B547" s="102" t="s">
        <v>976</v>
      </c>
      <c r="C547" s="102" t="s">
        <v>56</v>
      </c>
      <c r="D547" s="99">
        <f>IF(OR(Clientes[[#This Row],[Columna1]]="Pago inmediato",Clientes[[#This Row],[Columna1]]=""),0,SUBSTITUTE(Clientes[[#This Row],[Columna1]]," días",""))</f>
        <v>0</v>
      </c>
      <c r="E547" s="34"/>
      <c r="F547"/>
      <c r="G547" s="77"/>
      <c r="I547"/>
      <c r="J547" s="34"/>
      <c r="K547"/>
    </row>
    <row r="548" ht="30" spans="1:11">
      <c r="A548" s="102" t="s">
        <v>977</v>
      </c>
      <c r="B548" s="102" t="s">
        <v>978</v>
      </c>
      <c r="C548" s="102" t="s">
        <v>56</v>
      </c>
      <c r="D548" s="99">
        <f>IF(OR(Clientes[[#This Row],[Columna1]]="Pago inmediato",Clientes[[#This Row],[Columna1]]=""),0,SUBSTITUTE(Clientes[[#This Row],[Columna1]]," días",""))</f>
        <v>0</v>
      </c>
      <c r="E548" s="34"/>
      <c r="F548"/>
      <c r="G548" s="77"/>
      <c r="I548"/>
      <c r="J548" s="34"/>
      <c r="K548"/>
    </row>
    <row r="549" spans="1:11">
      <c r="A549" s="102" t="s">
        <v>979</v>
      </c>
      <c r="B549" s="102" t="s">
        <v>980</v>
      </c>
      <c r="C549" s="102" t="s">
        <v>56</v>
      </c>
      <c r="D549" s="99">
        <f>IF(OR(Clientes[[#This Row],[Columna1]]="Pago inmediato",Clientes[[#This Row],[Columna1]]=""),0,SUBSTITUTE(Clientes[[#This Row],[Columna1]]," días",""))</f>
        <v>0</v>
      </c>
      <c r="E549" s="34"/>
      <c r="F549"/>
      <c r="G549" s="77"/>
      <c r="I549"/>
      <c r="J549" s="34"/>
      <c r="K549"/>
    </row>
    <row r="550" spans="1:11">
      <c r="A550" s="102" t="s">
        <v>981</v>
      </c>
      <c r="B550" s="102" t="s">
        <v>982</v>
      </c>
      <c r="C550" s="102" t="s">
        <v>486</v>
      </c>
      <c r="D550" s="99" t="str">
        <f>IF(OR(Clientes[[#This Row],[Columna1]]="Pago inmediato",Clientes[[#This Row],[Columna1]]=""),0,SUBSTITUTE(Clientes[[#This Row],[Columna1]]," días",""))</f>
        <v>30</v>
      </c>
      <c r="E550" s="34"/>
      <c r="F550"/>
      <c r="G550" s="77"/>
      <c r="I550"/>
      <c r="J550" s="34"/>
      <c r="K550"/>
    </row>
    <row r="551" ht="30" spans="1:11">
      <c r="A551" s="102" t="s">
        <v>983</v>
      </c>
      <c r="B551" s="102" t="s">
        <v>984</v>
      </c>
      <c r="C551" s="102" t="s">
        <v>56</v>
      </c>
      <c r="D551" s="99">
        <f>IF(OR(Clientes[[#This Row],[Columna1]]="Pago inmediato",Clientes[[#This Row],[Columna1]]=""),0,SUBSTITUTE(Clientes[[#This Row],[Columna1]]," días",""))</f>
        <v>0</v>
      </c>
      <c r="E551" s="34"/>
      <c r="F551"/>
      <c r="G551" s="77"/>
      <c r="I551"/>
      <c r="J551" s="34"/>
      <c r="K551"/>
    </row>
    <row r="552" ht="30" spans="1:11">
      <c r="A552" s="102" t="s">
        <v>985</v>
      </c>
      <c r="B552" s="102" t="s">
        <v>986</v>
      </c>
      <c r="C552" s="102" t="s">
        <v>56</v>
      </c>
      <c r="D552" s="99">
        <f>IF(OR(Clientes[[#This Row],[Columna1]]="Pago inmediato",Clientes[[#This Row],[Columna1]]=""),0,SUBSTITUTE(Clientes[[#This Row],[Columna1]]," días",""))</f>
        <v>0</v>
      </c>
      <c r="E552" s="34"/>
      <c r="F552"/>
      <c r="G552" s="77"/>
      <c r="I552"/>
      <c r="J552" s="34"/>
      <c r="K552"/>
    </row>
    <row r="553" ht="75" spans="1:11">
      <c r="A553" s="102" t="s">
        <v>987</v>
      </c>
      <c r="B553" s="102" t="s">
        <v>988</v>
      </c>
      <c r="C553" s="102" t="s">
        <v>61</v>
      </c>
      <c r="D553" s="99" t="str">
        <f>IF(OR(Clientes[[#This Row],[Columna1]]="Pago inmediato",Clientes[[#This Row],[Columna1]]=""),0,SUBSTITUTE(Clientes[[#This Row],[Columna1]]," días",""))</f>
        <v>15</v>
      </c>
      <c r="E553" s="34"/>
      <c r="F553"/>
      <c r="G553" s="77"/>
      <c r="I553"/>
      <c r="J553" s="34"/>
      <c r="K553"/>
    </row>
    <row r="554" ht="30" spans="1:11">
      <c r="A554" s="102" t="s">
        <v>989</v>
      </c>
      <c r="B554" s="102" t="s">
        <v>990</v>
      </c>
      <c r="C554" s="102" t="s">
        <v>56</v>
      </c>
      <c r="D554" s="99">
        <f>IF(OR(Clientes[[#This Row],[Columna1]]="Pago inmediato",Clientes[[#This Row],[Columna1]]=""),0,SUBSTITUTE(Clientes[[#This Row],[Columna1]]," días",""))</f>
        <v>0</v>
      </c>
      <c r="E554" s="34"/>
      <c r="F554"/>
      <c r="G554" s="77"/>
      <c r="I554"/>
      <c r="J554" s="34"/>
      <c r="K554"/>
    </row>
    <row r="555" ht="45" spans="1:11">
      <c r="A555" s="102" t="s">
        <v>989</v>
      </c>
      <c r="B555" s="102" t="s">
        <v>991</v>
      </c>
      <c r="C555" s="102" t="s">
        <v>56</v>
      </c>
      <c r="D555" s="99">
        <f>IF(OR(Clientes[[#This Row],[Columna1]]="Pago inmediato",Clientes[[#This Row],[Columna1]]=""),0,SUBSTITUTE(Clientes[[#This Row],[Columna1]]," días",""))</f>
        <v>0</v>
      </c>
      <c r="E555" s="34"/>
      <c r="F555"/>
      <c r="G555" s="77"/>
      <c r="I555"/>
      <c r="J555" s="34"/>
      <c r="K555"/>
    </row>
    <row r="556" ht="30" spans="1:11">
      <c r="A556" s="102" t="s">
        <v>992</v>
      </c>
      <c r="B556" s="102" t="s">
        <v>993</v>
      </c>
      <c r="C556" s="102" t="s">
        <v>56</v>
      </c>
      <c r="D556" s="99">
        <f>IF(OR(Clientes[[#This Row],[Columna1]]="Pago inmediato",Clientes[[#This Row],[Columna1]]=""),0,SUBSTITUTE(Clientes[[#This Row],[Columna1]]," días",""))</f>
        <v>0</v>
      </c>
      <c r="E556" s="34"/>
      <c r="F556"/>
      <c r="G556" s="77"/>
      <c r="I556"/>
      <c r="J556" s="34"/>
      <c r="K556"/>
    </row>
    <row r="557" ht="30" spans="1:11">
      <c r="A557" s="102" t="s">
        <v>994</v>
      </c>
      <c r="B557" s="102" t="s">
        <v>995</v>
      </c>
      <c r="C557" s="102" t="s">
        <v>56</v>
      </c>
      <c r="D557" s="99">
        <f>IF(OR(Clientes[[#This Row],[Columna1]]="Pago inmediato",Clientes[[#This Row],[Columna1]]=""),0,SUBSTITUTE(Clientes[[#This Row],[Columna1]]," días",""))</f>
        <v>0</v>
      </c>
      <c r="E557" s="34"/>
      <c r="F557"/>
      <c r="G557" s="77"/>
      <c r="I557"/>
      <c r="J557" s="34"/>
      <c r="K557"/>
    </row>
    <row r="558" ht="30" spans="1:11">
      <c r="A558" s="102" t="s">
        <v>996</v>
      </c>
      <c r="B558" s="102" t="s">
        <v>997</v>
      </c>
      <c r="C558" s="102" t="s">
        <v>61</v>
      </c>
      <c r="D558" s="99" t="str">
        <f>IF(OR(Clientes[[#This Row],[Columna1]]="Pago inmediato",Clientes[[#This Row],[Columna1]]=""),0,SUBSTITUTE(Clientes[[#This Row],[Columna1]]," días",""))</f>
        <v>15</v>
      </c>
      <c r="E558" s="34"/>
      <c r="F558"/>
      <c r="G558" s="77"/>
      <c r="I558"/>
      <c r="J558" s="34"/>
      <c r="K558"/>
    </row>
    <row r="559" ht="30" spans="1:11">
      <c r="A559" s="102" t="s">
        <v>998</v>
      </c>
      <c r="B559" s="102" t="s">
        <v>999</v>
      </c>
      <c r="C559" s="102" t="s">
        <v>61</v>
      </c>
      <c r="D559" s="99" t="str">
        <f>IF(OR(Clientes[[#This Row],[Columna1]]="Pago inmediato",Clientes[[#This Row],[Columna1]]=""),0,SUBSTITUTE(Clientes[[#This Row],[Columna1]]," días",""))</f>
        <v>15</v>
      </c>
      <c r="E559" s="34"/>
      <c r="F559"/>
      <c r="G559" s="77"/>
      <c r="I559"/>
      <c r="J559" s="34"/>
      <c r="K559"/>
    </row>
    <row r="560" ht="30" spans="1:11">
      <c r="A560" s="102" t="s">
        <v>1000</v>
      </c>
      <c r="B560" s="102" t="s">
        <v>1001</v>
      </c>
      <c r="C560" s="102" t="s">
        <v>56</v>
      </c>
      <c r="D560" s="99">
        <f>IF(OR(Clientes[[#This Row],[Columna1]]="Pago inmediato",Clientes[[#This Row],[Columna1]]=""),0,SUBSTITUTE(Clientes[[#This Row],[Columna1]]," días",""))</f>
        <v>0</v>
      </c>
      <c r="E560" s="34"/>
      <c r="F560"/>
      <c r="G560" s="77"/>
      <c r="I560"/>
      <c r="J560" s="34"/>
      <c r="K560"/>
    </row>
    <row r="561" ht="30" spans="1:11">
      <c r="A561" s="102" t="s">
        <v>1002</v>
      </c>
      <c r="B561" s="102" t="s">
        <v>1003</v>
      </c>
      <c r="C561" s="102" t="s">
        <v>56</v>
      </c>
      <c r="D561" s="99">
        <f>IF(OR(Clientes[[#This Row],[Columna1]]="Pago inmediato",Clientes[[#This Row],[Columna1]]=""),0,SUBSTITUTE(Clientes[[#This Row],[Columna1]]," días",""))</f>
        <v>0</v>
      </c>
      <c r="E561" s="34"/>
      <c r="F561"/>
      <c r="G561" s="77"/>
      <c r="I561"/>
      <c r="J561" s="34"/>
      <c r="K561"/>
    </row>
    <row r="562" ht="30" spans="1:11">
      <c r="A562" s="102" t="s">
        <v>1004</v>
      </c>
      <c r="B562" s="102" t="s">
        <v>1005</v>
      </c>
      <c r="C562" s="102" t="s">
        <v>56</v>
      </c>
      <c r="D562" s="99">
        <f>IF(OR(Clientes[[#This Row],[Columna1]]="Pago inmediato",Clientes[[#This Row],[Columna1]]=""),0,SUBSTITUTE(Clientes[[#This Row],[Columna1]]," días",""))</f>
        <v>0</v>
      </c>
      <c r="E562" s="34"/>
      <c r="F562"/>
      <c r="G562" s="77"/>
      <c r="I562"/>
      <c r="J562" s="34"/>
      <c r="K562"/>
    </row>
    <row r="563" ht="45" spans="1:11">
      <c r="A563" s="102" t="s">
        <v>1006</v>
      </c>
      <c r="B563" s="102" t="s">
        <v>1007</v>
      </c>
      <c r="C563" s="102" t="s">
        <v>56</v>
      </c>
      <c r="D563" s="99">
        <f>IF(OR(Clientes[[#This Row],[Columna1]]="Pago inmediato",Clientes[[#This Row],[Columna1]]=""),0,SUBSTITUTE(Clientes[[#This Row],[Columna1]]," días",""))</f>
        <v>0</v>
      </c>
      <c r="E563" s="34"/>
      <c r="F563"/>
      <c r="G563" s="77"/>
      <c r="I563"/>
      <c r="J563" s="34"/>
      <c r="K563"/>
    </row>
    <row r="564" ht="45" spans="1:11">
      <c r="A564" s="102" t="s">
        <v>1008</v>
      </c>
      <c r="B564" s="102" t="s">
        <v>1009</v>
      </c>
      <c r="C564" s="102" t="s">
        <v>61</v>
      </c>
      <c r="D564" s="99" t="str">
        <f>IF(OR(Clientes[[#This Row],[Columna1]]="Pago inmediato",Clientes[[#This Row],[Columna1]]=""),0,SUBSTITUTE(Clientes[[#This Row],[Columna1]]," días",""))</f>
        <v>15</v>
      </c>
      <c r="E564" s="34"/>
      <c r="F564"/>
      <c r="G564" s="77"/>
      <c r="I564"/>
      <c r="J564" s="34"/>
      <c r="K564"/>
    </row>
    <row r="565" ht="30" spans="1:11">
      <c r="A565" s="102" t="s">
        <v>1010</v>
      </c>
      <c r="B565" s="102" t="s">
        <v>1011</v>
      </c>
      <c r="C565" s="102" t="s">
        <v>282</v>
      </c>
      <c r="D565" s="99" t="str">
        <f>IF(OR(Clientes[[#This Row],[Columna1]]="Pago inmediato",Clientes[[#This Row],[Columna1]]=""),0,SUBSTITUTE(Clientes[[#This Row],[Columna1]]," días",""))</f>
        <v>10</v>
      </c>
      <c r="E565" s="34"/>
      <c r="F565"/>
      <c r="G565" s="77"/>
      <c r="I565"/>
      <c r="J565" s="34"/>
      <c r="K565"/>
    </row>
    <row r="566" ht="30" spans="1:11">
      <c r="A566" s="102" t="s">
        <v>1012</v>
      </c>
      <c r="B566" s="102" t="s">
        <v>1013</v>
      </c>
      <c r="C566" s="102" t="s">
        <v>56</v>
      </c>
      <c r="D566" s="99">
        <f>IF(OR(Clientes[[#This Row],[Columna1]]="Pago inmediato",Clientes[[#This Row],[Columna1]]=""),0,SUBSTITUTE(Clientes[[#This Row],[Columna1]]," días",""))</f>
        <v>0</v>
      </c>
      <c r="E566" s="34"/>
      <c r="F566"/>
      <c r="G566" s="77"/>
      <c r="I566"/>
      <c r="J566" s="34"/>
      <c r="K566"/>
    </row>
    <row r="567" ht="30" spans="1:11">
      <c r="A567" s="102" t="s">
        <v>1014</v>
      </c>
      <c r="B567" s="102" t="s">
        <v>1015</v>
      </c>
      <c r="C567" s="102" t="s">
        <v>56</v>
      </c>
      <c r="D567" s="99">
        <f>IF(OR(Clientes[[#This Row],[Columna1]]="Pago inmediato",Clientes[[#This Row],[Columna1]]=""),0,SUBSTITUTE(Clientes[[#This Row],[Columna1]]," días",""))</f>
        <v>0</v>
      </c>
      <c r="E567" s="34"/>
      <c r="F567"/>
      <c r="G567" s="77"/>
      <c r="I567"/>
      <c r="J567" s="34"/>
      <c r="K567"/>
    </row>
    <row r="568" ht="30" spans="1:11">
      <c r="A568" s="102" t="s">
        <v>1016</v>
      </c>
      <c r="B568" s="102" t="s">
        <v>1017</v>
      </c>
      <c r="C568" s="102" t="s">
        <v>56</v>
      </c>
      <c r="D568" s="99">
        <f>IF(OR(Clientes[[#This Row],[Columna1]]="Pago inmediato",Clientes[[#This Row],[Columna1]]=""),0,SUBSTITUTE(Clientes[[#This Row],[Columna1]]," días",""))</f>
        <v>0</v>
      </c>
      <c r="E568" s="34"/>
      <c r="F568"/>
      <c r="G568" s="77"/>
      <c r="I568"/>
      <c r="J568" s="34"/>
      <c r="K568"/>
    </row>
    <row r="569" ht="30" spans="1:11">
      <c r="A569" s="102" t="s">
        <v>1018</v>
      </c>
      <c r="B569" s="102" t="s">
        <v>1019</v>
      </c>
      <c r="C569" s="102" t="s">
        <v>56</v>
      </c>
      <c r="D569" s="99">
        <f>IF(OR(Clientes[[#This Row],[Columna1]]="Pago inmediato",Clientes[[#This Row],[Columna1]]=""),0,SUBSTITUTE(Clientes[[#This Row],[Columna1]]," días",""))</f>
        <v>0</v>
      </c>
      <c r="E569" s="34"/>
      <c r="F569"/>
      <c r="G569" s="77"/>
      <c r="I569"/>
      <c r="J569" s="34"/>
      <c r="K569"/>
    </row>
    <row r="570" ht="30" spans="1:11">
      <c r="A570" s="102" t="s">
        <v>1020</v>
      </c>
      <c r="B570" s="102" t="s">
        <v>1021</v>
      </c>
      <c r="C570" s="102" t="s">
        <v>56</v>
      </c>
      <c r="D570" s="99">
        <f>IF(OR(Clientes[[#This Row],[Columna1]]="Pago inmediato",Clientes[[#This Row],[Columna1]]=""),0,SUBSTITUTE(Clientes[[#This Row],[Columna1]]," días",""))</f>
        <v>0</v>
      </c>
      <c r="E570" s="34"/>
      <c r="F570"/>
      <c r="G570" s="77"/>
      <c r="I570"/>
      <c r="J570" s="34"/>
      <c r="K570"/>
    </row>
    <row r="571" ht="45" spans="1:11">
      <c r="A571" s="102" t="s">
        <v>1020</v>
      </c>
      <c r="B571" s="102" t="s">
        <v>1022</v>
      </c>
      <c r="C571" s="102" t="s">
        <v>56</v>
      </c>
      <c r="D571" s="99">
        <f>IF(OR(Clientes[[#This Row],[Columna1]]="Pago inmediato",Clientes[[#This Row],[Columna1]]=""),0,SUBSTITUTE(Clientes[[#This Row],[Columna1]]," días",""))</f>
        <v>0</v>
      </c>
      <c r="E571" s="34"/>
      <c r="F571"/>
      <c r="G571" s="77"/>
      <c r="I571"/>
      <c r="J571" s="34"/>
      <c r="K571"/>
    </row>
    <row r="572" ht="30" spans="1:11">
      <c r="A572" s="102" t="s">
        <v>1023</v>
      </c>
      <c r="B572" s="102" t="s">
        <v>1024</v>
      </c>
      <c r="C572" s="102" t="s">
        <v>61</v>
      </c>
      <c r="D572" s="99" t="str">
        <f>IF(OR(Clientes[[#This Row],[Columna1]]="Pago inmediato",Clientes[[#This Row],[Columna1]]=""),0,SUBSTITUTE(Clientes[[#This Row],[Columna1]]," días",""))</f>
        <v>15</v>
      </c>
      <c r="E572" s="34"/>
      <c r="F572"/>
      <c r="G572" s="77"/>
      <c r="I572"/>
      <c r="J572" s="34"/>
      <c r="K572"/>
    </row>
    <row r="573" ht="45" spans="1:11">
      <c r="A573" s="102" t="s">
        <v>1025</v>
      </c>
      <c r="B573" s="102" t="s">
        <v>1026</v>
      </c>
      <c r="C573" s="102" t="s">
        <v>56</v>
      </c>
      <c r="D573" s="99">
        <f>IF(OR(Clientes[[#This Row],[Columna1]]="Pago inmediato",Clientes[[#This Row],[Columna1]]=""),0,SUBSTITUTE(Clientes[[#This Row],[Columna1]]," días",""))</f>
        <v>0</v>
      </c>
      <c r="E573" s="34"/>
      <c r="F573"/>
      <c r="G573" s="77"/>
      <c r="I573"/>
      <c r="J573" s="34"/>
      <c r="K573"/>
    </row>
    <row r="574" ht="45" spans="1:11">
      <c r="A574" s="102" t="s">
        <v>1027</v>
      </c>
      <c r="B574" s="102" t="s">
        <v>1028</v>
      </c>
      <c r="C574" s="102" t="s">
        <v>56</v>
      </c>
      <c r="D574" s="99">
        <f>IF(OR(Clientes[[#This Row],[Columna1]]="Pago inmediato",Clientes[[#This Row],[Columna1]]=""),0,SUBSTITUTE(Clientes[[#This Row],[Columna1]]," días",""))</f>
        <v>0</v>
      </c>
      <c r="E574" s="34"/>
      <c r="F574"/>
      <c r="G574" s="77"/>
      <c r="I574"/>
      <c r="J574" s="34"/>
      <c r="K574"/>
    </row>
    <row r="575" ht="30" spans="1:11">
      <c r="A575" s="102" t="s">
        <v>1029</v>
      </c>
      <c r="B575" s="102" t="s">
        <v>1030</v>
      </c>
      <c r="C575" s="102" t="s">
        <v>56</v>
      </c>
      <c r="D575" s="99">
        <f>IF(OR(Clientes[[#This Row],[Columna1]]="Pago inmediato",Clientes[[#This Row],[Columna1]]=""),0,SUBSTITUTE(Clientes[[#This Row],[Columna1]]," días",""))</f>
        <v>0</v>
      </c>
      <c r="E575" s="34"/>
      <c r="F575"/>
      <c r="G575" s="77"/>
      <c r="I575"/>
      <c r="J575" s="34"/>
      <c r="K575"/>
    </row>
    <row r="576" ht="30" spans="1:11">
      <c r="A576" s="102" t="s">
        <v>1031</v>
      </c>
      <c r="B576" s="102" t="s">
        <v>1032</v>
      </c>
      <c r="C576" s="102" t="s">
        <v>56</v>
      </c>
      <c r="D576" s="99">
        <f>IF(OR(Clientes[[#This Row],[Columna1]]="Pago inmediato",Clientes[[#This Row],[Columna1]]=""),0,SUBSTITUTE(Clientes[[#This Row],[Columna1]]," días",""))</f>
        <v>0</v>
      </c>
      <c r="E576" s="34"/>
      <c r="F576"/>
      <c r="G576" s="77"/>
      <c r="I576"/>
      <c r="J576" s="34"/>
      <c r="K576"/>
    </row>
    <row r="577" ht="30" spans="1:11">
      <c r="A577" s="102" t="s">
        <v>1033</v>
      </c>
      <c r="B577" s="102" t="s">
        <v>1034</v>
      </c>
      <c r="C577" s="102" t="s">
        <v>56</v>
      </c>
      <c r="D577" s="99">
        <f>IF(OR(Clientes[[#This Row],[Columna1]]="Pago inmediato",Clientes[[#This Row],[Columna1]]=""),0,SUBSTITUTE(Clientes[[#This Row],[Columna1]]," días",""))</f>
        <v>0</v>
      </c>
      <c r="E577" s="34"/>
      <c r="F577"/>
      <c r="G577" s="77"/>
      <c r="I577"/>
      <c r="J577" s="34"/>
      <c r="K577"/>
    </row>
    <row r="578" ht="30" spans="1:11">
      <c r="A578" s="102" t="s">
        <v>1035</v>
      </c>
      <c r="B578" s="102" t="s">
        <v>1036</v>
      </c>
      <c r="C578" s="102" t="s">
        <v>56</v>
      </c>
      <c r="D578" s="99">
        <f>IF(OR(Clientes[[#This Row],[Columna1]]="Pago inmediato",Clientes[[#This Row],[Columna1]]=""),0,SUBSTITUTE(Clientes[[#This Row],[Columna1]]," días",""))</f>
        <v>0</v>
      </c>
      <c r="E578" s="34"/>
      <c r="F578"/>
      <c r="G578" s="77"/>
      <c r="I578"/>
      <c r="J578" s="34"/>
      <c r="K578"/>
    </row>
    <row r="579" ht="30" spans="1:11">
      <c r="A579" s="102" t="s">
        <v>1037</v>
      </c>
      <c r="B579" s="102" t="s">
        <v>1038</v>
      </c>
      <c r="C579" s="102" t="s">
        <v>56</v>
      </c>
      <c r="D579" s="99">
        <f>IF(OR(Clientes[[#This Row],[Columna1]]="Pago inmediato",Clientes[[#This Row],[Columna1]]=""),0,SUBSTITUTE(Clientes[[#This Row],[Columna1]]," días",""))</f>
        <v>0</v>
      </c>
      <c r="E579" s="34"/>
      <c r="F579"/>
      <c r="G579" s="77"/>
      <c r="I579"/>
      <c r="J579" s="34"/>
      <c r="K579"/>
    </row>
    <row r="580" ht="30" spans="1:11">
      <c r="A580" s="102" t="s">
        <v>1039</v>
      </c>
      <c r="B580" s="102" t="s">
        <v>1040</v>
      </c>
      <c r="C580" s="102" t="s">
        <v>56</v>
      </c>
      <c r="D580" s="99">
        <f>IF(OR(Clientes[[#This Row],[Columna1]]="Pago inmediato",Clientes[[#This Row],[Columna1]]=""),0,SUBSTITUTE(Clientes[[#This Row],[Columna1]]," días",""))</f>
        <v>0</v>
      </c>
      <c r="E580" s="34"/>
      <c r="F580"/>
      <c r="G580" s="77"/>
      <c r="I580"/>
      <c r="J580" s="34"/>
      <c r="K580"/>
    </row>
    <row r="581" ht="30" spans="1:11">
      <c r="A581" s="102" t="s">
        <v>1041</v>
      </c>
      <c r="B581" s="102" t="s">
        <v>1042</v>
      </c>
      <c r="C581" s="102" t="s">
        <v>56</v>
      </c>
      <c r="D581" s="99">
        <f>IF(OR(Clientes[[#This Row],[Columna1]]="Pago inmediato",Clientes[[#This Row],[Columna1]]=""),0,SUBSTITUTE(Clientes[[#This Row],[Columna1]]," días",""))</f>
        <v>0</v>
      </c>
      <c r="E581" s="34"/>
      <c r="F581"/>
      <c r="G581" s="77"/>
      <c r="I581"/>
      <c r="J581" s="34"/>
      <c r="K581"/>
    </row>
    <row r="582" ht="30" spans="1:11">
      <c r="A582" s="102" t="s">
        <v>1043</v>
      </c>
      <c r="B582" s="102" t="s">
        <v>1044</v>
      </c>
      <c r="C582" s="102" t="s">
        <v>56</v>
      </c>
      <c r="D582" s="99">
        <f>IF(OR(Clientes[[#This Row],[Columna1]]="Pago inmediato",Clientes[[#This Row],[Columna1]]=""),0,SUBSTITUTE(Clientes[[#This Row],[Columna1]]," días",""))</f>
        <v>0</v>
      </c>
      <c r="E582" s="34"/>
      <c r="F582"/>
      <c r="G582" s="77"/>
      <c r="I582"/>
      <c r="J582" s="34"/>
      <c r="K582"/>
    </row>
    <row r="583" ht="45" spans="1:11">
      <c r="A583" s="102" t="s">
        <v>1045</v>
      </c>
      <c r="B583" s="102" t="s">
        <v>1046</v>
      </c>
      <c r="C583" s="102" t="s">
        <v>56</v>
      </c>
      <c r="D583" s="99">
        <f>IF(OR(Clientes[[#This Row],[Columna1]]="Pago inmediato",Clientes[[#This Row],[Columna1]]=""),0,SUBSTITUTE(Clientes[[#This Row],[Columna1]]," días",""))</f>
        <v>0</v>
      </c>
      <c r="E583" s="34"/>
      <c r="F583"/>
      <c r="G583" s="77"/>
      <c r="I583"/>
      <c r="J583" s="34"/>
      <c r="K583"/>
    </row>
    <row r="584" ht="30" spans="1:11">
      <c r="A584" s="102" t="s">
        <v>1047</v>
      </c>
      <c r="B584" s="102" t="s">
        <v>1048</v>
      </c>
      <c r="C584" s="102" t="s">
        <v>56</v>
      </c>
      <c r="D584" s="99">
        <f>IF(OR(Clientes[[#This Row],[Columna1]]="Pago inmediato",Clientes[[#This Row],[Columna1]]=""),0,SUBSTITUTE(Clientes[[#This Row],[Columna1]]," días",""))</f>
        <v>0</v>
      </c>
      <c r="E584" s="34"/>
      <c r="F584"/>
      <c r="G584" s="77"/>
      <c r="I584"/>
      <c r="J584" s="34"/>
      <c r="K584"/>
    </row>
    <row r="585" ht="30" spans="1:11">
      <c r="A585" s="102" t="s">
        <v>1049</v>
      </c>
      <c r="B585" s="102" t="s">
        <v>1050</v>
      </c>
      <c r="C585" s="102" t="s">
        <v>56</v>
      </c>
      <c r="D585" s="99">
        <f>IF(OR(Clientes[[#This Row],[Columna1]]="Pago inmediato",Clientes[[#This Row],[Columna1]]=""),0,SUBSTITUTE(Clientes[[#This Row],[Columna1]]," días",""))</f>
        <v>0</v>
      </c>
      <c r="E585" s="34"/>
      <c r="F585"/>
      <c r="G585" s="77"/>
      <c r="I585"/>
      <c r="J585" s="34"/>
      <c r="K585"/>
    </row>
    <row r="586" ht="45" spans="1:11">
      <c r="A586" s="102" t="s">
        <v>1051</v>
      </c>
      <c r="B586" s="102" t="s">
        <v>1052</v>
      </c>
      <c r="C586" s="102" t="s">
        <v>56</v>
      </c>
      <c r="D586" s="99">
        <f>IF(OR(Clientes[[#This Row],[Columna1]]="Pago inmediato",Clientes[[#This Row],[Columna1]]=""),0,SUBSTITUTE(Clientes[[#This Row],[Columna1]]," días",""))</f>
        <v>0</v>
      </c>
      <c r="E586" s="34"/>
      <c r="F586"/>
      <c r="G586" s="77"/>
      <c r="I586"/>
      <c r="J586" s="34"/>
      <c r="K586"/>
    </row>
    <row r="587" ht="30" spans="1:11">
      <c r="A587" s="102" t="s">
        <v>1053</v>
      </c>
      <c r="B587" s="102" t="s">
        <v>1054</v>
      </c>
      <c r="C587" s="102" t="s">
        <v>56</v>
      </c>
      <c r="D587" s="99">
        <f>IF(OR(Clientes[[#This Row],[Columna1]]="Pago inmediato",Clientes[[#This Row],[Columna1]]=""),0,SUBSTITUTE(Clientes[[#This Row],[Columna1]]," días",""))</f>
        <v>0</v>
      </c>
      <c r="E587" s="34"/>
      <c r="F587"/>
      <c r="G587" s="77"/>
      <c r="I587"/>
      <c r="J587" s="34"/>
      <c r="K587"/>
    </row>
    <row r="588" ht="30" spans="1:11">
      <c r="A588" s="102" t="s">
        <v>1055</v>
      </c>
      <c r="B588" s="102" t="s">
        <v>1056</v>
      </c>
      <c r="C588" s="102" t="s">
        <v>465</v>
      </c>
      <c r="D588" s="99" t="str">
        <f>IF(OR(Clientes[[#This Row],[Columna1]]="Pago inmediato",Clientes[[#This Row],[Columna1]]=""),0,SUBSTITUTE(Clientes[[#This Row],[Columna1]]," días",""))</f>
        <v>3</v>
      </c>
      <c r="E588" s="34"/>
      <c r="F588"/>
      <c r="G588" s="77"/>
      <c r="I588"/>
      <c r="J588" s="34"/>
      <c r="K588"/>
    </row>
    <row r="589" ht="30" spans="1:11">
      <c r="A589" s="102" t="s">
        <v>1057</v>
      </c>
      <c r="B589" s="102" t="s">
        <v>1058</v>
      </c>
      <c r="C589" s="102" t="s">
        <v>56</v>
      </c>
      <c r="D589" s="99">
        <f>IF(OR(Clientes[[#This Row],[Columna1]]="Pago inmediato",Clientes[[#This Row],[Columna1]]=""),0,SUBSTITUTE(Clientes[[#This Row],[Columna1]]," días",""))</f>
        <v>0</v>
      </c>
      <c r="E589" s="34"/>
      <c r="F589"/>
      <c r="G589" s="77"/>
      <c r="I589"/>
      <c r="J589" s="34"/>
      <c r="K589"/>
    </row>
    <row r="590" ht="30" spans="1:11">
      <c r="A590" s="102" t="s">
        <v>1059</v>
      </c>
      <c r="B590" s="102" t="s">
        <v>1060</v>
      </c>
      <c r="C590" s="102" t="s">
        <v>56</v>
      </c>
      <c r="D590" s="99">
        <f>IF(OR(Clientes[[#This Row],[Columna1]]="Pago inmediato",Clientes[[#This Row],[Columna1]]=""),0,SUBSTITUTE(Clientes[[#This Row],[Columna1]]," días",""))</f>
        <v>0</v>
      </c>
      <c r="E590" s="34"/>
      <c r="F590"/>
      <c r="G590" s="77"/>
      <c r="I590"/>
      <c r="J590" s="34"/>
      <c r="K590"/>
    </row>
    <row r="591" ht="30" spans="1:11">
      <c r="A591" s="102" t="s">
        <v>1061</v>
      </c>
      <c r="B591" s="102" t="s">
        <v>1062</v>
      </c>
      <c r="C591" s="102" t="s">
        <v>56</v>
      </c>
      <c r="D591" s="99">
        <f>IF(OR(Clientes[[#This Row],[Columna1]]="Pago inmediato",Clientes[[#This Row],[Columna1]]=""),0,SUBSTITUTE(Clientes[[#This Row],[Columna1]]," días",""))</f>
        <v>0</v>
      </c>
      <c r="E591" s="34"/>
      <c r="F591"/>
      <c r="G591" s="77"/>
      <c r="I591"/>
      <c r="J591" s="34"/>
      <c r="K591"/>
    </row>
    <row r="592" ht="30" spans="1:11">
      <c r="A592" s="102" t="s">
        <v>1063</v>
      </c>
      <c r="B592" s="102" t="s">
        <v>1064</v>
      </c>
      <c r="C592" s="102" t="s">
        <v>56</v>
      </c>
      <c r="D592" s="99">
        <f>IF(OR(Clientes[[#This Row],[Columna1]]="Pago inmediato",Clientes[[#This Row],[Columna1]]=""),0,SUBSTITUTE(Clientes[[#This Row],[Columna1]]," días",""))</f>
        <v>0</v>
      </c>
      <c r="E592" s="34"/>
      <c r="F592"/>
      <c r="G592" s="77"/>
      <c r="I592"/>
      <c r="J592" s="34"/>
      <c r="K592"/>
    </row>
    <row r="593" ht="30" spans="1:11">
      <c r="A593" s="102" t="s">
        <v>1065</v>
      </c>
      <c r="B593" s="102" t="s">
        <v>1066</v>
      </c>
      <c r="C593" s="102" t="s">
        <v>56</v>
      </c>
      <c r="D593" s="99">
        <f>IF(OR(Clientes[[#This Row],[Columna1]]="Pago inmediato",Clientes[[#This Row],[Columna1]]=""),0,SUBSTITUTE(Clientes[[#This Row],[Columna1]]," días",""))</f>
        <v>0</v>
      </c>
      <c r="E593" s="34"/>
      <c r="F593"/>
      <c r="G593" s="77"/>
      <c r="I593"/>
      <c r="J593" s="34"/>
      <c r="K593"/>
    </row>
    <row r="594" ht="30" spans="1:11">
      <c r="A594" s="102" t="s">
        <v>1067</v>
      </c>
      <c r="B594" s="102" t="s">
        <v>1068</v>
      </c>
      <c r="C594" s="102" t="s">
        <v>56</v>
      </c>
      <c r="D594" s="99">
        <f>IF(OR(Clientes[[#This Row],[Columna1]]="Pago inmediato",Clientes[[#This Row],[Columna1]]=""),0,SUBSTITUTE(Clientes[[#This Row],[Columna1]]," días",""))</f>
        <v>0</v>
      </c>
      <c r="E594" s="34"/>
      <c r="F594"/>
      <c r="G594" s="77"/>
      <c r="I594"/>
      <c r="J594" s="34"/>
      <c r="K594"/>
    </row>
    <row r="595" ht="60" spans="1:11">
      <c r="A595" s="102" t="s">
        <v>1069</v>
      </c>
      <c r="B595" s="102" t="s">
        <v>1070</v>
      </c>
      <c r="C595" s="102" t="s">
        <v>56</v>
      </c>
      <c r="D595" s="99">
        <f>IF(OR(Clientes[[#This Row],[Columna1]]="Pago inmediato",Clientes[[#This Row],[Columna1]]=""),0,SUBSTITUTE(Clientes[[#This Row],[Columna1]]," días",""))</f>
        <v>0</v>
      </c>
      <c r="E595" s="34"/>
      <c r="F595"/>
      <c r="G595" s="77"/>
      <c r="I595"/>
      <c r="J595" s="34"/>
      <c r="K595"/>
    </row>
    <row r="596" ht="45" spans="1:11">
      <c r="A596" s="102" t="s">
        <v>1071</v>
      </c>
      <c r="B596" s="102" t="s">
        <v>1072</v>
      </c>
      <c r="C596" s="102" t="s">
        <v>56</v>
      </c>
      <c r="D596" s="99">
        <f>IF(OR(Clientes[[#This Row],[Columna1]]="Pago inmediato",Clientes[[#This Row],[Columna1]]=""),0,SUBSTITUTE(Clientes[[#This Row],[Columna1]]," días",""))</f>
        <v>0</v>
      </c>
      <c r="E596" s="34"/>
      <c r="F596"/>
      <c r="G596" s="77"/>
      <c r="I596"/>
      <c r="J596" s="34"/>
      <c r="K596"/>
    </row>
    <row r="597" ht="30" spans="1:11">
      <c r="A597" s="102" t="s">
        <v>1073</v>
      </c>
      <c r="B597" s="102" t="s">
        <v>1074</v>
      </c>
      <c r="C597" s="102" t="s">
        <v>56</v>
      </c>
      <c r="D597" s="99">
        <f>IF(OR(Clientes[[#This Row],[Columna1]]="Pago inmediato",Clientes[[#This Row],[Columna1]]=""),0,SUBSTITUTE(Clientes[[#This Row],[Columna1]]," días",""))</f>
        <v>0</v>
      </c>
      <c r="E597" s="34"/>
      <c r="F597"/>
      <c r="G597" s="77"/>
      <c r="I597"/>
      <c r="J597" s="34"/>
      <c r="K597"/>
    </row>
    <row r="598" ht="30" spans="1:11">
      <c r="A598" s="102" t="s">
        <v>1075</v>
      </c>
      <c r="B598" s="102" t="s">
        <v>1076</v>
      </c>
      <c r="C598" s="102" t="s">
        <v>56</v>
      </c>
      <c r="D598" s="99">
        <f>IF(OR(Clientes[[#This Row],[Columna1]]="Pago inmediato",Clientes[[#This Row],[Columna1]]=""),0,SUBSTITUTE(Clientes[[#This Row],[Columna1]]," días",""))</f>
        <v>0</v>
      </c>
      <c r="E598" s="34"/>
      <c r="F598"/>
      <c r="G598" s="77"/>
      <c r="I598"/>
      <c r="J598" s="34"/>
      <c r="K598"/>
    </row>
    <row r="599" ht="30" spans="1:11">
      <c r="A599" s="102" t="s">
        <v>1077</v>
      </c>
      <c r="B599" s="102" t="s">
        <v>1078</v>
      </c>
      <c r="C599" s="102" t="s">
        <v>56</v>
      </c>
      <c r="D599" s="99">
        <f>IF(OR(Clientes[[#This Row],[Columna1]]="Pago inmediato",Clientes[[#This Row],[Columna1]]=""),0,SUBSTITUTE(Clientes[[#This Row],[Columna1]]," días",""))</f>
        <v>0</v>
      </c>
      <c r="E599" s="34"/>
      <c r="F599"/>
      <c r="G599" s="77"/>
      <c r="I599"/>
      <c r="J599" s="34"/>
      <c r="K599"/>
    </row>
    <row r="600" ht="30" spans="1:11">
      <c r="A600" s="102" t="s">
        <v>1079</v>
      </c>
      <c r="B600" s="102" t="s">
        <v>1080</v>
      </c>
      <c r="C600" s="102" t="s">
        <v>56</v>
      </c>
      <c r="D600" s="99">
        <f>IF(OR(Clientes[[#This Row],[Columna1]]="Pago inmediato",Clientes[[#This Row],[Columna1]]=""),0,SUBSTITUTE(Clientes[[#This Row],[Columna1]]," días",""))</f>
        <v>0</v>
      </c>
      <c r="E600" s="34"/>
      <c r="F600"/>
      <c r="G600" s="77"/>
      <c r="I600"/>
      <c r="J600" s="34"/>
      <c r="K600"/>
    </row>
    <row r="601" ht="30" spans="1:11">
      <c r="A601" s="102" t="s">
        <v>1081</v>
      </c>
      <c r="B601" s="102" t="s">
        <v>1082</v>
      </c>
      <c r="C601" s="102" t="s">
        <v>56</v>
      </c>
      <c r="D601" s="99">
        <f>IF(OR(Clientes[[#This Row],[Columna1]]="Pago inmediato",Clientes[[#This Row],[Columna1]]=""),0,SUBSTITUTE(Clientes[[#This Row],[Columna1]]," días",""))</f>
        <v>0</v>
      </c>
      <c r="E601" s="34"/>
      <c r="F601"/>
      <c r="G601" s="77"/>
      <c r="I601"/>
      <c r="J601" s="34"/>
      <c r="K601"/>
    </row>
    <row r="602" ht="60" spans="1:11">
      <c r="A602" s="102" t="s">
        <v>1083</v>
      </c>
      <c r="B602" s="102" t="s">
        <v>1084</v>
      </c>
      <c r="C602" s="102" t="s">
        <v>56</v>
      </c>
      <c r="D602" s="99">
        <f>IF(OR(Clientes[[#This Row],[Columna1]]="Pago inmediato",Clientes[[#This Row],[Columna1]]=""),0,SUBSTITUTE(Clientes[[#This Row],[Columna1]]," días",""))</f>
        <v>0</v>
      </c>
      <c r="E602" s="34"/>
      <c r="F602"/>
      <c r="G602" s="77"/>
      <c r="I602"/>
      <c r="J602" s="34"/>
      <c r="K602"/>
    </row>
    <row r="603" ht="30" spans="1:11">
      <c r="A603" s="102" t="s">
        <v>1085</v>
      </c>
      <c r="B603" s="102" t="s">
        <v>1086</v>
      </c>
      <c r="C603" s="102" t="s">
        <v>56</v>
      </c>
      <c r="D603" s="99">
        <f>IF(OR(Clientes[[#This Row],[Columna1]]="Pago inmediato",Clientes[[#This Row],[Columna1]]=""),0,SUBSTITUTE(Clientes[[#This Row],[Columna1]]," días",""))</f>
        <v>0</v>
      </c>
      <c r="E603" s="34"/>
      <c r="F603"/>
      <c r="G603" s="77"/>
      <c r="I603"/>
      <c r="J603" s="34"/>
      <c r="K603"/>
    </row>
    <row r="604" ht="30" spans="1:11">
      <c r="A604" s="102" t="s">
        <v>1087</v>
      </c>
      <c r="B604" s="102" t="s">
        <v>1088</v>
      </c>
      <c r="C604" s="102" t="s">
        <v>56</v>
      </c>
      <c r="D604" s="99">
        <f>IF(OR(Clientes[[#This Row],[Columna1]]="Pago inmediato",Clientes[[#This Row],[Columna1]]=""),0,SUBSTITUTE(Clientes[[#This Row],[Columna1]]," días",""))</f>
        <v>0</v>
      </c>
      <c r="E604" s="34"/>
      <c r="F604"/>
      <c r="G604" s="77"/>
      <c r="I604"/>
      <c r="J604" s="34"/>
      <c r="K604"/>
    </row>
    <row r="605" ht="30" spans="1:11">
      <c r="A605" s="102" t="s">
        <v>1089</v>
      </c>
      <c r="B605" s="102" t="s">
        <v>1090</v>
      </c>
      <c r="C605" s="102" t="s">
        <v>56</v>
      </c>
      <c r="D605" s="99">
        <f>IF(OR(Clientes[[#This Row],[Columna1]]="Pago inmediato",Clientes[[#This Row],[Columna1]]=""),0,SUBSTITUTE(Clientes[[#This Row],[Columna1]]," días",""))</f>
        <v>0</v>
      </c>
      <c r="E605" s="34"/>
      <c r="F605"/>
      <c r="G605" s="77"/>
      <c r="I605"/>
      <c r="J605" s="34"/>
      <c r="K605"/>
    </row>
    <row r="606" ht="30" spans="1:11">
      <c r="A606" s="102" t="s">
        <v>1091</v>
      </c>
      <c r="B606" s="102" t="s">
        <v>1092</v>
      </c>
      <c r="C606" s="102" t="s">
        <v>56</v>
      </c>
      <c r="D606" s="99">
        <f>IF(OR(Clientes[[#This Row],[Columna1]]="Pago inmediato",Clientes[[#This Row],[Columna1]]=""),0,SUBSTITUTE(Clientes[[#This Row],[Columna1]]," días",""))</f>
        <v>0</v>
      </c>
      <c r="E606" s="34"/>
      <c r="F606"/>
      <c r="G606" s="77"/>
      <c r="I606"/>
      <c r="J606" s="34"/>
      <c r="K606"/>
    </row>
    <row r="607" spans="1:11">
      <c r="A607" s="102" t="s">
        <v>1093</v>
      </c>
      <c r="B607" s="102" t="s">
        <v>1094</v>
      </c>
      <c r="C607" s="102" t="s">
        <v>56</v>
      </c>
      <c r="D607" s="99">
        <f>IF(OR(Clientes[[#This Row],[Columna1]]="Pago inmediato",Clientes[[#This Row],[Columna1]]=""),0,SUBSTITUTE(Clientes[[#This Row],[Columna1]]," días",""))</f>
        <v>0</v>
      </c>
      <c r="E607" s="34"/>
      <c r="F607"/>
      <c r="G607" s="77"/>
      <c r="I607"/>
      <c r="J607" s="34"/>
      <c r="K607"/>
    </row>
    <row r="608" spans="1:11">
      <c r="A608" s="102" t="s">
        <v>1095</v>
      </c>
      <c r="B608" s="102" t="s">
        <v>1096</v>
      </c>
      <c r="C608" s="102" t="s">
        <v>56</v>
      </c>
      <c r="D608" s="99">
        <f>IF(OR(Clientes[[#This Row],[Columna1]]="Pago inmediato",Clientes[[#This Row],[Columna1]]=""),0,SUBSTITUTE(Clientes[[#This Row],[Columna1]]," días",""))</f>
        <v>0</v>
      </c>
      <c r="E608" s="34"/>
      <c r="F608"/>
      <c r="G608" s="77"/>
      <c r="I608"/>
      <c r="J608" s="34"/>
      <c r="K608"/>
    </row>
    <row r="609" ht="30" spans="1:11">
      <c r="A609" s="102" t="s">
        <v>1095</v>
      </c>
      <c r="B609" s="102" t="s">
        <v>1097</v>
      </c>
      <c r="C609" s="102" t="s">
        <v>56</v>
      </c>
      <c r="D609" s="99">
        <f>IF(OR(Clientes[[#This Row],[Columna1]]="Pago inmediato",Clientes[[#This Row],[Columna1]]=""),0,SUBSTITUTE(Clientes[[#This Row],[Columna1]]," días",""))</f>
        <v>0</v>
      </c>
      <c r="E609" s="34"/>
      <c r="F609"/>
      <c r="G609" s="77"/>
      <c r="I609"/>
      <c r="J609" s="34"/>
      <c r="K609"/>
    </row>
    <row r="610" ht="30" spans="1:11">
      <c r="A610" s="102" t="s">
        <v>1098</v>
      </c>
      <c r="B610" s="102" t="s">
        <v>1099</v>
      </c>
      <c r="C610" s="102" t="s">
        <v>56</v>
      </c>
      <c r="D610" s="99">
        <f>IF(OR(Clientes[[#This Row],[Columna1]]="Pago inmediato",Clientes[[#This Row],[Columna1]]=""),0,SUBSTITUTE(Clientes[[#This Row],[Columna1]]," días",""))</f>
        <v>0</v>
      </c>
      <c r="E610" s="34"/>
      <c r="F610"/>
      <c r="G610" s="77"/>
      <c r="I610"/>
      <c r="J610" s="34"/>
      <c r="K610"/>
    </row>
    <row r="611" ht="30" spans="1:11">
      <c r="A611" s="102" t="s">
        <v>1100</v>
      </c>
      <c r="B611" s="102" t="s">
        <v>1101</v>
      </c>
      <c r="C611" s="102" t="s">
        <v>56</v>
      </c>
      <c r="D611" s="99">
        <f>IF(OR(Clientes[[#This Row],[Columna1]]="Pago inmediato",Clientes[[#This Row],[Columna1]]=""),0,SUBSTITUTE(Clientes[[#This Row],[Columna1]]," días",""))</f>
        <v>0</v>
      </c>
      <c r="E611" s="34"/>
      <c r="F611"/>
      <c r="G611" s="77"/>
      <c r="I611"/>
      <c r="J611" s="34"/>
      <c r="K611"/>
    </row>
    <row r="612" ht="30" spans="1:11">
      <c r="A612" s="102" t="s">
        <v>1102</v>
      </c>
      <c r="B612" s="102" t="s">
        <v>1103</v>
      </c>
      <c r="C612" s="102" t="s">
        <v>56</v>
      </c>
      <c r="D612" s="99">
        <f>IF(OR(Clientes[[#This Row],[Columna1]]="Pago inmediato",Clientes[[#This Row],[Columna1]]=""),0,SUBSTITUTE(Clientes[[#This Row],[Columna1]]," días",""))</f>
        <v>0</v>
      </c>
      <c r="E612" s="34"/>
      <c r="F612"/>
      <c r="G612" s="77"/>
      <c r="I612"/>
      <c r="J612" s="34"/>
      <c r="K612"/>
    </row>
    <row r="613" ht="60" spans="1:11">
      <c r="A613" s="102" t="s">
        <v>1104</v>
      </c>
      <c r="B613" s="102" t="s">
        <v>1105</v>
      </c>
      <c r="C613" s="102" t="s">
        <v>56</v>
      </c>
      <c r="D613" s="99">
        <f>IF(OR(Clientes[[#This Row],[Columna1]]="Pago inmediato",Clientes[[#This Row],[Columna1]]=""),0,SUBSTITUTE(Clientes[[#This Row],[Columna1]]," días",""))</f>
        <v>0</v>
      </c>
      <c r="E613" s="34"/>
      <c r="F613"/>
      <c r="G613" s="77"/>
      <c r="I613"/>
      <c r="J613" s="34"/>
      <c r="K613"/>
    </row>
    <row r="614" ht="45" spans="1:11">
      <c r="A614" s="102" t="s">
        <v>1106</v>
      </c>
      <c r="B614" s="102" t="s">
        <v>1107</v>
      </c>
      <c r="C614" s="102" t="s">
        <v>56</v>
      </c>
      <c r="D614" s="99">
        <f>IF(OR(Clientes[[#This Row],[Columna1]]="Pago inmediato",Clientes[[#This Row],[Columna1]]=""),0,SUBSTITUTE(Clientes[[#This Row],[Columna1]]," días",""))</f>
        <v>0</v>
      </c>
      <c r="E614" s="34"/>
      <c r="F614"/>
      <c r="G614" s="77"/>
      <c r="I614"/>
      <c r="J614" s="34"/>
      <c r="K614"/>
    </row>
    <row r="615" spans="1:11">
      <c r="A615" s="102" t="s">
        <v>1108</v>
      </c>
      <c r="B615" s="102" t="s">
        <v>1109</v>
      </c>
      <c r="C615" s="102" t="s">
        <v>56</v>
      </c>
      <c r="D615" s="99">
        <f>IF(OR(Clientes[[#This Row],[Columna1]]="Pago inmediato",Clientes[[#This Row],[Columna1]]=""),0,SUBSTITUTE(Clientes[[#This Row],[Columna1]]," días",""))</f>
        <v>0</v>
      </c>
      <c r="E615" s="34"/>
      <c r="F615"/>
      <c r="G615" s="77"/>
      <c r="I615"/>
      <c r="J615" s="34"/>
      <c r="K615"/>
    </row>
    <row r="616" spans="1:11">
      <c r="A616" s="102" t="s">
        <v>1110</v>
      </c>
      <c r="B616" s="102" t="s">
        <v>1111</v>
      </c>
      <c r="C616" s="102" t="s">
        <v>56</v>
      </c>
      <c r="D616" s="99">
        <f>IF(OR(Clientes[[#This Row],[Columna1]]="Pago inmediato",Clientes[[#This Row],[Columna1]]=""),0,SUBSTITUTE(Clientes[[#This Row],[Columna1]]," días",""))</f>
        <v>0</v>
      </c>
      <c r="E616" s="34"/>
      <c r="F616"/>
      <c r="G616" s="77"/>
      <c r="I616"/>
      <c r="J616" s="34"/>
      <c r="K616"/>
    </row>
    <row r="617" spans="1:11">
      <c r="A617" s="102" t="s">
        <v>1112</v>
      </c>
      <c r="B617" s="102" t="s">
        <v>1113</v>
      </c>
      <c r="C617" s="102" t="s">
        <v>56</v>
      </c>
      <c r="D617" s="99">
        <f>IF(OR(Clientes[[#This Row],[Columna1]]="Pago inmediato",Clientes[[#This Row],[Columna1]]=""),0,SUBSTITUTE(Clientes[[#This Row],[Columna1]]," días",""))</f>
        <v>0</v>
      </c>
      <c r="E617" s="34"/>
      <c r="F617"/>
      <c r="G617" s="77"/>
      <c r="I617"/>
      <c r="J617" s="34"/>
      <c r="K617"/>
    </row>
    <row r="618" spans="1:11">
      <c r="A618" s="102" t="s">
        <v>1114</v>
      </c>
      <c r="B618" s="102" t="s">
        <v>1115</v>
      </c>
      <c r="C618" s="102" t="s">
        <v>56</v>
      </c>
      <c r="D618" s="99">
        <f>IF(OR(Clientes[[#This Row],[Columna1]]="Pago inmediato",Clientes[[#This Row],[Columna1]]=""),0,SUBSTITUTE(Clientes[[#This Row],[Columna1]]," días",""))</f>
        <v>0</v>
      </c>
      <c r="E618" s="34"/>
      <c r="F618"/>
      <c r="G618" s="77"/>
      <c r="I618"/>
      <c r="J618" s="34"/>
      <c r="K618"/>
    </row>
    <row r="619" ht="30" spans="1:11">
      <c r="A619" s="102" t="s">
        <v>1114</v>
      </c>
      <c r="B619" s="102" t="s">
        <v>1116</v>
      </c>
      <c r="C619" s="102" t="s">
        <v>56</v>
      </c>
      <c r="D619" s="99">
        <f>IF(OR(Clientes[[#This Row],[Columna1]]="Pago inmediato",Clientes[[#This Row],[Columna1]]=""),0,SUBSTITUTE(Clientes[[#This Row],[Columna1]]," días",""))</f>
        <v>0</v>
      </c>
      <c r="E619" s="34"/>
      <c r="F619"/>
      <c r="G619" s="77"/>
      <c r="I619"/>
      <c r="J619" s="34"/>
      <c r="K619"/>
    </row>
    <row r="620" spans="1:11">
      <c r="A620" s="102" t="s">
        <v>1117</v>
      </c>
      <c r="B620" s="102" t="s">
        <v>1118</v>
      </c>
      <c r="C620" s="102" t="s">
        <v>56</v>
      </c>
      <c r="D620" s="99">
        <f>IF(OR(Clientes[[#This Row],[Columna1]]="Pago inmediato",Clientes[[#This Row],[Columna1]]=""),0,SUBSTITUTE(Clientes[[#This Row],[Columna1]]," días",""))</f>
        <v>0</v>
      </c>
      <c r="E620" s="34"/>
      <c r="F620"/>
      <c r="G620" s="77"/>
      <c r="I620"/>
      <c r="J620" s="34"/>
      <c r="K620"/>
    </row>
    <row r="621" ht="30" spans="1:11">
      <c r="A621" s="102" t="s">
        <v>1119</v>
      </c>
      <c r="B621" s="102" t="s">
        <v>1120</v>
      </c>
      <c r="C621" s="102" t="s">
        <v>56</v>
      </c>
      <c r="D621" s="99">
        <f>IF(OR(Clientes[[#This Row],[Columna1]]="Pago inmediato",Clientes[[#This Row],[Columna1]]=""),0,SUBSTITUTE(Clientes[[#This Row],[Columna1]]," días",""))</f>
        <v>0</v>
      </c>
      <c r="E621" s="34"/>
      <c r="F621"/>
      <c r="G621" s="77"/>
      <c r="I621"/>
      <c r="J621" s="34"/>
      <c r="K621"/>
    </row>
    <row r="622" ht="30" spans="1:11">
      <c r="A622" s="102" t="s">
        <v>1121</v>
      </c>
      <c r="B622" s="102" t="s">
        <v>1122</v>
      </c>
      <c r="C622" s="102" t="s">
        <v>56</v>
      </c>
      <c r="D622" s="99">
        <f>IF(OR(Clientes[[#This Row],[Columna1]]="Pago inmediato",Clientes[[#This Row],[Columna1]]=""),0,SUBSTITUTE(Clientes[[#This Row],[Columna1]]," días",""))</f>
        <v>0</v>
      </c>
      <c r="E622" s="34"/>
      <c r="F622"/>
      <c r="G622" s="77"/>
      <c r="I622"/>
      <c r="J622" s="34"/>
      <c r="K622"/>
    </row>
    <row r="623" ht="30" spans="1:11">
      <c r="A623" s="102" t="s">
        <v>1123</v>
      </c>
      <c r="B623" s="102" t="s">
        <v>1124</v>
      </c>
      <c r="C623" s="102" t="s">
        <v>56</v>
      </c>
      <c r="D623" s="99">
        <f>IF(OR(Clientes[[#This Row],[Columna1]]="Pago inmediato",Clientes[[#This Row],[Columna1]]=""),0,SUBSTITUTE(Clientes[[#This Row],[Columna1]]," días",""))</f>
        <v>0</v>
      </c>
      <c r="E623" s="34"/>
      <c r="F623"/>
      <c r="G623" s="77"/>
      <c r="I623"/>
      <c r="J623" s="34"/>
      <c r="K623"/>
    </row>
    <row r="624" ht="30" spans="1:11">
      <c r="A624" s="102" t="s">
        <v>1125</v>
      </c>
      <c r="B624" s="102" t="s">
        <v>1126</v>
      </c>
      <c r="C624" s="102" t="s">
        <v>56</v>
      </c>
      <c r="D624" s="99">
        <f>IF(OR(Clientes[[#This Row],[Columna1]]="Pago inmediato",Clientes[[#This Row],[Columna1]]=""),0,SUBSTITUTE(Clientes[[#This Row],[Columna1]]," días",""))</f>
        <v>0</v>
      </c>
      <c r="E624" s="34"/>
      <c r="F624"/>
      <c r="G624" s="77"/>
      <c r="I624"/>
      <c r="J624" s="34"/>
      <c r="K624"/>
    </row>
    <row r="625" spans="1:11">
      <c r="A625" s="102"/>
      <c r="B625" s="102" t="s">
        <v>1127</v>
      </c>
      <c r="C625" s="102"/>
      <c r="D625" s="99">
        <f>IF(OR(Clientes[[#This Row],[Columna1]]="Pago inmediato",Clientes[[#This Row],[Columna1]]=""),0,SUBSTITUTE(Clientes[[#This Row],[Columna1]]," días",""))</f>
        <v>0</v>
      </c>
      <c r="E625" s="34"/>
      <c r="F625"/>
      <c r="G625" s="77"/>
      <c r="I625"/>
      <c r="J625" s="34"/>
      <c r="K625"/>
    </row>
    <row r="626" spans="1:11">
      <c r="A626" s="102" t="s">
        <v>1128</v>
      </c>
      <c r="B626" s="102" t="s">
        <v>1129</v>
      </c>
      <c r="C626" s="102"/>
      <c r="D626" s="99">
        <f>IF(OR(Clientes[[#This Row],[Columna1]]="Pago inmediato",Clientes[[#This Row],[Columna1]]=""),0,SUBSTITUTE(Clientes[[#This Row],[Columna1]]," días",""))</f>
        <v>0</v>
      </c>
      <c r="E626" s="34"/>
      <c r="F626"/>
      <c r="G626" s="77"/>
      <c r="I626"/>
      <c r="J626" s="34"/>
      <c r="K626"/>
    </row>
    <row r="627" spans="1:11">
      <c r="A627" s="102"/>
      <c r="B627" s="102" t="s">
        <v>1130</v>
      </c>
      <c r="C627" s="102"/>
      <c r="D627" s="99">
        <f>IF(OR(Clientes[[#This Row],[Columna1]]="Pago inmediato",Clientes[[#This Row],[Columna1]]=""),0,SUBSTITUTE(Clientes[[#This Row],[Columna1]]," días",""))</f>
        <v>0</v>
      </c>
      <c r="E627" s="34"/>
      <c r="F627"/>
      <c r="G627" s="77"/>
      <c r="I627"/>
      <c r="J627" s="34"/>
      <c r="K627"/>
    </row>
    <row r="628" spans="1:11">
      <c r="A628" s="102" t="s">
        <v>1131</v>
      </c>
      <c r="B628" s="102" t="s">
        <v>1132</v>
      </c>
      <c r="C628" s="102" t="s">
        <v>56</v>
      </c>
      <c r="D628" s="99">
        <f>IF(OR(Clientes[[#This Row],[Columna1]]="Pago inmediato",Clientes[[#This Row],[Columna1]]=""),0,SUBSTITUTE(Clientes[[#This Row],[Columna1]]," días",""))</f>
        <v>0</v>
      </c>
      <c r="E628" s="34"/>
      <c r="F628"/>
      <c r="G628" s="77"/>
      <c r="I628"/>
      <c r="J628" s="34"/>
      <c r="K628"/>
    </row>
    <row r="629" ht="30" spans="1:11">
      <c r="A629" s="102"/>
      <c r="B629" s="102" t="s">
        <v>1133</v>
      </c>
      <c r="C629" s="102"/>
      <c r="D629" s="99">
        <f>IF(OR(Clientes[[#This Row],[Columna1]]="Pago inmediato",Clientes[[#This Row],[Columna1]]=""),0,SUBSTITUTE(Clientes[[#This Row],[Columna1]]," días",""))</f>
        <v>0</v>
      </c>
      <c r="E629" s="34"/>
      <c r="F629"/>
      <c r="G629" s="77"/>
      <c r="I629"/>
      <c r="J629" s="34"/>
      <c r="K629"/>
    </row>
    <row r="630" spans="1:11">
      <c r="A630" s="102" t="s">
        <v>1134</v>
      </c>
      <c r="B630" s="102" t="s">
        <v>1135</v>
      </c>
      <c r="C630" s="102" t="s">
        <v>56</v>
      </c>
      <c r="D630" s="99">
        <f>IF(OR(Clientes[[#This Row],[Columna1]]="Pago inmediato",Clientes[[#This Row],[Columna1]]=""),0,SUBSTITUTE(Clientes[[#This Row],[Columna1]]," días",""))</f>
        <v>0</v>
      </c>
      <c r="E630" s="34"/>
      <c r="F630"/>
      <c r="G630" s="77"/>
      <c r="I630"/>
      <c r="J630" s="34"/>
      <c r="K630"/>
    </row>
    <row r="631" ht="30" spans="1:11">
      <c r="A631" s="102" t="s">
        <v>1136</v>
      </c>
      <c r="B631" s="102" t="s">
        <v>1137</v>
      </c>
      <c r="C631" s="102" t="s">
        <v>56</v>
      </c>
      <c r="D631" s="99">
        <f>IF(OR(Clientes[[#This Row],[Columna1]]="Pago inmediato",Clientes[[#This Row],[Columna1]]=""),0,SUBSTITUTE(Clientes[[#This Row],[Columna1]]," días",""))</f>
        <v>0</v>
      </c>
      <c r="E631" s="34"/>
      <c r="F631"/>
      <c r="G631" s="77"/>
      <c r="I631"/>
      <c r="J631" s="34"/>
      <c r="K631"/>
    </row>
    <row r="632" spans="1:11">
      <c r="A632" s="102"/>
      <c r="B632" s="102" t="s">
        <v>1138</v>
      </c>
      <c r="C632" s="102"/>
      <c r="D632" s="99">
        <f>IF(OR(Clientes[[#This Row],[Columna1]]="Pago inmediato",Clientes[[#This Row],[Columna1]]=""),0,SUBSTITUTE(Clientes[[#This Row],[Columna1]]," días",""))</f>
        <v>0</v>
      </c>
      <c r="E632" s="34"/>
      <c r="F632"/>
      <c r="G632" s="77"/>
      <c r="I632"/>
      <c r="J632" s="34"/>
      <c r="K632"/>
    </row>
    <row r="633" ht="30" spans="1:11">
      <c r="A633" s="102" t="s">
        <v>1139</v>
      </c>
      <c r="B633" s="102" t="s">
        <v>1140</v>
      </c>
      <c r="C633" s="102" t="s">
        <v>56</v>
      </c>
      <c r="D633" s="99">
        <f>IF(OR(Clientes[[#This Row],[Columna1]]="Pago inmediato",Clientes[[#This Row],[Columna1]]=""),0,SUBSTITUTE(Clientes[[#This Row],[Columna1]]," días",""))</f>
        <v>0</v>
      </c>
      <c r="E633" s="34"/>
      <c r="F633"/>
      <c r="G633" s="77"/>
      <c r="I633"/>
      <c r="J633" s="34"/>
      <c r="K633"/>
    </row>
    <row r="634" ht="30" spans="1:11">
      <c r="A634" s="102" t="s">
        <v>1141</v>
      </c>
      <c r="B634" s="102" t="s">
        <v>1142</v>
      </c>
      <c r="C634" s="102" t="s">
        <v>56</v>
      </c>
      <c r="D634" s="99">
        <f>IF(OR(Clientes[[#This Row],[Columna1]]="Pago inmediato",Clientes[[#This Row],[Columna1]]=""),0,SUBSTITUTE(Clientes[[#This Row],[Columna1]]," días",""))</f>
        <v>0</v>
      </c>
      <c r="E634" s="34"/>
      <c r="F634"/>
      <c r="G634" s="77"/>
      <c r="I634"/>
      <c r="J634" s="34"/>
      <c r="K634"/>
    </row>
    <row r="635" ht="30" spans="1:11">
      <c r="A635" s="102" t="s">
        <v>1143</v>
      </c>
      <c r="B635" s="102" t="s">
        <v>1144</v>
      </c>
      <c r="C635" s="102" t="s">
        <v>56</v>
      </c>
      <c r="D635" s="99">
        <f>IF(OR(Clientes[[#This Row],[Columna1]]="Pago inmediato",Clientes[[#This Row],[Columna1]]=""),0,SUBSTITUTE(Clientes[[#This Row],[Columna1]]," días",""))</f>
        <v>0</v>
      </c>
      <c r="E635" s="34"/>
      <c r="F635"/>
      <c r="G635" s="77"/>
      <c r="I635"/>
      <c r="J635" s="34"/>
      <c r="K635"/>
    </row>
    <row r="636" ht="30" spans="1:11">
      <c r="A636" s="102" t="s">
        <v>1145</v>
      </c>
      <c r="B636" s="102" t="s">
        <v>1146</v>
      </c>
      <c r="C636" s="102" t="s">
        <v>56</v>
      </c>
      <c r="D636" s="99">
        <f>IF(OR(Clientes[[#This Row],[Columna1]]="Pago inmediato",Clientes[[#This Row],[Columna1]]=""),0,SUBSTITUTE(Clientes[[#This Row],[Columna1]]," días",""))</f>
        <v>0</v>
      </c>
      <c r="E636" s="34"/>
      <c r="F636"/>
      <c r="G636" s="77"/>
      <c r="I636"/>
      <c r="J636" s="34"/>
      <c r="K636"/>
    </row>
    <row r="637" ht="45" spans="1:11">
      <c r="A637" s="102" t="s">
        <v>1147</v>
      </c>
      <c r="B637" s="102" t="s">
        <v>1148</v>
      </c>
      <c r="C637" s="102" t="s">
        <v>56</v>
      </c>
      <c r="D637" s="99">
        <f>IF(OR(Clientes[[#This Row],[Columna1]]="Pago inmediato",Clientes[[#This Row],[Columna1]]=""),0,SUBSTITUTE(Clientes[[#This Row],[Columna1]]," días",""))</f>
        <v>0</v>
      </c>
      <c r="E637" s="34"/>
      <c r="F637"/>
      <c r="G637" s="77"/>
      <c r="I637"/>
      <c r="J637" s="34"/>
      <c r="K637"/>
    </row>
    <row r="638" ht="30" spans="1:11">
      <c r="A638" s="102" t="s">
        <v>1149</v>
      </c>
      <c r="B638" s="102" t="s">
        <v>1150</v>
      </c>
      <c r="C638" s="102" t="s">
        <v>56</v>
      </c>
      <c r="D638" s="99">
        <f>IF(OR(Clientes[[#This Row],[Columna1]]="Pago inmediato",Clientes[[#This Row],[Columna1]]=""),0,SUBSTITUTE(Clientes[[#This Row],[Columna1]]," días",""))</f>
        <v>0</v>
      </c>
      <c r="E638" s="34"/>
      <c r="F638"/>
      <c r="G638" s="77"/>
      <c r="I638"/>
      <c r="J638" s="34"/>
      <c r="K638"/>
    </row>
    <row r="639" ht="30" spans="1:11">
      <c r="A639" s="102" t="s">
        <v>1151</v>
      </c>
      <c r="B639" s="102" t="s">
        <v>1152</v>
      </c>
      <c r="C639" s="102" t="s">
        <v>56</v>
      </c>
      <c r="D639" s="99">
        <f>IF(OR(Clientes[[#This Row],[Columna1]]="Pago inmediato",Clientes[[#This Row],[Columna1]]=""),0,SUBSTITUTE(Clientes[[#This Row],[Columna1]]," días",""))</f>
        <v>0</v>
      </c>
      <c r="E639" s="34"/>
      <c r="F639"/>
      <c r="G639" s="77"/>
      <c r="I639"/>
      <c r="J639" s="34"/>
      <c r="K639"/>
    </row>
    <row r="640" ht="30" spans="1:11">
      <c r="A640" s="102" t="s">
        <v>1153</v>
      </c>
      <c r="B640" s="102" t="s">
        <v>1154</v>
      </c>
      <c r="C640" s="102" t="s">
        <v>56</v>
      </c>
      <c r="D640" s="99">
        <f>IF(OR(Clientes[[#This Row],[Columna1]]="Pago inmediato",Clientes[[#This Row],[Columna1]]=""),0,SUBSTITUTE(Clientes[[#This Row],[Columna1]]," días",""))</f>
        <v>0</v>
      </c>
      <c r="E640" s="34"/>
      <c r="F640"/>
      <c r="G640" s="77"/>
      <c r="I640"/>
      <c r="J640" s="34"/>
      <c r="K640"/>
    </row>
    <row r="641" ht="45" spans="1:11">
      <c r="A641" s="102" t="s">
        <v>1155</v>
      </c>
      <c r="B641" s="102" t="s">
        <v>1156</v>
      </c>
      <c r="C641" s="102" t="s">
        <v>54</v>
      </c>
      <c r="D641" s="99" t="str">
        <f>IF(OR(Clientes[[#This Row],[Columna1]]="Pago inmediato",Clientes[[#This Row],[Columna1]]=""),0,SUBSTITUTE(Clientes[[#This Row],[Columna1]]," días",""))</f>
        <v>7</v>
      </c>
      <c r="E641" s="34"/>
      <c r="F641"/>
      <c r="G641" s="77"/>
      <c r="I641"/>
      <c r="J641" s="34"/>
      <c r="K641"/>
    </row>
    <row r="642" spans="1:11">
      <c r="A642" s="102" t="s">
        <v>1157</v>
      </c>
      <c r="B642" s="102" t="s">
        <v>1158</v>
      </c>
      <c r="C642" s="102" t="s">
        <v>56</v>
      </c>
      <c r="D642" s="99">
        <f>IF(OR(Clientes[[#This Row],[Columna1]]="Pago inmediato",Clientes[[#This Row],[Columna1]]=""),0,SUBSTITUTE(Clientes[[#This Row],[Columna1]]," días",""))</f>
        <v>0</v>
      </c>
      <c r="E642" s="34"/>
      <c r="F642"/>
      <c r="G642" s="77"/>
      <c r="I642"/>
      <c r="J642" s="34"/>
      <c r="K642"/>
    </row>
    <row r="643" spans="1:11">
      <c r="A643" s="102" t="s">
        <v>1159</v>
      </c>
      <c r="B643" s="102" t="s">
        <v>1160</v>
      </c>
      <c r="C643" s="102" t="s">
        <v>56</v>
      </c>
      <c r="D643" s="99">
        <f>IF(OR(Clientes[[#This Row],[Columna1]]="Pago inmediato",Clientes[[#This Row],[Columna1]]=""),0,SUBSTITUTE(Clientes[[#This Row],[Columna1]]," días",""))</f>
        <v>0</v>
      </c>
      <c r="E643" s="34"/>
      <c r="F643"/>
      <c r="G643" s="77"/>
      <c r="I643"/>
      <c r="J643" s="34"/>
      <c r="K643"/>
    </row>
    <row r="644" spans="1:11">
      <c r="A644" s="102" t="s">
        <v>1161</v>
      </c>
      <c r="B644" s="102" t="s">
        <v>1162</v>
      </c>
      <c r="C644" s="102" t="s">
        <v>56</v>
      </c>
      <c r="D644" s="99">
        <f>IF(OR(Clientes[[#This Row],[Columna1]]="Pago inmediato",Clientes[[#This Row],[Columna1]]=""),0,SUBSTITUTE(Clientes[[#This Row],[Columna1]]," días",""))</f>
        <v>0</v>
      </c>
      <c r="E644" s="34"/>
      <c r="F644"/>
      <c r="G644" s="77"/>
      <c r="I644"/>
      <c r="J644" s="34"/>
      <c r="K644"/>
    </row>
    <row r="645" ht="45" spans="1:11">
      <c r="A645" s="102" t="s">
        <v>1163</v>
      </c>
      <c r="B645" s="102" t="s">
        <v>1164</v>
      </c>
      <c r="C645" s="102" t="s">
        <v>56</v>
      </c>
      <c r="D645" s="99">
        <f>IF(OR(Clientes[[#This Row],[Columna1]]="Pago inmediato",Clientes[[#This Row],[Columna1]]=""),0,SUBSTITUTE(Clientes[[#This Row],[Columna1]]," días",""))</f>
        <v>0</v>
      </c>
      <c r="E645" s="34"/>
      <c r="F645"/>
      <c r="G645" s="77"/>
      <c r="I645"/>
      <c r="J645" s="34"/>
      <c r="K645"/>
    </row>
    <row r="646" ht="30" spans="1:11">
      <c r="A646" s="102" t="s">
        <v>1165</v>
      </c>
      <c r="B646" s="102" t="s">
        <v>1166</v>
      </c>
      <c r="C646" s="102" t="s">
        <v>56</v>
      </c>
      <c r="D646" s="99">
        <f>IF(OR(Clientes[[#This Row],[Columna1]]="Pago inmediato",Clientes[[#This Row],[Columna1]]=""),0,SUBSTITUTE(Clientes[[#This Row],[Columna1]]," días",""))</f>
        <v>0</v>
      </c>
      <c r="E646" s="34"/>
      <c r="F646"/>
      <c r="G646" s="77"/>
      <c r="I646"/>
      <c r="J646" s="34"/>
      <c r="K646"/>
    </row>
    <row r="647" ht="30" spans="1:11">
      <c r="A647" s="102" t="s">
        <v>1167</v>
      </c>
      <c r="B647" s="102" t="s">
        <v>1168</v>
      </c>
      <c r="C647" s="102" t="s">
        <v>56</v>
      </c>
      <c r="D647" s="99">
        <f>IF(OR(Clientes[[#This Row],[Columna1]]="Pago inmediato",Clientes[[#This Row],[Columna1]]=""),0,SUBSTITUTE(Clientes[[#This Row],[Columna1]]," días",""))</f>
        <v>0</v>
      </c>
      <c r="E647" s="34"/>
      <c r="F647"/>
      <c r="G647" s="77"/>
      <c r="I647"/>
      <c r="J647" s="34"/>
      <c r="K647"/>
    </row>
    <row r="648" ht="45" spans="1:11">
      <c r="A648" s="102" t="s">
        <v>1167</v>
      </c>
      <c r="B648" s="102" t="s">
        <v>1169</v>
      </c>
      <c r="C648" s="102" t="s">
        <v>56</v>
      </c>
      <c r="D648" s="99">
        <f>IF(OR(Clientes[[#This Row],[Columna1]]="Pago inmediato",Clientes[[#This Row],[Columna1]]=""),0,SUBSTITUTE(Clientes[[#This Row],[Columna1]]," días",""))</f>
        <v>0</v>
      </c>
      <c r="E648" s="34"/>
      <c r="F648"/>
      <c r="G648" s="77"/>
      <c r="I648"/>
      <c r="J648" s="34"/>
      <c r="K648"/>
    </row>
    <row r="649" ht="30" spans="1:11">
      <c r="A649" s="102" t="s">
        <v>1170</v>
      </c>
      <c r="B649" s="102" t="s">
        <v>1171</v>
      </c>
      <c r="C649" s="102" t="s">
        <v>56</v>
      </c>
      <c r="D649" s="99">
        <f>IF(OR(Clientes[[#This Row],[Columna1]]="Pago inmediato",Clientes[[#This Row],[Columna1]]=""),0,SUBSTITUTE(Clientes[[#This Row],[Columna1]]," días",""))</f>
        <v>0</v>
      </c>
      <c r="E649" s="34"/>
      <c r="F649"/>
      <c r="G649" s="77"/>
      <c r="I649"/>
      <c r="J649" s="34"/>
      <c r="K649"/>
    </row>
    <row r="650" ht="30" spans="1:11">
      <c r="A650" s="102" t="s">
        <v>1172</v>
      </c>
      <c r="B650" s="102" t="s">
        <v>1173</v>
      </c>
      <c r="C650" s="102" t="s">
        <v>56</v>
      </c>
      <c r="D650" s="99">
        <f>IF(OR(Clientes[[#This Row],[Columna1]]="Pago inmediato",Clientes[[#This Row],[Columna1]]=""),0,SUBSTITUTE(Clientes[[#This Row],[Columna1]]," días",""))</f>
        <v>0</v>
      </c>
      <c r="E650" s="34"/>
      <c r="F650"/>
      <c r="G650" s="77"/>
      <c r="I650"/>
      <c r="J650" s="34"/>
      <c r="K650"/>
    </row>
    <row r="651" ht="30" spans="1:11">
      <c r="A651" s="102" t="s">
        <v>1174</v>
      </c>
      <c r="B651" s="102" t="s">
        <v>1175</v>
      </c>
      <c r="C651" s="102" t="s">
        <v>56</v>
      </c>
      <c r="D651" s="99">
        <f>IF(OR(Clientes[[#This Row],[Columna1]]="Pago inmediato",Clientes[[#This Row],[Columna1]]=""),0,SUBSTITUTE(Clientes[[#This Row],[Columna1]]," días",""))</f>
        <v>0</v>
      </c>
      <c r="E651" s="34"/>
      <c r="F651"/>
      <c r="G651" s="77"/>
      <c r="I651"/>
      <c r="J651" s="34"/>
      <c r="K651"/>
    </row>
    <row r="652" ht="30" spans="1:11">
      <c r="A652" s="102" t="s">
        <v>1176</v>
      </c>
      <c r="B652" s="102" t="s">
        <v>1177</v>
      </c>
      <c r="C652" s="102" t="s">
        <v>56</v>
      </c>
      <c r="D652" s="99">
        <f>IF(OR(Clientes[[#This Row],[Columna1]]="Pago inmediato",Clientes[[#This Row],[Columna1]]=""),0,SUBSTITUTE(Clientes[[#This Row],[Columna1]]," días",""))</f>
        <v>0</v>
      </c>
      <c r="E652" s="34"/>
      <c r="F652"/>
      <c r="G652" s="77"/>
      <c r="I652"/>
      <c r="J652" s="34"/>
      <c r="K652"/>
    </row>
    <row r="653" ht="30" spans="1:11">
      <c r="A653" s="102" t="s">
        <v>1178</v>
      </c>
      <c r="B653" s="102" t="s">
        <v>1179</v>
      </c>
      <c r="C653" s="102" t="s">
        <v>56</v>
      </c>
      <c r="D653" s="99">
        <f>IF(OR(Clientes[[#This Row],[Columna1]]="Pago inmediato",Clientes[[#This Row],[Columna1]]=""),0,SUBSTITUTE(Clientes[[#This Row],[Columna1]]," días",""))</f>
        <v>0</v>
      </c>
      <c r="E653" s="34"/>
      <c r="F653"/>
      <c r="G653" s="77"/>
      <c r="I653"/>
      <c r="J653" s="34"/>
      <c r="K653"/>
    </row>
    <row r="654" ht="30" spans="1:11">
      <c r="A654" s="102" t="s">
        <v>1180</v>
      </c>
      <c r="B654" s="102" t="s">
        <v>1181</v>
      </c>
      <c r="C654" s="102" t="s">
        <v>454</v>
      </c>
      <c r="D654" s="99" t="str">
        <f>IF(OR(Clientes[[#This Row],[Columna1]]="Pago inmediato",Clientes[[#This Row],[Columna1]]=""),0,SUBSTITUTE(Clientes[[#This Row],[Columna1]]," días",""))</f>
        <v>21</v>
      </c>
      <c r="E654" s="34"/>
      <c r="F654"/>
      <c r="G654" s="77"/>
      <c r="I654"/>
      <c r="J654" s="34"/>
      <c r="K654"/>
    </row>
    <row r="655" ht="30" spans="1:11">
      <c r="A655" s="102" t="s">
        <v>1182</v>
      </c>
      <c r="B655" s="102" t="s">
        <v>1183</v>
      </c>
      <c r="C655" s="102" t="s">
        <v>56</v>
      </c>
      <c r="D655" s="99">
        <f>IF(OR(Clientes[[#This Row],[Columna1]]="Pago inmediato",Clientes[[#This Row],[Columna1]]=""),0,SUBSTITUTE(Clientes[[#This Row],[Columna1]]," días",""))</f>
        <v>0</v>
      </c>
      <c r="E655" s="34"/>
      <c r="F655"/>
      <c r="G655" s="77"/>
      <c r="I655"/>
      <c r="J655" s="34"/>
      <c r="K655"/>
    </row>
    <row r="656" spans="1:11">
      <c r="A656" s="102" t="s">
        <v>1184</v>
      </c>
      <c r="B656" s="102" t="s">
        <v>1185</v>
      </c>
      <c r="C656" s="102" t="s">
        <v>56</v>
      </c>
      <c r="D656" s="99">
        <f>IF(OR(Clientes[[#This Row],[Columna1]]="Pago inmediato",Clientes[[#This Row],[Columna1]]=""),0,SUBSTITUTE(Clientes[[#This Row],[Columna1]]," días",""))</f>
        <v>0</v>
      </c>
      <c r="E656" s="34"/>
      <c r="F656"/>
      <c r="G656" s="77"/>
      <c r="I656"/>
      <c r="J656" s="34"/>
      <c r="K656"/>
    </row>
    <row r="657" spans="1:11">
      <c r="A657" s="102" t="s">
        <v>1186</v>
      </c>
      <c r="B657" s="102" t="s">
        <v>1187</v>
      </c>
      <c r="C657" s="102"/>
      <c r="D657" s="99">
        <f>IF(OR(Clientes[[#This Row],[Columna1]]="Pago inmediato",Clientes[[#This Row],[Columna1]]=""),0,SUBSTITUTE(Clientes[[#This Row],[Columna1]]," días",""))</f>
        <v>0</v>
      </c>
      <c r="E657" s="34"/>
      <c r="F657"/>
      <c r="G657" s="77"/>
      <c r="I657"/>
      <c r="J657" s="34"/>
      <c r="K657"/>
    </row>
    <row r="658" ht="30" spans="1:11">
      <c r="A658" s="102" t="s">
        <v>1188</v>
      </c>
      <c r="B658" s="102" t="s">
        <v>1189</v>
      </c>
      <c r="C658" s="102" t="s">
        <v>56</v>
      </c>
      <c r="D658" s="99">
        <f>IF(OR(Clientes[[#This Row],[Columna1]]="Pago inmediato",Clientes[[#This Row],[Columna1]]=""),0,SUBSTITUTE(Clientes[[#This Row],[Columna1]]," días",""))</f>
        <v>0</v>
      </c>
      <c r="E658" s="34"/>
      <c r="F658"/>
      <c r="G658" s="77"/>
      <c r="I658"/>
      <c r="J658" s="34"/>
      <c r="K658"/>
    </row>
    <row r="659" ht="30" spans="1:11">
      <c r="A659" s="102" t="s">
        <v>1190</v>
      </c>
      <c r="B659" s="102" t="s">
        <v>1191</v>
      </c>
      <c r="C659" s="102" t="s">
        <v>56</v>
      </c>
      <c r="D659" s="99">
        <f>IF(OR(Clientes[[#This Row],[Columna1]]="Pago inmediato",Clientes[[#This Row],[Columna1]]=""),0,SUBSTITUTE(Clientes[[#This Row],[Columna1]]," días",""))</f>
        <v>0</v>
      </c>
      <c r="E659" s="34"/>
      <c r="F659"/>
      <c r="G659" s="77"/>
      <c r="I659"/>
      <c r="J659" s="34"/>
      <c r="K659"/>
    </row>
    <row r="660" ht="45" spans="1:11">
      <c r="A660" s="102" t="s">
        <v>1190</v>
      </c>
      <c r="B660" s="102" t="s">
        <v>1192</v>
      </c>
      <c r="C660" s="102" t="s">
        <v>56</v>
      </c>
      <c r="D660" s="99">
        <f>IF(OR(Clientes[[#This Row],[Columna1]]="Pago inmediato",Clientes[[#This Row],[Columna1]]=""),0,SUBSTITUTE(Clientes[[#This Row],[Columna1]]," días",""))</f>
        <v>0</v>
      </c>
      <c r="E660" s="34"/>
      <c r="F660"/>
      <c r="G660" s="77"/>
      <c r="I660"/>
      <c r="J660" s="34"/>
      <c r="K660"/>
    </row>
    <row r="661" ht="30" spans="1:11">
      <c r="A661" s="102" t="s">
        <v>1193</v>
      </c>
      <c r="B661" s="102" t="s">
        <v>1194</v>
      </c>
      <c r="C661" s="102" t="s">
        <v>56</v>
      </c>
      <c r="D661" s="99">
        <f>IF(OR(Clientes[[#This Row],[Columna1]]="Pago inmediato",Clientes[[#This Row],[Columna1]]=""),0,SUBSTITUTE(Clientes[[#This Row],[Columna1]]," días",""))</f>
        <v>0</v>
      </c>
      <c r="E661" s="34"/>
      <c r="F661"/>
      <c r="G661" s="77"/>
      <c r="I661"/>
      <c r="J661" s="34"/>
      <c r="K661"/>
    </row>
    <row r="662" ht="30" spans="1:11">
      <c r="A662" s="102" t="s">
        <v>1195</v>
      </c>
      <c r="B662" s="102" t="s">
        <v>1196</v>
      </c>
      <c r="C662" s="102" t="s">
        <v>56</v>
      </c>
      <c r="D662" s="99">
        <f>IF(OR(Clientes[[#This Row],[Columna1]]="Pago inmediato",Clientes[[#This Row],[Columna1]]=""),0,SUBSTITUTE(Clientes[[#This Row],[Columna1]]," días",""))</f>
        <v>0</v>
      </c>
      <c r="E662" s="34"/>
      <c r="F662"/>
      <c r="G662" s="77"/>
      <c r="I662"/>
      <c r="J662" s="34"/>
      <c r="K662"/>
    </row>
    <row r="663" ht="30" spans="1:11">
      <c r="A663" s="102" t="s">
        <v>1197</v>
      </c>
      <c r="B663" s="102" t="s">
        <v>1198</v>
      </c>
      <c r="C663" s="102" t="s">
        <v>56</v>
      </c>
      <c r="D663" s="99">
        <f>IF(OR(Clientes[[#This Row],[Columna1]]="Pago inmediato",Clientes[[#This Row],[Columna1]]=""),0,SUBSTITUTE(Clientes[[#This Row],[Columna1]]," días",""))</f>
        <v>0</v>
      </c>
      <c r="E663" s="34"/>
      <c r="F663"/>
      <c r="G663" s="77"/>
      <c r="I663"/>
      <c r="J663" s="34"/>
      <c r="K663"/>
    </row>
    <row r="664" ht="30" spans="1:11">
      <c r="A664" s="102" t="s">
        <v>1199</v>
      </c>
      <c r="B664" s="102" t="s">
        <v>1200</v>
      </c>
      <c r="C664" s="102" t="s">
        <v>56</v>
      </c>
      <c r="D664" s="99">
        <f>IF(OR(Clientes[[#This Row],[Columna1]]="Pago inmediato",Clientes[[#This Row],[Columna1]]=""),0,SUBSTITUTE(Clientes[[#This Row],[Columna1]]," días",""))</f>
        <v>0</v>
      </c>
      <c r="E664" s="34"/>
      <c r="F664"/>
      <c r="G664" s="77"/>
      <c r="I664"/>
      <c r="J664" s="34"/>
      <c r="K664"/>
    </row>
    <row r="665" ht="45" spans="1:11">
      <c r="A665" s="102" t="s">
        <v>1199</v>
      </c>
      <c r="B665" s="102" t="s">
        <v>1201</v>
      </c>
      <c r="C665" s="102" t="s">
        <v>56</v>
      </c>
      <c r="D665" s="99">
        <f>IF(OR(Clientes[[#This Row],[Columna1]]="Pago inmediato",Clientes[[#This Row],[Columna1]]=""),0,SUBSTITUTE(Clientes[[#This Row],[Columna1]]," días",""))</f>
        <v>0</v>
      </c>
      <c r="E665" s="34"/>
      <c r="F665"/>
      <c r="G665" s="77"/>
      <c r="I665"/>
      <c r="J665" s="34"/>
      <c r="K665"/>
    </row>
    <row r="666" ht="30" spans="1:11">
      <c r="A666" s="102" t="s">
        <v>1202</v>
      </c>
      <c r="B666" s="102" t="s">
        <v>1203</v>
      </c>
      <c r="C666" s="102" t="s">
        <v>56</v>
      </c>
      <c r="D666" s="99">
        <f>IF(OR(Clientes[[#This Row],[Columna1]]="Pago inmediato",Clientes[[#This Row],[Columna1]]=""),0,SUBSTITUTE(Clientes[[#This Row],[Columna1]]," días",""))</f>
        <v>0</v>
      </c>
      <c r="E666" s="34"/>
      <c r="F666"/>
      <c r="G666" s="77"/>
      <c r="I666"/>
      <c r="J666" s="34"/>
      <c r="K666"/>
    </row>
    <row r="667" ht="30" spans="1:11">
      <c r="A667" s="102" t="s">
        <v>1204</v>
      </c>
      <c r="B667" s="102" t="s">
        <v>1205</v>
      </c>
      <c r="C667" s="102" t="s">
        <v>56</v>
      </c>
      <c r="D667" s="99">
        <f>IF(OR(Clientes[[#This Row],[Columna1]]="Pago inmediato",Clientes[[#This Row],[Columna1]]=""),0,SUBSTITUTE(Clientes[[#This Row],[Columna1]]," días",""))</f>
        <v>0</v>
      </c>
      <c r="E667" s="34"/>
      <c r="F667"/>
      <c r="G667" s="77"/>
      <c r="I667"/>
      <c r="J667" s="34"/>
      <c r="K667"/>
    </row>
    <row r="668" ht="30" spans="1:11">
      <c r="A668" s="102" t="s">
        <v>1206</v>
      </c>
      <c r="B668" s="102" t="s">
        <v>1207</v>
      </c>
      <c r="C668" s="102" t="s">
        <v>56</v>
      </c>
      <c r="D668" s="99">
        <f>IF(OR(Clientes[[#This Row],[Columna1]]="Pago inmediato",Clientes[[#This Row],[Columna1]]=""),0,SUBSTITUTE(Clientes[[#This Row],[Columna1]]," días",""))</f>
        <v>0</v>
      </c>
      <c r="E668" s="34"/>
      <c r="F668"/>
      <c r="G668" s="77"/>
      <c r="I668"/>
      <c r="J668" s="34"/>
      <c r="K668"/>
    </row>
    <row r="669" ht="30" spans="1:11">
      <c r="A669" s="102" t="s">
        <v>1208</v>
      </c>
      <c r="B669" s="102" t="s">
        <v>1209</v>
      </c>
      <c r="C669" s="102" t="s">
        <v>56</v>
      </c>
      <c r="D669" s="99">
        <f>IF(OR(Clientes[[#This Row],[Columna1]]="Pago inmediato",Clientes[[#This Row],[Columna1]]=""),0,SUBSTITUTE(Clientes[[#This Row],[Columna1]]," días",""))</f>
        <v>0</v>
      </c>
      <c r="E669" s="34"/>
      <c r="F669"/>
      <c r="G669" s="77"/>
      <c r="I669"/>
      <c r="J669" s="34"/>
      <c r="K669"/>
    </row>
    <row r="670" ht="30" spans="1:11">
      <c r="A670" s="102" t="s">
        <v>1210</v>
      </c>
      <c r="B670" s="102" t="s">
        <v>1211</v>
      </c>
      <c r="C670" s="102" t="s">
        <v>56</v>
      </c>
      <c r="D670" s="99">
        <f>IF(OR(Clientes[[#This Row],[Columna1]]="Pago inmediato",Clientes[[#This Row],[Columna1]]=""),0,SUBSTITUTE(Clientes[[#This Row],[Columna1]]," días",""))</f>
        <v>0</v>
      </c>
      <c r="E670" s="34"/>
      <c r="F670"/>
      <c r="G670" s="77"/>
      <c r="I670"/>
      <c r="J670" s="34"/>
      <c r="K670"/>
    </row>
    <row r="671" ht="30" spans="1:11">
      <c r="A671" s="102" t="s">
        <v>1212</v>
      </c>
      <c r="B671" s="102" t="s">
        <v>1213</v>
      </c>
      <c r="C671" s="102" t="s">
        <v>56</v>
      </c>
      <c r="D671" s="99">
        <f>IF(OR(Clientes[[#This Row],[Columna1]]="Pago inmediato",Clientes[[#This Row],[Columna1]]=""),0,SUBSTITUTE(Clientes[[#This Row],[Columna1]]," días",""))</f>
        <v>0</v>
      </c>
      <c r="E671" s="34"/>
      <c r="F671"/>
      <c r="G671" s="77"/>
      <c r="I671"/>
      <c r="J671" s="34"/>
      <c r="K671"/>
    </row>
    <row r="672" ht="30" spans="1:11">
      <c r="A672" s="102" t="s">
        <v>1214</v>
      </c>
      <c r="B672" s="102" t="s">
        <v>1215</v>
      </c>
      <c r="C672" s="102" t="s">
        <v>56</v>
      </c>
      <c r="D672" s="99">
        <f>IF(OR(Clientes[[#This Row],[Columna1]]="Pago inmediato",Clientes[[#This Row],[Columna1]]=""),0,SUBSTITUTE(Clientes[[#This Row],[Columna1]]," días",""))</f>
        <v>0</v>
      </c>
      <c r="E672" s="34"/>
      <c r="F672"/>
      <c r="G672" s="77"/>
      <c r="I672"/>
      <c r="J672" s="34"/>
      <c r="K672"/>
    </row>
    <row r="673" ht="30" spans="1:11">
      <c r="A673" s="102" t="s">
        <v>1216</v>
      </c>
      <c r="B673" s="102" t="s">
        <v>1217</v>
      </c>
      <c r="C673" s="102" t="s">
        <v>56</v>
      </c>
      <c r="D673" s="99">
        <f>IF(OR(Clientes[[#This Row],[Columna1]]="Pago inmediato",Clientes[[#This Row],[Columna1]]=""),0,SUBSTITUTE(Clientes[[#This Row],[Columna1]]," días",""))</f>
        <v>0</v>
      </c>
      <c r="E673" s="34"/>
      <c r="F673"/>
      <c r="G673" s="77"/>
      <c r="I673"/>
      <c r="J673" s="34"/>
      <c r="K673"/>
    </row>
    <row r="674" ht="30" spans="1:11">
      <c r="A674" s="102" t="s">
        <v>1218</v>
      </c>
      <c r="B674" s="102" t="s">
        <v>1219</v>
      </c>
      <c r="C674" s="102" t="s">
        <v>56</v>
      </c>
      <c r="D674" s="99">
        <f>IF(OR(Clientes[[#This Row],[Columna1]]="Pago inmediato",Clientes[[#This Row],[Columna1]]=""),0,SUBSTITUTE(Clientes[[#This Row],[Columna1]]," días",""))</f>
        <v>0</v>
      </c>
      <c r="E674" s="34"/>
      <c r="F674"/>
      <c r="G674" s="77"/>
      <c r="I674"/>
      <c r="J674" s="34"/>
      <c r="K674"/>
    </row>
    <row r="675" ht="30" spans="1:11">
      <c r="A675" s="102" t="s">
        <v>1220</v>
      </c>
      <c r="B675" s="102" t="s">
        <v>1221</v>
      </c>
      <c r="C675" s="102" t="s">
        <v>56</v>
      </c>
      <c r="D675" s="99">
        <f>IF(OR(Clientes[[#This Row],[Columna1]]="Pago inmediato",Clientes[[#This Row],[Columna1]]=""),0,SUBSTITUTE(Clientes[[#This Row],[Columna1]]," días",""))</f>
        <v>0</v>
      </c>
      <c r="E675" s="34"/>
      <c r="F675"/>
      <c r="G675" s="77"/>
      <c r="I675"/>
      <c r="J675" s="34"/>
      <c r="K675"/>
    </row>
    <row r="676" ht="45" spans="1:11">
      <c r="A676" s="102" t="s">
        <v>1222</v>
      </c>
      <c r="B676" s="102" t="s">
        <v>1223</v>
      </c>
      <c r="C676" s="102" t="s">
        <v>54</v>
      </c>
      <c r="D676" s="99" t="str">
        <f>IF(OR(Clientes[[#This Row],[Columna1]]="Pago inmediato",Clientes[[#This Row],[Columna1]]=""),0,SUBSTITUTE(Clientes[[#This Row],[Columna1]]," días",""))</f>
        <v>7</v>
      </c>
      <c r="E676" s="34"/>
      <c r="F676"/>
      <c r="G676" s="77"/>
      <c r="I676"/>
      <c r="J676" s="34"/>
      <c r="K676"/>
    </row>
    <row r="677" ht="30" spans="1:11">
      <c r="A677" s="102" t="s">
        <v>1224</v>
      </c>
      <c r="B677" s="102" t="s">
        <v>1225</v>
      </c>
      <c r="C677" s="102" t="s">
        <v>56</v>
      </c>
      <c r="D677" s="99">
        <f>IF(OR(Clientes[[#This Row],[Columna1]]="Pago inmediato",Clientes[[#This Row],[Columna1]]=""),0,SUBSTITUTE(Clientes[[#This Row],[Columna1]]," días",""))</f>
        <v>0</v>
      </c>
      <c r="E677" s="34"/>
      <c r="F677"/>
      <c r="G677" s="77"/>
      <c r="I677"/>
      <c r="J677" s="34"/>
      <c r="K677"/>
    </row>
    <row r="678" ht="30" spans="1:11">
      <c r="A678" s="102" t="s">
        <v>1226</v>
      </c>
      <c r="B678" s="102" t="s">
        <v>1227</v>
      </c>
      <c r="C678" s="102" t="s">
        <v>56</v>
      </c>
      <c r="D678" s="99">
        <f>IF(OR(Clientes[[#This Row],[Columna1]]="Pago inmediato",Clientes[[#This Row],[Columna1]]=""),0,SUBSTITUTE(Clientes[[#This Row],[Columna1]]," días",""))</f>
        <v>0</v>
      </c>
      <c r="E678" s="34"/>
      <c r="F678"/>
      <c r="G678" s="77"/>
      <c r="I678"/>
      <c r="J678" s="34"/>
      <c r="K678"/>
    </row>
    <row r="679" ht="30" spans="1:11">
      <c r="A679" s="102" t="s">
        <v>1228</v>
      </c>
      <c r="B679" s="102" t="s">
        <v>1229</v>
      </c>
      <c r="C679" s="102" t="s">
        <v>56</v>
      </c>
      <c r="D679" s="99">
        <f>IF(OR(Clientes[[#This Row],[Columna1]]="Pago inmediato",Clientes[[#This Row],[Columna1]]=""),0,SUBSTITUTE(Clientes[[#This Row],[Columna1]]," días",""))</f>
        <v>0</v>
      </c>
      <c r="E679" s="34"/>
      <c r="F679"/>
      <c r="G679" s="77"/>
      <c r="I679"/>
      <c r="J679" s="34"/>
      <c r="K679"/>
    </row>
    <row r="680" ht="30" spans="1:11">
      <c r="A680" s="102" t="s">
        <v>1230</v>
      </c>
      <c r="B680" s="102" t="s">
        <v>1231</v>
      </c>
      <c r="C680" s="102" t="s">
        <v>56</v>
      </c>
      <c r="D680" s="99">
        <f>IF(OR(Clientes[[#This Row],[Columna1]]="Pago inmediato",Clientes[[#This Row],[Columna1]]=""),0,SUBSTITUTE(Clientes[[#This Row],[Columna1]]," días",""))</f>
        <v>0</v>
      </c>
      <c r="E680" s="34"/>
      <c r="F680"/>
      <c r="G680" s="77"/>
      <c r="I680"/>
      <c r="J680" s="34"/>
      <c r="K680"/>
    </row>
    <row r="681" ht="30" spans="1:11">
      <c r="A681" s="102" t="s">
        <v>1232</v>
      </c>
      <c r="B681" s="102" t="s">
        <v>1233</v>
      </c>
      <c r="C681" s="102" t="s">
        <v>56</v>
      </c>
      <c r="D681" s="99">
        <f>IF(OR(Clientes[[#This Row],[Columna1]]="Pago inmediato",Clientes[[#This Row],[Columna1]]=""),0,SUBSTITUTE(Clientes[[#This Row],[Columna1]]," días",""))</f>
        <v>0</v>
      </c>
      <c r="E681" s="34"/>
      <c r="F681"/>
      <c r="G681" s="77"/>
      <c r="I681"/>
      <c r="J681" s="34"/>
      <c r="K681"/>
    </row>
    <row r="682" ht="30" spans="1:11">
      <c r="A682" s="102"/>
      <c r="B682" s="102" t="s">
        <v>1233</v>
      </c>
      <c r="C682" s="102" t="s">
        <v>56</v>
      </c>
      <c r="D682" s="99">
        <f>IF(OR(Clientes[[#This Row],[Columna1]]="Pago inmediato",Clientes[[#This Row],[Columna1]]=""),0,SUBSTITUTE(Clientes[[#This Row],[Columna1]]," días",""))</f>
        <v>0</v>
      </c>
      <c r="E682" s="34"/>
      <c r="F682"/>
      <c r="G682" s="77"/>
      <c r="I682"/>
      <c r="J682" s="34"/>
      <c r="K682"/>
    </row>
    <row r="683" ht="30" spans="1:11">
      <c r="A683" s="102" t="s">
        <v>1234</v>
      </c>
      <c r="B683" s="102" t="s">
        <v>1235</v>
      </c>
      <c r="C683" s="102" t="s">
        <v>56</v>
      </c>
      <c r="D683" s="99">
        <f>IF(OR(Clientes[[#This Row],[Columna1]]="Pago inmediato",Clientes[[#This Row],[Columna1]]=""),0,SUBSTITUTE(Clientes[[#This Row],[Columna1]]," días",""))</f>
        <v>0</v>
      </c>
      <c r="E683" s="34"/>
      <c r="F683"/>
      <c r="G683" s="77"/>
      <c r="I683"/>
      <c r="J683" s="34"/>
      <c r="K683"/>
    </row>
    <row r="684" ht="45" spans="1:11">
      <c r="A684" s="102" t="s">
        <v>1234</v>
      </c>
      <c r="B684" s="102" t="s">
        <v>1236</v>
      </c>
      <c r="C684" s="102" t="s">
        <v>56</v>
      </c>
      <c r="D684" s="99">
        <f>IF(OR(Clientes[[#This Row],[Columna1]]="Pago inmediato",Clientes[[#This Row],[Columna1]]=""),0,SUBSTITUTE(Clientes[[#This Row],[Columna1]]," días",""))</f>
        <v>0</v>
      </c>
      <c r="E684" s="34"/>
      <c r="F684"/>
      <c r="G684" s="77"/>
      <c r="I684"/>
      <c r="J684" s="34"/>
      <c r="K684"/>
    </row>
    <row r="685" ht="30" spans="1:11">
      <c r="A685" s="102" t="s">
        <v>1237</v>
      </c>
      <c r="B685" s="102" t="s">
        <v>1238</v>
      </c>
      <c r="C685" s="102" t="s">
        <v>56</v>
      </c>
      <c r="D685" s="99">
        <f>IF(OR(Clientes[[#This Row],[Columna1]]="Pago inmediato",Clientes[[#This Row],[Columna1]]=""),0,SUBSTITUTE(Clientes[[#This Row],[Columna1]]," días",""))</f>
        <v>0</v>
      </c>
      <c r="E685" s="34"/>
      <c r="F685"/>
      <c r="G685" s="77"/>
      <c r="I685"/>
      <c r="J685" s="34"/>
      <c r="K685"/>
    </row>
    <row r="686" ht="30" spans="1:11">
      <c r="A686" s="102" t="s">
        <v>1239</v>
      </c>
      <c r="B686" s="102" t="s">
        <v>1240</v>
      </c>
      <c r="C686" s="102" t="s">
        <v>56</v>
      </c>
      <c r="D686" s="99">
        <f>IF(OR(Clientes[[#This Row],[Columna1]]="Pago inmediato",Clientes[[#This Row],[Columna1]]=""),0,SUBSTITUTE(Clientes[[#This Row],[Columna1]]," días",""))</f>
        <v>0</v>
      </c>
      <c r="E686" s="34"/>
      <c r="F686"/>
      <c r="G686" s="77"/>
      <c r="I686"/>
      <c r="J686" s="34"/>
      <c r="K686"/>
    </row>
    <row r="687" ht="30" spans="1:11">
      <c r="A687" s="102" t="s">
        <v>1241</v>
      </c>
      <c r="B687" s="102" t="s">
        <v>1242</v>
      </c>
      <c r="C687" s="102" t="s">
        <v>56</v>
      </c>
      <c r="D687" s="99">
        <f>IF(OR(Clientes[[#This Row],[Columna1]]="Pago inmediato",Clientes[[#This Row],[Columna1]]=""),0,SUBSTITUTE(Clientes[[#This Row],[Columna1]]," días",""))</f>
        <v>0</v>
      </c>
      <c r="E687" s="34"/>
      <c r="F687"/>
      <c r="G687" s="77"/>
      <c r="I687"/>
      <c r="J687" s="34"/>
      <c r="K687"/>
    </row>
    <row r="688" ht="45" spans="1:11">
      <c r="A688" s="102" t="s">
        <v>1241</v>
      </c>
      <c r="B688" s="102" t="s">
        <v>1243</v>
      </c>
      <c r="C688" s="102" t="s">
        <v>56</v>
      </c>
      <c r="D688" s="99">
        <f>IF(OR(Clientes[[#This Row],[Columna1]]="Pago inmediato",Clientes[[#This Row],[Columna1]]=""),0,SUBSTITUTE(Clientes[[#This Row],[Columna1]]," días",""))</f>
        <v>0</v>
      </c>
      <c r="E688" s="34"/>
      <c r="F688"/>
      <c r="G688" s="77"/>
      <c r="I688"/>
      <c r="J688" s="34"/>
      <c r="K688"/>
    </row>
    <row r="689" ht="30" spans="1:11">
      <c r="A689" s="102" t="s">
        <v>1244</v>
      </c>
      <c r="B689" s="102" t="s">
        <v>1245</v>
      </c>
      <c r="C689" s="102" t="s">
        <v>56</v>
      </c>
      <c r="D689" s="99">
        <f>IF(OR(Clientes[[#This Row],[Columna1]]="Pago inmediato",Clientes[[#This Row],[Columna1]]=""),0,SUBSTITUTE(Clientes[[#This Row],[Columna1]]," días",""))</f>
        <v>0</v>
      </c>
      <c r="E689" s="34"/>
      <c r="F689"/>
      <c r="G689" s="77"/>
      <c r="I689"/>
      <c r="J689" s="34"/>
      <c r="K689"/>
    </row>
    <row r="690" ht="30" spans="1:11">
      <c r="A690" s="102" t="s">
        <v>1246</v>
      </c>
      <c r="B690" s="102" t="s">
        <v>1247</v>
      </c>
      <c r="C690" s="102" t="s">
        <v>56</v>
      </c>
      <c r="D690" s="99">
        <f>IF(OR(Clientes[[#This Row],[Columna1]]="Pago inmediato",Clientes[[#This Row],[Columna1]]=""),0,SUBSTITUTE(Clientes[[#This Row],[Columna1]]," días",""))</f>
        <v>0</v>
      </c>
      <c r="E690" s="34"/>
      <c r="F690"/>
      <c r="G690" s="77"/>
      <c r="I690"/>
      <c r="J690" s="34"/>
      <c r="K690"/>
    </row>
    <row r="691" ht="90" spans="1:11">
      <c r="A691" s="102" t="s">
        <v>1248</v>
      </c>
      <c r="B691" s="102" t="s">
        <v>1249</v>
      </c>
      <c r="C691" s="102" t="s">
        <v>56</v>
      </c>
      <c r="D691" s="99">
        <f>IF(OR(Clientes[[#This Row],[Columna1]]="Pago inmediato",Clientes[[#This Row],[Columna1]]=""),0,SUBSTITUTE(Clientes[[#This Row],[Columna1]]," días",""))</f>
        <v>0</v>
      </c>
      <c r="E691" s="34"/>
      <c r="F691"/>
      <c r="G691" s="77"/>
      <c r="I691"/>
      <c r="J691" s="34"/>
      <c r="K691"/>
    </row>
    <row r="692" ht="30" spans="1:11">
      <c r="A692" s="102" t="s">
        <v>1250</v>
      </c>
      <c r="B692" s="102" t="s">
        <v>1251</v>
      </c>
      <c r="C692" s="102" t="s">
        <v>56</v>
      </c>
      <c r="D692" s="99">
        <f>IF(OR(Clientes[[#This Row],[Columna1]]="Pago inmediato",Clientes[[#This Row],[Columna1]]=""),0,SUBSTITUTE(Clientes[[#This Row],[Columna1]]," días",""))</f>
        <v>0</v>
      </c>
      <c r="E692" s="34"/>
      <c r="F692"/>
      <c r="G692" s="77"/>
      <c r="I692"/>
      <c r="J692" s="34"/>
      <c r="K692"/>
    </row>
    <row r="693" spans="1:11">
      <c r="A693" s="102" t="s">
        <v>1252</v>
      </c>
      <c r="B693" s="102" t="s">
        <v>1253</v>
      </c>
      <c r="C693" s="102" t="s">
        <v>56</v>
      </c>
      <c r="D693" s="99">
        <f>IF(OR(Clientes[[#This Row],[Columna1]]="Pago inmediato",Clientes[[#This Row],[Columna1]]=""),0,SUBSTITUTE(Clientes[[#This Row],[Columna1]]," días",""))</f>
        <v>0</v>
      </c>
      <c r="E693" s="34"/>
      <c r="F693"/>
      <c r="G693" s="77"/>
      <c r="I693"/>
      <c r="J693" s="34"/>
      <c r="K693"/>
    </row>
    <row r="694" spans="1:11">
      <c r="A694" s="102" t="s">
        <v>1254</v>
      </c>
      <c r="B694" s="102" t="s">
        <v>1255</v>
      </c>
      <c r="C694" s="102" t="s">
        <v>56</v>
      </c>
      <c r="D694" s="99">
        <f>IF(OR(Clientes[[#This Row],[Columna1]]="Pago inmediato",Clientes[[#This Row],[Columna1]]=""),0,SUBSTITUTE(Clientes[[#This Row],[Columna1]]," días",""))</f>
        <v>0</v>
      </c>
      <c r="E694" s="34"/>
      <c r="F694"/>
      <c r="G694" s="77"/>
      <c r="I694"/>
      <c r="J694" s="34"/>
      <c r="K694"/>
    </row>
    <row r="695" ht="30" spans="1:11">
      <c r="A695" s="102" t="s">
        <v>1256</v>
      </c>
      <c r="B695" s="102" t="s">
        <v>1257</v>
      </c>
      <c r="C695" s="102" t="s">
        <v>56</v>
      </c>
      <c r="D695" s="99">
        <f>IF(OR(Clientes[[#This Row],[Columna1]]="Pago inmediato",Clientes[[#This Row],[Columna1]]=""),0,SUBSTITUTE(Clientes[[#This Row],[Columna1]]," días",""))</f>
        <v>0</v>
      </c>
      <c r="E695" s="34"/>
      <c r="F695"/>
      <c r="G695" s="77"/>
      <c r="I695"/>
      <c r="J695" s="34"/>
      <c r="K695"/>
    </row>
    <row r="696" ht="45" spans="1:11">
      <c r="A696" s="102" t="s">
        <v>1258</v>
      </c>
      <c r="B696" s="102" t="s">
        <v>1259</v>
      </c>
      <c r="C696" s="102" t="s">
        <v>56</v>
      </c>
      <c r="D696" s="99">
        <f>IF(OR(Clientes[[#This Row],[Columna1]]="Pago inmediato",Clientes[[#This Row],[Columna1]]=""),0,SUBSTITUTE(Clientes[[#This Row],[Columna1]]," días",""))</f>
        <v>0</v>
      </c>
      <c r="E696" s="34"/>
      <c r="F696"/>
      <c r="G696" s="77"/>
      <c r="I696"/>
      <c r="J696" s="34"/>
      <c r="K696"/>
    </row>
    <row r="697" ht="30" spans="1:11">
      <c r="A697" s="102" t="s">
        <v>1260</v>
      </c>
      <c r="B697" s="102" t="s">
        <v>1261</v>
      </c>
      <c r="C697" s="102" t="s">
        <v>454</v>
      </c>
      <c r="D697" s="99" t="str">
        <f>IF(OR(Clientes[[#This Row],[Columna1]]="Pago inmediato",Clientes[[#This Row],[Columna1]]=""),0,SUBSTITUTE(Clientes[[#This Row],[Columna1]]," días",""))</f>
        <v>21</v>
      </c>
      <c r="E697" s="34"/>
      <c r="F697"/>
      <c r="G697" s="77"/>
      <c r="I697"/>
      <c r="J697" s="34"/>
      <c r="K697"/>
    </row>
    <row r="698" ht="30" spans="1:11">
      <c r="A698" s="102" t="s">
        <v>1262</v>
      </c>
      <c r="B698" s="102" t="s">
        <v>1263</v>
      </c>
      <c r="C698" s="102" t="s">
        <v>56</v>
      </c>
      <c r="D698" s="99">
        <f>IF(OR(Clientes[[#This Row],[Columna1]]="Pago inmediato",Clientes[[#This Row],[Columna1]]=""),0,SUBSTITUTE(Clientes[[#This Row],[Columna1]]," días",""))</f>
        <v>0</v>
      </c>
      <c r="E698" s="34"/>
      <c r="F698"/>
      <c r="G698" s="77"/>
      <c r="I698"/>
      <c r="J698" s="34"/>
      <c r="K698"/>
    </row>
    <row r="699" ht="45" spans="1:11">
      <c r="A699" s="102" t="s">
        <v>1264</v>
      </c>
      <c r="B699" s="102" t="s">
        <v>1265</v>
      </c>
      <c r="C699" s="102" t="s">
        <v>56</v>
      </c>
      <c r="D699" s="99">
        <f>IF(OR(Clientes[[#This Row],[Columna1]]="Pago inmediato",Clientes[[#This Row],[Columna1]]=""),0,SUBSTITUTE(Clientes[[#This Row],[Columna1]]," días",""))</f>
        <v>0</v>
      </c>
      <c r="E699" s="34"/>
      <c r="F699"/>
      <c r="G699" s="77"/>
      <c r="I699"/>
      <c r="J699" s="34"/>
      <c r="K699"/>
    </row>
    <row r="700" spans="1:11">
      <c r="A700" s="102" t="s">
        <v>1266</v>
      </c>
      <c r="B700" s="102" t="s">
        <v>1267</v>
      </c>
      <c r="C700" s="102" t="s">
        <v>56</v>
      </c>
      <c r="D700" s="99">
        <f>IF(OR(Clientes[[#This Row],[Columna1]]="Pago inmediato",Clientes[[#This Row],[Columna1]]=""),0,SUBSTITUTE(Clientes[[#This Row],[Columna1]]," días",""))</f>
        <v>0</v>
      </c>
      <c r="E700" s="34"/>
      <c r="F700"/>
      <c r="G700" s="77"/>
      <c r="I700"/>
      <c r="J700" s="34"/>
      <c r="K700"/>
    </row>
    <row r="701" ht="30" spans="1:11">
      <c r="A701" s="102" t="s">
        <v>1268</v>
      </c>
      <c r="B701" s="102" t="s">
        <v>1269</v>
      </c>
      <c r="C701" s="102" t="s">
        <v>56</v>
      </c>
      <c r="D701" s="99">
        <f>IF(OR(Clientes[[#This Row],[Columna1]]="Pago inmediato",Clientes[[#This Row],[Columna1]]=""),0,SUBSTITUTE(Clientes[[#This Row],[Columna1]]," días",""))</f>
        <v>0</v>
      </c>
      <c r="E701" s="34"/>
      <c r="F701"/>
      <c r="G701" s="77"/>
      <c r="I701"/>
      <c r="J701" s="34"/>
      <c r="K701"/>
    </row>
    <row r="702" ht="30" spans="1:11">
      <c r="A702" s="102" t="s">
        <v>1270</v>
      </c>
      <c r="B702" s="102" t="s">
        <v>1271</v>
      </c>
      <c r="C702" s="102" t="s">
        <v>56</v>
      </c>
      <c r="D702" s="99">
        <f>IF(OR(Clientes[[#This Row],[Columna1]]="Pago inmediato",Clientes[[#This Row],[Columna1]]=""),0,SUBSTITUTE(Clientes[[#This Row],[Columna1]]," días",""))</f>
        <v>0</v>
      </c>
      <c r="E702" s="34"/>
      <c r="F702"/>
      <c r="G702" s="77"/>
      <c r="I702"/>
      <c r="J702" s="34"/>
      <c r="K702"/>
    </row>
    <row r="703" ht="30" spans="1:11">
      <c r="A703" s="102" t="s">
        <v>1272</v>
      </c>
      <c r="B703" s="102" t="s">
        <v>1273</v>
      </c>
      <c r="C703" s="102" t="s">
        <v>56</v>
      </c>
      <c r="D703" s="99">
        <f>IF(OR(Clientes[[#This Row],[Columna1]]="Pago inmediato",Clientes[[#This Row],[Columna1]]=""),0,SUBSTITUTE(Clientes[[#This Row],[Columna1]]," días",""))</f>
        <v>0</v>
      </c>
      <c r="E703" s="34"/>
      <c r="F703"/>
      <c r="G703" s="77"/>
      <c r="I703"/>
      <c r="J703" s="34"/>
      <c r="K703"/>
    </row>
    <row r="704" ht="45" spans="1:11">
      <c r="A704" s="102" t="s">
        <v>1274</v>
      </c>
      <c r="B704" s="102" t="s">
        <v>1275</v>
      </c>
      <c r="C704" s="102" t="s">
        <v>56</v>
      </c>
      <c r="D704" s="99">
        <f>IF(OR(Clientes[[#This Row],[Columna1]]="Pago inmediato",Clientes[[#This Row],[Columna1]]=""),0,SUBSTITUTE(Clientes[[#This Row],[Columna1]]," días",""))</f>
        <v>0</v>
      </c>
      <c r="E704" s="34"/>
      <c r="F704"/>
      <c r="G704" s="77"/>
      <c r="I704"/>
      <c r="J704" s="34"/>
      <c r="K704"/>
    </row>
    <row r="705" ht="45" spans="1:11">
      <c r="A705" s="102" t="s">
        <v>1276</v>
      </c>
      <c r="B705" s="102" t="s">
        <v>1277</v>
      </c>
      <c r="C705" s="102" t="s">
        <v>56</v>
      </c>
      <c r="D705" s="99">
        <f>IF(OR(Clientes[[#This Row],[Columna1]]="Pago inmediato",Clientes[[#This Row],[Columna1]]=""),0,SUBSTITUTE(Clientes[[#This Row],[Columna1]]," días",""))</f>
        <v>0</v>
      </c>
      <c r="E705" s="34"/>
      <c r="F705"/>
      <c r="G705" s="77"/>
      <c r="I705"/>
      <c r="J705" s="34"/>
      <c r="K705"/>
    </row>
    <row r="706" ht="60" spans="1:11">
      <c r="A706" s="102" t="s">
        <v>1276</v>
      </c>
      <c r="B706" s="102" t="s">
        <v>1278</v>
      </c>
      <c r="C706" s="102" t="s">
        <v>56</v>
      </c>
      <c r="D706" s="99">
        <f>IF(OR(Clientes[[#This Row],[Columna1]]="Pago inmediato",Clientes[[#This Row],[Columna1]]=""),0,SUBSTITUTE(Clientes[[#This Row],[Columna1]]," días",""))</f>
        <v>0</v>
      </c>
      <c r="E706" s="34"/>
      <c r="F706"/>
      <c r="G706" s="77"/>
      <c r="I706"/>
      <c r="J706" s="34"/>
      <c r="K706"/>
    </row>
    <row r="707" ht="60" spans="1:11">
      <c r="A707" s="102" t="s">
        <v>1276</v>
      </c>
      <c r="B707" s="102" t="s">
        <v>1279</v>
      </c>
      <c r="C707" s="102" t="s">
        <v>56</v>
      </c>
      <c r="D707" s="99">
        <f>IF(OR(Clientes[[#This Row],[Columna1]]="Pago inmediato",Clientes[[#This Row],[Columna1]]=""),0,SUBSTITUTE(Clientes[[#This Row],[Columna1]]," días",""))</f>
        <v>0</v>
      </c>
      <c r="E707" s="34"/>
      <c r="F707"/>
      <c r="G707" s="77"/>
      <c r="I707"/>
      <c r="J707" s="34"/>
      <c r="K707"/>
    </row>
    <row r="708" ht="45" spans="1:11">
      <c r="A708" s="102" t="s">
        <v>1280</v>
      </c>
      <c r="B708" s="102" t="s">
        <v>1281</v>
      </c>
      <c r="C708" s="102" t="s">
        <v>61</v>
      </c>
      <c r="D708" s="99" t="str">
        <f>IF(OR(Clientes[[#This Row],[Columna1]]="Pago inmediato",Clientes[[#This Row],[Columna1]]=""),0,SUBSTITUTE(Clientes[[#This Row],[Columna1]]," días",""))</f>
        <v>15</v>
      </c>
      <c r="E708" s="34"/>
      <c r="F708"/>
      <c r="G708" s="77"/>
      <c r="I708"/>
      <c r="J708" s="34"/>
      <c r="K708"/>
    </row>
    <row r="709" ht="45" spans="1:11">
      <c r="A709" s="102" t="s">
        <v>1282</v>
      </c>
      <c r="B709" s="102" t="s">
        <v>1283</v>
      </c>
      <c r="C709" s="102" t="s">
        <v>56</v>
      </c>
      <c r="D709" s="99">
        <f>IF(OR(Clientes[[#This Row],[Columna1]]="Pago inmediato",Clientes[[#This Row],[Columna1]]=""),0,SUBSTITUTE(Clientes[[#This Row],[Columna1]]," días",""))</f>
        <v>0</v>
      </c>
      <c r="E709" s="34"/>
      <c r="F709"/>
      <c r="G709" s="77"/>
      <c r="I709"/>
      <c r="J709" s="34"/>
      <c r="K709"/>
    </row>
    <row r="710" ht="45" spans="1:11">
      <c r="A710" s="102" t="s">
        <v>1284</v>
      </c>
      <c r="B710" s="102" t="s">
        <v>1285</v>
      </c>
      <c r="C710" s="102" t="s">
        <v>56</v>
      </c>
      <c r="D710" s="99">
        <f>IF(OR(Clientes[[#This Row],[Columna1]]="Pago inmediato",Clientes[[#This Row],[Columna1]]=""),0,SUBSTITUTE(Clientes[[#This Row],[Columna1]]," días",""))</f>
        <v>0</v>
      </c>
      <c r="E710" s="34"/>
      <c r="F710"/>
      <c r="G710" s="77"/>
      <c r="I710"/>
      <c r="J710" s="34"/>
      <c r="K710"/>
    </row>
    <row r="711" spans="1:11">
      <c r="A711" s="102" t="s">
        <v>1286</v>
      </c>
      <c r="B711" s="102" t="s">
        <v>1287</v>
      </c>
      <c r="C711" s="102" t="s">
        <v>56</v>
      </c>
      <c r="D711" s="99">
        <f>IF(OR(Clientes[[#This Row],[Columna1]]="Pago inmediato",Clientes[[#This Row],[Columna1]]=""),0,SUBSTITUTE(Clientes[[#This Row],[Columna1]]," días",""))</f>
        <v>0</v>
      </c>
      <c r="E711" s="34"/>
      <c r="F711"/>
      <c r="G711" s="77"/>
      <c r="I711"/>
      <c r="J711" s="34"/>
      <c r="K711"/>
    </row>
    <row r="712" spans="1:11">
      <c r="A712" s="102" t="s">
        <v>1288</v>
      </c>
      <c r="B712" s="102" t="s">
        <v>1289</v>
      </c>
      <c r="C712" s="102" t="s">
        <v>56</v>
      </c>
      <c r="D712" s="99">
        <f>IF(OR(Clientes[[#This Row],[Columna1]]="Pago inmediato",Clientes[[#This Row],[Columna1]]=""),0,SUBSTITUTE(Clientes[[#This Row],[Columna1]]," días",""))</f>
        <v>0</v>
      </c>
      <c r="E712" s="34"/>
      <c r="F712"/>
      <c r="G712" s="77"/>
      <c r="I712"/>
      <c r="J712" s="34"/>
      <c r="K712"/>
    </row>
    <row r="713" spans="1:11">
      <c r="A713" s="102"/>
      <c r="B713" s="102" t="s">
        <v>1290</v>
      </c>
      <c r="C713" s="102"/>
      <c r="D713" s="99">
        <f>IF(OR(Clientes[[#This Row],[Columna1]]="Pago inmediato",Clientes[[#This Row],[Columna1]]=""),0,SUBSTITUTE(Clientes[[#This Row],[Columna1]]," días",""))</f>
        <v>0</v>
      </c>
      <c r="E713" s="34"/>
      <c r="F713"/>
      <c r="G713" s="77"/>
      <c r="I713"/>
      <c r="J713" s="34"/>
      <c r="K713"/>
    </row>
    <row r="714" ht="45" spans="1:11">
      <c r="A714" s="102" t="s">
        <v>1291</v>
      </c>
      <c r="B714" s="102" t="s">
        <v>1292</v>
      </c>
      <c r="C714" s="102" t="s">
        <v>56</v>
      </c>
      <c r="D714" s="99">
        <f>IF(OR(Clientes[[#This Row],[Columna1]]="Pago inmediato",Clientes[[#This Row],[Columna1]]=""),0,SUBSTITUTE(Clientes[[#This Row],[Columna1]]," días",""))</f>
        <v>0</v>
      </c>
      <c r="E714" s="34"/>
      <c r="F714"/>
      <c r="G714" s="77"/>
      <c r="I714"/>
      <c r="J714" s="34"/>
      <c r="K714"/>
    </row>
    <row r="715" ht="30" spans="1:11">
      <c r="A715" s="102" t="s">
        <v>1293</v>
      </c>
      <c r="B715" s="102" t="s">
        <v>1294</v>
      </c>
      <c r="C715" s="102" t="s">
        <v>61</v>
      </c>
      <c r="D715" s="99" t="str">
        <f>IF(OR(Clientes[[#This Row],[Columna1]]="Pago inmediato",Clientes[[#This Row],[Columna1]]=""),0,SUBSTITUTE(Clientes[[#This Row],[Columna1]]," días",""))</f>
        <v>15</v>
      </c>
      <c r="E715" s="34"/>
      <c r="F715"/>
      <c r="G715" s="77"/>
      <c r="I715"/>
      <c r="J715" s="34"/>
      <c r="K715"/>
    </row>
    <row r="716" spans="1:11">
      <c r="A716" s="102" t="s">
        <v>1295</v>
      </c>
      <c r="B716" s="102" t="s">
        <v>1296</v>
      </c>
      <c r="C716" s="102" t="s">
        <v>56</v>
      </c>
      <c r="D716" s="99">
        <f>IF(OR(Clientes[[#This Row],[Columna1]]="Pago inmediato",Clientes[[#This Row],[Columna1]]=""),0,SUBSTITUTE(Clientes[[#This Row],[Columna1]]," días",""))</f>
        <v>0</v>
      </c>
      <c r="E716" s="34"/>
      <c r="F716"/>
      <c r="G716" s="77"/>
      <c r="I716"/>
      <c r="J716" s="34"/>
      <c r="K716"/>
    </row>
    <row r="717" spans="1:11">
      <c r="A717" s="102"/>
      <c r="B717" s="102" t="s">
        <v>1297</v>
      </c>
      <c r="C717" s="102" t="s">
        <v>56</v>
      </c>
      <c r="D717" s="99">
        <f>IF(OR(Clientes[[#This Row],[Columna1]]="Pago inmediato",Clientes[[#This Row],[Columna1]]=""),0,SUBSTITUTE(Clientes[[#This Row],[Columna1]]," días",""))</f>
        <v>0</v>
      </c>
      <c r="E717" s="34"/>
      <c r="F717"/>
      <c r="G717" s="77"/>
      <c r="I717"/>
      <c r="J717" s="34"/>
      <c r="K717"/>
    </row>
    <row r="718" spans="1:11">
      <c r="A718" s="102" t="s">
        <v>1298</v>
      </c>
      <c r="B718" s="102" t="s">
        <v>1299</v>
      </c>
      <c r="C718" s="102" t="s">
        <v>56</v>
      </c>
      <c r="D718" s="99">
        <f>IF(OR(Clientes[[#This Row],[Columna1]]="Pago inmediato",Clientes[[#This Row],[Columna1]]=""),0,SUBSTITUTE(Clientes[[#This Row],[Columna1]]," días",""))</f>
        <v>0</v>
      </c>
      <c r="E718" s="34"/>
      <c r="F718"/>
      <c r="G718" s="77"/>
      <c r="I718"/>
      <c r="J718" s="34"/>
      <c r="K718"/>
    </row>
    <row r="719" spans="1:11">
      <c r="A719" s="102" t="s">
        <v>1300</v>
      </c>
      <c r="B719" s="102" t="s">
        <v>1301</v>
      </c>
      <c r="C719" s="102" t="s">
        <v>56</v>
      </c>
      <c r="D719" s="99">
        <f>IF(OR(Clientes[[#This Row],[Columna1]]="Pago inmediato",Clientes[[#This Row],[Columna1]]=""),0,SUBSTITUTE(Clientes[[#This Row],[Columna1]]," días",""))</f>
        <v>0</v>
      </c>
      <c r="E719" s="34"/>
      <c r="F719"/>
      <c r="G719" s="77"/>
      <c r="I719"/>
      <c r="J719" s="34"/>
      <c r="K719"/>
    </row>
    <row r="720" ht="30" spans="1:11">
      <c r="A720" s="102" t="s">
        <v>1302</v>
      </c>
      <c r="B720" s="102" t="s">
        <v>1303</v>
      </c>
      <c r="C720" s="102" t="s">
        <v>56</v>
      </c>
      <c r="D720" s="99">
        <f>IF(OR(Clientes[[#This Row],[Columna1]]="Pago inmediato",Clientes[[#This Row],[Columna1]]=""),0,SUBSTITUTE(Clientes[[#This Row],[Columna1]]," días",""))</f>
        <v>0</v>
      </c>
      <c r="E720" s="34"/>
      <c r="F720"/>
      <c r="G720" s="77"/>
      <c r="I720"/>
      <c r="J720" s="34"/>
      <c r="K720"/>
    </row>
    <row r="721" spans="1:11">
      <c r="A721" s="102" t="s">
        <v>1304</v>
      </c>
      <c r="B721" s="102" t="s">
        <v>1305</v>
      </c>
      <c r="C721" s="102" t="s">
        <v>56</v>
      </c>
      <c r="D721" s="99">
        <f>IF(OR(Clientes[[#This Row],[Columna1]]="Pago inmediato",Clientes[[#This Row],[Columna1]]=""),0,SUBSTITUTE(Clientes[[#This Row],[Columna1]]," días",""))</f>
        <v>0</v>
      </c>
      <c r="E721" s="34"/>
      <c r="F721"/>
      <c r="G721" s="77"/>
      <c r="I721"/>
      <c r="J721" s="34"/>
      <c r="K721"/>
    </row>
    <row r="722" spans="1:11">
      <c r="A722" s="102" t="s">
        <v>1306</v>
      </c>
      <c r="B722" s="102" t="s">
        <v>1307</v>
      </c>
      <c r="C722" s="102" t="s">
        <v>56</v>
      </c>
      <c r="D722" s="99">
        <f>IF(OR(Clientes[[#This Row],[Columna1]]="Pago inmediato",Clientes[[#This Row],[Columna1]]=""),0,SUBSTITUTE(Clientes[[#This Row],[Columna1]]," días",""))</f>
        <v>0</v>
      </c>
      <c r="E722" s="34"/>
      <c r="F722"/>
      <c r="G722" s="77"/>
      <c r="I722"/>
      <c r="J722" s="34"/>
      <c r="K722"/>
    </row>
    <row r="723" ht="30" spans="1:11">
      <c r="A723" s="102" t="s">
        <v>1308</v>
      </c>
      <c r="B723" s="102" t="s">
        <v>1309</v>
      </c>
      <c r="C723" s="102" t="s">
        <v>56</v>
      </c>
      <c r="D723" s="99">
        <f>IF(OR(Clientes[[#This Row],[Columna1]]="Pago inmediato",Clientes[[#This Row],[Columna1]]=""),0,SUBSTITUTE(Clientes[[#This Row],[Columna1]]," días",""))</f>
        <v>0</v>
      </c>
      <c r="E723" s="34"/>
      <c r="F723"/>
      <c r="G723" s="77"/>
      <c r="I723"/>
      <c r="J723" s="34"/>
      <c r="K723"/>
    </row>
    <row r="724" ht="30" spans="1:11">
      <c r="A724" s="102" t="s">
        <v>1308</v>
      </c>
      <c r="B724" s="102" t="s">
        <v>1310</v>
      </c>
      <c r="C724" s="102" t="s">
        <v>56</v>
      </c>
      <c r="D724" s="99">
        <f>IF(OR(Clientes[[#This Row],[Columna1]]="Pago inmediato",Clientes[[#This Row],[Columna1]]=""),0,SUBSTITUTE(Clientes[[#This Row],[Columna1]]," días",""))</f>
        <v>0</v>
      </c>
      <c r="E724" s="34"/>
      <c r="F724"/>
      <c r="G724" s="77"/>
      <c r="I724"/>
      <c r="J724" s="34"/>
      <c r="K724"/>
    </row>
    <row r="725" spans="1:11">
      <c r="A725" s="102" t="s">
        <v>1311</v>
      </c>
      <c r="B725" s="102" t="s">
        <v>1312</v>
      </c>
      <c r="C725" s="102" t="s">
        <v>61</v>
      </c>
      <c r="D725" s="99" t="str">
        <f>IF(OR(Clientes[[#This Row],[Columna1]]="Pago inmediato",Clientes[[#This Row],[Columna1]]=""),0,SUBSTITUTE(Clientes[[#This Row],[Columna1]]," días",""))</f>
        <v>15</v>
      </c>
      <c r="E725" s="34"/>
      <c r="F725"/>
      <c r="G725" s="77"/>
      <c r="I725"/>
      <c r="J725" s="34"/>
      <c r="K725"/>
    </row>
    <row r="726" spans="1:11">
      <c r="A726" s="102" t="s">
        <v>1313</v>
      </c>
      <c r="B726" s="102" t="s">
        <v>1314</v>
      </c>
      <c r="C726" s="102" t="s">
        <v>56</v>
      </c>
      <c r="D726" s="99">
        <f>IF(OR(Clientes[[#This Row],[Columna1]]="Pago inmediato",Clientes[[#This Row],[Columna1]]=""),0,SUBSTITUTE(Clientes[[#This Row],[Columna1]]," días",""))</f>
        <v>0</v>
      </c>
      <c r="E726" s="34"/>
      <c r="F726"/>
      <c r="G726" s="77"/>
      <c r="I726"/>
      <c r="J726" s="34"/>
      <c r="K726"/>
    </row>
    <row r="727" ht="30" spans="1:11">
      <c r="A727" s="102" t="s">
        <v>1315</v>
      </c>
      <c r="B727" s="102" t="s">
        <v>1316</v>
      </c>
      <c r="C727" s="102" t="s">
        <v>56</v>
      </c>
      <c r="D727" s="99">
        <f>IF(OR(Clientes[[#This Row],[Columna1]]="Pago inmediato",Clientes[[#This Row],[Columna1]]=""),0,SUBSTITUTE(Clientes[[#This Row],[Columna1]]," días",""))</f>
        <v>0</v>
      </c>
      <c r="E727" s="34"/>
      <c r="F727"/>
      <c r="G727" s="77"/>
      <c r="I727"/>
      <c r="J727" s="34"/>
      <c r="K727"/>
    </row>
    <row r="728" ht="30" spans="1:11">
      <c r="A728" s="102" t="s">
        <v>1317</v>
      </c>
      <c r="B728" s="102" t="s">
        <v>1318</v>
      </c>
      <c r="C728" s="102" t="s">
        <v>56</v>
      </c>
      <c r="D728" s="99">
        <f>IF(OR(Clientes[[#This Row],[Columna1]]="Pago inmediato",Clientes[[#This Row],[Columna1]]=""),0,SUBSTITUTE(Clientes[[#This Row],[Columna1]]," días",""))</f>
        <v>0</v>
      </c>
      <c r="E728" s="34"/>
      <c r="F728"/>
      <c r="G728" s="77"/>
      <c r="I728"/>
      <c r="J728" s="34"/>
      <c r="K728"/>
    </row>
    <row r="729" ht="30" spans="1:11">
      <c r="A729" s="102" t="s">
        <v>1319</v>
      </c>
      <c r="B729" s="102" t="s">
        <v>1320</v>
      </c>
      <c r="C729" s="102" t="s">
        <v>56</v>
      </c>
      <c r="D729" s="99">
        <f>IF(OR(Clientes[[#This Row],[Columna1]]="Pago inmediato",Clientes[[#This Row],[Columna1]]=""),0,SUBSTITUTE(Clientes[[#This Row],[Columna1]]," días",""))</f>
        <v>0</v>
      </c>
      <c r="E729" s="34"/>
      <c r="F729"/>
      <c r="G729" s="77"/>
      <c r="I729"/>
      <c r="J729" s="34"/>
      <c r="K729"/>
    </row>
    <row r="730" spans="1:11">
      <c r="A730" s="102" t="s">
        <v>1321</v>
      </c>
      <c r="B730" s="102" t="s">
        <v>1322</v>
      </c>
      <c r="C730" s="102" t="s">
        <v>56</v>
      </c>
      <c r="D730" s="99">
        <f>IF(OR(Clientes[[#This Row],[Columna1]]="Pago inmediato",Clientes[[#This Row],[Columna1]]=""),0,SUBSTITUTE(Clientes[[#This Row],[Columna1]]," días",""))</f>
        <v>0</v>
      </c>
      <c r="E730" s="34"/>
      <c r="F730"/>
      <c r="G730" s="77"/>
      <c r="I730"/>
      <c r="J730" s="34"/>
      <c r="K730"/>
    </row>
    <row r="731" spans="1:11">
      <c r="A731" s="102" t="s">
        <v>1323</v>
      </c>
      <c r="B731" s="102" t="s">
        <v>1324</v>
      </c>
      <c r="C731" s="102" t="s">
        <v>56</v>
      </c>
      <c r="D731" s="99">
        <f>IF(OR(Clientes[[#This Row],[Columna1]]="Pago inmediato",Clientes[[#This Row],[Columna1]]=""),0,SUBSTITUTE(Clientes[[#This Row],[Columna1]]," días",""))</f>
        <v>0</v>
      </c>
      <c r="E731" s="34"/>
      <c r="F731"/>
      <c r="G731" s="77"/>
      <c r="I731"/>
      <c r="J731" s="34"/>
      <c r="K731"/>
    </row>
    <row r="732" spans="1:11">
      <c r="A732" s="102" t="s">
        <v>1325</v>
      </c>
      <c r="B732" s="102" t="s">
        <v>1326</v>
      </c>
      <c r="C732" s="102" t="s">
        <v>56</v>
      </c>
      <c r="D732" s="99">
        <f>IF(OR(Clientes[[#This Row],[Columna1]]="Pago inmediato",Clientes[[#This Row],[Columna1]]=""),0,SUBSTITUTE(Clientes[[#This Row],[Columna1]]," días",""))</f>
        <v>0</v>
      </c>
      <c r="E732" s="34"/>
      <c r="F732"/>
      <c r="G732" s="77"/>
      <c r="I732"/>
      <c r="J732" s="34"/>
      <c r="K732"/>
    </row>
    <row r="733" ht="45" spans="1:11">
      <c r="A733" s="102" t="s">
        <v>1327</v>
      </c>
      <c r="B733" s="102" t="s">
        <v>1328</v>
      </c>
      <c r="C733" s="102" t="s">
        <v>56</v>
      </c>
      <c r="D733" s="99">
        <f>IF(OR(Clientes[[#This Row],[Columna1]]="Pago inmediato",Clientes[[#This Row],[Columna1]]=""),0,SUBSTITUTE(Clientes[[#This Row],[Columna1]]," días",""))</f>
        <v>0</v>
      </c>
      <c r="E733" s="34"/>
      <c r="F733"/>
      <c r="G733" s="77"/>
      <c r="I733"/>
      <c r="J733" s="34"/>
      <c r="K733"/>
    </row>
    <row r="734" spans="1:11">
      <c r="A734" s="102" t="s">
        <v>1329</v>
      </c>
      <c r="B734" s="102" t="s">
        <v>1330</v>
      </c>
      <c r="C734" s="102" t="s">
        <v>56</v>
      </c>
      <c r="D734" s="99">
        <f>IF(OR(Clientes[[#This Row],[Columna1]]="Pago inmediato",Clientes[[#This Row],[Columna1]]=""),0,SUBSTITUTE(Clientes[[#This Row],[Columna1]]," días",""))</f>
        <v>0</v>
      </c>
      <c r="E734" s="34"/>
      <c r="F734"/>
      <c r="G734" s="77"/>
      <c r="I734"/>
      <c r="J734" s="34"/>
      <c r="K734"/>
    </row>
    <row r="735" spans="1:11">
      <c r="A735" s="102" t="s">
        <v>1331</v>
      </c>
      <c r="B735" s="102" t="s">
        <v>1332</v>
      </c>
      <c r="C735" s="102" t="s">
        <v>56</v>
      </c>
      <c r="D735" s="99">
        <f>IF(OR(Clientes[[#This Row],[Columna1]]="Pago inmediato",Clientes[[#This Row],[Columna1]]=""),0,SUBSTITUTE(Clientes[[#This Row],[Columna1]]," días",""))</f>
        <v>0</v>
      </c>
      <c r="E735" s="34"/>
      <c r="F735"/>
      <c r="G735" s="77"/>
      <c r="I735"/>
      <c r="J735" s="34"/>
      <c r="K735"/>
    </row>
    <row r="736" ht="30" spans="1:11">
      <c r="A736" s="102" t="s">
        <v>1333</v>
      </c>
      <c r="B736" s="102" t="s">
        <v>1334</v>
      </c>
      <c r="C736" s="102" t="s">
        <v>56</v>
      </c>
      <c r="D736" s="99">
        <f>IF(OR(Clientes[[#This Row],[Columna1]]="Pago inmediato",Clientes[[#This Row],[Columna1]]=""),0,SUBSTITUTE(Clientes[[#This Row],[Columna1]]," días",""))</f>
        <v>0</v>
      </c>
      <c r="E736" s="34"/>
      <c r="F736"/>
      <c r="G736" s="77"/>
      <c r="I736"/>
      <c r="J736" s="34"/>
      <c r="K736"/>
    </row>
    <row r="737" ht="30" spans="1:11">
      <c r="A737" s="102" t="s">
        <v>1335</v>
      </c>
      <c r="B737" s="102" t="s">
        <v>1336</v>
      </c>
      <c r="C737" s="102" t="s">
        <v>56</v>
      </c>
      <c r="D737" s="99">
        <f>IF(OR(Clientes[[#This Row],[Columna1]]="Pago inmediato",Clientes[[#This Row],[Columna1]]=""),0,SUBSTITUTE(Clientes[[#This Row],[Columna1]]," días",""))</f>
        <v>0</v>
      </c>
      <c r="E737" s="34"/>
      <c r="F737"/>
      <c r="G737" s="77"/>
      <c r="I737"/>
      <c r="J737" s="34"/>
      <c r="K737"/>
    </row>
    <row r="738" ht="60" spans="1:11">
      <c r="A738" s="102" t="s">
        <v>1337</v>
      </c>
      <c r="B738" s="102" t="s">
        <v>1338</v>
      </c>
      <c r="C738" s="102" t="s">
        <v>56</v>
      </c>
      <c r="D738" s="99">
        <f>IF(OR(Clientes[[#This Row],[Columna1]]="Pago inmediato",Clientes[[#This Row],[Columna1]]=""),0,SUBSTITUTE(Clientes[[#This Row],[Columna1]]," días",""))</f>
        <v>0</v>
      </c>
      <c r="E738" s="34"/>
      <c r="F738"/>
      <c r="G738" s="77"/>
      <c r="I738"/>
      <c r="J738" s="34"/>
      <c r="K738"/>
    </row>
    <row r="739" ht="45" spans="1:11">
      <c r="A739" s="102" t="s">
        <v>1339</v>
      </c>
      <c r="B739" s="102" t="s">
        <v>1340</v>
      </c>
      <c r="C739" s="102" t="s">
        <v>56</v>
      </c>
      <c r="D739" s="99">
        <f>IF(OR(Clientes[[#This Row],[Columna1]]="Pago inmediato",Clientes[[#This Row],[Columna1]]=""),0,SUBSTITUTE(Clientes[[#This Row],[Columna1]]," días",""))</f>
        <v>0</v>
      </c>
      <c r="E739" s="34"/>
      <c r="F739"/>
      <c r="G739" s="77"/>
      <c r="I739"/>
      <c r="J739" s="34"/>
      <c r="K739"/>
    </row>
    <row r="740" ht="30" spans="1:11">
      <c r="A740" s="102" t="s">
        <v>1341</v>
      </c>
      <c r="B740" s="102" t="s">
        <v>1342</v>
      </c>
      <c r="C740" s="102" t="s">
        <v>56</v>
      </c>
      <c r="D740" s="99">
        <f>IF(OR(Clientes[[#This Row],[Columna1]]="Pago inmediato",Clientes[[#This Row],[Columna1]]=""),0,SUBSTITUTE(Clientes[[#This Row],[Columna1]]," días",""))</f>
        <v>0</v>
      </c>
      <c r="E740" s="34"/>
      <c r="F740"/>
      <c r="G740" s="77"/>
      <c r="I740"/>
      <c r="J740" s="34"/>
      <c r="K740"/>
    </row>
    <row r="741" ht="30" spans="1:11">
      <c r="A741" s="102" t="s">
        <v>1343</v>
      </c>
      <c r="B741" s="102" t="s">
        <v>1344</v>
      </c>
      <c r="C741" s="102" t="s">
        <v>56</v>
      </c>
      <c r="D741" s="99">
        <f>IF(OR(Clientes[[#This Row],[Columna1]]="Pago inmediato",Clientes[[#This Row],[Columna1]]=""),0,SUBSTITUTE(Clientes[[#This Row],[Columna1]]," días",""))</f>
        <v>0</v>
      </c>
      <c r="E741" s="34"/>
      <c r="F741"/>
      <c r="G741" s="77"/>
      <c r="I741"/>
      <c r="J741" s="34"/>
      <c r="K741"/>
    </row>
    <row r="742" spans="1:11">
      <c r="A742" s="102" t="s">
        <v>1345</v>
      </c>
      <c r="B742" s="102" t="s">
        <v>20</v>
      </c>
      <c r="C742" s="102"/>
      <c r="D742" s="99">
        <f>IF(OR(Clientes[[#This Row],[Columna1]]="Pago inmediato",Clientes[[#This Row],[Columna1]]=""),0,SUBSTITUTE(Clientes[[#This Row],[Columna1]]," días",""))</f>
        <v>0</v>
      </c>
      <c r="E742" s="34"/>
      <c r="F742"/>
      <c r="G742" s="77"/>
      <c r="I742"/>
      <c r="J742" s="34"/>
      <c r="K742"/>
    </row>
    <row r="743" ht="30" spans="1:11">
      <c r="A743" s="102" t="s">
        <v>1346</v>
      </c>
      <c r="B743" s="102" t="s">
        <v>1347</v>
      </c>
      <c r="C743" s="102" t="s">
        <v>56</v>
      </c>
      <c r="D743" s="99">
        <f>IF(OR(Clientes[[#This Row],[Columna1]]="Pago inmediato",Clientes[[#This Row],[Columna1]]=""),0,SUBSTITUTE(Clientes[[#This Row],[Columna1]]," días",""))</f>
        <v>0</v>
      </c>
      <c r="E743" s="34"/>
      <c r="F743"/>
      <c r="G743" s="77"/>
      <c r="I743"/>
      <c r="J743" s="34"/>
      <c r="K743"/>
    </row>
    <row r="744" spans="1:11">
      <c r="A744" s="102" t="s">
        <v>1348</v>
      </c>
      <c r="B744" s="102" t="s">
        <v>1349</v>
      </c>
      <c r="C744" s="102" t="s">
        <v>56</v>
      </c>
      <c r="D744" s="99">
        <f>IF(OR(Clientes[[#This Row],[Columna1]]="Pago inmediato",Clientes[[#This Row],[Columna1]]=""),0,SUBSTITUTE(Clientes[[#This Row],[Columna1]]," días",""))</f>
        <v>0</v>
      </c>
      <c r="E744" s="34"/>
      <c r="F744"/>
      <c r="G744" s="77"/>
      <c r="I744"/>
      <c r="J744" s="34"/>
      <c r="K744"/>
    </row>
    <row r="745" spans="1:11">
      <c r="A745" s="102" t="s">
        <v>1350</v>
      </c>
      <c r="B745" s="102" t="s">
        <v>1351</v>
      </c>
      <c r="C745" s="102" t="s">
        <v>56</v>
      </c>
      <c r="D745" s="99">
        <f>IF(OR(Clientes[[#This Row],[Columna1]]="Pago inmediato",Clientes[[#This Row],[Columna1]]=""),0,SUBSTITUTE(Clientes[[#This Row],[Columna1]]," días",""))</f>
        <v>0</v>
      </c>
      <c r="E745" s="34"/>
      <c r="F745"/>
      <c r="G745" s="77"/>
      <c r="I745"/>
      <c r="J745" s="34"/>
      <c r="K745"/>
    </row>
    <row r="746" ht="30" spans="1:11">
      <c r="A746" s="102" t="s">
        <v>1352</v>
      </c>
      <c r="B746" s="102" t="s">
        <v>1353</v>
      </c>
      <c r="C746" s="102" t="s">
        <v>56</v>
      </c>
      <c r="D746" s="99">
        <f>IF(OR(Clientes[[#This Row],[Columna1]]="Pago inmediato",Clientes[[#This Row],[Columna1]]=""),0,SUBSTITUTE(Clientes[[#This Row],[Columna1]]," días",""))</f>
        <v>0</v>
      </c>
      <c r="E746" s="34"/>
      <c r="F746"/>
      <c r="G746" s="77"/>
      <c r="I746"/>
      <c r="J746" s="34"/>
      <c r="K746"/>
    </row>
    <row r="747" ht="30" spans="1:11">
      <c r="A747" s="102" t="s">
        <v>1354</v>
      </c>
      <c r="B747" s="102" t="s">
        <v>1355</v>
      </c>
      <c r="C747" s="102" t="s">
        <v>56</v>
      </c>
      <c r="D747" s="99">
        <f>IF(OR(Clientes[[#This Row],[Columna1]]="Pago inmediato",Clientes[[#This Row],[Columna1]]=""),0,SUBSTITUTE(Clientes[[#This Row],[Columna1]]," días",""))</f>
        <v>0</v>
      </c>
      <c r="E747" s="34"/>
      <c r="F747"/>
      <c r="G747" s="77"/>
      <c r="I747"/>
      <c r="J747" s="34"/>
      <c r="K747"/>
    </row>
    <row r="748" ht="30" spans="1:11">
      <c r="A748" s="102" t="s">
        <v>1356</v>
      </c>
      <c r="B748" s="102" t="s">
        <v>1357</v>
      </c>
      <c r="C748" s="102" t="s">
        <v>56</v>
      </c>
      <c r="D748" s="99">
        <f>IF(OR(Clientes[[#This Row],[Columna1]]="Pago inmediato",Clientes[[#This Row],[Columna1]]=""),0,SUBSTITUTE(Clientes[[#This Row],[Columna1]]," días",""))</f>
        <v>0</v>
      </c>
      <c r="E748" s="34"/>
      <c r="F748"/>
      <c r="G748" s="77"/>
      <c r="I748"/>
      <c r="J748" s="34"/>
      <c r="K748"/>
    </row>
    <row r="749" ht="30" spans="1:11">
      <c r="A749" s="102" t="s">
        <v>1358</v>
      </c>
      <c r="B749" s="102" t="s">
        <v>1359</v>
      </c>
      <c r="C749" s="102" t="s">
        <v>56</v>
      </c>
      <c r="D749" s="99">
        <f>IF(OR(Clientes[[#This Row],[Columna1]]="Pago inmediato",Clientes[[#This Row],[Columna1]]=""),0,SUBSTITUTE(Clientes[[#This Row],[Columna1]]," días",""))</f>
        <v>0</v>
      </c>
      <c r="E749" s="34"/>
      <c r="F749"/>
      <c r="G749" s="77"/>
      <c r="I749"/>
      <c r="J749" s="34"/>
      <c r="K749"/>
    </row>
    <row r="750" ht="30" spans="1:11">
      <c r="A750" s="102" t="s">
        <v>1360</v>
      </c>
      <c r="B750" s="102" t="s">
        <v>1361</v>
      </c>
      <c r="C750" s="102" t="s">
        <v>56</v>
      </c>
      <c r="D750" s="99">
        <f>IF(OR(Clientes[[#This Row],[Columna1]]="Pago inmediato",Clientes[[#This Row],[Columna1]]=""),0,SUBSTITUTE(Clientes[[#This Row],[Columna1]]," días",""))</f>
        <v>0</v>
      </c>
      <c r="E750" s="34"/>
      <c r="F750"/>
      <c r="G750" s="77"/>
      <c r="I750"/>
      <c r="J750" s="34"/>
      <c r="K750"/>
    </row>
    <row r="751" spans="1:11">
      <c r="A751" s="102" t="s">
        <v>1362</v>
      </c>
      <c r="B751" s="102" t="s">
        <v>1363</v>
      </c>
      <c r="C751" s="102" t="s">
        <v>454</v>
      </c>
      <c r="D751" s="99" t="str">
        <f>IF(OR(Clientes[[#This Row],[Columna1]]="Pago inmediato",Clientes[[#This Row],[Columna1]]=""),0,SUBSTITUTE(Clientes[[#This Row],[Columna1]]," días",""))</f>
        <v>21</v>
      </c>
      <c r="E751" s="34"/>
      <c r="F751"/>
      <c r="G751" s="77"/>
      <c r="I751"/>
      <c r="J751" s="34"/>
      <c r="K751"/>
    </row>
    <row r="752" ht="30" spans="1:11">
      <c r="A752" s="102" t="s">
        <v>1364</v>
      </c>
      <c r="B752" s="102" t="s">
        <v>1365</v>
      </c>
      <c r="C752" s="102" t="s">
        <v>56</v>
      </c>
      <c r="D752" s="99">
        <f>IF(OR(Clientes[[#This Row],[Columna1]]="Pago inmediato",Clientes[[#This Row],[Columna1]]=""),0,SUBSTITUTE(Clientes[[#This Row],[Columna1]]," días",""))</f>
        <v>0</v>
      </c>
      <c r="E752" s="34"/>
      <c r="F752"/>
      <c r="G752" s="77"/>
      <c r="I752"/>
      <c r="J752" s="34"/>
      <c r="K752"/>
    </row>
    <row r="753" ht="30" spans="1:11">
      <c r="A753" s="102" t="s">
        <v>1366</v>
      </c>
      <c r="B753" s="102" t="s">
        <v>1367</v>
      </c>
      <c r="C753" s="102" t="s">
        <v>56</v>
      </c>
      <c r="D753" s="99">
        <f>IF(OR(Clientes[[#This Row],[Columna1]]="Pago inmediato",Clientes[[#This Row],[Columna1]]=""),0,SUBSTITUTE(Clientes[[#This Row],[Columna1]]," días",""))</f>
        <v>0</v>
      </c>
      <c r="E753" s="34"/>
      <c r="F753"/>
      <c r="G753" s="77"/>
      <c r="I753"/>
      <c r="J753" s="34"/>
      <c r="K753"/>
    </row>
    <row r="754" ht="30" spans="1:11">
      <c r="A754" s="102" t="s">
        <v>1368</v>
      </c>
      <c r="B754" s="102" t="s">
        <v>1369</v>
      </c>
      <c r="C754" s="102" t="s">
        <v>56</v>
      </c>
      <c r="D754" s="99">
        <f>IF(OR(Clientes[[#This Row],[Columna1]]="Pago inmediato",Clientes[[#This Row],[Columna1]]=""),0,SUBSTITUTE(Clientes[[#This Row],[Columna1]]," días",""))</f>
        <v>0</v>
      </c>
      <c r="E754" s="34"/>
      <c r="F754"/>
      <c r="G754" s="77"/>
      <c r="I754"/>
      <c r="J754" s="34"/>
      <c r="K754"/>
    </row>
    <row r="755" spans="1:11">
      <c r="A755" s="102" t="s">
        <v>1370</v>
      </c>
      <c r="B755" s="102" t="s">
        <v>1371</v>
      </c>
      <c r="C755" s="102" t="s">
        <v>56</v>
      </c>
      <c r="D755" s="99">
        <f>IF(OR(Clientes[[#This Row],[Columna1]]="Pago inmediato",Clientes[[#This Row],[Columna1]]=""),0,SUBSTITUTE(Clientes[[#This Row],[Columna1]]," días",""))</f>
        <v>0</v>
      </c>
      <c r="E755" s="34"/>
      <c r="F755"/>
      <c r="G755" s="77"/>
      <c r="I755"/>
      <c r="J755" s="34"/>
      <c r="K755"/>
    </row>
    <row r="756" ht="30" spans="1:11">
      <c r="A756" s="102" t="s">
        <v>1372</v>
      </c>
      <c r="B756" s="102" t="s">
        <v>1373</v>
      </c>
      <c r="C756" s="102" t="s">
        <v>56</v>
      </c>
      <c r="D756" s="99">
        <f>IF(OR(Clientes[[#This Row],[Columna1]]="Pago inmediato",Clientes[[#This Row],[Columna1]]=""),0,SUBSTITUTE(Clientes[[#This Row],[Columna1]]," días",""))</f>
        <v>0</v>
      </c>
      <c r="E756" s="34"/>
      <c r="F756"/>
      <c r="G756" s="77"/>
      <c r="I756"/>
      <c r="J756" s="34"/>
      <c r="K756"/>
    </row>
    <row r="757" ht="30" spans="1:11">
      <c r="A757" s="102" t="s">
        <v>1374</v>
      </c>
      <c r="B757" s="102" t="s">
        <v>1375</v>
      </c>
      <c r="C757" s="102" t="s">
        <v>56</v>
      </c>
      <c r="D757" s="99">
        <f>IF(OR(Clientes[[#This Row],[Columna1]]="Pago inmediato",Clientes[[#This Row],[Columna1]]=""),0,SUBSTITUTE(Clientes[[#This Row],[Columna1]]," días",""))</f>
        <v>0</v>
      </c>
      <c r="E757" s="34"/>
      <c r="F757"/>
      <c r="G757" s="77"/>
      <c r="I757"/>
      <c r="J757" s="34"/>
      <c r="K757"/>
    </row>
    <row r="758" spans="1:11">
      <c r="A758" s="102" t="s">
        <v>1376</v>
      </c>
      <c r="B758" s="102" t="s">
        <v>1377</v>
      </c>
      <c r="C758" s="102" t="s">
        <v>56</v>
      </c>
      <c r="D758" s="99">
        <f>IF(OR(Clientes[[#This Row],[Columna1]]="Pago inmediato",Clientes[[#This Row],[Columna1]]=""),0,SUBSTITUTE(Clientes[[#This Row],[Columna1]]," días",""))</f>
        <v>0</v>
      </c>
      <c r="E758" s="34"/>
      <c r="F758"/>
      <c r="G758" s="77"/>
      <c r="I758"/>
      <c r="J758" s="34"/>
      <c r="K758"/>
    </row>
    <row r="759" ht="30" spans="1:11">
      <c r="A759" s="102" t="s">
        <v>1376</v>
      </c>
      <c r="B759" s="102" t="s">
        <v>1378</v>
      </c>
      <c r="C759" s="102" t="s">
        <v>56</v>
      </c>
      <c r="D759" s="99">
        <f>IF(OR(Clientes[[#This Row],[Columna1]]="Pago inmediato",Clientes[[#This Row],[Columna1]]=""),0,SUBSTITUTE(Clientes[[#This Row],[Columna1]]," días",""))</f>
        <v>0</v>
      </c>
      <c r="E759" s="34"/>
      <c r="F759"/>
      <c r="G759" s="77"/>
      <c r="I759"/>
      <c r="J759" s="34"/>
      <c r="K759"/>
    </row>
    <row r="760" spans="1:11">
      <c r="A760" s="102"/>
      <c r="B760" s="102" t="s">
        <v>1379</v>
      </c>
      <c r="C760" s="102"/>
      <c r="D760" s="99">
        <f>IF(OR(Clientes[[#This Row],[Columna1]]="Pago inmediato",Clientes[[#This Row],[Columna1]]=""),0,SUBSTITUTE(Clientes[[#This Row],[Columna1]]," días",""))</f>
        <v>0</v>
      </c>
      <c r="E760" s="34"/>
      <c r="F760"/>
      <c r="G760" s="77"/>
      <c r="I760"/>
      <c r="J760" s="34"/>
      <c r="K760"/>
    </row>
    <row r="761" ht="30" spans="1:11">
      <c r="A761" s="102" t="s">
        <v>1380</v>
      </c>
      <c r="B761" s="102" t="s">
        <v>1381</v>
      </c>
      <c r="C761" s="102" t="s">
        <v>454</v>
      </c>
      <c r="D761" s="99" t="str">
        <f>IF(OR(Clientes[[#This Row],[Columna1]]="Pago inmediato",Clientes[[#This Row],[Columna1]]=""),0,SUBSTITUTE(Clientes[[#This Row],[Columna1]]," días",""))</f>
        <v>21</v>
      </c>
      <c r="E761" s="34"/>
      <c r="F761"/>
      <c r="G761" s="77"/>
      <c r="I761"/>
      <c r="J761" s="34"/>
      <c r="K761"/>
    </row>
    <row r="762" ht="30" spans="1:11">
      <c r="A762" s="102" t="s">
        <v>1382</v>
      </c>
      <c r="B762" s="102" t="s">
        <v>1383</v>
      </c>
      <c r="C762" s="102" t="s">
        <v>454</v>
      </c>
      <c r="D762" s="99" t="str">
        <f>IF(OR(Clientes[[#This Row],[Columna1]]="Pago inmediato",Clientes[[#This Row],[Columna1]]=""),0,SUBSTITUTE(Clientes[[#This Row],[Columna1]]," días",""))</f>
        <v>21</v>
      </c>
      <c r="E762" s="34"/>
      <c r="F762"/>
      <c r="G762" s="77"/>
      <c r="I762"/>
      <c r="J762" s="34"/>
      <c r="K762"/>
    </row>
    <row r="763" ht="30" spans="1:11">
      <c r="A763" s="102" t="s">
        <v>1384</v>
      </c>
      <c r="B763" s="102" t="s">
        <v>1385</v>
      </c>
      <c r="C763" s="102" t="s">
        <v>454</v>
      </c>
      <c r="D763" s="99" t="str">
        <f>IF(OR(Clientes[[#This Row],[Columna1]]="Pago inmediato",Clientes[[#This Row],[Columna1]]=""),0,SUBSTITUTE(Clientes[[#This Row],[Columna1]]," días",""))</f>
        <v>21</v>
      </c>
      <c r="E763" s="34"/>
      <c r="F763"/>
      <c r="G763" s="77"/>
      <c r="I763"/>
      <c r="J763" s="34"/>
      <c r="K763"/>
    </row>
    <row r="764" ht="30" spans="1:11">
      <c r="A764" s="102" t="s">
        <v>1386</v>
      </c>
      <c r="B764" s="102" t="s">
        <v>1387</v>
      </c>
      <c r="C764" s="102" t="s">
        <v>454</v>
      </c>
      <c r="D764" s="99" t="str">
        <f>IF(OR(Clientes[[#This Row],[Columna1]]="Pago inmediato",Clientes[[#This Row],[Columna1]]=""),0,SUBSTITUTE(Clientes[[#This Row],[Columna1]]," días",""))</f>
        <v>21</v>
      </c>
      <c r="E764" s="34"/>
      <c r="F764"/>
      <c r="G764" s="77"/>
      <c r="I764"/>
      <c r="J764" s="34"/>
      <c r="K764"/>
    </row>
    <row r="765" spans="1:11">
      <c r="A765" s="102" t="s">
        <v>1388</v>
      </c>
      <c r="B765" s="102" t="s">
        <v>1389</v>
      </c>
      <c r="C765" s="102" t="s">
        <v>56</v>
      </c>
      <c r="D765" s="99">
        <f>IF(OR(Clientes[[#This Row],[Columna1]]="Pago inmediato",Clientes[[#This Row],[Columna1]]=""),0,SUBSTITUTE(Clientes[[#This Row],[Columna1]]," días",""))</f>
        <v>0</v>
      </c>
      <c r="E765" s="34"/>
      <c r="F765"/>
      <c r="G765" s="77"/>
      <c r="I765"/>
      <c r="J765" s="34"/>
      <c r="K765"/>
    </row>
    <row r="766" ht="30" spans="1:11">
      <c r="A766" s="102" t="s">
        <v>1390</v>
      </c>
      <c r="B766" s="102" t="s">
        <v>1391</v>
      </c>
      <c r="C766" s="102" t="s">
        <v>56</v>
      </c>
      <c r="D766" s="99">
        <f>IF(OR(Clientes[[#This Row],[Columna1]]="Pago inmediato",Clientes[[#This Row],[Columna1]]=""),0,SUBSTITUTE(Clientes[[#This Row],[Columna1]]," días",""))</f>
        <v>0</v>
      </c>
      <c r="E766" s="34"/>
      <c r="F766"/>
      <c r="G766" s="77"/>
      <c r="I766"/>
      <c r="J766" s="34"/>
      <c r="K766"/>
    </row>
    <row r="767" spans="1:11">
      <c r="A767" s="102" t="s">
        <v>1392</v>
      </c>
      <c r="B767" s="102" t="s">
        <v>1393</v>
      </c>
      <c r="C767" s="102" t="s">
        <v>56</v>
      </c>
      <c r="D767" s="99">
        <f>IF(OR(Clientes[[#This Row],[Columna1]]="Pago inmediato",Clientes[[#This Row],[Columna1]]=""),0,SUBSTITUTE(Clientes[[#This Row],[Columna1]]," días",""))</f>
        <v>0</v>
      </c>
      <c r="E767" s="34"/>
      <c r="F767"/>
      <c r="G767" s="77"/>
      <c r="I767"/>
      <c r="J767" s="34"/>
      <c r="K767"/>
    </row>
    <row r="768" ht="30" spans="1:11">
      <c r="A768" s="102" t="s">
        <v>1394</v>
      </c>
      <c r="B768" s="102" t="s">
        <v>1395</v>
      </c>
      <c r="C768" s="102" t="s">
        <v>56</v>
      </c>
      <c r="D768" s="99">
        <f>IF(OR(Clientes[[#This Row],[Columna1]]="Pago inmediato",Clientes[[#This Row],[Columna1]]=""),0,SUBSTITUTE(Clientes[[#This Row],[Columna1]]," días",""))</f>
        <v>0</v>
      </c>
      <c r="E768" s="34"/>
      <c r="F768"/>
      <c r="G768" s="77"/>
      <c r="I768"/>
      <c r="J768" s="34"/>
      <c r="K768"/>
    </row>
    <row r="769" ht="30" spans="1:11">
      <c r="A769" s="102" t="s">
        <v>1396</v>
      </c>
      <c r="B769" s="102" t="s">
        <v>1397</v>
      </c>
      <c r="C769" s="102" t="s">
        <v>56</v>
      </c>
      <c r="D769" s="99">
        <f>IF(OR(Clientes[[#This Row],[Columna1]]="Pago inmediato",Clientes[[#This Row],[Columna1]]=""),0,SUBSTITUTE(Clientes[[#This Row],[Columna1]]," días",""))</f>
        <v>0</v>
      </c>
      <c r="E769" s="34"/>
      <c r="F769"/>
      <c r="G769" s="77"/>
      <c r="I769"/>
      <c r="J769" s="34"/>
      <c r="K769"/>
    </row>
    <row r="770" ht="30" spans="1:11">
      <c r="A770" s="102" t="s">
        <v>1398</v>
      </c>
      <c r="B770" s="102" t="s">
        <v>1399</v>
      </c>
      <c r="C770" s="102" t="s">
        <v>54</v>
      </c>
      <c r="D770" s="99" t="str">
        <f>IF(OR(Clientes[[#This Row],[Columna1]]="Pago inmediato",Clientes[[#This Row],[Columna1]]=""),0,SUBSTITUTE(Clientes[[#This Row],[Columna1]]," días",""))</f>
        <v>7</v>
      </c>
      <c r="E770" s="34"/>
      <c r="F770"/>
      <c r="G770" s="77"/>
      <c r="I770"/>
      <c r="J770" s="34"/>
      <c r="K770"/>
    </row>
    <row r="771" ht="45" spans="1:11">
      <c r="A771" s="102" t="s">
        <v>1400</v>
      </c>
      <c r="B771" s="102" t="s">
        <v>1401</v>
      </c>
      <c r="C771" s="102" t="s">
        <v>56</v>
      </c>
      <c r="D771" s="99">
        <f>IF(OR(Clientes[[#This Row],[Columna1]]="Pago inmediato",Clientes[[#This Row],[Columna1]]=""),0,SUBSTITUTE(Clientes[[#This Row],[Columna1]]," días",""))</f>
        <v>0</v>
      </c>
      <c r="E771" s="34"/>
      <c r="F771"/>
      <c r="G771" s="77"/>
      <c r="I771"/>
      <c r="J771" s="34"/>
      <c r="K771"/>
    </row>
    <row r="772" spans="1:11">
      <c r="A772" s="102" t="s">
        <v>1402</v>
      </c>
      <c r="B772" s="102" t="s">
        <v>1403</v>
      </c>
      <c r="C772" s="102" t="s">
        <v>56</v>
      </c>
      <c r="D772" s="99">
        <f>IF(OR(Clientes[[#This Row],[Columna1]]="Pago inmediato",Clientes[[#This Row],[Columna1]]=""),0,SUBSTITUTE(Clientes[[#This Row],[Columna1]]," días",""))</f>
        <v>0</v>
      </c>
      <c r="E772" s="34"/>
      <c r="F772"/>
      <c r="G772" s="77"/>
      <c r="I772"/>
      <c r="J772" s="34"/>
      <c r="K772"/>
    </row>
    <row r="773" spans="1:11">
      <c r="A773" s="102" t="s">
        <v>1404</v>
      </c>
      <c r="B773" s="102" t="s">
        <v>1405</v>
      </c>
      <c r="C773" s="102" t="s">
        <v>56</v>
      </c>
      <c r="D773" s="99">
        <f>IF(OR(Clientes[[#This Row],[Columna1]]="Pago inmediato",Clientes[[#This Row],[Columna1]]=""),0,SUBSTITUTE(Clientes[[#This Row],[Columna1]]," días",""))</f>
        <v>0</v>
      </c>
      <c r="E773" s="34"/>
      <c r="F773"/>
      <c r="G773" s="77"/>
      <c r="I773"/>
      <c r="J773" s="34"/>
      <c r="K773"/>
    </row>
    <row r="774" ht="30" spans="1:11">
      <c r="A774" s="102" t="s">
        <v>1406</v>
      </c>
      <c r="B774" s="102" t="s">
        <v>1407</v>
      </c>
      <c r="C774" s="102" t="s">
        <v>56</v>
      </c>
      <c r="D774" s="99">
        <f>IF(OR(Clientes[[#This Row],[Columna1]]="Pago inmediato",Clientes[[#This Row],[Columna1]]=""),0,SUBSTITUTE(Clientes[[#This Row],[Columna1]]," días",""))</f>
        <v>0</v>
      </c>
      <c r="E774" s="34"/>
      <c r="F774"/>
      <c r="G774" s="77"/>
      <c r="I774"/>
      <c r="J774" s="34"/>
      <c r="K774"/>
    </row>
    <row r="775" ht="30" spans="1:11">
      <c r="A775" s="102" t="s">
        <v>1408</v>
      </c>
      <c r="B775" s="102" t="s">
        <v>1409</v>
      </c>
      <c r="C775" s="102" t="s">
        <v>56</v>
      </c>
      <c r="D775" s="99">
        <f>IF(OR(Clientes[[#This Row],[Columna1]]="Pago inmediato",Clientes[[#This Row],[Columna1]]=""),0,SUBSTITUTE(Clientes[[#This Row],[Columna1]]," días",""))</f>
        <v>0</v>
      </c>
      <c r="E775" s="34"/>
      <c r="F775"/>
      <c r="G775" s="77"/>
      <c r="I775"/>
      <c r="J775" s="34"/>
      <c r="K775"/>
    </row>
    <row r="776" ht="30" spans="1:11">
      <c r="A776" s="102" t="s">
        <v>1410</v>
      </c>
      <c r="B776" s="102" t="s">
        <v>1411</v>
      </c>
      <c r="C776" s="102" t="s">
        <v>56</v>
      </c>
      <c r="D776" s="99">
        <f>IF(OR(Clientes[[#This Row],[Columna1]]="Pago inmediato",Clientes[[#This Row],[Columna1]]=""),0,SUBSTITUTE(Clientes[[#This Row],[Columna1]]," días",""))</f>
        <v>0</v>
      </c>
      <c r="E776" s="34"/>
      <c r="F776"/>
      <c r="G776" s="77"/>
      <c r="I776"/>
      <c r="J776" s="34"/>
      <c r="K776"/>
    </row>
    <row r="777" ht="60" spans="1:11">
      <c r="A777" s="102" t="s">
        <v>1410</v>
      </c>
      <c r="B777" s="102" t="s">
        <v>1412</v>
      </c>
      <c r="C777" s="102" t="s">
        <v>56</v>
      </c>
      <c r="D777" s="99">
        <f>IF(OR(Clientes[[#This Row],[Columna1]]="Pago inmediato",Clientes[[#This Row],[Columna1]]=""),0,SUBSTITUTE(Clientes[[#This Row],[Columna1]]," días",""))</f>
        <v>0</v>
      </c>
      <c r="E777" s="34"/>
      <c r="F777"/>
      <c r="G777" s="77"/>
      <c r="I777"/>
      <c r="J777" s="34"/>
      <c r="K777"/>
    </row>
    <row r="778" ht="30" spans="1:11">
      <c r="A778" s="102" t="s">
        <v>1413</v>
      </c>
      <c r="B778" s="102" t="s">
        <v>1414</v>
      </c>
      <c r="C778" s="102" t="s">
        <v>56</v>
      </c>
      <c r="D778" s="99">
        <f>IF(OR(Clientes[[#This Row],[Columna1]]="Pago inmediato",Clientes[[#This Row],[Columna1]]=""),0,SUBSTITUTE(Clientes[[#This Row],[Columna1]]," días",""))</f>
        <v>0</v>
      </c>
      <c r="E778" s="34"/>
      <c r="F778"/>
      <c r="G778" s="77"/>
      <c r="I778"/>
      <c r="J778" s="34"/>
      <c r="K778"/>
    </row>
    <row r="779" spans="1:11">
      <c r="A779" s="102" t="s">
        <v>1415</v>
      </c>
      <c r="B779" s="102" t="s">
        <v>1416</v>
      </c>
      <c r="C779" s="102" t="s">
        <v>454</v>
      </c>
      <c r="D779" s="99" t="str">
        <f>IF(OR(Clientes[[#This Row],[Columna1]]="Pago inmediato",Clientes[[#This Row],[Columna1]]=""),0,SUBSTITUTE(Clientes[[#This Row],[Columna1]]," días",""))</f>
        <v>21</v>
      </c>
      <c r="E779" s="34"/>
      <c r="F779"/>
      <c r="G779" s="77"/>
      <c r="I779"/>
      <c r="J779" s="34"/>
      <c r="K779"/>
    </row>
    <row r="780" spans="1:11">
      <c r="A780" s="102" t="s">
        <v>1417</v>
      </c>
      <c r="B780" s="102" t="s">
        <v>1418</v>
      </c>
      <c r="C780" s="102" t="s">
        <v>56</v>
      </c>
      <c r="D780" s="99">
        <v>30</v>
      </c>
      <c r="E780" s="34"/>
      <c r="F780"/>
      <c r="G780" s="77"/>
      <c r="I780"/>
      <c r="J780" s="34"/>
      <c r="K780"/>
    </row>
    <row r="781" ht="30" spans="1:11">
      <c r="A781" s="102" t="s">
        <v>1419</v>
      </c>
      <c r="B781" s="102" t="s">
        <v>1420</v>
      </c>
      <c r="C781" s="102" t="s">
        <v>454</v>
      </c>
      <c r="D781" s="99" t="str">
        <f>IF(OR(Clientes[[#This Row],[Columna1]]="Pago inmediato",Clientes[[#This Row],[Columna1]]=""),0,SUBSTITUTE(Clientes[[#This Row],[Columna1]]," días",""))</f>
        <v>21</v>
      </c>
      <c r="E781" s="34"/>
      <c r="F781"/>
      <c r="G781" s="77"/>
      <c r="I781"/>
      <c r="J781" s="34"/>
      <c r="K781"/>
    </row>
    <row r="782" spans="1:11">
      <c r="A782" s="102" t="s">
        <v>1421</v>
      </c>
      <c r="B782" s="102" t="s">
        <v>1422</v>
      </c>
      <c r="C782" s="102" t="s">
        <v>56</v>
      </c>
      <c r="D782" s="99">
        <f>IF(OR(Clientes[[#This Row],[Columna1]]="Pago inmediato",Clientes[[#This Row],[Columna1]]=""),0,SUBSTITUTE(Clientes[[#This Row],[Columna1]]," días",""))</f>
        <v>0</v>
      </c>
      <c r="E782" s="34"/>
      <c r="F782"/>
      <c r="G782" s="77"/>
      <c r="I782"/>
      <c r="J782" s="34"/>
      <c r="K782"/>
    </row>
    <row r="783" ht="30" spans="1:11">
      <c r="A783" s="102" t="s">
        <v>1423</v>
      </c>
      <c r="B783" s="102" t="s">
        <v>1424</v>
      </c>
      <c r="C783" s="102" t="s">
        <v>56</v>
      </c>
      <c r="D783" s="99">
        <f>IF(OR(Clientes[[#This Row],[Columna1]]="Pago inmediato",Clientes[[#This Row],[Columna1]]=""),0,SUBSTITUTE(Clientes[[#This Row],[Columna1]]," días",""))</f>
        <v>0</v>
      </c>
      <c r="E783" s="34"/>
      <c r="F783"/>
      <c r="G783" s="77"/>
      <c r="I783"/>
      <c r="J783" s="34"/>
      <c r="K783"/>
    </row>
    <row r="784" ht="30" spans="1:11">
      <c r="A784" s="102" t="s">
        <v>1423</v>
      </c>
      <c r="B784" s="102" t="s">
        <v>1425</v>
      </c>
      <c r="C784" s="102" t="s">
        <v>56</v>
      </c>
      <c r="D784" s="99">
        <f>IF(OR(Clientes[[#This Row],[Columna1]]="Pago inmediato",Clientes[[#This Row],[Columna1]]=""),0,SUBSTITUTE(Clientes[[#This Row],[Columna1]]," días",""))</f>
        <v>0</v>
      </c>
      <c r="E784" s="34"/>
      <c r="F784"/>
      <c r="G784" s="77"/>
      <c r="I784"/>
      <c r="J784" s="34"/>
      <c r="K784"/>
    </row>
    <row r="785" ht="60" spans="1:11">
      <c r="A785" s="102" t="s">
        <v>1426</v>
      </c>
      <c r="B785" s="102" t="s">
        <v>1427</v>
      </c>
      <c r="C785" s="102" t="s">
        <v>56</v>
      </c>
      <c r="D785" s="99">
        <f>IF(OR(Clientes[[#This Row],[Columna1]]="Pago inmediato",Clientes[[#This Row],[Columna1]]=""),0,SUBSTITUTE(Clientes[[#This Row],[Columna1]]," días",""))</f>
        <v>0</v>
      </c>
      <c r="E785" s="34"/>
      <c r="F785"/>
      <c r="G785" s="77"/>
      <c r="I785"/>
      <c r="J785" s="34"/>
      <c r="K785"/>
    </row>
    <row r="786" ht="30" spans="1:11">
      <c r="A786" s="102" t="s">
        <v>1428</v>
      </c>
      <c r="B786" s="102" t="s">
        <v>1429</v>
      </c>
      <c r="C786" s="102" t="s">
        <v>465</v>
      </c>
      <c r="D786" s="99" t="str">
        <f>IF(OR(Clientes[[#This Row],[Columna1]]="Pago inmediato",Clientes[[#This Row],[Columna1]]=""),0,SUBSTITUTE(Clientes[[#This Row],[Columna1]]," días",""))</f>
        <v>3</v>
      </c>
      <c r="E786" s="34"/>
      <c r="F786"/>
      <c r="G786" s="77"/>
      <c r="I786"/>
      <c r="J786" s="34"/>
      <c r="K786"/>
    </row>
    <row r="787" ht="30" spans="1:11">
      <c r="A787" s="102" t="s">
        <v>1430</v>
      </c>
      <c r="B787" s="102" t="s">
        <v>1431</v>
      </c>
      <c r="C787" s="102" t="s">
        <v>56</v>
      </c>
      <c r="D787" s="99">
        <f>IF(OR(Clientes[[#This Row],[Columna1]]="Pago inmediato",Clientes[[#This Row],[Columna1]]=""),0,SUBSTITUTE(Clientes[[#This Row],[Columna1]]," días",""))</f>
        <v>0</v>
      </c>
      <c r="E787" s="34"/>
      <c r="F787"/>
      <c r="G787" s="77"/>
      <c r="I787"/>
      <c r="J787" s="34"/>
      <c r="K787"/>
    </row>
    <row r="788" spans="1:11">
      <c r="A788" s="102" t="s">
        <v>1432</v>
      </c>
      <c r="B788" s="102" t="s">
        <v>1433</v>
      </c>
      <c r="C788" s="102" t="s">
        <v>454</v>
      </c>
      <c r="D788" s="99" t="str">
        <f>IF(OR(Clientes[[#This Row],[Columna1]]="Pago inmediato",Clientes[[#This Row],[Columna1]]=""),0,SUBSTITUTE(Clientes[[#This Row],[Columna1]]," días",""))</f>
        <v>21</v>
      </c>
      <c r="E788" s="34"/>
      <c r="F788"/>
      <c r="G788" s="77"/>
      <c r="I788"/>
      <c r="J788" s="34"/>
      <c r="K788"/>
    </row>
    <row r="789" ht="30" spans="1:11">
      <c r="A789" s="102" t="s">
        <v>1434</v>
      </c>
      <c r="B789" s="102" t="s">
        <v>1435</v>
      </c>
      <c r="C789" s="102" t="s">
        <v>282</v>
      </c>
      <c r="D789" s="99" t="str">
        <f>IF(OR(Clientes[[#This Row],[Columna1]]="Pago inmediato",Clientes[[#This Row],[Columna1]]=""),0,SUBSTITUTE(Clientes[[#This Row],[Columna1]]," días",""))</f>
        <v>10</v>
      </c>
      <c r="E789" s="34"/>
      <c r="F789"/>
      <c r="G789" s="77"/>
      <c r="I789"/>
      <c r="J789" s="34"/>
      <c r="K789"/>
    </row>
    <row r="790" ht="30" spans="1:11">
      <c r="A790" s="102" t="s">
        <v>1436</v>
      </c>
      <c r="B790" s="102" t="s">
        <v>1437</v>
      </c>
      <c r="C790" s="102" t="s">
        <v>56</v>
      </c>
      <c r="D790" s="99">
        <f>IF(OR(Clientes[[#This Row],[Columna1]]="Pago inmediato",Clientes[[#This Row],[Columna1]]=""),0,SUBSTITUTE(Clientes[[#This Row],[Columna1]]," días",""))</f>
        <v>0</v>
      </c>
      <c r="E790" s="34"/>
      <c r="F790"/>
      <c r="G790" s="77"/>
      <c r="I790"/>
      <c r="J790" s="34"/>
      <c r="K790"/>
    </row>
    <row r="791" ht="30" spans="1:11">
      <c r="A791" s="102" t="s">
        <v>1438</v>
      </c>
      <c r="B791" s="102" t="s">
        <v>1439</v>
      </c>
      <c r="C791" s="102" t="s">
        <v>56</v>
      </c>
      <c r="D791" s="99">
        <f>IF(OR(Clientes[[#This Row],[Columna1]]="Pago inmediato",Clientes[[#This Row],[Columna1]]=""),0,SUBSTITUTE(Clientes[[#This Row],[Columna1]]," días",""))</f>
        <v>0</v>
      </c>
      <c r="E791" s="34"/>
      <c r="F791"/>
      <c r="G791" s="77"/>
      <c r="I791"/>
      <c r="J791" s="34"/>
      <c r="K791"/>
    </row>
    <row r="792" ht="45" spans="1:11">
      <c r="A792" s="102" t="s">
        <v>1438</v>
      </c>
      <c r="B792" s="102" t="s">
        <v>1440</v>
      </c>
      <c r="C792" s="102" t="s">
        <v>56</v>
      </c>
      <c r="D792" s="99">
        <f>IF(OR(Clientes[[#This Row],[Columna1]]="Pago inmediato",Clientes[[#This Row],[Columna1]]=""),0,SUBSTITUTE(Clientes[[#This Row],[Columna1]]," días",""))</f>
        <v>0</v>
      </c>
      <c r="E792" s="34"/>
      <c r="F792"/>
      <c r="G792" s="77"/>
      <c r="I792"/>
      <c r="J792" s="34"/>
      <c r="K792"/>
    </row>
    <row r="793" spans="1:11">
      <c r="A793" s="102" t="s">
        <v>1441</v>
      </c>
      <c r="B793" s="102" t="s">
        <v>1442</v>
      </c>
      <c r="C793" s="102" t="s">
        <v>56</v>
      </c>
      <c r="D793" s="99">
        <f>IF(OR(Clientes[[#This Row],[Columna1]]="Pago inmediato",Clientes[[#This Row],[Columna1]]=""),0,SUBSTITUTE(Clientes[[#This Row],[Columna1]]," días",""))</f>
        <v>0</v>
      </c>
      <c r="E793" s="34"/>
      <c r="F793"/>
      <c r="G793" s="77"/>
      <c r="I793"/>
      <c r="J793" s="34"/>
      <c r="K793"/>
    </row>
    <row r="794" spans="1:11">
      <c r="A794" s="102" t="s">
        <v>1443</v>
      </c>
      <c r="B794" s="102" t="s">
        <v>1444</v>
      </c>
      <c r="C794" s="102" t="s">
        <v>56</v>
      </c>
      <c r="D794" s="99">
        <f>IF(OR(Clientes[[#This Row],[Columna1]]="Pago inmediato",Clientes[[#This Row],[Columna1]]=""),0,SUBSTITUTE(Clientes[[#This Row],[Columna1]]," días",""))</f>
        <v>0</v>
      </c>
      <c r="E794" s="34"/>
      <c r="F794"/>
      <c r="G794" s="77"/>
      <c r="I794"/>
      <c r="J794" s="34"/>
      <c r="K794"/>
    </row>
    <row r="795" ht="30" spans="1:11">
      <c r="A795" s="102" t="s">
        <v>1445</v>
      </c>
      <c r="B795" s="102" t="s">
        <v>1446</v>
      </c>
      <c r="C795" s="102" t="s">
        <v>56</v>
      </c>
      <c r="D795" s="99">
        <f>IF(OR(Clientes[[#This Row],[Columna1]]="Pago inmediato",Clientes[[#This Row],[Columna1]]=""),0,SUBSTITUTE(Clientes[[#This Row],[Columna1]]," días",""))</f>
        <v>0</v>
      </c>
      <c r="E795" s="34"/>
      <c r="F795"/>
      <c r="G795" s="77"/>
      <c r="I795"/>
      <c r="J795" s="34"/>
      <c r="K795"/>
    </row>
    <row r="796" spans="1:11">
      <c r="A796" s="102" t="s">
        <v>1447</v>
      </c>
      <c r="B796" s="102" t="s">
        <v>1448</v>
      </c>
      <c r="C796" s="102" t="s">
        <v>56</v>
      </c>
      <c r="D796" s="99">
        <f>IF(OR(Clientes[[#This Row],[Columna1]]="Pago inmediato",Clientes[[#This Row],[Columna1]]=""),0,SUBSTITUTE(Clientes[[#This Row],[Columna1]]," días",""))</f>
        <v>0</v>
      </c>
      <c r="E796" s="34"/>
      <c r="F796"/>
      <c r="G796" s="77"/>
      <c r="I796"/>
      <c r="J796" s="34"/>
      <c r="K796"/>
    </row>
    <row r="797" spans="1:11">
      <c r="A797" s="102" t="s">
        <v>1449</v>
      </c>
      <c r="B797" s="102" t="s">
        <v>1450</v>
      </c>
      <c r="C797" s="102" t="s">
        <v>56</v>
      </c>
      <c r="D797" s="99">
        <f>IF(OR(Clientes[[#This Row],[Columna1]]="Pago inmediato",Clientes[[#This Row],[Columna1]]=""),0,SUBSTITUTE(Clientes[[#This Row],[Columna1]]," días",""))</f>
        <v>0</v>
      </c>
      <c r="E797" s="34"/>
      <c r="F797"/>
      <c r="G797" s="77"/>
      <c r="I797"/>
      <c r="J797" s="34"/>
      <c r="K797"/>
    </row>
    <row r="798" spans="1:11">
      <c r="A798" s="102" t="s">
        <v>1451</v>
      </c>
      <c r="B798" s="102" t="s">
        <v>1452</v>
      </c>
      <c r="C798" s="102" t="s">
        <v>56</v>
      </c>
      <c r="D798" s="99">
        <f>IF(OR(Clientes[[#This Row],[Columna1]]="Pago inmediato",Clientes[[#This Row],[Columna1]]=""),0,SUBSTITUTE(Clientes[[#This Row],[Columna1]]," días",""))</f>
        <v>0</v>
      </c>
      <c r="E798" s="34"/>
      <c r="F798"/>
      <c r="G798" s="77"/>
      <c r="I798"/>
      <c r="J798" s="34"/>
      <c r="K798"/>
    </row>
    <row r="799" ht="45" spans="1:11">
      <c r="A799" s="102" t="s">
        <v>1453</v>
      </c>
      <c r="B799" s="102" t="s">
        <v>1454</v>
      </c>
      <c r="C799" s="102" t="s">
        <v>56</v>
      </c>
      <c r="D799" s="99">
        <f>IF(OR(Clientes[[#This Row],[Columna1]]="Pago inmediato",Clientes[[#This Row],[Columna1]]=""),0,SUBSTITUTE(Clientes[[#This Row],[Columna1]]," días",""))</f>
        <v>0</v>
      </c>
      <c r="E799" s="34"/>
      <c r="F799"/>
      <c r="G799" s="77"/>
      <c r="I799"/>
      <c r="J799" s="34"/>
      <c r="K799"/>
    </row>
    <row r="800" ht="30" spans="1:11">
      <c r="A800" s="102" t="s">
        <v>1455</v>
      </c>
      <c r="B800" s="102" t="s">
        <v>1456</v>
      </c>
      <c r="C800" s="102" t="s">
        <v>56</v>
      </c>
      <c r="D800" s="99">
        <f>IF(OR(Clientes[[#This Row],[Columna1]]="Pago inmediato",Clientes[[#This Row],[Columna1]]=""),0,SUBSTITUTE(Clientes[[#This Row],[Columna1]]," días",""))</f>
        <v>0</v>
      </c>
      <c r="E800" s="34"/>
      <c r="F800"/>
      <c r="G800" s="77"/>
      <c r="I800"/>
      <c r="J800" s="34"/>
      <c r="K800"/>
    </row>
    <row r="801" spans="1:11">
      <c r="A801" s="102" t="s">
        <v>1457</v>
      </c>
      <c r="B801" s="102" t="s">
        <v>1458</v>
      </c>
      <c r="C801" s="102" t="s">
        <v>56</v>
      </c>
      <c r="D801" s="99">
        <f>IF(OR(Clientes[[#This Row],[Columna1]]="Pago inmediato",Clientes[[#This Row],[Columna1]]=""),0,SUBSTITUTE(Clientes[[#This Row],[Columna1]]," días",""))</f>
        <v>0</v>
      </c>
      <c r="E801" s="34"/>
      <c r="F801"/>
      <c r="G801" s="77"/>
      <c r="I801"/>
      <c r="J801" s="34"/>
      <c r="K801"/>
    </row>
    <row r="802" ht="30" spans="1:11">
      <c r="A802" s="102" t="s">
        <v>1459</v>
      </c>
      <c r="B802" s="102" t="s">
        <v>1460</v>
      </c>
      <c r="C802" s="102" t="s">
        <v>56</v>
      </c>
      <c r="D802" s="99">
        <f>IF(OR(Clientes[[#This Row],[Columna1]]="Pago inmediato",Clientes[[#This Row],[Columna1]]=""),0,SUBSTITUTE(Clientes[[#This Row],[Columna1]]," días",""))</f>
        <v>0</v>
      </c>
      <c r="E802" s="34"/>
      <c r="F802"/>
      <c r="G802" s="77"/>
      <c r="I802"/>
      <c r="J802" s="34"/>
      <c r="K802"/>
    </row>
    <row r="803" spans="1:11">
      <c r="A803" s="102" t="s">
        <v>1461</v>
      </c>
      <c r="B803" s="102" t="s">
        <v>1462</v>
      </c>
      <c r="C803" s="102" t="s">
        <v>56</v>
      </c>
      <c r="D803" s="99">
        <f>IF(OR(Clientes[[#This Row],[Columna1]]="Pago inmediato",Clientes[[#This Row],[Columna1]]=""),0,SUBSTITUTE(Clientes[[#This Row],[Columna1]]," días",""))</f>
        <v>0</v>
      </c>
      <c r="E803" s="34"/>
      <c r="F803"/>
      <c r="G803" s="77"/>
      <c r="I803"/>
      <c r="J803" s="34"/>
      <c r="K803"/>
    </row>
    <row r="804" spans="1:11">
      <c r="A804" s="102" t="s">
        <v>1463</v>
      </c>
      <c r="B804" s="102" t="s">
        <v>1464</v>
      </c>
      <c r="C804" s="102" t="s">
        <v>56</v>
      </c>
      <c r="D804" s="99">
        <f>IF(OR(Clientes[[#This Row],[Columna1]]="Pago inmediato",Clientes[[#This Row],[Columna1]]=""),0,SUBSTITUTE(Clientes[[#This Row],[Columna1]]," días",""))</f>
        <v>0</v>
      </c>
      <c r="E804" s="34"/>
      <c r="F804"/>
      <c r="G804" s="77"/>
      <c r="I804"/>
      <c r="J804" s="34"/>
      <c r="K804"/>
    </row>
    <row r="805" ht="45" spans="1:11">
      <c r="A805" s="102" t="s">
        <v>1465</v>
      </c>
      <c r="B805" s="102" t="s">
        <v>1466</v>
      </c>
      <c r="C805" s="102" t="s">
        <v>56</v>
      </c>
      <c r="D805" s="99">
        <f>IF(OR(Clientes[[#This Row],[Columna1]]="Pago inmediato",Clientes[[#This Row],[Columna1]]=""),0,SUBSTITUTE(Clientes[[#This Row],[Columna1]]," días",""))</f>
        <v>0</v>
      </c>
      <c r="E805" s="34"/>
      <c r="F805"/>
      <c r="G805" s="77"/>
      <c r="I805"/>
      <c r="J805" s="34"/>
      <c r="K805"/>
    </row>
    <row r="806" ht="30" spans="1:11">
      <c r="A806" s="102" t="s">
        <v>1467</v>
      </c>
      <c r="B806" s="102" t="s">
        <v>1468</v>
      </c>
      <c r="C806" s="102" t="s">
        <v>56</v>
      </c>
      <c r="D806" s="99">
        <f>IF(OR(Clientes[[#This Row],[Columna1]]="Pago inmediato",Clientes[[#This Row],[Columna1]]=""),0,SUBSTITUTE(Clientes[[#This Row],[Columna1]]," días",""))</f>
        <v>0</v>
      </c>
      <c r="E806" s="34"/>
      <c r="F806"/>
      <c r="G806" s="77"/>
      <c r="I806"/>
      <c r="J806" s="34"/>
      <c r="K806"/>
    </row>
    <row r="807" ht="45" spans="1:11">
      <c r="A807" s="102" t="s">
        <v>1467</v>
      </c>
      <c r="B807" s="102" t="s">
        <v>1469</v>
      </c>
      <c r="C807" s="102" t="s">
        <v>56</v>
      </c>
      <c r="D807" s="99">
        <f>IF(OR(Clientes[[#This Row],[Columna1]]="Pago inmediato",Clientes[[#This Row],[Columna1]]=""),0,SUBSTITUTE(Clientes[[#This Row],[Columna1]]," días",""))</f>
        <v>0</v>
      </c>
      <c r="E807" s="34"/>
      <c r="F807"/>
      <c r="G807" s="77"/>
      <c r="I807"/>
      <c r="J807" s="34"/>
      <c r="K807"/>
    </row>
    <row r="808" ht="30" spans="1:11">
      <c r="A808" s="102" t="s">
        <v>1470</v>
      </c>
      <c r="B808" s="102" t="s">
        <v>1471</v>
      </c>
      <c r="C808" s="102" t="s">
        <v>56</v>
      </c>
      <c r="D808" s="99">
        <v>7</v>
      </c>
      <c r="E808" s="34"/>
      <c r="F808"/>
      <c r="G808" s="77"/>
      <c r="I808"/>
      <c r="J808" s="34"/>
      <c r="K808"/>
    </row>
    <row r="809" spans="1:11">
      <c r="A809" s="102" t="s">
        <v>1472</v>
      </c>
      <c r="B809" s="102" t="s">
        <v>1473</v>
      </c>
      <c r="C809" s="102" t="s">
        <v>56</v>
      </c>
      <c r="D809" s="99">
        <v>90</v>
      </c>
      <c r="E809" s="34"/>
      <c r="F809"/>
      <c r="G809" s="77"/>
      <c r="I809"/>
      <c r="J809" s="34"/>
      <c r="K809"/>
    </row>
    <row r="810" ht="30" spans="1:11">
      <c r="A810" s="102" t="s">
        <v>1474</v>
      </c>
      <c r="B810" s="102" t="s">
        <v>1475</v>
      </c>
      <c r="C810" s="102" t="s">
        <v>454</v>
      </c>
      <c r="D810" s="99" t="str">
        <f>IF(OR(Clientes[[#This Row],[Columna1]]="Pago inmediato",Clientes[[#This Row],[Columna1]]=""),0,SUBSTITUTE(Clientes[[#This Row],[Columna1]]," días",""))</f>
        <v>21</v>
      </c>
      <c r="E810" s="34"/>
      <c r="F810"/>
      <c r="G810" s="77"/>
      <c r="I810"/>
      <c r="J810" s="34"/>
      <c r="K810"/>
    </row>
    <row r="811" spans="1:11">
      <c r="A811" s="102" t="s">
        <v>1476</v>
      </c>
      <c r="B811" s="102" t="s">
        <v>1477</v>
      </c>
      <c r="C811" s="102" t="s">
        <v>56</v>
      </c>
      <c r="D811" s="99">
        <f>IF(OR(Clientes[[#This Row],[Columna1]]="Pago inmediato",Clientes[[#This Row],[Columna1]]=""),0,SUBSTITUTE(Clientes[[#This Row],[Columna1]]," días",""))</f>
        <v>0</v>
      </c>
      <c r="E811" s="34"/>
      <c r="F811"/>
      <c r="G811" s="77"/>
      <c r="I811"/>
      <c r="J811" s="34"/>
      <c r="K811"/>
    </row>
    <row r="812" ht="30" spans="1:11">
      <c r="A812" s="102" t="s">
        <v>1478</v>
      </c>
      <c r="B812" s="102" t="s">
        <v>1479</v>
      </c>
      <c r="C812" s="102" t="s">
        <v>465</v>
      </c>
      <c r="D812" s="99" t="str">
        <f>IF(OR(Clientes[[#This Row],[Columna1]]="Pago inmediato",Clientes[[#This Row],[Columna1]]=""),0,SUBSTITUTE(Clientes[[#This Row],[Columna1]]," días",""))</f>
        <v>3</v>
      </c>
      <c r="E812" s="34"/>
      <c r="F812"/>
      <c r="G812" s="77"/>
      <c r="I812"/>
      <c r="J812" s="34"/>
      <c r="K812"/>
    </row>
    <row r="813" spans="1:11">
      <c r="A813" s="102" t="s">
        <v>1480</v>
      </c>
      <c r="B813" s="102" t="s">
        <v>1481</v>
      </c>
      <c r="C813" s="102" t="s">
        <v>56</v>
      </c>
      <c r="D813" s="99">
        <f>IF(OR(Clientes[[#This Row],[Columna1]]="Pago inmediato",Clientes[[#This Row],[Columna1]]=""),0,SUBSTITUTE(Clientes[[#This Row],[Columna1]]," días",""))</f>
        <v>0</v>
      </c>
      <c r="E813" s="34"/>
      <c r="F813"/>
      <c r="G813" s="77"/>
      <c r="I813"/>
      <c r="J813" s="34"/>
      <c r="K813"/>
    </row>
    <row r="814" ht="30" spans="1:11">
      <c r="A814" s="102" t="s">
        <v>1482</v>
      </c>
      <c r="B814" s="102" t="s">
        <v>1483</v>
      </c>
      <c r="C814" s="102" t="s">
        <v>486</v>
      </c>
      <c r="D814" s="99" t="str">
        <f>IF(OR(Clientes[[#This Row],[Columna1]]="Pago inmediato",Clientes[[#This Row],[Columna1]]=""),0,SUBSTITUTE(Clientes[[#This Row],[Columna1]]," días",""))</f>
        <v>30</v>
      </c>
      <c r="E814" s="34"/>
      <c r="F814"/>
      <c r="G814" s="77"/>
      <c r="I814"/>
      <c r="J814" s="34"/>
      <c r="K814"/>
    </row>
    <row r="815" ht="30" spans="1:11">
      <c r="A815" s="102" t="s">
        <v>1484</v>
      </c>
      <c r="B815" s="102" t="s">
        <v>1485</v>
      </c>
      <c r="C815" s="102" t="s">
        <v>56</v>
      </c>
      <c r="D815" s="99">
        <f>IF(OR(Clientes[[#This Row],[Columna1]]="Pago inmediato",Clientes[[#This Row],[Columna1]]=""),0,SUBSTITUTE(Clientes[[#This Row],[Columna1]]," días",""))</f>
        <v>0</v>
      </c>
      <c r="E815" s="34"/>
      <c r="F815"/>
      <c r="G815" s="77"/>
      <c r="I815"/>
      <c r="J815" s="34"/>
      <c r="K815"/>
    </row>
    <row r="816" spans="1:11">
      <c r="A816" s="102" t="s">
        <v>1486</v>
      </c>
      <c r="B816" s="102" t="s">
        <v>1487</v>
      </c>
      <c r="C816" s="102" t="s">
        <v>56</v>
      </c>
      <c r="D816" s="99">
        <f>IF(OR(Clientes[[#This Row],[Columna1]]="Pago inmediato",Clientes[[#This Row],[Columna1]]=""),0,SUBSTITUTE(Clientes[[#This Row],[Columna1]]," días",""))</f>
        <v>0</v>
      </c>
      <c r="E816" s="34"/>
      <c r="F816"/>
      <c r="G816" s="77"/>
      <c r="I816"/>
      <c r="J816" s="34"/>
      <c r="K816"/>
    </row>
    <row r="817" ht="30" spans="1:11">
      <c r="A817" s="102" t="s">
        <v>1488</v>
      </c>
      <c r="B817" s="102" t="s">
        <v>1489</v>
      </c>
      <c r="C817" s="102" t="s">
        <v>56</v>
      </c>
      <c r="D817" s="99">
        <f>IF(OR(Clientes[[#This Row],[Columna1]]="Pago inmediato",Clientes[[#This Row],[Columna1]]=""),0,SUBSTITUTE(Clientes[[#This Row],[Columna1]]," días",""))</f>
        <v>0</v>
      </c>
      <c r="E817" s="34"/>
      <c r="F817"/>
      <c r="G817" s="77"/>
      <c r="I817"/>
      <c r="J817" s="34"/>
      <c r="K817"/>
    </row>
    <row r="818" ht="30" spans="1:11">
      <c r="A818" s="102" t="s">
        <v>1490</v>
      </c>
      <c r="B818" s="102" t="s">
        <v>1491</v>
      </c>
      <c r="C818" s="102" t="s">
        <v>56</v>
      </c>
      <c r="D818" s="99">
        <f>IF(OR(Clientes[[#This Row],[Columna1]]="Pago inmediato",Clientes[[#This Row],[Columna1]]=""),0,SUBSTITUTE(Clientes[[#This Row],[Columna1]]," días",""))</f>
        <v>0</v>
      </c>
      <c r="E818" s="34"/>
      <c r="F818"/>
      <c r="G818" s="77"/>
      <c r="I818"/>
      <c r="J818" s="34"/>
      <c r="K818"/>
    </row>
    <row r="819" ht="30" spans="1:11">
      <c r="A819" s="102" t="s">
        <v>1492</v>
      </c>
      <c r="B819" s="102" t="s">
        <v>1493</v>
      </c>
      <c r="C819" s="102" t="s">
        <v>56</v>
      </c>
      <c r="D819" s="99">
        <f>IF(OR(Clientes[[#This Row],[Columna1]]="Pago inmediato",Clientes[[#This Row],[Columna1]]=""),0,SUBSTITUTE(Clientes[[#This Row],[Columna1]]," días",""))</f>
        <v>0</v>
      </c>
      <c r="E819" s="34"/>
      <c r="F819"/>
      <c r="G819" s="77"/>
      <c r="I819"/>
      <c r="J819" s="34"/>
      <c r="K819"/>
    </row>
    <row r="820" ht="45" spans="1:11">
      <c r="A820" s="102" t="s">
        <v>1494</v>
      </c>
      <c r="B820" s="102" t="s">
        <v>1495</v>
      </c>
      <c r="C820" s="102" t="s">
        <v>56</v>
      </c>
      <c r="D820" s="99">
        <f>IF(OR(Clientes[[#This Row],[Columna1]]="Pago inmediato",Clientes[[#This Row],[Columna1]]=""),0,SUBSTITUTE(Clientes[[#This Row],[Columna1]]," días",""))</f>
        <v>0</v>
      </c>
      <c r="E820" s="34"/>
      <c r="F820"/>
      <c r="G820" s="77"/>
      <c r="I820"/>
      <c r="J820" s="34"/>
      <c r="K820"/>
    </row>
    <row r="821" ht="30" spans="1:11">
      <c r="A821" s="102" t="s">
        <v>1496</v>
      </c>
      <c r="B821" s="102" t="s">
        <v>1497</v>
      </c>
      <c r="C821" s="102" t="s">
        <v>56</v>
      </c>
      <c r="D821" s="99">
        <f>IF(OR(Clientes[[#This Row],[Columna1]]="Pago inmediato",Clientes[[#This Row],[Columna1]]=""),0,SUBSTITUTE(Clientes[[#This Row],[Columna1]]," días",""))</f>
        <v>0</v>
      </c>
      <c r="E821" s="34"/>
      <c r="F821"/>
      <c r="G821" s="77"/>
      <c r="I821"/>
      <c r="J821" s="34"/>
      <c r="K821"/>
    </row>
    <row r="822" spans="1:11">
      <c r="A822" s="102" t="s">
        <v>1498</v>
      </c>
      <c r="B822" s="102" t="s">
        <v>1499</v>
      </c>
      <c r="C822" s="102" t="s">
        <v>56</v>
      </c>
      <c r="D822" s="99">
        <f>IF(OR(Clientes[[#This Row],[Columna1]]="Pago inmediato",Clientes[[#This Row],[Columna1]]=""),0,SUBSTITUTE(Clientes[[#This Row],[Columna1]]," días",""))</f>
        <v>0</v>
      </c>
      <c r="E822" s="34"/>
      <c r="F822"/>
      <c r="G822" s="77"/>
      <c r="I822"/>
      <c r="J822" s="34"/>
      <c r="K822"/>
    </row>
    <row r="823" ht="30" spans="1:11">
      <c r="A823" s="102" t="s">
        <v>1500</v>
      </c>
      <c r="B823" s="102" t="s">
        <v>1501</v>
      </c>
      <c r="C823" s="102" t="s">
        <v>56</v>
      </c>
      <c r="D823" s="99">
        <f>IF(OR(Clientes[[#This Row],[Columna1]]="Pago inmediato",Clientes[[#This Row],[Columna1]]=""),0,SUBSTITUTE(Clientes[[#This Row],[Columna1]]," días",""))</f>
        <v>0</v>
      </c>
      <c r="E823" s="34"/>
      <c r="F823"/>
      <c r="G823" s="77"/>
      <c r="I823"/>
      <c r="J823" s="34"/>
      <c r="K823"/>
    </row>
    <row r="824" ht="30" spans="1:11">
      <c r="A824" s="102" t="s">
        <v>1502</v>
      </c>
      <c r="B824" s="102" t="s">
        <v>1503</v>
      </c>
      <c r="C824" s="102" t="s">
        <v>56</v>
      </c>
      <c r="D824" s="99">
        <f>IF(OR(Clientes[[#This Row],[Columna1]]="Pago inmediato",Clientes[[#This Row],[Columna1]]=""),0,SUBSTITUTE(Clientes[[#This Row],[Columna1]]," días",""))</f>
        <v>0</v>
      </c>
      <c r="E824" s="34"/>
      <c r="F824"/>
      <c r="G824" s="77"/>
      <c r="I824"/>
      <c r="J824" s="34"/>
      <c r="K824"/>
    </row>
    <row r="825" spans="1:11">
      <c r="A825" s="102" t="s">
        <v>1504</v>
      </c>
      <c r="B825" s="102" t="s">
        <v>1505</v>
      </c>
      <c r="C825" s="102" t="s">
        <v>56</v>
      </c>
      <c r="D825" s="99">
        <f>IF(OR(Clientes[[#This Row],[Columna1]]="Pago inmediato",Clientes[[#This Row],[Columna1]]=""),0,SUBSTITUTE(Clientes[[#This Row],[Columna1]]," días",""))</f>
        <v>0</v>
      </c>
      <c r="E825" s="34"/>
      <c r="F825"/>
      <c r="G825" s="77"/>
      <c r="I825"/>
      <c r="J825" s="34"/>
      <c r="K825"/>
    </row>
    <row r="826" ht="30" spans="1:11">
      <c r="A826" s="102" t="s">
        <v>1506</v>
      </c>
      <c r="B826" s="102" t="s">
        <v>1507</v>
      </c>
      <c r="C826" s="102" t="s">
        <v>56</v>
      </c>
      <c r="D826" s="99">
        <f>IF(OR(Clientes[[#This Row],[Columna1]]="Pago inmediato",Clientes[[#This Row],[Columna1]]=""),0,SUBSTITUTE(Clientes[[#This Row],[Columna1]]," días",""))</f>
        <v>0</v>
      </c>
      <c r="E826" s="34"/>
      <c r="F826"/>
      <c r="G826" s="77"/>
      <c r="I826"/>
      <c r="J826" s="34"/>
      <c r="K826"/>
    </row>
    <row r="827" spans="1:11">
      <c r="A827" s="102" t="s">
        <v>1508</v>
      </c>
      <c r="B827" s="102" t="s">
        <v>1509</v>
      </c>
      <c r="C827" s="102" t="s">
        <v>56</v>
      </c>
      <c r="D827" s="99">
        <f>IF(OR(Clientes[[#This Row],[Columna1]]="Pago inmediato",Clientes[[#This Row],[Columna1]]=""),0,SUBSTITUTE(Clientes[[#This Row],[Columna1]]," días",""))</f>
        <v>0</v>
      </c>
      <c r="E827" s="34"/>
      <c r="F827"/>
      <c r="G827" s="77"/>
      <c r="I827"/>
      <c r="J827" s="34"/>
      <c r="K827"/>
    </row>
    <row r="828" spans="1:11">
      <c r="A828" s="102" t="s">
        <v>1510</v>
      </c>
      <c r="B828" s="102" t="s">
        <v>1511</v>
      </c>
      <c r="C828" s="102" t="s">
        <v>56</v>
      </c>
      <c r="D828" s="99">
        <f>IF(OR(Clientes[[#This Row],[Columna1]]="Pago inmediato",Clientes[[#This Row],[Columna1]]=""),0,SUBSTITUTE(Clientes[[#This Row],[Columna1]]," días",""))</f>
        <v>0</v>
      </c>
      <c r="E828" s="34"/>
      <c r="F828"/>
      <c r="G828" s="77"/>
      <c r="I828"/>
      <c r="J828" s="34"/>
      <c r="K828"/>
    </row>
    <row r="829" spans="1:11">
      <c r="A829" s="102" t="s">
        <v>1512</v>
      </c>
      <c r="B829" s="102" t="s">
        <v>1513</v>
      </c>
      <c r="C829" s="102" t="s">
        <v>56</v>
      </c>
      <c r="D829" s="99">
        <f>IF(OR(Clientes[[#This Row],[Columna1]]="Pago inmediato",Clientes[[#This Row],[Columna1]]=""),0,SUBSTITUTE(Clientes[[#This Row],[Columna1]]," días",""))</f>
        <v>0</v>
      </c>
      <c r="E829" s="34"/>
      <c r="F829"/>
      <c r="G829" s="77"/>
      <c r="I829"/>
      <c r="J829" s="34"/>
      <c r="K829"/>
    </row>
    <row r="830" spans="1:11">
      <c r="A830" s="102" t="s">
        <v>1514</v>
      </c>
      <c r="B830" s="102" t="s">
        <v>1515</v>
      </c>
      <c r="C830" s="102" t="s">
        <v>56</v>
      </c>
      <c r="D830" s="99">
        <f>IF(OR(Clientes[[#This Row],[Columna1]]="Pago inmediato",Clientes[[#This Row],[Columna1]]=""),0,SUBSTITUTE(Clientes[[#This Row],[Columna1]]," días",""))</f>
        <v>0</v>
      </c>
      <c r="E830" s="34"/>
      <c r="F830"/>
      <c r="G830" s="77"/>
      <c r="I830"/>
      <c r="J830" s="34"/>
      <c r="K830"/>
    </row>
    <row r="831" spans="1:11">
      <c r="A831" s="102" t="s">
        <v>1516</v>
      </c>
      <c r="B831" s="102" t="s">
        <v>1517</v>
      </c>
      <c r="C831" s="102" t="s">
        <v>56</v>
      </c>
      <c r="D831" s="99">
        <f>IF(OR(Clientes[[#This Row],[Columna1]]="Pago inmediato",Clientes[[#This Row],[Columna1]]=""),0,SUBSTITUTE(Clientes[[#This Row],[Columna1]]," días",""))</f>
        <v>0</v>
      </c>
      <c r="E831" s="34"/>
      <c r="F831"/>
      <c r="G831" s="77"/>
      <c r="I831"/>
      <c r="J831" s="34"/>
      <c r="K831"/>
    </row>
    <row r="832" spans="1:11">
      <c r="A832" s="102" t="s">
        <v>1518</v>
      </c>
      <c r="B832" s="102" t="s">
        <v>1519</v>
      </c>
      <c r="C832" s="102" t="s">
        <v>56</v>
      </c>
      <c r="D832" s="99">
        <f>IF(OR(Clientes[[#This Row],[Columna1]]="Pago inmediato",Clientes[[#This Row],[Columna1]]=""),0,SUBSTITUTE(Clientes[[#This Row],[Columna1]]," días",""))</f>
        <v>0</v>
      </c>
      <c r="E832" s="34"/>
      <c r="F832"/>
      <c r="G832" s="77"/>
      <c r="I832"/>
      <c r="J832" s="34"/>
      <c r="K832"/>
    </row>
    <row r="833" spans="1:11">
      <c r="A833" s="102" t="s">
        <v>1520</v>
      </c>
      <c r="B833" s="102" t="s">
        <v>1521</v>
      </c>
      <c r="C833" s="102" t="s">
        <v>56</v>
      </c>
      <c r="D833" s="99">
        <f>IF(OR(Clientes[[#This Row],[Columna1]]="Pago inmediato",Clientes[[#This Row],[Columna1]]=""),0,SUBSTITUTE(Clientes[[#This Row],[Columna1]]," días",""))</f>
        <v>0</v>
      </c>
      <c r="E833" s="34"/>
      <c r="F833"/>
      <c r="G833" s="77"/>
      <c r="I833"/>
      <c r="J833" s="34"/>
      <c r="K833"/>
    </row>
    <row r="834" spans="1:11">
      <c r="A834" s="102" t="s">
        <v>1522</v>
      </c>
      <c r="B834" s="102" t="s">
        <v>1523</v>
      </c>
      <c r="C834" s="102" t="s">
        <v>56</v>
      </c>
      <c r="D834" s="99">
        <f>IF(OR(Clientes[[#This Row],[Columna1]]="Pago inmediato",Clientes[[#This Row],[Columna1]]=""),0,SUBSTITUTE(Clientes[[#This Row],[Columna1]]," días",""))</f>
        <v>0</v>
      </c>
      <c r="E834" s="34"/>
      <c r="F834"/>
      <c r="G834" s="77"/>
      <c r="I834"/>
      <c r="J834" s="34"/>
      <c r="K834"/>
    </row>
    <row r="835" ht="30" spans="1:11">
      <c r="A835" s="102" t="s">
        <v>1524</v>
      </c>
      <c r="B835" s="102" t="s">
        <v>1525</v>
      </c>
      <c r="C835" s="102" t="s">
        <v>56</v>
      </c>
      <c r="D835" s="99">
        <f>IF(OR(Clientes[[#This Row],[Columna1]]="Pago inmediato",Clientes[[#This Row],[Columna1]]=""),0,SUBSTITUTE(Clientes[[#This Row],[Columna1]]," días",""))</f>
        <v>0</v>
      </c>
      <c r="E835" s="34"/>
      <c r="F835"/>
      <c r="G835" s="77"/>
      <c r="I835"/>
      <c r="J835" s="34"/>
      <c r="K835"/>
    </row>
    <row r="836" ht="30" spans="1:11">
      <c r="A836" s="102" t="s">
        <v>1526</v>
      </c>
      <c r="B836" s="102" t="s">
        <v>1527</v>
      </c>
      <c r="C836" s="102" t="s">
        <v>56</v>
      </c>
      <c r="D836" s="99">
        <f>IF(OR(Clientes[[#This Row],[Columna1]]="Pago inmediato",Clientes[[#This Row],[Columna1]]=""),0,SUBSTITUTE(Clientes[[#This Row],[Columna1]]," días",""))</f>
        <v>0</v>
      </c>
      <c r="E836" s="34"/>
      <c r="F836"/>
      <c r="G836" s="77"/>
      <c r="I836"/>
      <c r="J836" s="34"/>
      <c r="K836"/>
    </row>
    <row r="837" spans="1:11">
      <c r="A837" s="102" t="s">
        <v>1528</v>
      </c>
      <c r="B837" s="102" t="s">
        <v>1529</v>
      </c>
      <c r="C837" s="102" t="s">
        <v>486</v>
      </c>
      <c r="D837" s="99" t="str">
        <f>IF(OR(Clientes[[#This Row],[Columna1]]="Pago inmediato",Clientes[[#This Row],[Columna1]]=""),0,SUBSTITUTE(Clientes[[#This Row],[Columna1]]," días",""))</f>
        <v>30</v>
      </c>
      <c r="E837" s="34"/>
      <c r="F837"/>
      <c r="G837" s="77"/>
      <c r="I837"/>
      <c r="J837" s="34"/>
      <c r="K837"/>
    </row>
    <row r="838" ht="30" spans="1:11">
      <c r="A838" s="102" t="s">
        <v>1530</v>
      </c>
      <c r="B838" s="102" t="s">
        <v>1531</v>
      </c>
      <c r="C838" s="102" t="s">
        <v>54</v>
      </c>
      <c r="D838" s="99" t="str">
        <f>IF(OR(Clientes[[#This Row],[Columna1]]="Pago inmediato",Clientes[[#This Row],[Columna1]]=""),0,SUBSTITUTE(Clientes[[#This Row],[Columna1]]," días",""))</f>
        <v>7</v>
      </c>
      <c r="E838" s="34"/>
      <c r="F838"/>
      <c r="G838" s="77"/>
      <c r="I838"/>
      <c r="J838" s="34"/>
      <c r="K838"/>
    </row>
    <row r="839" ht="30" spans="1:11">
      <c r="A839" s="102" t="s">
        <v>1530</v>
      </c>
      <c r="B839" s="102" t="s">
        <v>1532</v>
      </c>
      <c r="C839" s="102" t="s">
        <v>54</v>
      </c>
      <c r="D839" s="99" t="str">
        <f>IF(OR(Clientes[[#This Row],[Columna1]]="Pago inmediato",Clientes[[#This Row],[Columna1]]=""),0,SUBSTITUTE(Clientes[[#This Row],[Columna1]]," días",""))</f>
        <v>7</v>
      </c>
      <c r="E839" s="34"/>
      <c r="F839"/>
      <c r="G839" s="77"/>
      <c r="I839"/>
      <c r="J839" s="34"/>
      <c r="K839"/>
    </row>
    <row r="840" ht="30" spans="1:11">
      <c r="A840" s="102" t="s">
        <v>1530</v>
      </c>
      <c r="B840" s="102" t="s">
        <v>1533</v>
      </c>
      <c r="C840" s="102" t="s">
        <v>54</v>
      </c>
      <c r="D840" s="99" t="str">
        <f>IF(OR(Clientes[[#This Row],[Columna1]]="Pago inmediato",Clientes[[#This Row],[Columna1]]=""),0,SUBSTITUTE(Clientes[[#This Row],[Columna1]]," días",""))</f>
        <v>7</v>
      </c>
      <c r="E840" s="34"/>
      <c r="F840"/>
      <c r="G840" s="77"/>
      <c r="I840"/>
      <c r="J840" s="34"/>
      <c r="K840"/>
    </row>
    <row r="841" spans="1:11">
      <c r="A841" s="102" t="s">
        <v>1534</v>
      </c>
      <c r="B841" s="102" t="s">
        <v>1535</v>
      </c>
      <c r="C841" s="102" t="s">
        <v>465</v>
      </c>
      <c r="D841" s="99" t="str">
        <f>IF(OR(Clientes[[#This Row],[Columna1]]="Pago inmediato",Clientes[[#This Row],[Columna1]]=""),0,SUBSTITUTE(Clientes[[#This Row],[Columna1]]," días",""))</f>
        <v>3</v>
      </c>
      <c r="E841" s="34"/>
      <c r="F841"/>
      <c r="G841" s="77"/>
      <c r="I841"/>
      <c r="J841" s="34"/>
      <c r="K841"/>
    </row>
    <row r="842" ht="30" spans="1:11">
      <c r="A842" s="102" t="s">
        <v>1536</v>
      </c>
      <c r="B842" s="102" t="s">
        <v>1537</v>
      </c>
      <c r="C842" s="102" t="s">
        <v>56</v>
      </c>
      <c r="D842" s="99">
        <f>IF(OR(Clientes[[#This Row],[Columna1]]="Pago inmediato",Clientes[[#This Row],[Columna1]]=""),0,SUBSTITUTE(Clientes[[#This Row],[Columna1]]," días",""))</f>
        <v>0</v>
      </c>
      <c r="E842" s="34"/>
      <c r="F842"/>
      <c r="G842" s="77"/>
      <c r="I842"/>
      <c r="J842" s="34"/>
      <c r="K842"/>
    </row>
    <row r="843" ht="30" spans="1:11">
      <c r="A843" s="102" t="s">
        <v>1538</v>
      </c>
      <c r="B843" s="102" t="s">
        <v>1539</v>
      </c>
      <c r="C843" s="102" t="s">
        <v>56</v>
      </c>
      <c r="D843" s="99">
        <f>IF(OR(Clientes[[#This Row],[Columna1]]="Pago inmediato",Clientes[[#This Row],[Columna1]]=""),0,SUBSTITUTE(Clientes[[#This Row],[Columna1]]," días",""))</f>
        <v>0</v>
      </c>
      <c r="E843" s="34"/>
      <c r="F843"/>
      <c r="G843" s="77"/>
      <c r="I843"/>
      <c r="J843" s="34"/>
      <c r="K843"/>
    </row>
    <row r="844" ht="45" spans="1:11">
      <c r="A844" s="102" t="s">
        <v>1538</v>
      </c>
      <c r="B844" s="102" t="s">
        <v>1540</v>
      </c>
      <c r="C844" s="102" t="s">
        <v>56</v>
      </c>
      <c r="D844" s="99">
        <f>IF(OR(Clientes[[#This Row],[Columna1]]="Pago inmediato",Clientes[[#This Row],[Columna1]]=""),0,SUBSTITUTE(Clientes[[#This Row],[Columna1]]," días",""))</f>
        <v>0</v>
      </c>
      <c r="E844" s="34"/>
      <c r="F844"/>
      <c r="G844" s="77"/>
      <c r="I844"/>
      <c r="J844" s="34"/>
      <c r="K844"/>
    </row>
    <row r="845" ht="30" spans="1:11">
      <c r="A845" s="102" t="s">
        <v>1541</v>
      </c>
      <c r="B845" s="102" t="s">
        <v>1542</v>
      </c>
      <c r="C845" s="102" t="s">
        <v>56</v>
      </c>
      <c r="D845" s="99">
        <f>IF(OR(Clientes[[#This Row],[Columna1]]="Pago inmediato",Clientes[[#This Row],[Columna1]]=""),0,SUBSTITUTE(Clientes[[#This Row],[Columna1]]," días",""))</f>
        <v>0</v>
      </c>
      <c r="E845" s="34"/>
      <c r="F845"/>
      <c r="G845" s="77"/>
      <c r="I845"/>
      <c r="J845" s="34"/>
      <c r="K845"/>
    </row>
    <row r="846" spans="1:11">
      <c r="A846" s="102" t="s">
        <v>1543</v>
      </c>
      <c r="B846" s="102" t="s">
        <v>1544</v>
      </c>
      <c r="C846" s="102" t="s">
        <v>56</v>
      </c>
      <c r="D846" s="99">
        <f>IF(OR(Clientes[[#This Row],[Columna1]]="Pago inmediato",Clientes[[#This Row],[Columna1]]=""),0,SUBSTITUTE(Clientes[[#This Row],[Columna1]]," días",""))</f>
        <v>0</v>
      </c>
      <c r="E846" s="34"/>
      <c r="F846"/>
      <c r="G846" s="77"/>
      <c r="I846"/>
      <c r="J846" s="34"/>
      <c r="K846"/>
    </row>
    <row r="847" ht="30" spans="1:11">
      <c r="A847" s="102" t="s">
        <v>1545</v>
      </c>
      <c r="B847" s="102" t="s">
        <v>1546</v>
      </c>
      <c r="C847" s="102" t="s">
        <v>56</v>
      </c>
      <c r="D847" s="99">
        <f>IF(OR(Clientes[[#This Row],[Columna1]]="Pago inmediato",Clientes[[#This Row],[Columna1]]=""),0,SUBSTITUTE(Clientes[[#This Row],[Columna1]]," días",""))</f>
        <v>0</v>
      </c>
      <c r="E847" s="34"/>
      <c r="F847"/>
      <c r="G847" s="77"/>
      <c r="I847"/>
      <c r="J847" s="34"/>
      <c r="K847"/>
    </row>
    <row r="848" ht="30" spans="1:11">
      <c r="A848" s="102" t="s">
        <v>1547</v>
      </c>
      <c r="B848" s="102" t="s">
        <v>1548</v>
      </c>
      <c r="C848" s="102" t="s">
        <v>56</v>
      </c>
      <c r="D848" s="99">
        <f>IF(OR(Clientes[[#This Row],[Columna1]]="Pago inmediato",Clientes[[#This Row],[Columna1]]=""),0,SUBSTITUTE(Clientes[[#This Row],[Columna1]]," días",""))</f>
        <v>0</v>
      </c>
      <c r="E848" s="34"/>
      <c r="F848"/>
      <c r="G848" s="77"/>
      <c r="I848"/>
      <c r="J848" s="34"/>
      <c r="K848"/>
    </row>
    <row r="849" ht="30" spans="1:11">
      <c r="A849" s="102" t="s">
        <v>1547</v>
      </c>
      <c r="B849" s="102" t="s">
        <v>1549</v>
      </c>
      <c r="C849" s="102" t="s">
        <v>56</v>
      </c>
      <c r="D849" s="99">
        <f>IF(OR(Clientes[[#This Row],[Columna1]]="Pago inmediato",Clientes[[#This Row],[Columna1]]=""),0,SUBSTITUTE(Clientes[[#This Row],[Columna1]]," días",""))</f>
        <v>0</v>
      </c>
      <c r="E849" s="34"/>
      <c r="F849"/>
      <c r="G849" s="77"/>
      <c r="I849"/>
      <c r="J849" s="34"/>
      <c r="K849"/>
    </row>
    <row r="850" ht="30" spans="1:11">
      <c r="A850" s="102" t="s">
        <v>1550</v>
      </c>
      <c r="B850" s="102" t="s">
        <v>1551</v>
      </c>
      <c r="C850" s="102" t="s">
        <v>54</v>
      </c>
      <c r="D850" s="99" t="str">
        <f>IF(OR(Clientes[[#This Row],[Columna1]]="Pago inmediato",Clientes[[#This Row],[Columna1]]=""),0,SUBSTITUTE(Clientes[[#This Row],[Columna1]]," días",""))</f>
        <v>7</v>
      </c>
      <c r="E850" s="34"/>
      <c r="F850"/>
      <c r="G850" s="77"/>
      <c r="I850"/>
      <c r="J850" s="34"/>
      <c r="K850"/>
    </row>
    <row r="851" ht="30" spans="1:11">
      <c r="A851" s="102" t="s">
        <v>1552</v>
      </c>
      <c r="B851" s="102" t="s">
        <v>1553</v>
      </c>
      <c r="C851" s="102" t="s">
        <v>56</v>
      </c>
      <c r="D851" s="99">
        <f>IF(OR(Clientes[[#This Row],[Columna1]]="Pago inmediato",Clientes[[#This Row],[Columna1]]=""),0,SUBSTITUTE(Clientes[[#This Row],[Columna1]]," días",""))</f>
        <v>0</v>
      </c>
      <c r="E851" s="34"/>
      <c r="F851"/>
      <c r="G851" s="77"/>
      <c r="I851"/>
      <c r="J851" s="34"/>
      <c r="K851"/>
    </row>
    <row r="852" spans="1:11">
      <c r="A852" s="102" t="s">
        <v>1554</v>
      </c>
      <c r="B852" s="102" t="s">
        <v>1555</v>
      </c>
      <c r="C852" s="102" t="s">
        <v>56</v>
      </c>
      <c r="D852" s="99">
        <f>IF(OR(Clientes[[#This Row],[Columna1]]="Pago inmediato",Clientes[[#This Row],[Columna1]]=""),0,SUBSTITUTE(Clientes[[#This Row],[Columna1]]," días",""))</f>
        <v>0</v>
      </c>
      <c r="E852" s="34"/>
      <c r="F852"/>
      <c r="G852" s="77"/>
      <c r="I852"/>
      <c r="J852" s="34"/>
      <c r="K852"/>
    </row>
    <row r="853" ht="30" spans="1:11">
      <c r="A853" s="102" t="s">
        <v>1556</v>
      </c>
      <c r="B853" s="102" t="s">
        <v>1557</v>
      </c>
      <c r="C853" s="102" t="s">
        <v>56</v>
      </c>
      <c r="D853" s="99">
        <f>IF(OR(Clientes[[#This Row],[Columna1]]="Pago inmediato",Clientes[[#This Row],[Columna1]]=""),0,SUBSTITUTE(Clientes[[#This Row],[Columna1]]," días",""))</f>
        <v>0</v>
      </c>
      <c r="E853" s="34"/>
      <c r="F853"/>
      <c r="G853" s="77"/>
      <c r="I853"/>
      <c r="J853" s="34"/>
      <c r="K853"/>
    </row>
    <row r="854" ht="30" spans="1:11">
      <c r="A854" s="102" t="s">
        <v>1558</v>
      </c>
      <c r="B854" s="102" t="s">
        <v>1559</v>
      </c>
      <c r="C854" s="102" t="s">
        <v>56</v>
      </c>
      <c r="D854" s="99">
        <f>IF(OR(Clientes[[#This Row],[Columna1]]="Pago inmediato",Clientes[[#This Row],[Columna1]]=""),0,SUBSTITUTE(Clientes[[#This Row],[Columna1]]," días",""))</f>
        <v>0</v>
      </c>
      <c r="E854" s="34"/>
      <c r="F854"/>
      <c r="G854" s="77"/>
      <c r="I854"/>
      <c r="J854" s="34"/>
      <c r="K854"/>
    </row>
    <row r="855" ht="30" spans="1:11">
      <c r="A855" s="102" t="s">
        <v>1560</v>
      </c>
      <c r="B855" s="102" t="s">
        <v>1561</v>
      </c>
      <c r="C855" s="102" t="s">
        <v>56</v>
      </c>
      <c r="D855" s="99">
        <f>IF(OR(Clientes[[#This Row],[Columna1]]="Pago inmediato",Clientes[[#This Row],[Columna1]]=""),0,SUBSTITUTE(Clientes[[#This Row],[Columna1]]," días",""))</f>
        <v>0</v>
      </c>
      <c r="E855" s="34"/>
      <c r="F855"/>
      <c r="G855" s="77"/>
      <c r="I855"/>
      <c r="J855" s="34"/>
      <c r="K855"/>
    </row>
    <row r="856" ht="30" spans="1:11">
      <c r="A856" s="102" t="s">
        <v>1560</v>
      </c>
      <c r="B856" s="102" t="s">
        <v>1562</v>
      </c>
      <c r="C856" s="102" t="s">
        <v>56</v>
      </c>
      <c r="D856" s="99">
        <f>IF(OR(Clientes[[#This Row],[Columna1]]="Pago inmediato",Clientes[[#This Row],[Columna1]]=""),0,SUBSTITUTE(Clientes[[#This Row],[Columna1]]," días",""))</f>
        <v>0</v>
      </c>
      <c r="E856" s="34"/>
      <c r="F856"/>
      <c r="G856" s="77"/>
      <c r="I856"/>
      <c r="J856" s="34"/>
      <c r="K856"/>
    </row>
    <row r="857" ht="30" spans="1:11">
      <c r="A857" s="102" t="s">
        <v>1563</v>
      </c>
      <c r="B857" s="102" t="s">
        <v>1564</v>
      </c>
      <c r="C857" s="102" t="s">
        <v>56</v>
      </c>
      <c r="D857" s="99">
        <f>IF(OR(Clientes[[#This Row],[Columna1]]="Pago inmediato",Clientes[[#This Row],[Columna1]]=""),0,SUBSTITUTE(Clientes[[#This Row],[Columna1]]," días",""))</f>
        <v>0</v>
      </c>
      <c r="E857" s="34"/>
      <c r="F857"/>
      <c r="G857" s="77"/>
      <c r="I857"/>
      <c r="J857" s="34"/>
      <c r="K857"/>
    </row>
    <row r="858" ht="30" spans="1:11">
      <c r="A858" s="102" t="s">
        <v>1565</v>
      </c>
      <c r="B858" s="102" t="s">
        <v>1566</v>
      </c>
      <c r="C858" s="102" t="s">
        <v>56</v>
      </c>
      <c r="D858" s="99">
        <f>IF(OR(Clientes[[#This Row],[Columna1]]="Pago inmediato",Clientes[[#This Row],[Columna1]]=""),0,SUBSTITUTE(Clientes[[#This Row],[Columna1]]," días",""))</f>
        <v>0</v>
      </c>
      <c r="E858" s="34"/>
      <c r="F858"/>
      <c r="G858" s="77"/>
      <c r="I858"/>
      <c r="J858" s="34"/>
      <c r="K858"/>
    </row>
    <row r="859" ht="30" spans="1:11">
      <c r="A859" s="102" t="s">
        <v>1567</v>
      </c>
      <c r="B859" s="102" t="s">
        <v>1568</v>
      </c>
      <c r="C859" s="102" t="s">
        <v>56</v>
      </c>
      <c r="D859" s="99">
        <f>IF(OR(Clientes[[#This Row],[Columna1]]="Pago inmediato",Clientes[[#This Row],[Columna1]]=""),0,SUBSTITUTE(Clientes[[#This Row],[Columna1]]," días",""))</f>
        <v>0</v>
      </c>
      <c r="E859" s="34"/>
      <c r="F859"/>
      <c r="G859" s="77"/>
      <c r="I859"/>
      <c r="J859" s="34"/>
      <c r="K859"/>
    </row>
    <row r="860" spans="1:11">
      <c r="A860" s="102" t="s">
        <v>1569</v>
      </c>
      <c r="B860" s="102" t="s">
        <v>1570</v>
      </c>
      <c r="C860" s="102" t="s">
        <v>56</v>
      </c>
      <c r="D860" s="99">
        <f>IF(OR(Clientes[[#This Row],[Columna1]]="Pago inmediato",Clientes[[#This Row],[Columna1]]=""),0,SUBSTITUTE(Clientes[[#This Row],[Columna1]]," días",""))</f>
        <v>0</v>
      </c>
      <c r="E860" s="34"/>
      <c r="F860"/>
      <c r="G860" s="77"/>
      <c r="I860"/>
      <c r="J860" s="34"/>
      <c r="K860"/>
    </row>
    <row r="861" spans="1:11">
      <c r="A861" s="102" t="s">
        <v>1571</v>
      </c>
      <c r="B861" s="102" t="s">
        <v>1572</v>
      </c>
      <c r="C861" s="102" t="s">
        <v>56</v>
      </c>
      <c r="D861" s="99">
        <f>IF(OR(Clientes[[#This Row],[Columna1]]="Pago inmediato",Clientes[[#This Row],[Columna1]]=""),0,SUBSTITUTE(Clientes[[#This Row],[Columna1]]," días",""))</f>
        <v>0</v>
      </c>
      <c r="E861" s="34"/>
      <c r="F861"/>
      <c r="G861" s="77"/>
      <c r="I861"/>
      <c r="J861" s="34"/>
      <c r="K861"/>
    </row>
    <row r="862" spans="1:11">
      <c r="A862" s="102"/>
      <c r="B862" s="102" t="s">
        <v>1573</v>
      </c>
      <c r="C862" s="102"/>
      <c r="D862" s="99">
        <f>IF(OR(Clientes[[#This Row],[Columna1]]="Pago inmediato",Clientes[[#This Row],[Columna1]]=""),0,SUBSTITUTE(Clientes[[#This Row],[Columna1]]," días",""))</f>
        <v>0</v>
      </c>
      <c r="E862" s="34"/>
      <c r="F862"/>
      <c r="G862" s="77"/>
      <c r="I862"/>
      <c r="J862" s="34"/>
      <c r="K862"/>
    </row>
    <row r="863" ht="30" spans="1:11">
      <c r="A863" s="102" t="s">
        <v>1574</v>
      </c>
      <c r="B863" s="102" t="s">
        <v>1575</v>
      </c>
      <c r="C863" s="102" t="s">
        <v>54</v>
      </c>
      <c r="D863" s="99" t="str">
        <f>IF(OR(Clientes[[#This Row],[Columna1]]="Pago inmediato",Clientes[[#This Row],[Columna1]]=""),0,SUBSTITUTE(Clientes[[#This Row],[Columna1]]," días",""))</f>
        <v>7</v>
      </c>
      <c r="E863" s="34"/>
      <c r="F863"/>
      <c r="G863" s="77"/>
      <c r="I863"/>
      <c r="J863" s="34"/>
      <c r="K863"/>
    </row>
    <row r="864" spans="1:11">
      <c r="A864" s="102" t="s">
        <v>1576</v>
      </c>
      <c r="B864" s="102" t="s">
        <v>1577</v>
      </c>
      <c r="C864" s="102" t="s">
        <v>56</v>
      </c>
      <c r="D864" s="99">
        <f>IF(OR(Clientes[[#This Row],[Columna1]]="Pago inmediato",Clientes[[#This Row],[Columna1]]=""),0,SUBSTITUTE(Clientes[[#This Row],[Columna1]]," días",""))</f>
        <v>0</v>
      </c>
      <c r="E864" s="34"/>
      <c r="F864"/>
      <c r="G864" s="77"/>
      <c r="I864"/>
      <c r="J864" s="34"/>
      <c r="K864"/>
    </row>
    <row r="865" ht="75" spans="1:11">
      <c r="A865" s="102" t="s">
        <v>1578</v>
      </c>
      <c r="B865" s="102" t="s">
        <v>1579</v>
      </c>
      <c r="C865" s="102" t="s">
        <v>56</v>
      </c>
      <c r="D865" s="99">
        <f>IF(OR(Clientes[[#This Row],[Columna1]]="Pago inmediato",Clientes[[#This Row],[Columna1]]=""),0,SUBSTITUTE(Clientes[[#This Row],[Columna1]]," días",""))</f>
        <v>0</v>
      </c>
      <c r="E865" s="34"/>
      <c r="F865"/>
      <c r="G865" s="77"/>
      <c r="I865"/>
      <c r="J865" s="34"/>
      <c r="K865"/>
    </row>
    <row r="866" spans="1:11">
      <c r="A866" s="102"/>
      <c r="B866" s="102" t="s">
        <v>1580</v>
      </c>
      <c r="C866" s="102" t="s">
        <v>56</v>
      </c>
      <c r="D866" s="99">
        <f>IF(OR(Clientes[[#This Row],[Columna1]]="Pago inmediato",Clientes[[#This Row],[Columna1]]=""),0,SUBSTITUTE(Clientes[[#This Row],[Columna1]]," días",""))</f>
        <v>0</v>
      </c>
      <c r="E866" s="34"/>
      <c r="F866"/>
      <c r="G866" s="77"/>
      <c r="I866"/>
      <c r="J866" s="34"/>
      <c r="K866"/>
    </row>
    <row r="867" spans="1:11">
      <c r="A867" s="102" t="s">
        <v>1581</v>
      </c>
      <c r="B867" s="102" t="s">
        <v>1582</v>
      </c>
      <c r="C867" s="102" t="s">
        <v>56</v>
      </c>
      <c r="D867" s="99">
        <f>IF(OR(Clientes[[#This Row],[Columna1]]="Pago inmediato",Clientes[[#This Row],[Columna1]]=""),0,SUBSTITUTE(Clientes[[#This Row],[Columna1]]," días",""))</f>
        <v>0</v>
      </c>
      <c r="E867" s="34"/>
      <c r="F867"/>
      <c r="G867" s="77"/>
      <c r="I867"/>
      <c r="J867" s="34"/>
      <c r="K867"/>
    </row>
    <row r="868" ht="30" spans="1:11">
      <c r="A868" s="102" t="s">
        <v>1583</v>
      </c>
      <c r="B868" s="102" t="s">
        <v>1584</v>
      </c>
      <c r="C868" s="102" t="s">
        <v>56</v>
      </c>
      <c r="D868" s="99">
        <f>IF(OR(Clientes[[#This Row],[Columna1]]="Pago inmediato",Clientes[[#This Row],[Columna1]]=""),0,SUBSTITUTE(Clientes[[#This Row],[Columna1]]," días",""))</f>
        <v>0</v>
      </c>
      <c r="E868" s="34"/>
      <c r="F868"/>
      <c r="G868" s="77"/>
      <c r="I868"/>
      <c r="J868" s="34"/>
      <c r="K868"/>
    </row>
    <row r="869" ht="30" spans="1:11">
      <c r="A869" s="102" t="s">
        <v>1585</v>
      </c>
      <c r="B869" s="102" t="s">
        <v>1586</v>
      </c>
      <c r="C869" s="102" t="s">
        <v>56</v>
      </c>
      <c r="D869" s="99">
        <f>IF(OR(Clientes[[#This Row],[Columna1]]="Pago inmediato",Clientes[[#This Row],[Columna1]]=""),0,SUBSTITUTE(Clientes[[#This Row],[Columna1]]," días",""))</f>
        <v>0</v>
      </c>
      <c r="E869" s="34"/>
      <c r="F869"/>
      <c r="G869" s="77"/>
      <c r="I869"/>
      <c r="J869" s="34"/>
      <c r="K869"/>
    </row>
    <row r="870" ht="30" spans="1:11">
      <c r="A870" s="102" t="s">
        <v>1587</v>
      </c>
      <c r="B870" s="102" t="s">
        <v>1588</v>
      </c>
      <c r="C870" s="102" t="s">
        <v>54</v>
      </c>
      <c r="D870" s="99" t="str">
        <f>IF(OR(Clientes[[#This Row],[Columna1]]="Pago inmediato",Clientes[[#This Row],[Columna1]]=""),0,SUBSTITUTE(Clientes[[#This Row],[Columna1]]," días",""))</f>
        <v>7</v>
      </c>
      <c r="E870" s="34"/>
      <c r="F870"/>
      <c r="G870" s="77"/>
      <c r="I870"/>
      <c r="J870" s="34"/>
      <c r="K870"/>
    </row>
    <row r="871" ht="45" spans="1:11">
      <c r="A871" s="102" t="s">
        <v>1589</v>
      </c>
      <c r="B871" s="102" t="s">
        <v>1590</v>
      </c>
      <c r="C871" s="102">
        <v>90</v>
      </c>
      <c r="D871" s="99" t="str">
        <f>IF(OR(Clientes[[#This Row],[Columna1]]="Pago inmediato",Clientes[[#This Row],[Columna1]]=""),0,SUBSTITUTE(Clientes[[#This Row],[Columna1]]," días",""))</f>
        <v>90</v>
      </c>
      <c r="E871" s="34"/>
      <c r="F871"/>
      <c r="G871" s="77"/>
      <c r="I871"/>
      <c r="J871" s="34"/>
      <c r="K871"/>
    </row>
    <row r="872" ht="30" spans="1:11">
      <c r="A872" s="102" t="s">
        <v>1591</v>
      </c>
      <c r="B872" s="102" t="s">
        <v>1592</v>
      </c>
      <c r="C872" s="102"/>
      <c r="D872" s="99">
        <f>IF(OR(Clientes[[#This Row],[Columna1]]="Pago inmediato",Clientes[[#This Row],[Columna1]]=""),0,SUBSTITUTE(Clientes[[#This Row],[Columna1]]," días",""))</f>
        <v>0</v>
      </c>
      <c r="E872" s="34"/>
      <c r="F872"/>
      <c r="G872" s="77"/>
      <c r="I872"/>
      <c r="J872" s="34"/>
      <c r="K872"/>
    </row>
    <row r="873" spans="1:11">
      <c r="A873" s="102" t="s">
        <v>1593</v>
      </c>
      <c r="B873" s="102" t="s">
        <v>1594</v>
      </c>
      <c r="C873" s="102" t="s">
        <v>56</v>
      </c>
      <c r="D873" s="99">
        <f>IF(OR(Clientes[[#This Row],[Columna1]]="Pago inmediato",Clientes[[#This Row],[Columna1]]=""),0,SUBSTITUTE(Clientes[[#This Row],[Columna1]]," días",""))</f>
        <v>0</v>
      </c>
      <c r="E873" s="34"/>
      <c r="F873"/>
      <c r="G873" s="77"/>
      <c r="I873"/>
      <c r="J873" s="34"/>
      <c r="K873"/>
    </row>
    <row r="874" ht="30" spans="1:11">
      <c r="A874" s="102" t="s">
        <v>1595</v>
      </c>
      <c r="B874" s="102" t="s">
        <v>1596</v>
      </c>
      <c r="C874" s="102" t="s">
        <v>56</v>
      </c>
      <c r="D874" s="99">
        <f>IF(OR(Clientes[[#This Row],[Columna1]]="Pago inmediato",Clientes[[#This Row],[Columna1]]=""),0,SUBSTITUTE(Clientes[[#This Row],[Columna1]]," días",""))</f>
        <v>0</v>
      </c>
      <c r="E874" s="34"/>
      <c r="F874"/>
      <c r="G874" s="77"/>
      <c r="I874"/>
      <c r="J874" s="34"/>
      <c r="K874"/>
    </row>
    <row r="875" spans="1:11">
      <c r="A875" s="102" t="s">
        <v>1597</v>
      </c>
      <c r="B875" s="102" t="s">
        <v>1598</v>
      </c>
      <c r="C875" s="102" t="s">
        <v>56</v>
      </c>
      <c r="D875" s="99">
        <f>IF(OR(Clientes[[#This Row],[Columna1]]="Pago inmediato",Clientes[[#This Row],[Columna1]]=""),0,SUBSTITUTE(Clientes[[#This Row],[Columna1]]," días",""))</f>
        <v>0</v>
      </c>
      <c r="E875" s="34"/>
      <c r="F875"/>
      <c r="G875" s="77"/>
      <c r="I875"/>
      <c r="J875" s="34"/>
      <c r="K875"/>
    </row>
    <row r="876" ht="30" spans="1:11">
      <c r="A876" s="102" t="s">
        <v>1599</v>
      </c>
      <c r="B876" s="102" t="s">
        <v>1600</v>
      </c>
      <c r="C876" s="102" t="s">
        <v>282</v>
      </c>
      <c r="D876" s="99" t="str">
        <f>IF(OR(Clientes[[#This Row],[Columna1]]="Pago inmediato",Clientes[[#This Row],[Columna1]]=""),0,SUBSTITUTE(Clientes[[#This Row],[Columna1]]," días",""))</f>
        <v>10</v>
      </c>
      <c r="E876" s="34"/>
      <c r="F876"/>
      <c r="G876" s="77"/>
      <c r="I876"/>
      <c r="J876" s="34"/>
      <c r="K876"/>
    </row>
    <row r="877" ht="30" spans="1:11">
      <c r="A877" s="102" t="s">
        <v>1601</v>
      </c>
      <c r="B877" s="102" t="s">
        <v>1602</v>
      </c>
      <c r="C877" s="102" t="s">
        <v>56</v>
      </c>
      <c r="D877" s="99">
        <f>IF(OR(Clientes[[#This Row],[Columna1]]="Pago inmediato",Clientes[[#This Row],[Columna1]]=""),0,SUBSTITUTE(Clientes[[#This Row],[Columna1]]," días",""))</f>
        <v>0</v>
      </c>
      <c r="E877" s="34"/>
      <c r="F877"/>
      <c r="G877" s="77"/>
      <c r="I877"/>
      <c r="J877" s="34"/>
      <c r="K877"/>
    </row>
    <row r="878" ht="30" spans="1:11">
      <c r="A878" s="102" t="s">
        <v>1603</v>
      </c>
      <c r="B878" s="102" t="s">
        <v>1604</v>
      </c>
      <c r="C878" s="102" t="s">
        <v>56</v>
      </c>
      <c r="D878" s="99">
        <f>IF(OR(Clientes[[#This Row],[Columna1]]="Pago inmediato",Clientes[[#This Row],[Columna1]]=""),0,SUBSTITUTE(Clientes[[#This Row],[Columna1]]," días",""))</f>
        <v>0</v>
      </c>
      <c r="E878" s="34"/>
      <c r="F878"/>
      <c r="G878" s="77"/>
      <c r="I878"/>
      <c r="J878" s="34"/>
      <c r="K878"/>
    </row>
    <row r="879" spans="1:11">
      <c r="A879" s="102" t="s">
        <v>1605</v>
      </c>
      <c r="B879" s="102" t="s">
        <v>1606</v>
      </c>
      <c r="C879" s="102" t="s">
        <v>56</v>
      </c>
      <c r="D879" s="99">
        <f>IF(OR(Clientes[[#This Row],[Columna1]]="Pago inmediato",Clientes[[#This Row],[Columna1]]=""),0,SUBSTITUTE(Clientes[[#This Row],[Columna1]]," días",""))</f>
        <v>0</v>
      </c>
      <c r="E879" s="34"/>
      <c r="F879"/>
      <c r="G879" s="77"/>
      <c r="I879"/>
      <c r="J879" s="34"/>
      <c r="K879"/>
    </row>
    <row r="880" spans="1:11">
      <c r="A880" s="102" t="s">
        <v>1607</v>
      </c>
      <c r="B880" s="102" t="s">
        <v>1608</v>
      </c>
      <c r="C880" s="102"/>
      <c r="D880" s="99">
        <f>IF(OR(Clientes[[#This Row],[Columna1]]="Pago inmediato",Clientes[[#This Row],[Columna1]]=""),0,SUBSTITUTE(Clientes[[#This Row],[Columna1]]," días",""))</f>
        <v>0</v>
      </c>
      <c r="E880" s="34"/>
      <c r="F880"/>
      <c r="G880" s="77"/>
      <c r="I880"/>
      <c r="J880" s="34"/>
      <c r="K880"/>
    </row>
    <row r="881" spans="1:11">
      <c r="A881" s="102"/>
      <c r="B881" s="102" t="s">
        <v>1609</v>
      </c>
      <c r="C881" s="102"/>
      <c r="D881" s="99">
        <f>IF(OR(Clientes[[#This Row],[Columna1]]="Pago inmediato",Clientes[[#This Row],[Columna1]]=""),0,SUBSTITUTE(Clientes[[#This Row],[Columna1]]," días",""))</f>
        <v>0</v>
      </c>
      <c r="E881" s="34"/>
      <c r="F881"/>
      <c r="G881" s="77"/>
      <c r="I881"/>
      <c r="J881" s="34"/>
      <c r="K881"/>
    </row>
    <row r="882" spans="1:11">
      <c r="A882" s="102" t="s">
        <v>1610</v>
      </c>
      <c r="B882" s="102" t="s">
        <v>1611</v>
      </c>
      <c r="C882" s="102" t="s">
        <v>56</v>
      </c>
      <c r="D882" s="99">
        <f>IF(OR(Clientes[[#This Row],[Columna1]]="Pago inmediato",Clientes[[#This Row],[Columna1]]=""),0,SUBSTITUTE(Clientes[[#This Row],[Columna1]]," días",""))</f>
        <v>0</v>
      </c>
      <c r="E882" s="34"/>
      <c r="F882"/>
      <c r="G882" s="77"/>
      <c r="I882"/>
      <c r="J882" s="34"/>
      <c r="K882"/>
    </row>
    <row r="883" ht="30" spans="1:11">
      <c r="A883" s="102" t="s">
        <v>1612</v>
      </c>
      <c r="B883" s="102" t="s">
        <v>1613</v>
      </c>
      <c r="C883" s="102" t="s">
        <v>56</v>
      </c>
      <c r="D883" s="99">
        <f>IF(OR(Clientes[[#This Row],[Columna1]]="Pago inmediato",Clientes[[#This Row],[Columna1]]=""),0,SUBSTITUTE(Clientes[[#This Row],[Columna1]]," días",""))</f>
        <v>0</v>
      </c>
      <c r="E883" s="34"/>
      <c r="F883"/>
      <c r="G883" s="77"/>
      <c r="I883"/>
      <c r="J883" s="34"/>
      <c r="K883"/>
    </row>
    <row r="884" spans="1:11">
      <c r="A884" s="102" t="s">
        <v>1614</v>
      </c>
      <c r="B884" s="102" t="s">
        <v>1615</v>
      </c>
      <c r="C884" s="102" t="s">
        <v>56</v>
      </c>
      <c r="D884" s="99">
        <f>IF(OR(Clientes[[#This Row],[Columna1]]="Pago inmediato",Clientes[[#This Row],[Columna1]]=""),0,SUBSTITUTE(Clientes[[#This Row],[Columna1]]," días",""))</f>
        <v>0</v>
      </c>
      <c r="E884" s="34"/>
      <c r="F884"/>
      <c r="G884" s="77"/>
      <c r="I884"/>
      <c r="J884" s="34"/>
      <c r="K884"/>
    </row>
    <row r="885" ht="45" spans="1:11">
      <c r="A885" s="102" t="s">
        <v>1616</v>
      </c>
      <c r="B885" s="102" t="s">
        <v>1617</v>
      </c>
      <c r="C885" s="102" t="s">
        <v>56</v>
      </c>
      <c r="D885" s="99">
        <f>IF(OR(Clientes[[#This Row],[Columna1]]="Pago inmediato",Clientes[[#This Row],[Columna1]]=""),0,SUBSTITUTE(Clientes[[#This Row],[Columna1]]," días",""))</f>
        <v>0</v>
      </c>
      <c r="E885" s="34"/>
      <c r="F885"/>
      <c r="G885" s="77"/>
      <c r="I885"/>
      <c r="J885" s="34"/>
      <c r="K885"/>
    </row>
    <row r="886" spans="1:11">
      <c r="A886" s="102" t="s">
        <v>1618</v>
      </c>
      <c r="B886" s="102" t="s">
        <v>1619</v>
      </c>
      <c r="C886" s="102" t="s">
        <v>56</v>
      </c>
      <c r="D886" s="99">
        <f>IF(OR(Clientes[[#This Row],[Columna1]]="Pago inmediato",Clientes[[#This Row],[Columna1]]=""),0,SUBSTITUTE(Clientes[[#This Row],[Columna1]]," días",""))</f>
        <v>0</v>
      </c>
      <c r="E886" s="34"/>
      <c r="F886"/>
      <c r="G886" s="77"/>
      <c r="I886"/>
      <c r="J886" s="34"/>
      <c r="K886"/>
    </row>
    <row r="887" ht="30" spans="1:11">
      <c r="A887" s="102" t="s">
        <v>1620</v>
      </c>
      <c r="B887" s="102" t="s">
        <v>1621</v>
      </c>
      <c r="C887" s="102" t="s">
        <v>56</v>
      </c>
      <c r="D887" s="99">
        <f>IF(OR(Clientes[[#This Row],[Columna1]]="Pago inmediato",Clientes[[#This Row],[Columna1]]=""),0,SUBSTITUTE(Clientes[[#This Row],[Columna1]]," días",""))</f>
        <v>0</v>
      </c>
      <c r="E887" s="34"/>
      <c r="F887"/>
      <c r="G887" s="77"/>
      <c r="I887"/>
      <c r="J887" s="34"/>
      <c r="K887"/>
    </row>
    <row r="888" spans="1:11">
      <c r="A888" s="102" t="s">
        <v>1622</v>
      </c>
      <c r="B888" s="102" t="s">
        <v>1623</v>
      </c>
      <c r="C888" s="102" t="s">
        <v>56</v>
      </c>
      <c r="D888" s="99">
        <f>IF(OR(Clientes[[#This Row],[Columna1]]="Pago inmediato",Clientes[[#This Row],[Columna1]]=""),0,SUBSTITUTE(Clientes[[#This Row],[Columna1]]," días",""))</f>
        <v>0</v>
      </c>
      <c r="E888" s="34"/>
      <c r="F888"/>
      <c r="G888" s="77"/>
      <c r="I888"/>
      <c r="J888" s="34"/>
      <c r="K888"/>
    </row>
    <row r="889" ht="30" spans="1:11">
      <c r="A889" s="102" t="s">
        <v>1624</v>
      </c>
      <c r="B889" s="102" t="s">
        <v>1625</v>
      </c>
      <c r="C889" s="102" t="s">
        <v>54</v>
      </c>
      <c r="D889" s="99" t="str">
        <f>IF(OR(Clientes[[#This Row],[Columna1]]="Pago inmediato",Clientes[[#This Row],[Columna1]]=""),0,SUBSTITUTE(Clientes[[#This Row],[Columna1]]," días",""))</f>
        <v>7</v>
      </c>
      <c r="E889" s="34"/>
      <c r="F889"/>
      <c r="G889" s="77"/>
      <c r="I889"/>
      <c r="J889" s="34"/>
      <c r="K889"/>
    </row>
    <row r="890" ht="30" spans="1:11">
      <c r="A890" s="102" t="s">
        <v>1626</v>
      </c>
      <c r="B890" s="102" t="s">
        <v>1627</v>
      </c>
      <c r="C890" s="102" t="s">
        <v>56</v>
      </c>
      <c r="D890" s="99">
        <f>IF(OR(Clientes[[#This Row],[Columna1]]="Pago inmediato",Clientes[[#This Row],[Columna1]]=""),0,SUBSTITUTE(Clientes[[#This Row],[Columna1]]," días",""))</f>
        <v>0</v>
      </c>
      <c r="E890" s="34"/>
      <c r="F890"/>
      <c r="G890" s="77"/>
      <c r="I890"/>
      <c r="J890" s="34"/>
      <c r="K890"/>
    </row>
    <row r="891" ht="30" spans="1:11">
      <c r="A891" s="102" t="s">
        <v>1628</v>
      </c>
      <c r="B891" s="102" t="s">
        <v>1629</v>
      </c>
      <c r="C891" s="102" t="s">
        <v>56</v>
      </c>
      <c r="D891" s="99">
        <f>IF(OR(Clientes[[#This Row],[Columna1]]="Pago inmediato",Clientes[[#This Row],[Columna1]]=""),0,SUBSTITUTE(Clientes[[#This Row],[Columna1]]," días",""))</f>
        <v>0</v>
      </c>
      <c r="E891" s="34"/>
      <c r="F891"/>
      <c r="G891" s="77"/>
      <c r="I891"/>
      <c r="J891" s="34"/>
      <c r="K891"/>
    </row>
    <row r="892" ht="30" spans="1:11">
      <c r="A892" s="102" t="s">
        <v>1630</v>
      </c>
      <c r="B892" s="102" t="s">
        <v>1631</v>
      </c>
      <c r="C892" s="102" t="s">
        <v>56</v>
      </c>
      <c r="D892" s="99">
        <f>IF(OR(Clientes[[#This Row],[Columna1]]="Pago inmediato",Clientes[[#This Row],[Columna1]]=""),0,SUBSTITUTE(Clientes[[#This Row],[Columna1]]," días",""))</f>
        <v>0</v>
      </c>
      <c r="E892" s="34"/>
      <c r="F892"/>
      <c r="G892" s="77"/>
      <c r="I892"/>
      <c r="J892" s="34"/>
      <c r="K892"/>
    </row>
    <row r="893" ht="30" spans="1:11">
      <c r="A893" s="102" t="s">
        <v>1632</v>
      </c>
      <c r="B893" s="102" t="s">
        <v>1633</v>
      </c>
      <c r="C893" s="102" t="s">
        <v>56</v>
      </c>
      <c r="D893" s="99">
        <f>IF(OR(Clientes[[#This Row],[Columna1]]="Pago inmediato",Clientes[[#This Row],[Columna1]]=""),0,SUBSTITUTE(Clientes[[#This Row],[Columna1]]," días",""))</f>
        <v>0</v>
      </c>
      <c r="E893" s="34"/>
      <c r="F893"/>
      <c r="G893" s="77"/>
      <c r="I893"/>
      <c r="J893" s="34"/>
      <c r="K893"/>
    </row>
    <row r="894" ht="45" spans="1:11">
      <c r="A894" s="102" t="s">
        <v>1634</v>
      </c>
      <c r="B894" s="102" t="s">
        <v>1635</v>
      </c>
      <c r="C894" s="102" t="s">
        <v>56</v>
      </c>
      <c r="D894" s="99">
        <f>IF(OR(Clientes[[#This Row],[Columna1]]="Pago inmediato",Clientes[[#This Row],[Columna1]]=""),0,SUBSTITUTE(Clientes[[#This Row],[Columna1]]," días",""))</f>
        <v>0</v>
      </c>
      <c r="E894" s="34"/>
      <c r="F894"/>
      <c r="G894" s="77"/>
      <c r="I894"/>
      <c r="J894" s="34"/>
      <c r="K894"/>
    </row>
    <row r="895" ht="30" spans="1:11">
      <c r="A895" s="102" t="s">
        <v>1636</v>
      </c>
      <c r="B895" s="102" t="s">
        <v>1637</v>
      </c>
      <c r="C895" s="102" t="s">
        <v>56</v>
      </c>
      <c r="D895" s="99">
        <f>IF(OR(Clientes[[#This Row],[Columna1]]="Pago inmediato",Clientes[[#This Row],[Columna1]]=""),0,SUBSTITUTE(Clientes[[#This Row],[Columna1]]," días",""))</f>
        <v>0</v>
      </c>
      <c r="E895" s="34"/>
      <c r="F895"/>
      <c r="G895" s="77"/>
      <c r="I895"/>
      <c r="J895" s="34"/>
      <c r="K895"/>
    </row>
    <row r="896" ht="45" spans="1:11">
      <c r="A896" s="102" t="s">
        <v>1638</v>
      </c>
      <c r="B896" s="102" t="s">
        <v>1639</v>
      </c>
      <c r="C896" s="102" t="s">
        <v>56</v>
      </c>
      <c r="D896" s="99">
        <f>IF(OR(Clientes[[#This Row],[Columna1]]="Pago inmediato",Clientes[[#This Row],[Columna1]]=""),0,SUBSTITUTE(Clientes[[#This Row],[Columna1]]," días",""))</f>
        <v>0</v>
      </c>
      <c r="E896" s="34"/>
      <c r="F896"/>
      <c r="G896" s="77"/>
      <c r="I896"/>
      <c r="J896" s="34"/>
      <c r="K896"/>
    </row>
    <row r="897" ht="30" spans="1:11">
      <c r="A897" s="102" t="s">
        <v>1640</v>
      </c>
      <c r="B897" s="102" t="s">
        <v>1641</v>
      </c>
      <c r="C897" s="102" t="s">
        <v>56</v>
      </c>
      <c r="D897" s="99">
        <f>IF(OR(Clientes[[#This Row],[Columna1]]="Pago inmediato",Clientes[[#This Row],[Columna1]]=""),0,SUBSTITUTE(Clientes[[#This Row],[Columna1]]," días",""))</f>
        <v>0</v>
      </c>
      <c r="E897" s="34"/>
      <c r="F897"/>
      <c r="G897" s="77"/>
      <c r="I897"/>
      <c r="J897" s="34"/>
      <c r="K897"/>
    </row>
    <row r="898" ht="60" spans="1:11">
      <c r="A898" s="102" t="s">
        <v>1640</v>
      </c>
      <c r="B898" s="102" t="s">
        <v>1642</v>
      </c>
      <c r="C898" s="102" t="s">
        <v>56</v>
      </c>
      <c r="D898" s="99">
        <f>IF(OR(Clientes[[#This Row],[Columna1]]="Pago inmediato",Clientes[[#This Row],[Columna1]]=""),0,SUBSTITUTE(Clientes[[#This Row],[Columna1]]," días",""))</f>
        <v>0</v>
      </c>
      <c r="E898" s="34"/>
      <c r="F898"/>
      <c r="G898" s="77"/>
      <c r="I898"/>
      <c r="J898" s="34"/>
      <c r="K898"/>
    </row>
    <row r="899" ht="30" spans="1:11">
      <c r="A899" s="102" t="s">
        <v>1643</v>
      </c>
      <c r="B899" s="102" t="s">
        <v>1644</v>
      </c>
      <c r="C899" s="102" t="s">
        <v>56</v>
      </c>
      <c r="D899" s="99">
        <f>IF(OR(Clientes[[#This Row],[Columna1]]="Pago inmediato",Clientes[[#This Row],[Columna1]]=""),0,SUBSTITUTE(Clientes[[#This Row],[Columna1]]," días",""))</f>
        <v>0</v>
      </c>
      <c r="E899" s="34"/>
      <c r="F899"/>
      <c r="G899" s="77"/>
      <c r="I899"/>
      <c r="J899" s="34"/>
      <c r="K899"/>
    </row>
    <row r="900" ht="30" spans="1:11">
      <c r="A900" s="102" t="s">
        <v>1645</v>
      </c>
      <c r="B900" s="102" t="s">
        <v>1646</v>
      </c>
      <c r="C900" s="102" t="s">
        <v>61</v>
      </c>
      <c r="D900" s="99" t="str">
        <f>IF(OR(Clientes[[#This Row],[Columna1]]="Pago inmediato",Clientes[[#This Row],[Columna1]]=""),0,SUBSTITUTE(Clientes[[#This Row],[Columna1]]," días",""))</f>
        <v>15</v>
      </c>
      <c r="E900" s="34"/>
      <c r="F900"/>
      <c r="G900" s="77"/>
      <c r="I900"/>
      <c r="J900" s="34"/>
      <c r="K900"/>
    </row>
    <row r="901" ht="30" spans="1:11">
      <c r="A901" s="102" t="s">
        <v>1647</v>
      </c>
      <c r="B901" s="102" t="s">
        <v>1648</v>
      </c>
      <c r="C901" s="102" t="s">
        <v>56</v>
      </c>
      <c r="D901" s="99">
        <f>IF(OR(Clientes[[#This Row],[Columna1]]="Pago inmediato",Clientes[[#This Row],[Columna1]]=""),0,SUBSTITUTE(Clientes[[#This Row],[Columna1]]," días",""))</f>
        <v>0</v>
      </c>
      <c r="E901" s="34"/>
      <c r="F901"/>
      <c r="G901" s="77"/>
      <c r="I901"/>
      <c r="J901" s="34"/>
      <c r="K901"/>
    </row>
    <row r="902" ht="45" spans="1:11">
      <c r="A902" s="102" t="s">
        <v>1649</v>
      </c>
      <c r="B902" s="102" t="s">
        <v>1650</v>
      </c>
      <c r="C902" s="102" t="s">
        <v>56</v>
      </c>
      <c r="D902" s="99">
        <f>IF(OR(Clientes[[#This Row],[Columna1]]="Pago inmediato",Clientes[[#This Row],[Columna1]]=""),0,SUBSTITUTE(Clientes[[#This Row],[Columna1]]," días",""))</f>
        <v>0</v>
      </c>
      <c r="E902" s="34"/>
      <c r="F902"/>
      <c r="G902" s="77"/>
      <c r="I902"/>
      <c r="J902" s="34"/>
      <c r="K902"/>
    </row>
    <row r="903" spans="1:11">
      <c r="A903" s="102" t="s">
        <v>1651</v>
      </c>
      <c r="B903" s="102" t="s">
        <v>1652</v>
      </c>
      <c r="C903" s="102" t="s">
        <v>56</v>
      </c>
      <c r="D903" s="99">
        <f>IF(OR(Clientes[[#This Row],[Columna1]]="Pago inmediato",Clientes[[#This Row],[Columna1]]=""),0,SUBSTITUTE(Clientes[[#This Row],[Columna1]]," días",""))</f>
        <v>0</v>
      </c>
      <c r="E903" s="34"/>
      <c r="F903"/>
      <c r="G903" s="77"/>
      <c r="I903"/>
      <c r="J903" s="34"/>
      <c r="K903"/>
    </row>
    <row r="904" ht="30" spans="1:11">
      <c r="A904" s="102" t="s">
        <v>1653</v>
      </c>
      <c r="B904" s="102" t="s">
        <v>1654</v>
      </c>
      <c r="C904" s="102" t="s">
        <v>56</v>
      </c>
      <c r="D904" s="99">
        <f>IF(OR(Clientes[[#This Row],[Columna1]]="Pago inmediato",Clientes[[#This Row],[Columna1]]=""),0,SUBSTITUTE(Clientes[[#This Row],[Columna1]]," días",""))</f>
        <v>0</v>
      </c>
      <c r="E904" s="34"/>
      <c r="F904"/>
      <c r="G904" s="77"/>
      <c r="I904"/>
      <c r="J904" s="34"/>
      <c r="K904"/>
    </row>
    <row r="905" spans="1:11">
      <c r="A905" s="102" t="s">
        <v>1655</v>
      </c>
      <c r="B905" s="102" t="s">
        <v>1656</v>
      </c>
      <c r="C905" s="102" t="s">
        <v>56</v>
      </c>
      <c r="D905" s="99">
        <f>IF(OR(Clientes[[#This Row],[Columna1]]="Pago inmediato",Clientes[[#This Row],[Columna1]]=""),0,SUBSTITUTE(Clientes[[#This Row],[Columna1]]," días",""))</f>
        <v>0</v>
      </c>
      <c r="E905" s="34"/>
      <c r="F905"/>
      <c r="G905" s="77"/>
      <c r="I905"/>
      <c r="J905" s="34"/>
      <c r="K905"/>
    </row>
    <row r="906" ht="45" spans="1:11">
      <c r="A906" s="102" t="s">
        <v>1657</v>
      </c>
      <c r="B906" s="102" t="s">
        <v>1658</v>
      </c>
      <c r="C906" s="102" t="s">
        <v>56</v>
      </c>
      <c r="D906" s="99">
        <f>IF(OR(Clientes[[#This Row],[Columna1]]="Pago inmediato",Clientes[[#This Row],[Columna1]]=""),0,SUBSTITUTE(Clientes[[#This Row],[Columna1]]," días",""))</f>
        <v>0</v>
      </c>
      <c r="E906" s="34"/>
      <c r="F906"/>
      <c r="G906" s="77"/>
      <c r="I906"/>
      <c r="J906" s="34"/>
      <c r="K906"/>
    </row>
    <row r="907" spans="1:11">
      <c r="A907" s="102" t="s">
        <v>1659</v>
      </c>
      <c r="B907" s="102" t="s">
        <v>1660</v>
      </c>
      <c r="C907" s="102" t="s">
        <v>56</v>
      </c>
      <c r="D907" s="99">
        <f>IF(OR(Clientes[[#This Row],[Columna1]]="Pago inmediato",Clientes[[#This Row],[Columna1]]=""),0,SUBSTITUTE(Clientes[[#This Row],[Columna1]]," días",""))</f>
        <v>0</v>
      </c>
      <c r="E907" s="34"/>
      <c r="F907"/>
      <c r="G907" s="77"/>
      <c r="I907"/>
      <c r="J907" s="34"/>
      <c r="K907"/>
    </row>
    <row r="908" ht="30" spans="1:11">
      <c r="A908" s="102" t="s">
        <v>1659</v>
      </c>
      <c r="B908" s="102" t="s">
        <v>1661</v>
      </c>
      <c r="C908" s="102" t="s">
        <v>56</v>
      </c>
      <c r="D908" s="99">
        <f>IF(OR(Clientes[[#This Row],[Columna1]]="Pago inmediato",Clientes[[#This Row],[Columna1]]=""),0,SUBSTITUTE(Clientes[[#This Row],[Columna1]]," días",""))</f>
        <v>0</v>
      </c>
      <c r="E908" s="34"/>
      <c r="F908"/>
      <c r="G908" s="77"/>
      <c r="I908"/>
      <c r="J908" s="34"/>
      <c r="K908"/>
    </row>
    <row r="909" ht="45" spans="1:11">
      <c r="A909" s="102" t="s">
        <v>1662</v>
      </c>
      <c r="B909" s="102" t="s">
        <v>1663</v>
      </c>
      <c r="C909" s="102" t="s">
        <v>56</v>
      </c>
      <c r="D909" s="99">
        <f>IF(OR(Clientes[[#This Row],[Columna1]]="Pago inmediato",Clientes[[#This Row],[Columna1]]=""),0,SUBSTITUTE(Clientes[[#This Row],[Columna1]]," días",""))</f>
        <v>0</v>
      </c>
      <c r="E909" s="34"/>
      <c r="F909"/>
      <c r="G909" s="77"/>
      <c r="I909"/>
      <c r="J909" s="34"/>
      <c r="K909"/>
    </row>
    <row r="910" spans="1:11">
      <c r="A910" s="102" t="s">
        <v>1664</v>
      </c>
      <c r="B910" s="102" t="s">
        <v>1665</v>
      </c>
      <c r="C910" s="102" t="s">
        <v>56</v>
      </c>
      <c r="D910" s="99">
        <f>IF(OR(Clientes[[#This Row],[Columna1]]="Pago inmediato",Clientes[[#This Row],[Columna1]]=""),0,SUBSTITUTE(Clientes[[#This Row],[Columna1]]," días",""))</f>
        <v>0</v>
      </c>
      <c r="E910" s="34"/>
      <c r="F910"/>
      <c r="G910" s="77"/>
      <c r="I910"/>
      <c r="J910" s="34"/>
      <c r="K910"/>
    </row>
    <row r="911" ht="30" spans="1:11">
      <c r="A911" s="102" t="s">
        <v>1664</v>
      </c>
      <c r="B911" s="102" t="s">
        <v>1666</v>
      </c>
      <c r="C911" s="102" t="s">
        <v>56</v>
      </c>
      <c r="D911" s="99">
        <f>IF(OR(Clientes[[#This Row],[Columna1]]="Pago inmediato",Clientes[[#This Row],[Columna1]]=""),0,SUBSTITUTE(Clientes[[#This Row],[Columna1]]," días",""))</f>
        <v>0</v>
      </c>
      <c r="E911" s="34"/>
      <c r="F911"/>
      <c r="G911" s="77"/>
      <c r="I911"/>
      <c r="J911" s="34"/>
      <c r="K911"/>
    </row>
    <row r="912" spans="1:11">
      <c r="A912" s="102" t="s">
        <v>1667</v>
      </c>
      <c r="B912" s="102" t="s">
        <v>1668</v>
      </c>
      <c r="C912" s="102" t="s">
        <v>56</v>
      </c>
      <c r="D912" s="99">
        <f>IF(OR(Clientes[[#This Row],[Columna1]]="Pago inmediato",Clientes[[#This Row],[Columna1]]=""),0,SUBSTITUTE(Clientes[[#This Row],[Columna1]]," días",""))</f>
        <v>0</v>
      </c>
      <c r="E912" s="34"/>
      <c r="F912"/>
      <c r="G912" s="77"/>
      <c r="I912"/>
      <c r="J912" s="34"/>
      <c r="K912"/>
    </row>
    <row r="913" spans="1:11">
      <c r="A913" s="102" t="s">
        <v>1669</v>
      </c>
      <c r="B913" s="102" t="s">
        <v>1670</v>
      </c>
      <c r="C913" s="102" t="s">
        <v>56</v>
      </c>
      <c r="D913" s="99">
        <f>IF(OR(Clientes[[#This Row],[Columna1]]="Pago inmediato",Clientes[[#This Row],[Columna1]]=""),0,SUBSTITUTE(Clientes[[#This Row],[Columna1]]," días",""))</f>
        <v>0</v>
      </c>
      <c r="E913" s="34"/>
      <c r="F913"/>
      <c r="G913" s="77"/>
      <c r="I913"/>
      <c r="J913" s="34"/>
      <c r="K913"/>
    </row>
    <row r="914" ht="30" spans="1:11">
      <c r="A914" s="102" t="s">
        <v>1671</v>
      </c>
      <c r="B914" s="102" t="s">
        <v>1672</v>
      </c>
      <c r="C914" s="102" t="s">
        <v>56</v>
      </c>
      <c r="D914" s="99">
        <f>IF(OR(Clientes[[#This Row],[Columna1]]="Pago inmediato",Clientes[[#This Row],[Columna1]]=""),0,SUBSTITUTE(Clientes[[#This Row],[Columna1]]," días",""))</f>
        <v>0</v>
      </c>
      <c r="E914" s="34"/>
      <c r="F914"/>
      <c r="G914" s="77"/>
      <c r="I914"/>
      <c r="J914" s="34"/>
      <c r="K914"/>
    </row>
    <row r="915" ht="60" spans="1:11">
      <c r="A915" s="102" t="s">
        <v>1673</v>
      </c>
      <c r="B915" s="102" t="s">
        <v>1674</v>
      </c>
      <c r="C915" s="102" t="s">
        <v>56</v>
      </c>
      <c r="D915" s="99">
        <f>IF(OR(Clientes[[#This Row],[Columna1]]="Pago inmediato",Clientes[[#This Row],[Columna1]]=""),0,SUBSTITUTE(Clientes[[#This Row],[Columna1]]," días",""))</f>
        <v>0</v>
      </c>
      <c r="E915" s="34"/>
      <c r="F915"/>
      <c r="G915" s="77"/>
      <c r="I915"/>
      <c r="J915" s="34"/>
      <c r="K915"/>
    </row>
    <row r="916" ht="30" spans="1:11">
      <c r="A916" s="102" t="s">
        <v>1675</v>
      </c>
      <c r="B916" s="102" t="s">
        <v>1676</v>
      </c>
      <c r="C916" s="102" t="s">
        <v>56</v>
      </c>
      <c r="D916" s="99">
        <f>IF(OR(Clientes[[#This Row],[Columna1]]="Pago inmediato",Clientes[[#This Row],[Columna1]]=""),0,SUBSTITUTE(Clientes[[#This Row],[Columna1]]," días",""))</f>
        <v>0</v>
      </c>
      <c r="E916" s="34"/>
      <c r="F916"/>
      <c r="G916" s="77"/>
      <c r="I916"/>
      <c r="J916" s="34"/>
      <c r="K916"/>
    </row>
    <row r="917" ht="30" spans="1:11">
      <c r="A917" s="102" t="s">
        <v>1677</v>
      </c>
      <c r="B917" s="102" t="s">
        <v>1678</v>
      </c>
      <c r="C917" s="102" t="s">
        <v>56</v>
      </c>
      <c r="D917" s="99">
        <f>IF(OR(Clientes[[#This Row],[Columna1]]="Pago inmediato",Clientes[[#This Row],[Columna1]]=""),0,SUBSTITUTE(Clientes[[#This Row],[Columna1]]," días",""))</f>
        <v>0</v>
      </c>
      <c r="E917" s="34"/>
      <c r="F917"/>
      <c r="G917" s="77"/>
      <c r="I917"/>
      <c r="J917" s="34"/>
      <c r="K917"/>
    </row>
    <row r="918" ht="45" spans="1:11">
      <c r="A918" s="102" t="s">
        <v>1677</v>
      </c>
      <c r="B918" s="102" t="s">
        <v>1679</v>
      </c>
      <c r="C918" s="102" t="s">
        <v>56</v>
      </c>
      <c r="D918" s="99">
        <f>IF(OR(Clientes[[#This Row],[Columna1]]="Pago inmediato",Clientes[[#This Row],[Columna1]]=""),0,SUBSTITUTE(Clientes[[#This Row],[Columna1]]," días",""))</f>
        <v>0</v>
      </c>
      <c r="E918" s="34"/>
      <c r="F918"/>
      <c r="G918" s="77"/>
      <c r="I918"/>
      <c r="J918" s="34"/>
      <c r="K918"/>
    </row>
    <row r="919" ht="30" spans="1:11">
      <c r="A919" s="102" t="s">
        <v>1680</v>
      </c>
      <c r="B919" s="102" t="s">
        <v>1681</v>
      </c>
      <c r="C919" s="102" t="s">
        <v>56</v>
      </c>
      <c r="D919" s="99">
        <f>IF(OR(Clientes[[#This Row],[Columna1]]="Pago inmediato",Clientes[[#This Row],[Columna1]]=""),0,SUBSTITUTE(Clientes[[#This Row],[Columna1]]," días",""))</f>
        <v>0</v>
      </c>
      <c r="E919" s="34"/>
      <c r="F919"/>
      <c r="G919" s="77"/>
      <c r="I919"/>
      <c r="J919" s="34"/>
      <c r="K919"/>
    </row>
    <row r="920" ht="45" spans="1:11">
      <c r="A920" s="102" t="s">
        <v>1680</v>
      </c>
      <c r="B920" s="102" t="s">
        <v>1682</v>
      </c>
      <c r="C920" s="102" t="s">
        <v>56</v>
      </c>
      <c r="D920" s="99">
        <f>IF(OR(Clientes[[#This Row],[Columna1]]="Pago inmediato",Clientes[[#This Row],[Columna1]]=""),0,SUBSTITUTE(Clientes[[#This Row],[Columna1]]," días",""))</f>
        <v>0</v>
      </c>
      <c r="E920" s="34"/>
      <c r="F920"/>
      <c r="G920" s="77"/>
      <c r="I920"/>
      <c r="J920" s="34"/>
      <c r="K920"/>
    </row>
    <row r="921" ht="45" spans="1:11">
      <c r="A921" s="102" t="s">
        <v>1680</v>
      </c>
      <c r="B921" s="102" t="s">
        <v>1683</v>
      </c>
      <c r="C921" s="102" t="s">
        <v>56</v>
      </c>
      <c r="D921" s="99">
        <f>IF(OR(Clientes[[#This Row],[Columna1]]="Pago inmediato",Clientes[[#This Row],[Columna1]]=""),0,SUBSTITUTE(Clientes[[#This Row],[Columna1]]," días",""))</f>
        <v>0</v>
      </c>
      <c r="E921" s="34"/>
      <c r="F921"/>
      <c r="G921" s="77"/>
      <c r="I921"/>
      <c r="J921" s="34"/>
      <c r="K921"/>
    </row>
    <row r="922" spans="1:11">
      <c r="A922" s="102" t="s">
        <v>1684</v>
      </c>
      <c r="B922" s="102" t="s">
        <v>1685</v>
      </c>
      <c r="C922" s="102" t="s">
        <v>56</v>
      </c>
      <c r="D922" s="99">
        <f>IF(OR(Clientes[[#This Row],[Columna1]]="Pago inmediato",Clientes[[#This Row],[Columna1]]=""),0,SUBSTITUTE(Clientes[[#This Row],[Columna1]]," días",""))</f>
        <v>0</v>
      </c>
      <c r="E922" s="34"/>
      <c r="F922"/>
      <c r="G922" s="77"/>
      <c r="I922"/>
      <c r="J922" s="34"/>
      <c r="K922"/>
    </row>
    <row r="923" ht="30" spans="1:11">
      <c r="A923" s="102" t="s">
        <v>1686</v>
      </c>
      <c r="B923" s="102" t="s">
        <v>1687</v>
      </c>
      <c r="C923" s="102" t="s">
        <v>56</v>
      </c>
      <c r="D923" s="99">
        <f>IF(OR(Clientes[[#This Row],[Columna1]]="Pago inmediato",Clientes[[#This Row],[Columna1]]=""),0,SUBSTITUTE(Clientes[[#This Row],[Columna1]]," días",""))</f>
        <v>0</v>
      </c>
      <c r="E923" s="34"/>
      <c r="F923"/>
      <c r="G923" s="77"/>
      <c r="I923"/>
      <c r="J923" s="34"/>
      <c r="K923"/>
    </row>
    <row r="924" ht="30" spans="1:11">
      <c r="A924" s="102" t="s">
        <v>1688</v>
      </c>
      <c r="B924" s="102" t="s">
        <v>1689</v>
      </c>
      <c r="C924" s="102" t="s">
        <v>56</v>
      </c>
      <c r="D924" s="99">
        <f>IF(OR(Clientes[[#This Row],[Columna1]]="Pago inmediato",Clientes[[#This Row],[Columna1]]=""),0,SUBSTITUTE(Clientes[[#This Row],[Columna1]]," días",""))</f>
        <v>0</v>
      </c>
      <c r="E924" s="34"/>
      <c r="F924"/>
      <c r="G924" s="77"/>
      <c r="I924"/>
      <c r="J924" s="34"/>
      <c r="K924"/>
    </row>
    <row r="925" ht="30" spans="1:11">
      <c r="A925" s="102" t="s">
        <v>1690</v>
      </c>
      <c r="B925" s="102" t="s">
        <v>1691</v>
      </c>
      <c r="C925" s="102" t="s">
        <v>56</v>
      </c>
      <c r="D925" s="99">
        <f>IF(OR(Clientes[[#This Row],[Columna1]]="Pago inmediato",Clientes[[#This Row],[Columna1]]=""),0,SUBSTITUTE(Clientes[[#This Row],[Columna1]]," días",""))</f>
        <v>0</v>
      </c>
      <c r="E925" s="34"/>
      <c r="F925"/>
      <c r="G925" s="77"/>
      <c r="I925"/>
      <c r="J925" s="34"/>
      <c r="K925"/>
    </row>
    <row r="926" ht="30" spans="1:11">
      <c r="A926" s="102" t="s">
        <v>1692</v>
      </c>
      <c r="B926" s="102" t="s">
        <v>1693</v>
      </c>
      <c r="C926" s="102" t="s">
        <v>56</v>
      </c>
      <c r="D926" s="99">
        <f>IF(OR(Clientes[[#This Row],[Columna1]]="Pago inmediato",Clientes[[#This Row],[Columna1]]=""),0,SUBSTITUTE(Clientes[[#This Row],[Columna1]]," días",""))</f>
        <v>0</v>
      </c>
      <c r="E926" s="34"/>
      <c r="F926"/>
      <c r="G926" s="77"/>
      <c r="I926"/>
      <c r="J926" s="34"/>
      <c r="K926"/>
    </row>
    <row r="927" spans="1:11">
      <c r="A927" s="102" t="s">
        <v>1694</v>
      </c>
      <c r="B927" s="102" t="s">
        <v>1695</v>
      </c>
      <c r="C927" s="102"/>
      <c r="D927" s="99">
        <f>IF(OR(Clientes[[#This Row],[Columna1]]="Pago inmediato",Clientes[[#This Row],[Columna1]]=""),0,SUBSTITUTE(Clientes[[#This Row],[Columna1]]," días",""))</f>
        <v>0</v>
      </c>
      <c r="E927" s="34"/>
      <c r="F927"/>
      <c r="G927" s="77"/>
      <c r="I927"/>
      <c r="J927" s="34"/>
      <c r="K927"/>
    </row>
    <row r="928" ht="30" spans="1:11">
      <c r="A928" s="102" t="s">
        <v>1696</v>
      </c>
      <c r="B928" s="102" t="s">
        <v>1697</v>
      </c>
      <c r="C928" s="102" t="s">
        <v>56</v>
      </c>
      <c r="D928" s="99">
        <f>IF(OR(Clientes[[#This Row],[Columna1]]="Pago inmediato",Clientes[[#This Row],[Columna1]]=""),0,SUBSTITUTE(Clientes[[#This Row],[Columna1]]," días",""))</f>
        <v>0</v>
      </c>
      <c r="E928" s="34"/>
      <c r="F928"/>
      <c r="G928" s="77"/>
      <c r="I928"/>
      <c r="J928" s="34"/>
      <c r="K928"/>
    </row>
    <row r="929" ht="30" spans="1:11">
      <c r="A929" s="102" t="s">
        <v>1698</v>
      </c>
      <c r="B929" s="102" t="s">
        <v>1699</v>
      </c>
      <c r="C929" s="102" t="s">
        <v>56</v>
      </c>
      <c r="D929" s="99">
        <f>IF(OR(Clientes[[#This Row],[Columna1]]="Pago inmediato",Clientes[[#This Row],[Columna1]]=""),0,SUBSTITUTE(Clientes[[#This Row],[Columna1]]," días",""))</f>
        <v>0</v>
      </c>
      <c r="E929" s="34"/>
      <c r="F929"/>
      <c r="G929" s="77"/>
      <c r="I929"/>
      <c r="J929" s="34"/>
      <c r="K929"/>
    </row>
    <row r="930" spans="1:11">
      <c r="A930" s="102" t="s">
        <v>1700</v>
      </c>
      <c r="B930" s="102" t="s">
        <v>1701</v>
      </c>
      <c r="C930" s="102" t="s">
        <v>56</v>
      </c>
      <c r="D930" s="99">
        <f>IF(OR(Clientes[[#This Row],[Columna1]]="Pago inmediato",Clientes[[#This Row],[Columna1]]=""),0,SUBSTITUTE(Clientes[[#This Row],[Columna1]]," días",""))</f>
        <v>0</v>
      </c>
      <c r="E930" s="34"/>
      <c r="F930"/>
      <c r="G930" s="77"/>
      <c r="I930"/>
      <c r="J930" s="34"/>
      <c r="K930"/>
    </row>
    <row r="931" ht="60" spans="1:11">
      <c r="A931" s="102" t="s">
        <v>1702</v>
      </c>
      <c r="B931" s="102" t="s">
        <v>1703</v>
      </c>
      <c r="C931" s="102" t="s">
        <v>56</v>
      </c>
      <c r="D931" s="99">
        <f>IF(OR(Clientes[[#This Row],[Columna1]]="Pago inmediato",Clientes[[#This Row],[Columna1]]=""),0,SUBSTITUTE(Clientes[[#This Row],[Columna1]]," días",""))</f>
        <v>0</v>
      </c>
      <c r="E931" s="34"/>
      <c r="F931"/>
      <c r="G931" s="77"/>
      <c r="I931"/>
      <c r="J931" s="34"/>
      <c r="K931"/>
    </row>
    <row r="932" spans="1:11">
      <c r="A932" s="102" t="s">
        <v>1704</v>
      </c>
      <c r="B932" s="102" t="s">
        <v>1705</v>
      </c>
      <c r="C932" s="102" t="s">
        <v>56</v>
      </c>
      <c r="D932" s="99">
        <f>IF(OR(Clientes[[#This Row],[Columna1]]="Pago inmediato",Clientes[[#This Row],[Columna1]]=""),0,SUBSTITUTE(Clientes[[#This Row],[Columna1]]," días",""))</f>
        <v>0</v>
      </c>
      <c r="E932" s="34"/>
      <c r="F932"/>
      <c r="G932" s="77"/>
      <c r="I932"/>
      <c r="J932" s="34"/>
      <c r="K932"/>
    </row>
    <row r="933" ht="45" spans="1:11">
      <c r="A933" s="102" t="s">
        <v>1706</v>
      </c>
      <c r="B933" s="102" t="s">
        <v>1707</v>
      </c>
      <c r="C933" s="102" t="s">
        <v>56</v>
      </c>
      <c r="D933" s="99">
        <f>IF(OR(Clientes[[#This Row],[Columna1]]="Pago inmediato",Clientes[[#This Row],[Columna1]]=""),0,SUBSTITUTE(Clientes[[#This Row],[Columna1]]," días",""))</f>
        <v>0</v>
      </c>
      <c r="E933" s="34"/>
      <c r="F933"/>
      <c r="G933" s="77"/>
      <c r="I933"/>
      <c r="J933" s="34"/>
      <c r="K933"/>
    </row>
    <row r="934" ht="60" spans="1:11">
      <c r="A934" s="102" t="s">
        <v>1708</v>
      </c>
      <c r="B934" s="102" t="s">
        <v>1709</v>
      </c>
      <c r="C934" s="102" t="s">
        <v>56</v>
      </c>
      <c r="D934" s="99">
        <f>IF(OR(Clientes[[#This Row],[Columna1]]="Pago inmediato",Clientes[[#This Row],[Columna1]]=""),0,SUBSTITUTE(Clientes[[#This Row],[Columna1]]," días",""))</f>
        <v>0</v>
      </c>
      <c r="E934" s="34"/>
      <c r="F934"/>
      <c r="G934" s="77"/>
      <c r="I934"/>
      <c r="J934" s="34"/>
      <c r="K934"/>
    </row>
    <row r="935" spans="1:11">
      <c r="A935" s="102" t="s">
        <v>1710</v>
      </c>
      <c r="B935" s="102" t="s">
        <v>1711</v>
      </c>
      <c r="C935" s="102" t="s">
        <v>56</v>
      </c>
      <c r="D935" s="99">
        <f>IF(OR(Clientes[[#This Row],[Columna1]]="Pago inmediato",Clientes[[#This Row],[Columna1]]=""),0,SUBSTITUTE(Clientes[[#This Row],[Columna1]]," días",""))</f>
        <v>0</v>
      </c>
      <c r="E935" s="34"/>
      <c r="F935"/>
      <c r="G935" s="77"/>
      <c r="I935"/>
      <c r="J935" s="34"/>
      <c r="K935"/>
    </row>
    <row r="936" ht="30" spans="1:11">
      <c r="A936" s="102" t="s">
        <v>1712</v>
      </c>
      <c r="B936" s="102" t="s">
        <v>1713</v>
      </c>
      <c r="C936" s="102" t="s">
        <v>56</v>
      </c>
      <c r="D936" s="99">
        <f>IF(OR(Clientes[[#This Row],[Columna1]]="Pago inmediato",Clientes[[#This Row],[Columna1]]=""),0,SUBSTITUTE(Clientes[[#This Row],[Columna1]]," días",""))</f>
        <v>0</v>
      </c>
      <c r="E936" s="34"/>
      <c r="F936"/>
      <c r="G936" s="77"/>
      <c r="I936"/>
      <c r="J936" s="34"/>
      <c r="K936"/>
    </row>
    <row r="937" ht="30" spans="1:11">
      <c r="A937" s="102" t="s">
        <v>1714</v>
      </c>
      <c r="B937" s="102" t="s">
        <v>1715</v>
      </c>
      <c r="C937" s="102" t="s">
        <v>56</v>
      </c>
      <c r="D937" s="99">
        <f>IF(OR(Clientes[[#This Row],[Columna1]]="Pago inmediato",Clientes[[#This Row],[Columna1]]=""),0,SUBSTITUTE(Clientes[[#This Row],[Columna1]]," días",""))</f>
        <v>0</v>
      </c>
      <c r="E937" s="34"/>
      <c r="F937"/>
      <c r="G937" s="77"/>
      <c r="I937"/>
      <c r="J937" s="34"/>
      <c r="K937"/>
    </row>
    <row r="938" ht="30" spans="1:11">
      <c r="A938" s="102" t="s">
        <v>1716</v>
      </c>
      <c r="B938" s="102" t="s">
        <v>1717</v>
      </c>
      <c r="C938" s="102" t="s">
        <v>61</v>
      </c>
      <c r="D938" s="99" t="str">
        <f>IF(OR(Clientes[[#This Row],[Columna1]]="Pago inmediato",Clientes[[#This Row],[Columna1]]=""),0,SUBSTITUTE(Clientes[[#This Row],[Columna1]]," días",""))</f>
        <v>15</v>
      </c>
      <c r="E938" s="34"/>
      <c r="F938"/>
      <c r="G938" s="77"/>
      <c r="I938"/>
      <c r="J938" s="34"/>
      <c r="K938"/>
    </row>
    <row r="939" ht="30" spans="1:11">
      <c r="A939" s="102" t="s">
        <v>1718</v>
      </c>
      <c r="B939" s="102" t="s">
        <v>1719</v>
      </c>
      <c r="C939" s="102" t="s">
        <v>56</v>
      </c>
      <c r="D939" s="99">
        <f>IF(OR(Clientes[[#This Row],[Columna1]]="Pago inmediato",Clientes[[#This Row],[Columna1]]=""),0,SUBSTITUTE(Clientes[[#This Row],[Columna1]]," días",""))</f>
        <v>0</v>
      </c>
      <c r="E939" s="34"/>
      <c r="F939"/>
      <c r="G939" s="77"/>
      <c r="I939"/>
      <c r="J939" s="34"/>
      <c r="K939"/>
    </row>
    <row r="940" ht="30" spans="1:11">
      <c r="A940" s="102" t="s">
        <v>1720</v>
      </c>
      <c r="B940" s="102" t="s">
        <v>1721</v>
      </c>
      <c r="C940" s="102" t="s">
        <v>56</v>
      </c>
      <c r="D940" s="99">
        <f>IF(OR(Clientes[[#This Row],[Columna1]]="Pago inmediato",Clientes[[#This Row],[Columna1]]=""),0,SUBSTITUTE(Clientes[[#This Row],[Columna1]]," días",""))</f>
        <v>0</v>
      </c>
      <c r="E940" s="34"/>
      <c r="F940"/>
      <c r="G940" s="77"/>
      <c r="I940"/>
      <c r="J940" s="34"/>
      <c r="K940"/>
    </row>
    <row r="941" ht="45" spans="1:11">
      <c r="A941" s="102" t="s">
        <v>1722</v>
      </c>
      <c r="B941" s="102" t="s">
        <v>1723</v>
      </c>
      <c r="C941" s="102" t="s">
        <v>56</v>
      </c>
      <c r="D941" s="99">
        <f>IF(OR(Clientes[[#This Row],[Columna1]]="Pago inmediato",Clientes[[#This Row],[Columna1]]=""),0,SUBSTITUTE(Clientes[[#This Row],[Columna1]]," días",""))</f>
        <v>0</v>
      </c>
      <c r="E941" s="34"/>
      <c r="F941"/>
      <c r="G941" s="77"/>
      <c r="I941"/>
      <c r="J941" s="34"/>
      <c r="K941"/>
    </row>
    <row r="942" ht="45" spans="1:11">
      <c r="A942" s="102" t="s">
        <v>1724</v>
      </c>
      <c r="B942" s="102" t="s">
        <v>1725</v>
      </c>
      <c r="C942" s="102" t="s">
        <v>56</v>
      </c>
      <c r="D942" s="99">
        <f>IF(OR(Clientes[[#This Row],[Columna1]]="Pago inmediato",Clientes[[#This Row],[Columna1]]=""),0,SUBSTITUTE(Clientes[[#This Row],[Columna1]]," días",""))</f>
        <v>0</v>
      </c>
      <c r="E942" s="34"/>
      <c r="F942"/>
      <c r="G942" s="77"/>
      <c r="I942"/>
      <c r="J942" s="34"/>
      <c r="K942"/>
    </row>
    <row r="943" ht="45" spans="1:11">
      <c r="A943" s="102" t="s">
        <v>1726</v>
      </c>
      <c r="B943" s="102" t="s">
        <v>1727</v>
      </c>
      <c r="C943" s="102" t="s">
        <v>56</v>
      </c>
      <c r="D943" s="99">
        <f>IF(OR(Clientes[[#This Row],[Columna1]]="Pago inmediato",Clientes[[#This Row],[Columna1]]=""),0,SUBSTITUTE(Clientes[[#This Row],[Columna1]]," días",""))</f>
        <v>0</v>
      </c>
      <c r="E943" s="34"/>
      <c r="F943"/>
      <c r="G943" s="77"/>
      <c r="I943"/>
      <c r="J943" s="34"/>
      <c r="K943"/>
    </row>
    <row r="944" ht="60" spans="1:11">
      <c r="A944" s="102" t="s">
        <v>1726</v>
      </c>
      <c r="B944" s="102" t="s">
        <v>1728</v>
      </c>
      <c r="C944" s="102" t="s">
        <v>56</v>
      </c>
      <c r="D944" s="99">
        <f>IF(OR(Clientes[[#This Row],[Columna1]]="Pago inmediato",Clientes[[#This Row],[Columna1]]=""),0,SUBSTITUTE(Clientes[[#This Row],[Columna1]]," días",""))</f>
        <v>0</v>
      </c>
      <c r="E944" s="34"/>
      <c r="F944"/>
      <c r="G944" s="77"/>
      <c r="I944"/>
      <c r="J944" s="34"/>
      <c r="K944"/>
    </row>
    <row r="945" ht="30" spans="1:11">
      <c r="A945" s="102" t="s">
        <v>1729</v>
      </c>
      <c r="B945" s="102" t="s">
        <v>1730</v>
      </c>
      <c r="C945" s="102" t="s">
        <v>56</v>
      </c>
      <c r="D945" s="99">
        <f>IF(OR(Clientes[[#This Row],[Columna1]]="Pago inmediato",Clientes[[#This Row],[Columna1]]=""),0,SUBSTITUTE(Clientes[[#This Row],[Columna1]]," días",""))</f>
        <v>0</v>
      </c>
      <c r="E945" s="34"/>
      <c r="F945"/>
      <c r="G945" s="77"/>
      <c r="I945"/>
      <c r="J945" s="34"/>
      <c r="K945"/>
    </row>
    <row r="946" spans="1:11">
      <c r="A946" s="102" t="s">
        <v>1731</v>
      </c>
      <c r="B946" s="102" t="s">
        <v>1732</v>
      </c>
      <c r="C946" s="102" t="s">
        <v>486</v>
      </c>
      <c r="D946" s="99" t="str">
        <f>IF(OR(Clientes[[#This Row],[Columna1]]="Pago inmediato",Clientes[[#This Row],[Columna1]]=""),0,SUBSTITUTE(Clientes[[#This Row],[Columna1]]," días",""))</f>
        <v>30</v>
      </c>
      <c r="E946" s="34"/>
      <c r="F946"/>
      <c r="G946" s="77"/>
      <c r="I946"/>
      <c r="J946" s="34"/>
      <c r="K946"/>
    </row>
    <row r="947" ht="45" spans="1:11">
      <c r="A947" s="102" t="s">
        <v>1733</v>
      </c>
      <c r="B947" s="102" t="s">
        <v>1734</v>
      </c>
      <c r="C947" s="102" t="s">
        <v>56</v>
      </c>
      <c r="D947" s="99">
        <f>IF(OR(Clientes[[#This Row],[Columna1]]="Pago inmediato",Clientes[[#This Row],[Columna1]]=""),0,SUBSTITUTE(Clientes[[#This Row],[Columna1]]," días",""))</f>
        <v>0</v>
      </c>
      <c r="E947" s="34"/>
      <c r="F947"/>
      <c r="G947" s="77"/>
      <c r="I947"/>
      <c r="J947" s="34"/>
      <c r="K947"/>
    </row>
    <row r="948" ht="45" spans="1:11">
      <c r="A948" s="102" t="s">
        <v>1735</v>
      </c>
      <c r="B948" s="102" t="s">
        <v>1736</v>
      </c>
      <c r="C948" s="102" t="s">
        <v>56</v>
      </c>
      <c r="D948" s="99">
        <f>IF(OR(Clientes[[#This Row],[Columna1]]="Pago inmediato",Clientes[[#This Row],[Columna1]]=""),0,SUBSTITUTE(Clientes[[#This Row],[Columna1]]," días",""))</f>
        <v>0</v>
      </c>
      <c r="E948" s="34"/>
      <c r="F948"/>
      <c r="G948" s="77"/>
      <c r="I948"/>
      <c r="J948" s="34"/>
      <c r="K948"/>
    </row>
    <row r="949" ht="30" spans="1:11">
      <c r="A949" s="102" t="s">
        <v>1737</v>
      </c>
      <c r="B949" s="102" t="s">
        <v>1738</v>
      </c>
      <c r="C949" s="102" t="s">
        <v>454</v>
      </c>
      <c r="D949" s="99" t="str">
        <f>IF(OR(Clientes[[#This Row],[Columna1]]="Pago inmediato",Clientes[[#This Row],[Columna1]]=""),0,SUBSTITUTE(Clientes[[#This Row],[Columna1]]," días",""))</f>
        <v>21</v>
      </c>
      <c r="E949" s="34"/>
      <c r="F949"/>
      <c r="G949" s="77"/>
      <c r="I949"/>
      <c r="J949" s="34"/>
      <c r="K949"/>
    </row>
    <row r="950" ht="30" spans="1:11">
      <c r="A950" s="102" t="s">
        <v>1739</v>
      </c>
      <c r="B950" s="102" t="s">
        <v>1740</v>
      </c>
      <c r="C950" s="102" t="s">
        <v>56</v>
      </c>
      <c r="D950" s="99">
        <f>IF(OR(Clientes[[#This Row],[Columna1]]="Pago inmediato",Clientes[[#This Row],[Columna1]]=""),0,SUBSTITUTE(Clientes[[#This Row],[Columna1]]," días",""))</f>
        <v>0</v>
      </c>
      <c r="E950" s="34"/>
      <c r="F950"/>
      <c r="G950" s="77"/>
      <c r="I950"/>
      <c r="J950" s="34"/>
      <c r="K950"/>
    </row>
    <row r="951" ht="30" spans="1:11">
      <c r="A951" s="102" t="s">
        <v>1741</v>
      </c>
      <c r="B951" s="102" t="s">
        <v>1742</v>
      </c>
      <c r="C951" s="102" t="s">
        <v>56</v>
      </c>
      <c r="D951" s="99">
        <f>IF(OR(Clientes[[#This Row],[Columna1]]="Pago inmediato",Clientes[[#This Row],[Columna1]]=""),0,SUBSTITUTE(Clientes[[#This Row],[Columna1]]," días",""))</f>
        <v>0</v>
      </c>
      <c r="E951" s="34"/>
      <c r="F951"/>
      <c r="G951" s="77"/>
      <c r="I951"/>
      <c r="J951" s="34"/>
      <c r="K951"/>
    </row>
    <row r="952" ht="45" spans="1:11">
      <c r="A952" s="102" t="s">
        <v>1743</v>
      </c>
      <c r="B952" s="102" t="s">
        <v>1744</v>
      </c>
      <c r="C952" s="102" t="s">
        <v>56</v>
      </c>
      <c r="D952" s="99">
        <f>IF(OR(Clientes[[#This Row],[Columna1]]="Pago inmediato",Clientes[[#This Row],[Columna1]]=""),0,SUBSTITUTE(Clientes[[#This Row],[Columna1]]," días",""))</f>
        <v>0</v>
      </c>
      <c r="E952" s="34"/>
      <c r="F952"/>
      <c r="G952" s="77"/>
      <c r="I952"/>
      <c r="J952" s="34"/>
      <c r="K952"/>
    </row>
    <row r="953" ht="30" spans="1:11">
      <c r="A953" s="102" t="s">
        <v>1745</v>
      </c>
      <c r="B953" s="102" t="s">
        <v>1746</v>
      </c>
      <c r="C953" s="102" t="s">
        <v>56</v>
      </c>
      <c r="D953" s="99">
        <f>IF(OR(Clientes[[#This Row],[Columna1]]="Pago inmediato",Clientes[[#This Row],[Columna1]]=""),0,SUBSTITUTE(Clientes[[#This Row],[Columna1]]," días",""))</f>
        <v>0</v>
      </c>
      <c r="E953" s="34"/>
      <c r="F953"/>
      <c r="G953" s="77"/>
      <c r="I953"/>
      <c r="J953" s="34"/>
      <c r="K953"/>
    </row>
    <row r="954" ht="30" spans="1:11">
      <c r="A954" s="102" t="s">
        <v>1747</v>
      </c>
      <c r="B954" s="102" t="s">
        <v>1748</v>
      </c>
      <c r="C954" s="102" t="s">
        <v>56</v>
      </c>
      <c r="D954" s="99">
        <f>IF(OR(Clientes[[#This Row],[Columna1]]="Pago inmediato",Clientes[[#This Row],[Columna1]]=""),0,SUBSTITUTE(Clientes[[#This Row],[Columna1]]," días",""))</f>
        <v>0</v>
      </c>
      <c r="E954" s="34"/>
      <c r="F954"/>
      <c r="G954" s="77"/>
      <c r="I954"/>
      <c r="J954" s="34"/>
      <c r="K954"/>
    </row>
    <row r="955" ht="45" spans="1:11">
      <c r="A955" s="102" t="s">
        <v>1747</v>
      </c>
      <c r="B955" s="102" t="s">
        <v>1749</v>
      </c>
      <c r="C955" s="102" t="s">
        <v>56</v>
      </c>
      <c r="D955" s="99">
        <f>IF(OR(Clientes[[#This Row],[Columna1]]="Pago inmediato",Clientes[[#This Row],[Columna1]]=""),0,SUBSTITUTE(Clientes[[#This Row],[Columna1]]," días",""))</f>
        <v>0</v>
      </c>
      <c r="E955" s="34"/>
      <c r="F955"/>
      <c r="G955" s="77"/>
      <c r="I955"/>
      <c r="J955" s="34"/>
      <c r="K955"/>
    </row>
    <row r="956" ht="30" spans="1:11">
      <c r="A956" s="102" t="s">
        <v>1750</v>
      </c>
      <c r="B956" s="102" t="s">
        <v>1751</v>
      </c>
      <c r="C956" s="102" t="s">
        <v>56</v>
      </c>
      <c r="D956" s="99">
        <f>IF(OR(Clientes[[#This Row],[Columna1]]="Pago inmediato",Clientes[[#This Row],[Columna1]]=""),0,SUBSTITUTE(Clientes[[#This Row],[Columna1]]," días",""))</f>
        <v>0</v>
      </c>
      <c r="E956" s="34"/>
      <c r="F956"/>
      <c r="G956" s="77"/>
      <c r="I956"/>
      <c r="J956" s="34"/>
      <c r="K956"/>
    </row>
    <row r="957" ht="30" spans="1:11">
      <c r="A957" s="102" t="s">
        <v>1752</v>
      </c>
      <c r="B957" s="102" t="s">
        <v>1753</v>
      </c>
      <c r="C957" s="102" t="s">
        <v>56</v>
      </c>
      <c r="D957" s="99">
        <f>IF(OR(Clientes[[#This Row],[Columna1]]="Pago inmediato",Clientes[[#This Row],[Columna1]]=""),0,SUBSTITUTE(Clientes[[#This Row],[Columna1]]," días",""))</f>
        <v>0</v>
      </c>
      <c r="E957" s="34"/>
      <c r="F957"/>
      <c r="G957" s="77"/>
      <c r="I957"/>
      <c r="J957" s="34"/>
      <c r="K957"/>
    </row>
    <row r="958" ht="45" spans="1:11">
      <c r="A958" s="102" t="s">
        <v>1754</v>
      </c>
      <c r="B958" s="102" t="s">
        <v>1755</v>
      </c>
      <c r="C958" s="102" t="s">
        <v>56</v>
      </c>
      <c r="D958" s="99">
        <f>IF(OR(Clientes[[#This Row],[Columna1]]="Pago inmediato",Clientes[[#This Row],[Columna1]]=""),0,SUBSTITUTE(Clientes[[#This Row],[Columna1]]," días",""))</f>
        <v>0</v>
      </c>
      <c r="E958" s="34"/>
      <c r="F958"/>
      <c r="G958" s="77"/>
      <c r="I958"/>
      <c r="J958" s="34"/>
      <c r="K958"/>
    </row>
    <row r="959" ht="30" spans="1:11">
      <c r="A959" s="102" t="s">
        <v>1756</v>
      </c>
      <c r="B959" s="102" t="s">
        <v>1757</v>
      </c>
      <c r="C959" s="102" t="s">
        <v>54</v>
      </c>
      <c r="D959" s="99" t="str">
        <f>IF(OR(Clientes[[#This Row],[Columna1]]="Pago inmediato",Clientes[[#This Row],[Columna1]]=""),0,SUBSTITUTE(Clientes[[#This Row],[Columna1]]," días",""))</f>
        <v>7</v>
      </c>
      <c r="E959" s="34"/>
      <c r="F959"/>
      <c r="G959" s="77"/>
      <c r="I959"/>
      <c r="J959" s="34"/>
      <c r="K959"/>
    </row>
    <row r="960" ht="30" spans="1:11">
      <c r="A960" s="102" t="s">
        <v>1758</v>
      </c>
      <c r="B960" s="102" t="s">
        <v>1759</v>
      </c>
      <c r="C960" s="102" t="s">
        <v>56</v>
      </c>
      <c r="D960" s="99">
        <f>IF(OR(Clientes[[#This Row],[Columna1]]="Pago inmediato",Clientes[[#This Row],[Columna1]]=""),0,SUBSTITUTE(Clientes[[#This Row],[Columna1]]," días",""))</f>
        <v>0</v>
      </c>
      <c r="E960" s="34"/>
      <c r="F960"/>
      <c r="G960" s="77"/>
      <c r="I960"/>
      <c r="J960" s="34"/>
      <c r="K960"/>
    </row>
    <row r="961" ht="30" spans="1:11">
      <c r="A961" s="102" t="s">
        <v>1760</v>
      </c>
      <c r="B961" s="102" t="s">
        <v>1761</v>
      </c>
      <c r="C961" s="102" t="s">
        <v>56</v>
      </c>
      <c r="D961" s="99">
        <f>IF(OR(Clientes[[#This Row],[Columna1]]="Pago inmediato",Clientes[[#This Row],[Columna1]]=""),0,SUBSTITUTE(Clientes[[#This Row],[Columna1]]," días",""))</f>
        <v>0</v>
      </c>
      <c r="E961" s="34"/>
      <c r="F961"/>
      <c r="G961" s="77"/>
      <c r="I961"/>
      <c r="J961" s="34"/>
      <c r="K961"/>
    </row>
    <row r="962" ht="30" spans="1:11">
      <c r="A962" s="102" t="s">
        <v>1762</v>
      </c>
      <c r="B962" s="102" t="s">
        <v>1763</v>
      </c>
      <c r="C962" s="102" t="s">
        <v>56</v>
      </c>
      <c r="D962" s="99">
        <f>IF(OR(Clientes[[#This Row],[Columna1]]="Pago inmediato",Clientes[[#This Row],[Columna1]]=""),0,SUBSTITUTE(Clientes[[#This Row],[Columna1]]," días",""))</f>
        <v>0</v>
      </c>
      <c r="E962" s="34"/>
      <c r="F962"/>
      <c r="G962" s="77"/>
      <c r="I962"/>
      <c r="J962" s="34"/>
      <c r="K962"/>
    </row>
    <row r="963" ht="30" spans="1:11">
      <c r="A963" s="102" t="s">
        <v>1764</v>
      </c>
      <c r="B963" s="102" t="s">
        <v>1765</v>
      </c>
      <c r="C963" s="102" t="s">
        <v>56</v>
      </c>
      <c r="D963" s="99">
        <f>IF(OR(Clientes[[#This Row],[Columna1]]="Pago inmediato",Clientes[[#This Row],[Columna1]]=""),0,SUBSTITUTE(Clientes[[#This Row],[Columna1]]," días",""))</f>
        <v>0</v>
      </c>
      <c r="E963" s="34"/>
      <c r="F963"/>
      <c r="G963" s="77"/>
      <c r="I963"/>
      <c r="J963" s="34"/>
      <c r="K963"/>
    </row>
    <row r="964" ht="30" spans="1:11">
      <c r="A964" s="102" t="s">
        <v>1766</v>
      </c>
      <c r="B964" s="102" t="s">
        <v>1767</v>
      </c>
      <c r="C964" s="102" t="s">
        <v>56</v>
      </c>
      <c r="D964" s="99">
        <f>IF(OR(Clientes[[#This Row],[Columna1]]="Pago inmediato",Clientes[[#This Row],[Columna1]]=""),0,SUBSTITUTE(Clientes[[#This Row],[Columna1]]," días",""))</f>
        <v>0</v>
      </c>
      <c r="E964" s="34"/>
      <c r="F964"/>
      <c r="G964" s="77"/>
      <c r="I964"/>
      <c r="J964" s="34"/>
      <c r="K964"/>
    </row>
    <row r="965" ht="30" spans="1:11">
      <c r="A965" s="102" t="s">
        <v>1768</v>
      </c>
      <c r="B965" s="102" t="s">
        <v>1769</v>
      </c>
      <c r="C965" s="102" t="s">
        <v>56</v>
      </c>
      <c r="D965" s="99">
        <f>IF(OR(Clientes[[#This Row],[Columna1]]="Pago inmediato",Clientes[[#This Row],[Columna1]]=""),0,SUBSTITUTE(Clientes[[#This Row],[Columna1]]," días",""))</f>
        <v>0</v>
      </c>
      <c r="E965" s="34"/>
      <c r="F965"/>
      <c r="G965" s="77"/>
      <c r="I965"/>
      <c r="J965" s="34"/>
      <c r="K965"/>
    </row>
    <row r="966" ht="45" spans="1:11">
      <c r="A966" s="102" t="s">
        <v>1768</v>
      </c>
      <c r="B966" s="102" t="s">
        <v>1770</v>
      </c>
      <c r="C966" s="102" t="s">
        <v>56</v>
      </c>
      <c r="D966" s="99">
        <f>IF(OR(Clientes[[#This Row],[Columna1]]="Pago inmediato",Clientes[[#This Row],[Columna1]]=""),0,SUBSTITUTE(Clientes[[#This Row],[Columna1]]," días",""))</f>
        <v>0</v>
      </c>
      <c r="E966" s="34"/>
      <c r="F966"/>
      <c r="G966" s="77"/>
      <c r="I966"/>
      <c r="J966" s="34"/>
      <c r="K966"/>
    </row>
    <row r="967" ht="45" spans="1:11">
      <c r="A967" s="102" t="s">
        <v>1771</v>
      </c>
      <c r="B967" s="102" t="s">
        <v>1772</v>
      </c>
      <c r="C967" s="102" t="s">
        <v>56</v>
      </c>
      <c r="D967" s="99">
        <f>IF(OR(Clientes[[#This Row],[Columna1]]="Pago inmediato",Clientes[[#This Row],[Columna1]]=""),0,SUBSTITUTE(Clientes[[#This Row],[Columna1]]," días",""))</f>
        <v>0</v>
      </c>
      <c r="E967" s="34"/>
      <c r="F967"/>
      <c r="G967" s="77"/>
      <c r="I967"/>
      <c r="J967" s="34"/>
      <c r="K967"/>
    </row>
    <row r="968" ht="30" spans="1:11">
      <c r="A968" s="102" t="s">
        <v>1773</v>
      </c>
      <c r="B968" s="102" t="s">
        <v>1774</v>
      </c>
      <c r="C968" s="102" t="s">
        <v>56</v>
      </c>
      <c r="D968" s="99">
        <f>IF(OR(Clientes[[#This Row],[Columna1]]="Pago inmediato",Clientes[[#This Row],[Columna1]]=""),0,SUBSTITUTE(Clientes[[#This Row],[Columna1]]," días",""))</f>
        <v>0</v>
      </c>
      <c r="E968" s="34"/>
      <c r="F968"/>
      <c r="G968" s="77"/>
      <c r="I968"/>
      <c r="J968" s="34"/>
      <c r="K968"/>
    </row>
    <row r="969" ht="45" spans="1:11">
      <c r="A969" s="102" t="s">
        <v>1773</v>
      </c>
      <c r="B969" s="102" t="s">
        <v>1775</v>
      </c>
      <c r="C969" s="102" t="s">
        <v>56</v>
      </c>
      <c r="D969" s="99">
        <f>IF(OR(Clientes[[#This Row],[Columna1]]="Pago inmediato",Clientes[[#This Row],[Columna1]]=""),0,SUBSTITUTE(Clientes[[#This Row],[Columna1]]," días",""))</f>
        <v>0</v>
      </c>
      <c r="E969" s="34"/>
      <c r="F969"/>
      <c r="G969" s="77"/>
      <c r="I969"/>
      <c r="J969" s="34"/>
      <c r="K969"/>
    </row>
    <row r="970" ht="30" spans="1:11">
      <c r="A970" s="102" t="s">
        <v>1776</v>
      </c>
      <c r="B970" s="102" t="s">
        <v>1777</v>
      </c>
      <c r="C970" s="102" t="s">
        <v>56</v>
      </c>
      <c r="D970" s="99">
        <f>IF(OR(Clientes[[#This Row],[Columna1]]="Pago inmediato",Clientes[[#This Row],[Columna1]]=""),0,SUBSTITUTE(Clientes[[#This Row],[Columna1]]," días",""))</f>
        <v>0</v>
      </c>
      <c r="E970" s="34"/>
      <c r="F970"/>
      <c r="G970" s="77"/>
      <c r="I970"/>
      <c r="J970" s="34"/>
      <c r="K970"/>
    </row>
    <row r="971" ht="45" spans="1:11">
      <c r="A971" s="102" t="s">
        <v>1778</v>
      </c>
      <c r="B971" s="102" t="s">
        <v>1779</v>
      </c>
      <c r="C971" s="102" t="s">
        <v>56</v>
      </c>
      <c r="D971" s="99">
        <f>IF(OR(Clientes[[#This Row],[Columna1]]="Pago inmediato",Clientes[[#This Row],[Columna1]]=""),0,SUBSTITUTE(Clientes[[#This Row],[Columna1]]," días",""))</f>
        <v>0</v>
      </c>
      <c r="E971" s="34"/>
      <c r="F971"/>
      <c r="G971" s="77"/>
      <c r="I971"/>
      <c r="J971" s="34"/>
      <c r="K971"/>
    </row>
    <row r="972" ht="30" spans="1:11">
      <c r="A972" s="102" t="s">
        <v>1780</v>
      </c>
      <c r="B972" s="102" t="s">
        <v>1781</v>
      </c>
      <c r="C972" s="102" t="s">
        <v>56</v>
      </c>
      <c r="D972" s="99">
        <f>IF(OR(Clientes[[#This Row],[Columna1]]="Pago inmediato",Clientes[[#This Row],[Columna1]]=""),0,SUBSTITUTE(Clientes[[#This Row],[Columna1]]," días",""))</f>
        <v>0</v>
      </c>
      <c r="E972" s="34"/>
      <c r="F972"/>
      <c r="G972" s="77"/>
      <c r="I972"/>
      <c r="J972" s="34"/>
      <c r="K972"/>
    </row>
    <row r="973" ht="30" spans="1:11">
      <c r="A973" s="102" t="s">
        <v>1782</v>
      </c>
      <c r="B973" s="102" t="s">
        <v>1783</v>
      </c>
      <c r="C973" s="102" t="s">
        <v>61</v>
      </c>
      <c r="D973" s="99" t="str">
        <f>IF(OR(Clientes[[#This Row],[Columna1]]="Pago inmediato",Clientes[[#This Row],[Columna1]]=""),0,SUBSTITUTE(Clientes[[#This Row],[Columna1]]," días",""))</f>
        <v>15</v>
      </c>
      <c r="E973" s="34"/>
      <c r="F973"/>
      <c r="G973" s="77"/>
      <c r="I973"/>
      <c r="J973" s="34"/>
      <c r="K973"/>
    </row>
    <row r="974" ht="30" spans="1:11">
      <c r="A974" s="102" t="s">
        <v>1784</v>
      </c>
      <c r="B974" s="102" t="s">
        <v>1785</v>
      </c>
      <c r="C974" s="102" t="s">
        <v>56</v>
      </c>
      <c r="D974" s="99">
        <f>IF(OR(Clientes[[#This Row],[Columna1]]="Pago inmediato",Clientes[[#This Row],[Columna1]]=""),0,SUBSTITUTE(Clientes[[#This Row],[Columna1]]," días",""))</f>
        <v>0</v>
      </c>
      <c r="E974" s="34"/>
      <c r="F974"/>
      <c r="G974" s="77"/>
      <c r="I974"/>
      <c r="J974" s="34"/>
      <c r="K974"/>
    </row>
    <row r="975" ht="30" spans="1:11">
      <c r="A975" s="102" t="s">
        <v>1786</v>
      </c>
      <c r="B975" s="102" t="s">
        <v>1787</v>
      </c>
      <c r="C975" s="102" t="s">
        <v>56</v>
      </c>
      <c r="D975" s="99">
        <f>IF(OR(Clientes[[#This Row],[Columna1]]="Pago inmediato",Clientes[[#This Row],[Columna1]]=""),0,SUBSTITUTE(Clientes[[#This Row],[Columna1]]," días",""))</f>
        <v>0</v>
      </c>
      <c r="E975" s="34"/>
      <c r="F975"/>
      <c r="G975" s="77"/>
      <c r="I975"/>
      <c r="J975" s="34"/>
      <c r="K975"/>
    </row>
    <row r="976" ht="30" spans="1:11">
      <c r="A976" s="102" t="s">
        <v>1788</v>
      </c>
      <c r="B976" s="102" t="s">
        <v>1789</v>
      </c>
      <c r="C976" s="102" t="s">
        <v>56</v>
      </c>
      <c r="D976" s="99">
        <f>IF(OR(Clientes[[#This Row],[Columna1]]="Pago inmediato",Clientes[[#This Row],[Columna1]]=""),0,SUBSTITUTE(Clientes[[#This Row],[Columna1]]," días",""))</f>
        <v>0</v>
      </c>
      <c r="E976" s="34"/>
      <c r="F976"/>
      <c r="G976" s="77"/>
      <c r="I976"/>
      <c r="J976" s="34"/>
      <c r="K976"/>
    </row>
    <row r="977" ht="30" spans="1:11">
      <c r="A977" s="102" t="s">
        <v>1790</v>
      </c>
      <c r="B977" s="102" t="s">
        <v>1791</v>
      </c>
      <c r="C977" s="102" t="s">
        <v>61</v>
      </c>
      <c r="D977" s="99" t="str">
        <f>IF(OR(Clientes[[#This Row],[Columna1]]="Pago inmediato",Clientes[[#This Row],[Columna1]]=""),0,SUBSTITUTE(Clientes[[#This Row],[Columna1]]," días",""))</f>
        <v>15</v>
      </c>
      <c r="E977" s="34"/>
      <c r="F977"/>
      <c r="G977" s="77"/>
      <c r="I977"/>
      <c r="J977" s="34"/>
      <c r="K977"/>
    </row>
    <row r="978" ht="30" spans="1:11">
      <c r="A978" s="102" t="s">
        <v>1792</v>
      </c>
      <c r="B978" s="102" t="s">
        <v>1793</v>
      </c>
      <c r="C978" s="102" t="s">
        <v>56</v>
      </c>
      <c r="D978" s="99">
        <f>IF(OR(Clientes[[#This Row],[Columna1]]="Pago inmediato",Clientes[[#This Row],[Columna1]]=""),0,SUBSTITUTE(Clientes[[#This Row],[Columna1]]," días",""))</f>
        <v>0</v>
      </c>
      <c r="E978" s="34"/>
      <c r="F978"/>
      <c r="G978" s="77"/>
      <c r="I978"/>
      <c r="J978" s="34"/>
      <c r="K978"/>
    </row>
    <row r="979" ht="45" spans="1:11">
      <c r="A979" s="102" t="s">
        <v>1792</v>
      </c>
      <c r="B979" s="102" t="s">
        <v>1794</v>
      </c>
      <c r="C979" s="102" t="s">
        <v>56</v>
      </c>
      <c r="D979" s="99">
        <f>IF(OR(Clientes[[#This Row],[Columna1]]="Pago inmediato",Clientes[[#This Row],[Columna1]]=""),0,SUBSTITUTE(Clientes[[#This Row],[Columna1]]," días",""))</f>
        <v>0</v>
      </c>
      <c r="E979" s="34"/>
      <c r="F979"/>
      <c r="G979" s="77"/>
      <c r="I979"/>
      <c r="J979" s="34"/>
      <c r="K979"/>
    </row>
    <row r="980" ht="30" spans="1:11">
      <c r="A980" s="102" t="s">
        <v>1795</v>
      </c>
      <c r="B980" s="102" t="s">
        <v>1796</v>
      </c>
      <c r="C980" s="102" t="s">
        <v>56</v>
      </c>
      <c r="D980" s="99">
        <f>IF(OR(Clientes[[#This Row],[Columna1]]="Pago inmediato",Clientes[[#This Row],[Columna1]]=""),0,SUBSTITUTE(Clientes[[#This Row],[Columna1]]," días",""))</f>
        <v>0</v>
      </c>
      <c r="E980" s="34"/>
      <c r="F980"/>
      <c r="G980" s="77"/>
      <c r="I980"/>
      <c r="J980" s="34"/>
      <c r="K980"/>
    </row>
    <row r="981" ht="45" spans="1:11">
      <c r="A981" s="102" t="s">
        <v>1797</v>
      </c>
      <c r="B981" s="102" t="s">
        <v>1798</v>
      </c>
      <c r="C981" s="102" t="s">
        <v>56</v>
      </c>
      <c r="D981" s="99">
        <f>IF(OR(Clientes[[#This Row],[Columna1]]="Pago inmediato",Clientes[[#This Row],[Columna1]]=""),0,SUBSTITUTE(Clientes[[#This Row],[Columna1]]," días",""))</f>
        <v>0</v>
      </c>
      <c r="E981" s="34"/>
      <c r="F981"/>
      <c r="G981" s="77"/>
      <c r="I981"/>
      <c r="J981" s="34"/>
      <c r="K981"/>
    </row>
    <row r="982" ht="30" spans="1:11">
      <c r="A982" s="102" t="s">
        <v>1799</v>
      </c>
      <c r="B982" s="102" t="s">
        <v>1800</v>
      </c>
      <c r="C982" s="102" t="s">
        <v>56</v>
      </c>
      <c r="D982" s="99">
        <f>IF(OR(Clientes[[#This Row],[Columna1]]="Pago inmediato",Clientes[[#This Row],[Columna1]]=""),0,SUBSTITUTE(Clientes[[#This Row],[Columna1]]," días",""))</f>
        <v>0</v>
      </c>
      <c r="E982" s="34"/>
      <c r="F982"/>
      <c r="G982" s="77"/>
      <c r="I982"/>
      <c r="J982" s="34"/>
      <c r="K982"/>
    </row>
    <row r="983" ht="30" spans="1:11">
      <c r="A983" s="102" t="s">
        <v>1801</v>
      </c>
      <c r="B983" s="102" t="s">
        <v>1802</v>
      </c>
      <c r="C983" s="102" t="s">
        <v>56</v>
      </c>
      <c r="D983" s="99">
        <f>IF(OR(Clientes[[#This Row],[Columna1]]="Pago inmediato",Clientes[[#This Row],[Columna1]]=""),0,SUBSTITUTE(Clientes[[#This Row],[Columna1]]," días",""))</f>
        <v>0</v>
      </c>
      <c r="E983" s="34"/>
      <c r="F983"/>
      <c r="G983" s="77"/>
      <c r="I983"/>
      <c r="J983" s="34"/>
      <c r="K983"/>
    </row>
    <row r="984" ht="30" spans="1:11">
      <c r="A984" s="102" t="s">
        <v>1803</v>
      </c>
      <c r="B984" s="102" t="s">
        <v>1804</v>
      </c>
      <c r="C984" s="102" t="s">
        <v>56</v>
      </c>
      <c r="D984" s="99">
        <f>IF(OR(Clientes[[#This Row],[Columna1]]="Pago inmediato",Clientes[[#This Row],[Columna1]]=""),0,SUBSTITUTE(Clientes[[#This Row],[Columna1]]," días",""))</f>
        <v>0</v>
      </c>
      <c r="E984" s="34"/>
      <c r="F984"/>
      <c r="G984" s="77"/>
      <c r="I984"/>
      <c r="J984" s="34"/>
      <c r="K984"/>
    </row>
    <row r="985" ht="30" spans="1:11">
      <c r="A985" s="102" t="s">
        <v>1805</v>
      </c>
      <c r="B985" s="102" t="s">
        <v>1806</v>
      </c>
      <c r="C985" s="102" t="s">
        <v>56</v>
      </c>
      <c r="D985" s="99">
        <f>IF(OR(Clientes[[#This Row],[Columna1]]="Pago inmediato",Clientes[[#This Row],[Columna1]]=""),0,SUBSTITUTE(Clientes[[#This Row],[Columna1]]," días",""))</f>
        <v>0</v>
      </c>
      <c r="E985" s="34"/>
      <c r="F985"/>
      <c r="G985" s="77"/>
      <c r="I985"/>
      <c r="J985" s="34"/>
      <c r="K985"/>
    </row>
    <row r="986" ht="45" spans="1:11">
      <c r="A986" s="102" t="s">
        <v>1807</v>
      </c>
      <c r="B986" s="102" t="s">
        <v>1808</v>
      </c>
      <c r="C986" s="102" t="s">
        <v>56</v>
      </c>
      <c r="D986" s="99">
        <f>IF(OR(Clientes[[#This Row],[Columna1]]="Pago inmediato",Clientes[[#This Row],[Columna1]]=""),0,SUBSTITUTE(Clientes[[#This Row],[Columna1]]," días",""))</f>
        <v>0</v>
      </c>
      <c r="E986" s="34"/>
      <c r="F986"/>
      <c r="G986" s="77"/>
      <c r="I986"/>
      <c r="J986" s="34"/>
      <c r="K986"/>
    </row>
    <row r="987" ht="30" spans="1:11">
      <c r="A987" s="102" t="s">
        <v>1809</v>
      </c>
      <c r="B987" s="102" t="s">
        <v>1810</v>
      </c>
      <c r="C987" s="102" t="s">
        <v>56</v>
      </c>
      <c r="D987" s="99">
        <f>IF(OR(Clientes[[#This Row],[Columna1]]="Pago inmediato",Clientes[[#This Row],[Columna1]]=""),0,SUBSTITUTE(Clientes[[#This Row],[Columna1]]," días",""))</f>
        <v>0</v>
      </c>
      <c r="E987" s="34"/>
      <c r="F987"/>
      <c r="G987" s="77"/>
      <c r="I987"/>
      <c r="J987" s="34"/>
      <c r="K987"/>
    </row>
    <row r="988" ht="30" spans="1:11">
      <c r="A988" s="102" t="s">
        <v>1811</v>
      </c>
      <c r="B988" s="102" t="s">
        <v>1812</v>
      </c>
      <c r="C988" s="102" t="s">
        <v>56</v>
      </c>
      <c r="D988" s="99">
        <f>IF(OR(Clientes[[#This Row],[Columna1]]="Pago inmediato",Clientes[[#This Row],[Columna1]]=""),0,SUBSTITUTE(Clientes[[#This Row],[Columna1]]," días",""))</f>
        <v>0</v>
      </c>
      <c r="E988" s="34"/>
      <c r="F988"/>
      <c r="G988" s="77"/>
      <c r="I988"/>
      <c r="J988" s="34"/>
      <c r="K988"/>
    </row>
    <row r="989" ht="45" spans="1:11">
      <c r="A989" s="102" t="s">
        <v>1813</v>
      </c>
      <c r="B989" s="102" t="s">
        <v>1814</v>
      </c>
      <c r="C989" s="102" t="s">
        <v>56</v>
      </c>
      <c r="D989" s="99">
        <f>IF(OR(Clientes[[#This Row],[Columna1]]="Pago inmediato",Clientes[[#This Row],[Columna1]]=""),0,SUBSTITUTE(Clientes[[#This Row],[Columna1]]," días",""))</f>
        <v>0</v>
      </c>
      <c r="E989" s="34"/>
      <c r="F989"/>
      <c r="G989" s="77"/>
      <c r="I989"/>
      <c r="J989" s="34"/>
      <c r="K989"/>
    </row>
    <row r="990" ht="30" spans="1:11">
      <c r="A990" s="102" t="s">
        <v>1815</v>
      </c>
      <c r="B990" s="102" t="s">
        <v>1816</v>
      </c>
      <c r="C990" s="102" t="s">
        <v>56</v>
      </c>
      <c r="D990" s="99">
        <f>IF(OR(Clientes[[#This Row],[Columna1]]="Pago inmediato",Clientes[[#This Row],[Columna1]]=""),0,SUBSTITUTE(Clientes[[#This Row],[Columna1]]," días",""))</f>
        <v>0</v>
      </c>
      <c r="E990" s="34"/>
      <c r="F990"/>
      <c r="G990" s="77"/>
      <c r="I990"/>
      <c r="J990" s="34"/>
      <c r="K990"/>
    </row>
    <row r="991" ht="30" spans="1:11">
      <c r="A991" s="102" t="s">
        <v>1817</v>
      </c>
      <c r="B991" s="102" t="s">
        <v>1818</v>
      </c>
      <c r="C991" s="102" t="s">
        <v>56</v>
      </c>
      <c r="D991" s="99">
        <f>IF(OR(Clientes[[#This Row],[Columna1]]="Pago inmediato",Clientes[[#This Row],[Columna1]]=""),0,SUBSTITUTE(Clientes[[#This Row],[Columna1]]," días",""))</f>
        <v>0</v>
      </c>
      <c r="E991" s="34"/>
      <c r="F991"/>
      <c r="G991" s="77"/>
      <c r="I991"/>
      <c r="J991" s="34"/>
      <c r="K991"/>
    </row>
    <row r="992" ht="30" spans="1:11">
      <c r="A992" s="102" t="s">
        <v>1819</v>
      </c>
      <c r="B992" s="102" t="s">
        <v>1820</v>
      </c>
      <c r="C992" s="102" t="s">
        <v>56</v>
      </c>
      <c r="D992" s="99">
        <f>IF(OR(Clientes[[#This Row],[Columna1]]="Pago inmediato",Clientes[[#This Row],[Columna1]]=""),0,SUBSTITUTE(Clientes[[#This Row],[Columna1]]," días",""))</f>
        <v>0</v>
      </c>
      <c r="E992" s="34"/>
      <c r="F992"/>
      <c r="G992" s="77"/>
      <c r="I992"/>
      <c r="J992" s="34"/>
      <c r="K992"/>
    </row>
    <row r="993" ht="30" spans="1:11">
      <c r="A993" s="102" t="s">
        <v>1821</v>
      </c>
      <c r="B993" s="102" t="s">
        <v>1822</v>
      </c>
      <c r="C993" s="102" t="s">
        <v>56</v>
      </c>
      <c r="D993" s="99">
        <f>IF(OR(Clientes[[#This Row],[Columna1]]="Pago inmediato",Clientes[[#This Row],[Columna1]]=""),0,SUBSTITUTE(Clientes[[#This Row],[Columna1]]," días",""))</f>
        <v>0</v>
      </c>
      <c r="E993" s="34"/>
      <c r="F993"/>
      <c r="G993" s="77"/>
      <c r="I993"/>
      <c r="J993" s="34"/>
      <c r="K993"/>
    </row>
    <row r="994" ht="30" spans="1:11">
      <c r="A994" s="102" t="s">
        <v>1823</v>
      </c>
      <c r="B994" s="102" t="s">
        <v>1824</v>
      </c>
      <c r="C994" s="102" t="s">
        <v>56</v>
      </c>
      <c r="D994" s="99">
        <f>IF(OR(Clientes[[#This Row],[Columna1]]="Pago inmediato",Clientes[[#This Row],[Columna1]]=""),0,SUBSTITUTE(Clientes[[#This Row],[Columna1]]," días",""))</f>
        <v>0</v>
      </c>
      <c r="E994" s="34"/>
      <c r="F994"/>
      <c r="G994" s="77"/>
      <c r="I994"/>
      <c r="J994" s="34"/>
      <c r="K994"/>
    </row>
    <row r="995" ht="30" spans="1:11">
      <c r="A995" s="102" t="s">
        <v>1825</v>
      </c>
      <c r="B995" s="102" t="s">
        <v>1826</v>
      </c>
      <c r="C995" s="102" t="s">
        <v>56</v>
      </c>
      <c r="D995" s="99">
        <f>IF(OR(Clientes[[#This Row],[Columna1]]="Pago inmediato",Clientes[[#This Row],[Columna1]]=""),0,SUBSTITUTE(Clientes[[#This Row],[Columna1]]," días",""))</f>
        <v>0</v>
      </c>
      <c r="E995" s="34"/>
      <c r="F995"/>
      <c r="G995" s="77"/>
      <c r="I995"/>
      <c r="J995" s="34"/>
      <c r="K995"/>
    </row>
    <row r="996" ht="30" spans="1:11">
      <c r="A996" s="102" t="s">
        <v>1827</v>
      </c>
      <c r="B996" s="102" t="s">
        <v>1828</v>
      </c>
      <c r="C996" s="102" t="s">
        <v>56</v>
      </c>
      <c r="D996" s="99">
        <f>IF(OR(Clientes[[#This Row],[Columna1]]="Pago inmediato",Clientes[[#This Row],[Columna1]]=""),0,SUBSTITUTE(Clientes[[#This Row],[Columna1]]," días",""))</f>
        <v>0</v>
      </c>
      <c r="E996" s="34"/>
      <c r="F996"/>
      <c r="G996" s="77"/>
      <c r="I996"/>
      <c r="J996" s="34"/>
      <c r="K996"/>
    </row>
    <row r="997" ht="30" spans="1:11">
      <c r="A997" s="102" t="s">
        <v>1829</v>
      </c>
      <c r="B997" s="102" t="s">
        <v>1830</v>
      </c>
      <c r="C997" s="102" t="s">
        <v>56</v>
      </c>
      <c r="D997" s="99">
        <f>IF(OR(Clientes[[#This Row],[Columna1]]="Pago inmediato",Clientes[[#This Row],[Columna1]]=""),0,SUBSTITUTE(Clientes[[#This Row],[Columna1]]," días",""))</f>
        <v>0</v>
      </c>
      <c r="E997" s="34"/>
      <c r="F997"/>
      <c r="G997" s="77"/>
      <c r="I997"/>
      <c r="J997" s="34"/>
      <c r="K997"/>
    </row>
    <row r="998" ht="30" spans="1:11">
      <c r="A998" s="102" t="s">
        <v>1831</v>
      </c>
      <c r="B998" s="102" t="s">
        <v>1832</v>
      </c>
      <c r="C998" s="102" t="s">
        <v>56</v>
      </c>
      <c r="D998" s="99">
        <f>IF(OR(Clientes[[#This Row],[Columna1]]="Pago inmediato",Clientes[[#This Row],[Columna1]]=""),0,SUBSTITUTE(Clientes[[#This Row],[Columna1]]," días",""))</f>
        <v>0</v>
      </c>
      <c r="E998" s="34"/>
      <c r="F998"/>
      <c r="G998" s="77"/>
      <c r="I998"/>
      <c r="J998" s="34"/>
      <c r="K998"/>
    </row>
    <row r="999" ht="45" spans="1:11">
      <c r="A999" s="102" t="s">
        <v>1833</v>
      </c>
      <c r="B999" s="102" t="s">
        <v>1834</v>
      </c>
      <c r="C999" s="102" t="s">
        <v>61</v>
      </c>
      <c r="D999" s="99" t="str">
        <f>IF(OR(Clientes[[#This Row],[Columna1]]="Pago inmediato",Clientes[[#This Row],[Columna1]]=""),0,SUBSTITUTE(Clientes[[#This Row],[Columna1]]," días",""))</f>
        <v>15</v>
      </c>
      <c r="E999" s="34"/>
      <c r="F999"/>
      <c r="G999" s="77"/>
      <c r="I999"/>
      <c r="J999" s="34"/>
      <c r="K999"/>
    </row>
    <row r="1000" ht="30" spans="1:11">
      <c r="A1000" s="102" t="s">
        <v>1835</v>
      </c>
      <c r="B1000" s="102" t="s">
        <v>1836</v>
      </c>
      <c r="C1000" s="102" t="s">
        <v>54</v>
      </c>
      <c r="D1000" s="99" t="str">
        <f>IF(OR(Clientes[[#This Row],[Columna1]]="Pago inmediato",Clientes[[#This Row],[Columna1]]=""),0,SUBSTITUTE(Clientes[[#This Row],[Columna1]]," días",""))</f>
        <v>7</v>
      </c>
      <c r="E1000" s="34"/>
      <c r="F1000"/>
      <c r="G1000" s="77"/>
      <c r="I1000"/>
      <c r="J1000" s="34"/>
      <c r="K1000"/>
    </row>
    <row r="1001" ht="45" spans="1:11">
      <c r="A1001" s="102" t="s">
        <v>1837</v>
      </c>
      <c r="B1001" s="102" t="s">
        <v>1838</v>
      </c>
      <c r="C1001" s="102" t="s">
        <v>56</v>
      </c>
      <c r="D1001" s="99">
        <f>IF(OR(Clientes[[#This Row],[Columna1]]="Pago inmediato",Clientes[[#This Row],[Columna1]]=""),0,SUBSTITUTE(Clientes[[#This Row],[Columna1]]," días",""))</f>
        <v>0</v>
      </c>
      <c r="E1001" s="34"/>
      <c r="F1001"/>
      <c r="G1001" s="77"/>
      <c r="I1001"/>
      <c r="J1001" s="34"/>
      <c r="K1001"/>
    </row>
    <row r="1002" ht="30" spans="1:11">
      <c r="A1002" s="102" t="s">
        <v>1839</v>
      </c>
      <c r="B1002" s="102" t="s">
        <v>1840</v>
      </c>
      <c r="C1002" s="102" t="s">
        <v>56</v>
      </c>
      <c r="D1002" s="99">
        <f>IF(OR(Clientes[[#This Row],[Columna1]]="Pago inmediato",Clientes[[#This Row],[Columna1]]=""),0,SUBSTITUTE(Clientes[[#This Row],[Columna1]]," días",""))</f>
        <v>0</v>
      </c>
      <c r="E1002" s="34"/>
      <c r="F1002"/>
      <c r="G1002" s="77"/>
      <c r="I1002"/>
      <c r="J1002" s="34"/>
      <c r="K1002"/>
    </row>
    <row r="1003" ht="45" spans="1:11">
      <c r="A1003" s="102" t="s">
        <v>1841</v>
      </c>
      <c r="B1003" s="102" t="s">
        <v>1842</v>
      </c>
      <c r="C1003" s="102" t="s">
        <v>56</v>
      </c>
      <c r="D1003" s="99">
        <f>IF(OR(Clientes[[#This Row],[Columna1]]="Pago inmediato",Clientes[[#This Row],[Columna1]]=""),0,SUBSTITUTE(Clientes[[#This Row],[Columna1]]," días",""))</f>
        <v>0</v>
      </c>
      <c r="E1003" s="34"/>
      <c r="F1003"/>
      <c r="G1003" s="77"/>
      <c r="I1003"/>
      <c r="J1003" s="34"/>
      <c r="K1003"/>
    </row>
    <row r="1004" ht="45" spans="1:11">
      <c r="A1004" s="102" t="s">
        <v>1843</v>
      </c>
      <c r="B1004" s="102" t="s">
        <v>1844</v>
      </c>
      <c r="C1004" s="102" t="s">
        <v>56</v>
      </c>
      <c r="D1004" s="99">
        <f>IF(OR(Clientes[[#This Row],[Columna1]]="Pago inmediato",Clientes[[#This Row],[Columna1]]=""),0,SUBSTITUTE(Clientes[[#This Row],[Columna1]]," días",""))</f>
        <v>0</v>
      </c>
      <c r="E1004" s="34"/>
      <c r="F1004"/>
      <c r="G1004" s="77"/>
      <c r="I1004"/>
      <c r="J1004" s="34"/>
      <c r="K1004"/>
    </row>
    <row r="1005" ht="45" spans="1:11">
      <c r="A1005" s="102" t="s">
        <v>1845</v>
      </c>
      <c r="B1005" s="102" t="s">
        <v>1846</v>
      </c>
      <c r="C1005" s="102" t="s">
        <v>56</v>
      </c>
      <c r="D1005" s="99">
        <f>IF(OR(Clientes[[#This Row],[Columna1]]="Pago inmediato",Clientes[[#This Row],[Columna1]]=""),0,SUBSTITUTE(Clientes[[#This Row],[Columna1]]," días",""))</f>
        <v>0</v>
      </c>
      <c r="E1005" s="34"/>
      <c r="F1005"/>
      <c r="G1005" s="77"/>
      <c r="I1005"/>
      <c r="J1005" s="34"/>
      <c r="K1005"/>
    </row>
    <row r="1006" ht="30" spans="1:11">
      <c r="A1006" s="102" t="s">
        <v>1847</v>
      </c>
      <c r="B1006" s="102" t="s">
        <v>1848</v>
      </c>
      <c r="C1006" s="102" t="s">
        <v>56</v>
      </c>
      <c r="D1006" s="99">
        <f>IF(OR(Clientes[[#This Row],[Columna1]]="Pago inmediato",Clientes[[#This Row],[Columna1]]=""),0,SUBSTITUTE(Clientes[[#This Row],[Columna1]]," días",""))</f>
        <v>0</v>
      </c>
      <c r="E1006" s="34"/>
      <c r="F1006"/>
      <c r="G1006" s="77"/>
      <c r="I1006"/>
      <c r="J1006" s="34"/>
      <c r="K1006"/>
    </row>
    <row r="1007" ht="30" spans="1:11">
      <c r="A1007" s="102" t="s">
        <v>1849</v>
      </c>
      <c r="B1007" s="102" t="s">
        <v>1850</v>
      </c>
      <c r="C1007" s="102" t="s">
        <v>56</v>
      </c>
      <c r="D1007" s="99">
        <f>IF(OR(Clientes[[#This Row],[Columna1]]="Pago inmediato",Clientes[[#This Row],[Columna1]]=""),0,SUBSTITUTE(Clientes[[#This Row],[Columna1]]," días",""))</f>
        <v>0</v>
      </c>
      <c r="E1007" s="34"/>
      <c r="F1007"/>
      <c r="G1007" s="77"/>
      <c r="I1007"/>
      <c r="J1007" s="34"/>
      <c r="K1007"/>
    </row>
    <row r="1008" ht="45" spans="1:11">
      <c r="A1008" s="102" t="s">
        <v>1851</v>
      </c>
      <c r="B1008" s="102" t="s">
        <v>1852</v>
      </c>
      <c r="C1008" s="102" t="s">
        <v>56</v>
      </c>
      <c r="D1008" s="99">
        <f>IF(OR(Clientes[[#This Row],[Columna1]]="Pago inmediato",Clientes[[#This Row],[Columna1]]=""),0,SUBSTITUTE(Clientes[[#This Row],[Columna1]]," días",""))</f>
        <v>0</v>
      </c>
      <c r="E1008" s="34"/>
      <c r="F1008"/>
      <c r="G1008" s="77"/>
      <c r="I1008"/>
      <c r="J1008" s="34"/>
      <c r="K1008"/>
    </row>
    <row r="1009" ht="30" spans="1:11">
      <c r="A1009" s="102" t="s">
        <v>1853</v>
      </c>
      <c r="B1009" s="102" t="s">
        <v>1854</v>
      </c>
      <c r="C1009" s="102" t="s">
        <v>56</v>
      </c>
      <c r="D1009" s="99">
        <f>IF(OR(Clientes[[#This Row],[Columna1]]="Pago inmediato",Clientes[[#This Row],[Columna1]]=""),0,SUBSTITUTE(Clientes[[#This Row],[Columna1]]," días",""))</f>
        <v>0</v>
      </c>
      <c r="E1009" s="34"/>
      <c r="F1009"/>
      <c r="G1009" s="77"/>
      <c r="I1009"/>
      <c r="J1009" s="34"/>
      <c r="K1009"/>
    </row>
    <row r="1010" ht="30" spans="1:11">
      <c r="A1010" s="102" t="s">
        <v>1855</v>
      </c>
      <c r="B1010" s="102" t="s">
        <v>1856</v>
      </c>
      <c r="C1010" s="102" t="s">
        <v>56</v>
      </c>
      <c r="D1010" s="99">
        <f>IF(OR(Clientes[[#This Row],[Columna1]]="Pago inmediato",Clientes[[#This Row],[Columna1]]=""),0,SUBSTITUTE(Clientes[[#This Row],[Columna1]]," días",""))</f>
        <v>0</v>
      </c>
      <c r="E1010" s="34"/>
      <c r="F1010"/>
      <c r="G1010" s="77"/>
      <c r="I1010"/>
      <c r="J1010" s="34"/>
      <c r="K1010"/>
    </row>
    <row r="1011" ht="30" spans="1:11">
      <c r="A1011" s="102" t="s">
        <v>1857</v>
      </c>
      <c r="B1011" s="102" t="s">
        <v>1858</v>
      </c>
      <c r="C1011" s="102" t="s">
        <v>56</v>
      </c>
      <c r="D1011" s="99">
        <f>IF(OR(Clientes[[#This Row],[Columna1]]="Pago inmediato",Clientes[[#This Row],[Columna1]]=""),0,SUBSTITUTE(Clientes[[#This Row],[Columna1]]," días",""))</f>
        <v>0</v>
      </c>
      <c r="E1011" s="34"/>
      <c r="F1011"/>
      <c r="G1011" s="77"/>
      <c r="I1011"/>
      <c r="J1011" s="34"/>
      <c r="K1011"/>
    </row>
    <row r="1012" ht="30" spans="1:11">
      <c r="A1012" s="102" t="s">
        <v>1859</v>
      </c>
      <c r="B1012" s="102" t="s">
        <v>1860</v>
      </c>
      <c r="C1012" s="102" t="s">
        <v>56</v>
      </c>
      <c r="D1012" s="99">
        <f>IF(OR(Clientes[[#This Row],[Columna1]]="Pago inmediato",Clientes[[#This Row],[Columna1]]=""),0,SUBSTITUTE(Clientes[[#This Row],[Columna1]]," días",""))</f>
        <v>0</v>
      </c>
      <c r="E1012" s="34"/>
      <c r="F1012"/>
      <c r="G1012" s="77"/>
      <c r="I1012"/>
      <c r="J1012" s="34"/>
      <c r="K1012"/>
    </row>
    <row r="1013" ht="45" spans="1:11">
      <c r="A1013" s="102" t="s">
        <v>1861</v>
      </c>
      <c r="B1013" s="102" t="s">
        <v>1862</v>
      </c>
      <c r="C1013" s="102" t="s">
        <v>56</v>
      </c>
      <c r="D1013" s="99">
        <f>IF(OR(Clientes[[#This Row],[Columna1]]="Pago inmediato",Clientes[[#This Row],[Columna1]]=""),0,SUBSTITUTE(Clientes[[#This Row],[Columna1]]," días",""))</f>
        <v>0</v>
      </c>
      <c r="E1013" s="34"/>
      <c r="F1013"/>
      <c r="G1013" s="77"/>
      <c r="I1013"/>
      <c r="J1013" s="34"/>
      <c r="K1013"/>
    </row>
    <row r="1014" ht="30" spans="1:11">
      <c r="A1014" s="102" t="s">
        <v>93</v>
      </c>
      <c r="B1014" s="102" t="s">
        <v>94</v>
      </c>
      <c r="C1014" s="102" t="s">
        <v>56</v>
      </c>
      <c r="D1014" s="99">
        <f>IF(OR(Clientes[[#This Row],[Columna1]]="Pago inmediato",Clientes[[#This Row],[Columna1]]=""),0,SUBSTITUTE(Clientes[[#This Row],[Columna1]]," días",""))</f>
        <v>0</v>
      </c>
      <c r="E1014" s="34"/>
      <c r="F1014"/>
      <c r="G1014" s="77"/>
      <c r="I1014"/>
      <c r="J1014" s="34"/>
      <c r="K1014"/>
    </row>
    <row r="1015" ht="45" spans="1:11">
      <c r="A1015" s="102" t="s">
        <v>93</v>
      </c>
      <c r="B1015" s="102" t="s">
        <v>1863</v>
      </c>
      <c r="C1015" s="102" t="s">
        <v>56</v>
      </c>
      <c r="D1015" s="99">
        <f>IF(OR(Clientes[[#This Row],[Columna1]]="Pago inmediato",Clientes[[#This Row],[Columna1]]=""),0,SUBSTITUTE(Clientes[[#This Row],[Columna1]]," días",""))</f>
        <v>0</v>
      </c>
      <c r="E1015" s="34"/>
      <c r="F1015"/>
      <c r="G1015" s="77"/>
      <c r="I1015"/>
      <c r="J1015" s="34"/>
      <c r="K1015"/>
    </row>
    <row r="1016" ht="30" spans="1:11">
      <c r="A1016" s="102" t="s">
        <v>1864</v>
      </c>
      <c r="B1016" s="102" t="s">
        <v>1865</v>
      </c>
      <c r="C1016" s="102" t="s">
        <v>56</v>
      </c>
      <c r="D1016" s="99">
        <f>IF(OR(Clientes[[#This Row],[Columna1]]="Pago inmediato",Clientes[[#This Row],[Columna1]]=""),0,SUBSTITUTE(Clientes[[#This Row],[Columna1]]," días",""))</f>
        <v>0</v>
      </c>
      <c r="E1016" s="34"/>
      <c r="F1016"/>
      <c r="G1016" s="77"/>
      <c r="I1016"/>
      <c r="J1016" s="34"/>
      <c r="K1016"/>
    </row>
    <row r="1017" ht="45" spans="1:11">
      <c r="A1017" s="102" t="s">
        <v>1866</v>
      </c>
      <c r="B1017" s="102" t="s">
        <v>1867</v>
      </c>
      <c r="C1017" s="102" t="s">
        <v>56</v>
      </c>
      <c r="D1017" s="99">
        <f>IF(OR(Clientes[[#This Row],[Columna1]]="Pago inmediato",Clientes[[#This Row],[Columna1]]=""),0,SUBSTITUTE(Clientes[[#This Row],[Columna1]]," días",""))</f>
        <v>0</v>
      </c>
      <c r="E1017" s="34"/>
      <c r="F1017"/>
      <c r="G1017" s="77"/>
      <c r="I1017"/>
      <c r="J1017" s="34"/>
      <c r="K1017"/>
    </row>
    <row r="1018" ht="30" spans="1:11">
      <c r="A1018" s="102" t="s">
        <v>1868</v>
      </c>
      <c r="B1018" s="102" t="s">
        <v>1869</v>
      </c>
      <c r="C1018" s="102" t="s">
        <v>56</v>
      </c>
      <c r="D1018" s="99">
        <f>IF(OR(Clientes[[#This Row],[Columna1]]="Pago inmediato",Clientes[[#This Row],[Columna1]]=""),0,SUBSTITUTE(Clientes[[#This Row],[Columna1]]," días",""))</f>
        <v>0</v>
      </c>
      <c r="E1018" s="34"/>
      <c r="F1018"/>
      <c r="G1018" s="77"/>
      <c r="I1018"/>
      <c r="J1018" s="34"/>
      <c r="K1018"/>
    </row>
    <row r="1019" ht="60" spans="1:11">
      <c r="A1019" s="102" t="s">
        <v>1868</v>
      </c>
      <c r="B1019" s="102" t="s">
        <v>1870</v>
      </c>
      <c r="C1019" s="102" t="s">
        <v>56</v>
      </c>
      <c r="D1019" s="99">
        <f>IF(OR(Clientes[[#This Row],[Columna1]]="Pago inmediato",Clientes[[#This Row],[Columna1]]=""),0,SUBSTITUTE(Clientes[[#This Row],[Columna1]]," días",""))</f>
        <v>0</v>
      </c>
      <c r="E1019" s="34"/>
      <c r="F1019"/>
      <c r="G1019" s="77"/>
      <c r="I1019"/>
      <c r="J1019" s="34"/>
      <c r="K1019"/>
    </row>
    <row r="1020" ht="30" spans="1:11">
      <c r="A1020" s="102" t="s">
        <v>1871</v>
      </c>
      <c r="B1020" s="102" t="s">
        <v>1872</v>
      </c>
      <c r="C1020" s="102" t="s">
        <v>56</v>
      </c>
      <c r="D1020" s="99">
        <f>IF(OR(Clientes[[#This Row],[Columna1]]="Pago inmediato",Clientes[[#This Row],[Columna1]]=""),0,SUBSTITUTE(Clientes[[#This Row],[Columna1]]," días",""))</f>
        <v>0</v>
      </c>
      <c r="E1020" s="34"/>
      <c r="F1020"/>
      <c r="G1020" s="77"/>
      <c r="I1020"/>
      <c r="J1020" s="34"/>
      <c r="K1020"/>
    </row>
    <row r="1021" ht="30" spans="1:11">
      <c r="A1021" s="102" t="s">
        <v>1873</v>
      </c>
      <c r="B1021" s="102" t="s">
        <v>1874</v>
      </c>
      <c r="C1021" s="102" t="s">
        <v>56</v>
      </c>
      <c r="D1021" s="99">
        <f>IF(OR(Clientes[[#This Row],[Columna1]]="Pago inmediato",Clientes[[#This Row],[Columna1]]=""),0,SUBSTITUTE(Clientes[[#This Row],[Columna1]]," días",""))</f>
        <v>0</v>
      </c>
      <c r="E1021" s="34"/>
      <c r="F1021"/>
      <c r="G1021" s="77"/>
      <c r="I1021"/>
      <c r="J1021" s="34"/>
      <c r="K1021"/>
    </row>
    <row r="1022" ht="30" spans="1:11">
      <c r="A1022" s="102" t="s">
        <v>1875</v>
      </c>
      <c r="B1022" s="102" t="s">
        <v>1876</v>
      </c>
      <c r="C1022" s="102" t="s">
        <v>56</v>
      </c>
      <c r="D1022" s="99">
        <f>IF(OR(Clientes[[#This Row],[Columna1]]="Pago inmediato",Clientes[[#This Row],[Columna1]]=""),0,SUBSTITUTE(Clientes[[#This Row],[Columna1]]," días",""))</f>
        <v>0</v>
      </c>
      <c r="E1022" s="34"/>
      <c r="F1022"/>
      <c r="G1022" s="77"/>
      <c r="I1022"/>
      <c r="J1022" s="34"/>
      <c r="K1022"/>
    </row>
    <row r="1023" ht="30" spans="1:11">
      <c r="A1023" s="102" t="s">
        <v>1877</v>
      </c>
      <c r="B1023" s="102" t="s">
        <v>1878</v>
      </c>
      <c r="C1023" s="102" t="s">
        <v>56</v>
      </c>
      <c r="D1023" s="99">
        <f>IF(OR(Clientes[[#This Row],[Columna1]]="Pago inmediato",Clientes[[#This Row],[Columna1]]=""),0,SUBSTITUTE(Clientes[[#This Row],[Columna1]]," días",""))</f>
        <v>0</v>
      </c>
      <c r="E1023" s="34"/>
      <c r="F1023"/>
      <c r="G1023" s="77"/>
      <c r="I1023"/>
      <c r="J1023" s="34"/>
      <c r="K1023"/>
    </row>
    <row r="1024" ht="45" spans="1:11">
      <c r="A1024" s="102" t="s">
        <v>1879</v>
      </c>
      <c r="B1024" s="102" t="s">
        <v>1880</v>
      </c>
      <c r="C1024" s="102" t="s">
        <v>56</v>
      </c>
      <c r="D1024" s="99">
        <f>IF(OR(Clientes[[#This Row],[Columna1]]="Pago inmediato",Clientes[[#This Row],[Columna1]]=""),0,SUBSTITUTE(Clientes[[#This Row],[Columna1]]," días",""))</f>
        <v>0</v>
      </c>
      <c r="E1024" s="34"/>
      <c r="F1024"/>
      <c r="G1024" s="77"/>
      <c r="I1024"/>
      <c r="J1024" s="34"/>
      <c r="K1024"/>
    </row>
    <row r="1025" ht="30" spans="1:11">
      <c r="A1025" s="102" t="s">
        <v>1881</v>
      </c>
      <c r="B1025" s="102" t="s">
        <v>1882</v>
      </c>
      <c r="C1025" s="102" t="s">
        <v>56</v>
      </c>
      <c r="D1025" s="99">
        <f>IF(OR(Clientes[[#This Row],[Columna1]]="Pago inmediato",Clientes[[#This Row],[Columna1]]=""),0,SUBSTITUTE(Clientes[[#This Row],[Columna1]]," días",""))</f>
        <v>0</v>
      </c>
      <c r="E1025" s="34"/>
      <c r="F1025"/>
      <c r="G1025" s="77"/>
      <c r="I1025"/>
      <c r="J1025" s="34"/>
      <c r="K1025"/>
    </row>
    <row r="1026" ht="45" spans="1:11">
      <c r="A1026" s="102" t="s">
        <v>1883</v>
      </c>
      <c r="B1026" s="102" t="s">
        <v>1884</v>
      </c>
      <c r="C1026" s="102" t="s">
        <v>56</v>
      </c>
      <c r="D1026" s="99">
        <f>IF(OR(Clientes[[#This Row],[Columna1]]="Pago inmediato",Clientes[[#This Row],[Columna1]]=""),0,SUBSTITUTE(Clientes[[#This Row],[Columna1]]," días",""))</f>
        <v>0</v>
      </c>
      <c r="E1026" s="34"/>
      <c r="F1026"/>
      <c r="G1026" s="77"/>
      <c r="I1026"/>
      <c r="J1026" s="34"/>
      <c r="K1026"/>
    </row>
    <row r="1027" ht="30" spans="1:11">
      <c r="A1027" s="102" t="s">
        <v>1885</v>
      </c>
      <c r="B1027" s="102" t="s">
        <v>1886</v>
      </c>
      <c r="C1027" s="102" t="s">
        <v>56</v>
      </c>
      <c r="D1027" s="99">
        <f>IF(OR(Clientes[[#This Row],[Columna1]]="Pago inmediato",Clientes[[#This Row],[Columna1]]=""),0,SUBSTITUTE(Clientes[[#This Row],[Columna1]]," días",""))</f>
        <v>0</v>
      </c>
      <c r="E1027" s="34"/>
      <c r="F1027"/>
      <c r="G1027" s="77"/>
      <c r="I1027"/>
      <c r="J1027" s="34"/>
      <c r="K1027"/>
    </row>
    <row r="1028" ht="45" spans="1:11">
      <c r="A1028" s="102" t="s">
        <v>1885</v>
      </c>
      <c r="B1028" s="102" t="s">
        <v>1887</v>
      </c>
      <c r="C1028" s="102" t="s">
        <v>56</v>
      </c>
      <c r="D1028" s="99">
        <f>IF(OR(Clientes[[#This Row],[Columna1]]="Pago inmediato",Clientes[[#This Row],[Columna1]]=""),0,SUBSTITUTE(Clientes[[#This Row],[Columna1]]," días",""))</f>
        <v>0</v>
      </c>
      <c r="E1028" s="34"/>
      <c r="F1028"/>
      <c r="G1028" s="77"/>
      <c r="I1028"/>
      <c r="J1028" s="34"/>
      <c r="K1028"/>
    </row>
    <row r="1029" ht="45" spans="1:11">
      <c r="A1029" s="102" t="s">
        <v>1888</v>
      </c>
      <c r="B1029" s="102" t="s">
        <v>1889</v>
      </c>
      <c r="C1029" s="102" t="s">
        <v>454</v>
      </c>
      <c r="D1029" s="99" t="str">
        <f>IF(OR(Clientes[[#This Row],[Columna1]]="Pago inmediato",Clientes[[#This Row],[Columna1]]=""),0,SUBSTITUTE(Clientes[[#This Row],[Columna1]]," días",""))</f>
        <v>21</v>
      </c>
      <c r="E1029" s="34"/>
      <c r="F1029"/>
      <c r="G1029" s="77"/>
      <c r="I1029"/>
      <c r="J1029" s="34"/>
      <c r="K1029"/>
    </row>
    <row r="1030" ht="30" spans="1:11">
      <c r="A1030" s="102" t="s">
        <v>1890</v>
      </c>
      <c r="B1030" s="102" t="s">
        <v>1891</v>
      </c>
      <c r="C1030" s="102" t="s">
        <v>56</v>
      </c>
      <c r="D1030" s="99">
        <f>IF(OR(Clientes[[#This Row],[Columna1]]="Pago inmediato",Clientes[[#This Row],[Columna1]]=""),0,SUBSTITUTE(Clientes[[#This Row],[Columna1]]," días",""))</f>
        <v>0</v>
      </c>
      <c r="E1030" s="34"/>
      <c r="F1030"/>
      <c r="G1030" s="77"/>
      <c r="I1030"/>
      <c r="J1030" s="34"/>
      <c r="K1030"/>
    </row>
    <row r="1031" ht="45" spans="1:11">
      <c r="A1031" s="102" t="s">
        <v>1892</v>
      </c>
      <c r="B1031" s="102" t="s">
        <v>1893</v>
      </c>
      <c r="C1031" s="102">
        <v>30</v>
      </c>
      <c r="D1031" s="99" t="str">
        <f>IF(OR(Clientes[[#This Row],[Columna1]]="Pago inmediato",Clientes[[#This Row],[Columna1]]=""),0,SUBSTITUTE(Clientes[[#This Row],[Columna1]]," días",""))</f>
        <v>30</v>
      </c>
      <c r="E1031" s="34"/>
      <c r="F1031"/>
      <c r="G1031" s="77"/>
      <c r="I1031"/>
      <c r="J1031" s="34"/>
      <c r="K1031"/>
    </row>
    <row r="1032" ht="30" spans="1:11">
      <c r="A1032" s="102" t="s">
        <v>1894</v>
      </c>
      <c r="B1032" s="102" t="s">
        <v>1895</v>
      </c>
      <c r="C1032" s="102" t="s">
        <v>56</v>
      </c>
      <c r="D1032" s="99">
        <f>IF(OR(Clientes[[#This Row],[Columna1]]="Pago inmediato",Clientes[[#This Row],[Columna1]]=""),0,SUBSTITUTE(Clientes[[#This Row],[Columna1]]," días",""))</f>
        <v>0</v>
      </c>
      <c r="E1032" s="34"/>
      <c r="F1032"/>
      <c r="G1032" s="77"/>
      <c r="I1032"/>
      <c r="J1032" s="34"/>
      <c r="K1032"/>
    </row>
    <row r="1033" ht="30" spans="1:11">
      <c r="A1033" s="102" t="s">
        <v>1896</v>
      </c>
      <c r="B1033" s="102" t="s">
        <v>1897</v>
      </c>
      <c r="C1033" s="102" t="s">
        <v>56</v>
      </c>
      <c r="D1033" s="99">
        <f>IF(OR(Clientes[[#This Row],[Columna1]]="Pago inmediato",Clientes[[#This Row],[Columna1]]=""),0,SUBSTITUTE(Clientes[[#This Row],[Columna1]]," días",""))</f>
        <v>0</v>
      </c>
      <c r="E1033" s="34"/>
      <c r="F1033"/>
      <c r="G1033" s="77"/>
      <c r="I1033"/>
      <c r="J1033" s="34"/>
      <c r="K1033"/>
    </row>
    <row r="1034" ht="45" spans="1:11">
      <c r="A1034" s="102" t="s">
        <v>1898</v>
      </c>
      <c r="B1034" s="102" t="s">
        <v>1899</v>
      </c>
      <c r="C1034" s="102" t="s">
        <v>56</v>
      </c>
      <c r="D1034" s="99">
        <f>IF(OR(Clientes[[#This Row],[Columna1]]="Pago inmediato",Clientes[[#This Row],[Columna1]]=""),0,SUBSTITUTE(Clientes[[#This Row],[Columna1]]," días",""))</f>
        <v>0</v>
      </c>
      <c r="E1034" s="34"/>
      <c r="F1034"/>
      <c r="G1034" s="77"/>
      <c r="I1034"/>
      <c r="J1034" s="34"/>
      <c r="K1034"/>
    </row>
    <row r="1035" ht="45" spans="1:11">
      <c r="A1035" s="102" t="s">
        <v>1900</v>
      </c>
      <c r="B1035" s="102" t="s">
        <v>1901</v>
      </c>
      <c r="C1035" s="102" t="s">
        <v>56</v>
      </c>
      <c r="D1035" s="99">
        <f>IF(OR(Clientes[[#This Row],[Columna1]]="Pago inmediato",Clientes[[#This Row],[Columna1]]=""),0,SUBSTITUTE(Clientes[[#This Row],[Columna1]]," días",""))</f>
        <v>0</v>
      </c>
      <c r="E1035" s="34"/>
      <c r="F1035"/>
      <c r="G1035" s="77"/>
      <c r="I1035"/>
      <c r="J1035" s="34"/>
      <c r="K1035"/>
    </row>
    <row r="1036" ht="30" spans="1:11">
      <c r="A1036" s="102" t="s">
        <v>1902</v>
      </c>
      <c r="B1036" s="102" t="s">
        <v>1903</v>
      </c>
      <c r="C1036" s="102" t="s">
        <v>56</v>
      </c>
      <c r="D1036" s="99">
        <f>IF(OR(Clientes[[#This Row],[Columna1]]="Pago inmediato",Clientes[[#This Row],[Columna1]]=""),0,SUBSTITUTE(Clientes[[#This Row],[Columna1]]," días",""))</f>
        <v>0</v>
      </c>
      <c r="E1036" s="34"/>
      <c r="F1036"/>
      <c r="G1036" s="77"/>
      <c r="I1036"/>
      <c r="J1036" s="34"/>
      <c r="K1036"/>
    </row>
    <row r="1037" ht="45" spans="1:11">
      <c r="A1037" s="102" t="s">
        <v>1904</v>
      </c>
      <c r="B1037" s="102" t="s">
        <v>1905</v>
      </c>
      <c r="C1037" s="102" t="s">
        <v>56</v>
      </c>
      <c r="D1037" s="99">
        <f>IF(OR(Clientes[[#This Row],[Columna1]]="Pago inmediato",Clientes[[#This Row],[Columna1]]=""),0,SUBSTITUTE(Clientes[[#This Row],[Columna1]]," días",""))</f>
        <v>0</v>
      </c>
      <c r="E1037" s="34"/>
      <c r="F1037"/>
      <c r="G1037" s="77"/>
      <c r="I1037"/>
      <c r="J1037" s="34"/>
      <c r="K1037"/>
    </row>
    <row r="1038" ht="45" spans="1:11">
      <c r="A1038" s="102" t="s">
        <v>1906</v>
      </c>
      <c r="B1038" s="102" t="s">
        <v>1907</v>
      </c>
      <c r="C1038" s="102" t="s">
        <v>56</v>
      </c>
      <c r="D1038" s="99">
        <f>IF(OR(Clientes[[#This Row],[Columna1]]="Pago inmediato",Clientes[[#This Row],[Columna1]]=""),0,SUBSTITUTE(Clientes[[#This Row],[Columna1]]," días",""))</f>
        <v>0</v>
      </c>
      <c r="E1038" s="34"/>
      <c r="F1038"/>
      <c r="G1038" s="77"/>
      <c r="I1038"/>
      <c r="J1038" s="34"/>
      <c r="K1038"/>
    </row>
    <row r="1039" ht="30" spans="1:11">
      <c r="A1039" s="102" t="s">
        <v>1908</v>
      </c>
      <c r="B1039" s="102" t="s">
        <v>1909</v>
      </c>
      <c r="C1039" s="102" t="s">
        <v>56</v>
      </c>
      <c r="D1039" s="99">
        <f>IF(OR(Clientes[[#This Row],[Columna1]]="Pago inmediato",Clientes[[#This Row],[Columna1]]=""),0,SUBSTITUTE(Clientes[[#This Row],[Columna1]]," días",""))</f>
        <v>0</v>
      </c>
      <c r="E1039" s="34"/>
      <c r="F1039"/>
      <c r="G1039" s="77"/>
      <c r="I1039"/>
      <c r="J1039" s="34"/>
      <c r="K1039"/>
    </row>
    <row r="1040" ht="30" spans="1:11">
      <c r="A1040" s="102" t="s">
        <v>1910</v>
      </c>
      <c r="B1040" s="102" t="s">
        <v>1911</v>
      </c>
      <c r="C1040" s="102" t="s">
        <v>56</v>
      </c>
      <c r="D1040" s="99">
        <f>IF(OR(Clientes[[#This Row],[Columna1]]="Pago inmediato",Clientes[[#This Row],[Columna1]]=""),0,SUBSTITUTE(Clientes[[#This Row],[Columna1]]," días",""))</f>
        <v>0</v>
      </c>
      <c r="E1040" s="34"/>
      <c r="F1040"/>
      <c r="G1040" s="77"/>
      <c r="I1040"/>
      <c r="J1040" s="34"/>
      <c r="K1040"/>
    </row>
    <row r="1041" ht="30" spans="1:11">
      <c r="A1041" s="102" t="s">
        <v>1912</v>
      </c>
      <c r="B1041" s="102" t="s">
        <v>1913</v>
      </c>
      <c r="C1041" s="102" t="s">
        <v>56</v>
      </c>
      <c r="D1041" s="99">
        <f>IF(OR(Clientes[[#This Row],[Columna1]]="Pago inmediato",Clientes[[#This Row],[Columna1]]=""),0,SUBSTITUTE(Clientes[[#This Row],[Columna1]]," días",""))</f>
        <v>0</v>
      </c>
      <c r="E1041" s="34"/>
      <c r="F1041"/>
      <c r="G1041" s="77"/>
      <c r="I1041"/>
      <c r="J1041" s="34"/>
      <c r="K1041"/>
    </row>
    <row r="1042" ht="45" spans="1:11">
      <c r="A1042" s="102" t="s">
        <v>1912</v>
      </c>
      <c r="B1042" s="102" t="s">
        <v>1914</v>
      </c>
      <c r="C1042" s="102" t="s">
        <v>56</v>
      </c>
      <c r="D1042" s="99">
        <f>IF(OR(Clientes[[#This Row],[Columna1]]="Pago inmediato",Clientes[[#This Row],[Columna1]]=""),0,SUBSTITUTE(Clientes[[#This Row],[Columna1]]," días",""))</f>
        <v>0</v>
      </c>
      <c r="E1042" s="34"/>
      <c r="F1042"/>
      <c r="G1042" s="77"/>
      <c r="I1042"/>
      <c r="J1042" s="34"/>
      <c r="K1042"/>
    </row>
    <row r="1043" ht="30" spans="1:11">
      <c r="A1043" s="102" t="s">
        <v>1915</v>
      </c>
      <c r="B1043" s="102" t="s">
        <v>1916</v>
      </c>
      <c r="C1043" s="102" t="s">
        <v>56</v>
      </c>
      <c r="D1043" s="99">
        <f>IF(OR(Clientes[[#This Row],[Columna1]]="Pago inmediato",Clientes[[#This Row],[Columna1]]=""),0,SUBSTITUTE(Clientes[[#This Row],[Columna1]]," días",""))</f>
        <v>0</v>
      </c>
      <c r="E1043" s="34"/>
      <c r="F1043"/>
      <c r="G1043" s="77"/>
      <c r="I1043"/>
      <c r="J1043" s="34"/>
      <c r="K1043"/>
    </row>
    <row r="1044" ht="30" spans="1:11">
      <c r="A1044" s="102" t="s">
        <v>1917</v>
      </c>
      <c r="B1044" s="102" t="s">
        <v>1918</v>
      </c>
      <c r="C1044" s="102" t="s">
        <v>56</v>
      </c>
      <c r="D1044" s="99">
        <f>IF(OR(Clientes[[#This Row],[Columna1]]="Pago inmediato",Clientes[[#This Row],[Columna1]]=""),0,SUBSTITUTE(Clientes[[#This Row],[Columna1]]," días",""))</f>
        <v>0</v>
      </c>
      <c r="E1044" s="34"/>
      <c r="F1044"/>
      <c r="G1044" s="77"/>
      <c r="I1044"/>
      <c r="J1044" s="34"/>
      <c r="K1044"/>
    </row>
    <row r="1045" ht="30" spans="1:11">
      <c r="A1045" s="102" t="s">
        <v>1919</v>
      </c>
      <c r="B1045" s="102" t="s">
        <v>1920</v>
      </c>
      <c r="C1045" s="102" t="s">
        <v>56</v>
      </c>
      <c r="D1045" s="99">
        <f>IF(OR(Clientes[[#This Row],[Columna1]]="Pago inmediato",Clientes[[#This Row],[Columna1]]=""),0,SUBSTITUTE(Clientes[[#This Row],[Columna1]]," días",""))</f>
        <v>0</v>
      </c>
      <c r="E1045" s="34"/>
      <c r="F1045"/>
      <c r="G1045" s="77"/>
      <c r="I1045"/>
      <c r="J1045" s="34"/>
      <c r="K1045"/>
    </row>
    <row r="1046" ht="30" spans="1:11">
      <c r="A1046" s="102" t="s">
        <v>1921</v>
      </c>
      <c r="B1046" s="102" t="s">
        <v>1922</v>
      </c>
      <c r="C1046" s="102" t="s">
        <v>454</v>
      </c>
      <c r="D1046" s="99" t="str">
        <f>IF(OR(Clientes[[#This Row],[Columna1]]="Pago inmediato",Clientes[[#This Row],[Columna1]]=""),0,SUBSTITUTE(Clientes[[#This Row],[Columna1]]," días",""))</f>
        <v>21</v>
      </c>
      <c r="E1046" s="34"/>
      <c r="F1046"/>
      <c r="G1046" s="77"/>
      <c r="I1046"/>
      <c r="J1046" s="34"/>
      <c r="K1046"/>
    </row>
    <row r="1047" ht="45" spans="1:11">
      <c r="A1047" s="102" t="s">
        <v>1923</v>
      </c>
      <c r="B1047" s="102" t="s">
        <v>1924</v>
      </c>
      <c r="C1047" s="102" t="s">
        <v>56</v>
      </c>
      <c r="D1047" s="99">
        <f>IF(OR(Clientes[[#This Row],[Columna1]]="Pago inmediato",Clientes[[#This Row],[Columna1]]=""),0,SUBSTITUTE(Clientes[[#This Row],[Columna1]]," días",""))</f>
        <v>0</v>
      </c>
      <c r="E1047" s="34"/>
      <c r="F1047"/>
      <c r="G1047" s="77"/>
      <c r="I1047"/>
      <c r="J1047" s="34"/>
      <c r="K1047"/>
    </row>
    <row r="1048" ht="30" spans="1:11">
      <c r="A1048" s="102" t="s">
        <v>1925</v>
      </c>
      <c r="B1048" s="102" t="s">
        <v>1926</v>
      </c>
      <c r="C1048" s="102" t="s">
        <v>56</v>
      </c>
      <c r="D1048" s="99">
        <f>IF(OR(Clientes[[#This Row],[Columna1]]="Pago inmediato",Clientes[[#This Row],[Columna1]]=""),0,SUBSTITUTE(Clientes[[#This Row],[Columna1]]," días",""))</f>
        <v>0</v>
      </c>
      <c r="E1048" s="34"/>
      <c r="F1048"/>
      <c r="G1048" s="77"/>
      <c r="I1048"/>
      <c r="J1048" s="34"/>
      <c r="K1048"/>
    </row>
    <row r="1049" ht="45" spans="1:11">
      <c r="A1049" s="102" t="s">
        <v>1927</v>
      </c>
      <c r="B1049" s="102" t="s">
        <v>1928</v>
      </c>
      <c r="C1049" s="102" t="s">
        <v>56</v>
      </c>
      <c r="D1049" s="99">
        <f>IF(OR(Clientes[[#This Row],[Columna1]]="Pago inmediato",Clientes[[#This Row],[Columna1]]=""),0,SUBSTITUTE(Clientes[[#This Row],[Columna1]]," días",""))</f>
        <v>0</v>
      </c>
      <c r="E1049" s="34"/>
      <c r="F1049"/>
      <c r="G1049" s="77"/>
      <c r="I1049"/>
      <c r="J1049" s="34"/>
      <c r="K1049"/>
    </row>
    <row r="1050" ht="30" spans="1:11">
      <c r="A1050" s="102" t="s">
        <v>1929</v>
      </c>
      <c r="B1050" s="102" t="s">
        <v>1930</v>
      </c>
      <c r="C1050" s="102" t="s">
        <v>56</v>
      </c>
      <c r="D1050" s="99">
        <f>IF(OR(Clientes[[#This Row],[Columna1]]="Pago inmediato",Clientes[[#This Row],[Columna1]]=""),0,SUBSTITUTE(Clientes[[#This Row],[Columna1]]," días",""))</f>
        <v>0</v>
      </c>
      <c r="E1050" s="34"/>
      <c r="F1050"/>
      <c r="G1050" s="77"/>
      <c r="I1050"/>
      <c r="J1050" s="34"/>
      <c r="K1050"/>
    </row>
    <row r="1051" ht="45" spans="1:11">
      <c r="A1051" s="102" t="s">
        <v>1929</v>
      </c>
      <c r="B1051" s="102" t="s">
        <v>1931</v>
      </c>
      <c r="C1051" s="102" t="s">
        <v>56</v>
      </c>
      <c r="D1051" s="99">
        <f>IF(OR(Clientes[[#This Row],[Columna1]]="Pago inmediato",Clientes[[#This Row],[Columna1]]=""),0,SUBSTITUTE(Clientes[[#This Row],[Columna1]]," días",""))</f>
        <v>0</v>
      </c>
      <c r="E1051" s="34"/>
      <c r="F1051"/>
      <c r="G1051" s="77"/>
      <c r="I1051"/>
      <c r="J1051" s="34"/>
      <c r="K1051"/>
    </row>
    <row r="1052" ht="30" spans="1:11">
      <c r="A1052" s="102" t="s">
        <v>1932</v>
      </c>
      <c r="B1052" s="102" t="s">
        <v>1933</v>
      </c>
      <c r="C1052" s="102" t="s">
        <v>56</v>
      </c>
      <c r="D1052" s="99">
        <f>IF(OR(Clientes[[#This Row],[Columna1]]="Pago inmediato",Clientes[[#This Row],[Columna1]]=""),0,SUBSTITUTE(Clientes[[#This Row],[Columna1]]," días",""))</f>
        <v>0</v>
      </c>
      <c r="E1052" s="34"/>
      <c r="F1052"/>
      <c r="G1052" s="77"/>
      <c r="I1052"/>
      <c r="J1052" s="34"/>
      <c r="K1052"/>
    </row>
    <row r="1053" ht="30" spans="1:11">
      <c r="A1053" s="102" t="s">
        <v>1934</v>
      </c>
      <c r="B1053" s="102" t="s">
        <v>1935</v>
      </c>
      <c r="C1053" s="102" t="s">
        <v>56</v>
      </c>
      <c r="D1053" s="99">
        <f>IF(OR(Clientes[[#This Row],[Columna1]]="Pago inmediato",Clientes[[#This Row],[Columna1]]=""),0,SUBSTITUTE(Clientes[[#This Row],[Columna1]]," días",""))</f>
        <v>0</v>
      </c>
      <c r="E1053" s="34"/>
      <c r="F1053"/>
      <c r="G1053" s="77"/>
      <c r="I1053"/>
      <c r="J1053" s="34"/>
      <c r="K1053"/>
    </row>
    <row r="1054" ht="30" spans="1:11">
      <c r="A1054" s="102" t="s">
        <v>1936</v>
      </c>
      <c r="B1054" s="102" t="s">
        <v>1937</v>
      </c>
      <c r="C1054" s="102" t="s">
        <v>56</v>
      </c>
      <c r="D1054" s="99">
        <f>IF(OR(Clientes[[#This Row],[Columna1]]="Pago inmediato",Clientes[[#This Row],[Columna1]]=""),0,SUBSTITUTE(Clientes[[#This Row],[Columna1]]," días",""))</f>
        <v>0</v>
      </c>
      <c r="E1054" s="34"/>
      <c r="F1054"/>
      <c r="G1054" s="77"/>
      <c r="I1054"/>
      <c r="J1054" s="34"/>
      <c r="K1054"/>
    </row>
    <row r="1055" ht="45" spans="1:11">
      <c r="A1055" s="102" t="s">
        <v>1938</v>
      </c>
      <c r="B1055" s="102" t="s">
        <v>1939</v>
      </c>
      <c r="C1055" s="102" t="s">
        <v>56</v>
      </c>
      <c r="D1055" s="99">
        <f>IF(OR(Clientes[[#This Row],[Columna1]]="Pago inmediato",Clientes[[#This Row],[Columna1]]=""),0,SUBSTITUTE(Clientes[[#This Row],[Columna1]]," días",""))</f>
        <v>0</v>
      </c>
      <c r="E1055" s="34"/>
      <c r="F1055"/>
      <c r="G1055" s="77"/>
      <c r="I1055"/>
      <c r="J1055" s="34"/>
      <c r="K1055"/>
    </row>
    <row r="1056" ht="30" spans="1:11">
      <c r="A1056" s="102" t="s">
        <v>1940</v>
      </c>
      <c r="B1056" s="102" t="s">
        <v>1941</v>
      </c>
      <c r="C1056" s="102" t="s">
        <v>56</v>
      </c>
      <c r="D1056" s="99">
        <f>IF(OR(Clientes[[#This Row],[Columna1]]="Pago inmediato",Clientes[[#This Row],[Columna1]]=""),0,SUBSTITUTE(Clientes[[#This Row],[Columna1]]," días",""))</f>
        <v>0</v>
      </c>
      <c r="E1056" s="34"/>
      <c r="F1056"/>
      <c r="G1056" s="77"/>
      <c r="I1056"/>
      <c r="J1056" s="34"/>
      <c r="K1056"/>
    </row>
    <row r="1057" ht="30" spans="1:11">
      <c r="A1057" s="102" t="s">
        <v>1942</v>
      </c>
      <c r="B1057" s="102" t="s">
        <v>1943</v>
      </c>
      <c r="C1057" s="102" t="s">
        <v>56</v>
      </c>
      <c r="D1057" s="99">
        <f>IF(OR(Clientes[[#This Row],[Columna1]]="Pago inmediato",Clientes[[#This Row],[Columna1]]=""),0,SUBSTITUTE(Clientes[[#This Row],[Columna1]]," días",""))</f>
        <v>0</v>
      </c>
      <c r="E1057" s="34"/>
      <c r="F1057"/>
      <c r="G1057" s="77"/>
      <c r="I1057"/>
      <c r="J1057" s="34"/>
      <c r="K1057"/>
    </row>
    <row r="1058" ht="45" spans="1:11">
      <c r="A1058" s="102" t="s">
        <v>1944</v>
      </c>
      <c r="B1058" s="102" t="s">
        <v>1945</v>
      </c>
      <c r="C1058" s="102" t="s">
        <v>56</v>
      </c>
      <c r="D1058" s="99">
        <f>IF(OR(Clientes[[#This Row],[Columna1]]="Pago inmediato",Clientes[[#This Row],[Columna1]]=""),0,SUBSTITUTE(Clientes[[#This Row],[Columna1]]," días",""))</f>
        <v>0</v>
      </c>
      <c r="E1058" s="34"/>
      <c r="F1058"/>
      <c r="G1058" s="77"/>
      <c r="I1058"/>
      <c r="J1058" s="34"/>
      <c r="K1058"/>
    </row>
    <row r="1059" ht="30" spans="1:11">
      <c r="A1059" s="102" t="s">
        <v>1946</v>
      </c>
      <c r="B1059" s="102" t="s">
        <v>1947</v>
      </c>
      <c r="C1059" s="102" t="s">
        <v>56</v>
      </c>
      <c r="D1059" s="99">
        <f>IF(OR(Clientes[[#This Row],[Columna1]]="Pago inmediato",Clientes[[#This Row],[Columna1]]=""),0,SUBSTITUTE(Clientes[[#This Row],[Columna1]]," días",""))</f>
        <v>0</v>
      </c>
      <c r="E1059" s="34"/>
      <c r="F1059"/>
      <c r="G1059" s="77"/>
      <c r="I1059"/>
      <c r="J1059" s="34"/>
      <c r="K1059"/>
    </row>
    <row r="1060" ht="30" spans="1:11">
      <c r="A1060" s="102" t="s">
        <v>1948</v>
      </c>
      <c r="B1060" s="102" t="s">
        <v>1949</v>
      </c>
      <c r="C1060" s="102" t="s">
        <v>56</v>
      </c>
      <c r="D1060" s="99">
        <f>IF(OR(Clientes[[#This Row],[Columna1]]="Pago inmediato",Clientes[[#This Row],[Columna1]]=""),0,SUBSTITUTE(Clientes[[#This Row],[Columna1]]," días",""))</f>
        <v>0</v>
      </c>
      <c r="E1060" s="34"/>
      <c r="F1060"/>
      <c r="G1060" s="77"/>
      <c r="I1060"/>
      <c r="J1060" s="34"/>
      <c r="K1060"/>
    </row>
    <row r="1061" ht="30" spans="1:11">
      <c r="A1061" s="102" t="s">
        <v>1950</v>
      </c>
      <c r="B1061" s="102" t="s">
        <v>1951</v>
      </c>
      <c r="C1061" s="102" t="s">
        <v>56</v>
      </c>
      <c r="D1061" s="99">
        <f>IF(OR(Clientes[[#This Row],[Columna1]]="Pago inmediato",Clientes[[#This Row],[Columna1]]=""),0,SUBSTITUTE(Clientes[[#This Row],[Columna1]]," días",""))</f>
        <v>0</v>
      </c>
      <c r="E1061" s="34"/>
      <c r="F1061"/>
      <c r="G1061" s="77"/>
      <c r="I1061"/>
      <c r="J1061" s="34"/>
      <c r="K1061"/>
    </row>
    <row r="1062" ht="30" spans="1:11">
      <c r="A1062" s="102" t="s">
        <v>1952</v>
      </c>
      <c r="B1062" s="102" t="s">
        <v>1953</v>
      </c>
      <c r="C1062" s="102" t="s">
        <v>56</v>
      </c>
      <c r="D1062" s="99">
        <f>IF(OR(Clientes[[#This Row],[Columna1]]="Pago inmediato",Clientes[[#This Row],[Columna1]]=""),0,SUBSTITUTE(Clientes[[#This Row],[Columna1]]," días",""))</f>
        <v>0</v>
      </c>
      <c r="E1062" s="34"/>
      <c r="F1062"/>
      <c r="G1062" s="77"/>
      <c r="I1062"/>
      <c r="J1062" s="34"/>
      <c r="K1062"/>
    </row>
    <row r="1063" ht="30" spans="1:11">
      <c r="A1063" s="102" t="s">
        <v>1954</v>
      </c>
      <c r="B1063" s="102" t="s">
        <v>1955</v>
      </c>
      <c r="C1063" s="102" t="s">
        <v>486</v>
      </c>
      <c r="D1063" s="99" t="s">
        <v>1956</v>
      </c>
      <c r="E1063" s="34"/>
      <c r="F1063"/>
      <c r="G1063" s="77"/>
      <c r="I1063"/>
      <c r="J1063" s="34"/>
      <c r="K1063"/>
    </row>
    <row r="1064" ht="30" spans="1:11">
      <c r="A1064" s="102" t="s">
        <v>1957</v>
      </c>
      <c r="B1064" s="102" t="s">
        <v>1958</v>
      </c>
      <c r="C1064" s="102" t="s">
        <v>56</v>
      </c>
      <c r="D1064" s="99">
        <f>IF(OR(Clientes[[#This Row],[Columna1]]="Pago inmediato",Clientes[[#This Row],[Columna1]]=""),0,SUBSTITUTE(Clientes[[#This Row],[Columna1]]," días",""))</f>
        <v>0</v>
      </c>
      <c r="E1064" s="34"/>
      <c r="F1064"/>
      <c r="G1064" s="77"/>
      <c r="I1064"/>
      <c r="J1064" s="34"/>
      <c r="K1064"/>
    </row>
    <row r="1065" ht="30" spans="1:11">
      <c r="A1065" s="102" t="s">
        <v>1959</v>
      </c>
      <c r="B1065" s="102" t="s">
        <v>1960</v>
      </c>
      <c r="C1065" s="102" t="s">
        <v>56</v>
      </c>
      <c r="D1065" s="99">
        <f>IF(OR(Clientes[[#This Row],[Columna1]]="Pago inmediato",Clientes[[#This Row],[Columna1]]=""),0,SUBSTITUTE(Clientes[[#This Row],[Columna1]]," días",""))</f>
        <v>0</v>
      </c>
      <c r="E1065" s="34"/>
      <c r="F1065"/>
      <c r="G1065" s="77"/>
      <c r="I1065"/>
      <c r="J1065" s="34"/>
      <c r="K1065"/>
    </row>
    <row r="1066" ht="30" spans="1:11">
      <c r="A1066" s="102" t="s">
        <v>1961</v>
      </c>
      <c r="B1066" s="102" t="s">
        <v>1962</v>
      </c>
      <c r="C1066" s="102" t="s">
        <v>56</v>
      </c>
      <c r="D1066" s="99">
        <f>IF(OR(Clientes[[#This Row],[Columna1]]="Pago inmediato",Clientes[[#This Row],[Columna1]]=""),0,SUBSTITUTE(Clientes[[#This Row],[Columna1]]," días",""))</f>
        <v>0</v>
      </c>
      <c r="E1066" s="34"/>
      <c r="F1066"/>
      <c r="G1066" s="77"/>
      <c r="I1066"/>
      <c r="J1066" s="34"/>
      <c r="K1066"/>
    </row>
    <row r="1067" ht="30" spans="1:11">
      <c r="A1067" s="102" t="s">
        <v>1963</v>
      </c>
      <c r="B1067" s="102" t="s">
        <v>1964</v>
      </c>
      <c r="C1067" s="102" t="s">
        <v>56</v>
      </c>
      <c r="D1067" s="99">
        <f>IF(OR(Clientes[[#This Row],[Columna1]]="Pago inmediato",Clientes[[#This Row],[Columna1]]=""),0,SUBSTITUTE(Clientes[[#This Row],[Columna1]]," días",""))</f>
        <v>0</v>
      </c>
      <c r="E1067" s="34"/>
      <c r="F1067"/>
      <c r="G1067" s="77"/>
      <c r="I1067"/>
      <c r="J1067" s="34"/>
      <c r="K1067"/>
    </row>
    <row r="1068" ht="30" spans="1:11">
      <c r="A1068" s="102" t="s">
        <v>1965</v>
      </c>
      <c r="B1068" s="102" t="s">
        <v>1966</v>
      </c>
      <c r="C1068" s="102" t="s">
        <v>56</v>
      </c>
      <c r="D1068" s="99">
        <f>IF(OR(Clientes[[#This Row],[Columna1]]="Pago inmediato",Clientes[[#This Row],[Columna1]]=""),0,SUBSTITUTE(Clientes[[#This Row],[Columna1]]," días",""))</f>
        <v>0</v>
      </c>
      <c r="E1068" s="34"/>
      <c r="F1068"/>
      <c r="G1068" s="77"/>
      <c r="I1068"/>
      <c r="J1068" s="34"/>
      <c r="K1068"/>
    </row>
    <row r="1069" ht="30" spans="1:11">
      <c r="A1069" s="102" t="s">
        <v>1967</v>
      </c>
      <c r="B1069" s="102" t="s">
        <v>1968</v>
      </c>
      <c r="C1069" s="102" t="s">
        <v>56</v>
      </c>
      <c r="D1069" s="99">
        <f>IF(OR(Clientes[[#This Row],[Columna1]]="Pago inmediato",Clientes[[#This Row],[Columna1]]=""),0,SUBSTITUTE(Clientes[[#This Row],[Columna1]]," días",""))</f>
        <v>0</v>
      </c>
      <c r="E1069" s="34"/>
      <c r="F1069"/>
      <c r="G1069" s="77"/>
      <c r="I1069"/>
      <c r="J1069" s="34"/>
      <c r="K1069"/>
    </row>
    <row r="1070" ht="30" spans="1:11">
      <c r="A1070" s="102" t="s">
        <v>1969</v>
      </c>
      <c r="B1070" s="102" t="s">
        <v>1970</v>
      </c>
      <c r="C1070" s="102" t="s">
        <v>56</v>
      </c>
      <c r="D1070" s="99">
        <f>IF(OR(Clientes[[#This Row],[Columna1]]="Pago inmediato",Clientes[[#This Row],[Columna1]]=""),0,SUBSTITUTE(Clientes[[#This Row],[Columna1]]," días",""))</f>
        <v>0</v>
      </c>
      <c r="E1070" s="34"/>
      <c r="F1070"/>
      <c r="G1070" s="77"/>
      <c r="I1070"/>
      <c r="J1070" s="34"/>
      <c r="K1070"/>
    </row>
    <row r="1071" ht="30" spans="1:11">
      <c r="A1071" s="102" t="s">
        <v>1971</v>
      </c>
      <c r="B1071" s="102" t="s">
        <v>1972</v>
      </c>
      <c r="C1071" s="102" t="s">
        <v>56</v>
      </c>
      <c r="D1071" s="99">
        <f>IF(OR(Clientes[[#This Row],[Columna1]]="Pago inmediato",Clientes[[#This Row],[Columna1]]=""),0,SUBSTITUTE(Clientes[[#This Row],[Columna1]]," días",""))</f>
        <v>0</v>
      </c>
      <c r="E1071" s="34"/>
      <c r="F1071"/>
      <c r="G1071" s="77"/>
      <c r="I1071"/>
      <c r="J1071" s="34"/>
      <c r="K1071"/>
    </row>
    <row r="1072" ht="30" spans="1:11">
      <c r="A1072" s="102" t="s">
        <v>1973</v>
      </c>
      <c r="B1072" s="102" t="s">
        <v>1974</v>
      </c>
      <c r="C1072" s="102" t="s">
        <v>56</v>
      </c>
      <c r="D1072" s="99">
        <f>IF(OR(Clientes[[#This Row],[Columna1]]="Pago inmediato",Clientes[[#This Row],[Columna1]]=""),0,SUBSTITUTE(Clientes[[#This Row],[Columna1]]," días",""))</f>
        <v>0</v>
      </c>
      <c r="E1072" s="34"/>
      <c r="F1072"/>
      <c r="G1072" s="77"/>
      <c r="I1072"/>
      <c r="J1072" s="34"/>
      <c r="K1072"/>
    </row>
    <row r="1073" ht="30" spans="1:11">
      <c r="A1073" s="102" t="s">
        <v>1975</v>
      </c>
      <c r="B1073" s="102" t="s">
        <v>1976</v>
      </c>
      <c r="C1073" s="102" t="s">
        <v>56</v>
      </c>
      <c r="D1073" s="99">
        <f>IF(OR(Clientes[[#This Row],[Columna1]]="Pago inmediato",Clientes[[#This Row],[Columna1]]=""),0,SUBSTITUTE(Clientes[[#This Row],[Columna1]]," días",""))</f>
        <v>0</v>
      </c>
      <c r="E1073" s="34"/>
      <c r="F1073"/>
      <c r="G1073" s="77"/>
      <c r="I1073"/>
      <c r="J1073" s="34"/>
      <c r="K1073"/>
    </row>
    <row r="1074" ht="45" spans="1:11">
      <c r="A1074" s="102" t="s">
        <v>1977</v>
      </c>
      <c r="B1074" s="102" t="s">
        <v>1978</v>
      </c>
      <c r="C1074" s="102" t="s">
        <v>56</v>
      </c>
      <c r="D1074" s="99">
        <f>IF(OR(Clientes[[#This Row],[Columna1]]="Pago inmediato",Clientes[[#This Row],[Columna1]]=""),0,SUBSTITUTE(Clientes[[#This Row],[Columna1]]," días",""))</f>
        <v>0</v>
      </c>
      <c r="E1074" s="34"/>
      <c r="F1074"/>
      <c r="G1074" s="77"/>
      <c r="I1074"/>
      <c r="J1074" s="34"/>
      <c r="K1074"/>
    </row>
    <row r="1075" ht="45" spans="1:11">
      <c r="A1075" s="102" t="s">
        <v>1977</v>
      </c>
      <c r="B1075" s="102" t="s">
        <v>1979</v>
      </c>
      <c r="C1075" s="102" t="s">
        <v>56</v>
      </c>
      <c r="D1075" s="99">
        <f>IF(OR(Clientes[[#This Row],[Columna1]]="Pago inmediato",Clientes[[#This Row],[Columna1]]=""),0,SUBSTITUTE(Clientes[[#This Row],[Columna1]]," días",""))</f>
        <v>0</v>
      </c>
      <c r="E1075" s="34"/>
      <c r="F1075"/>
      <c r="G1075" s="77"/>
      <c r="I1075"/>
      <c r="J1075" s="34"/>
      <c r="K1075"/>
    </row>
    <row r="1076" ht="30" spans="1:11">
      <c r="A1076" s="102" t="s">
        <v>1980</v>
      </c>
      <c r="B1076" s="102" t="s">
        <v>1981</v>
      </c>
      <c r="C1076" s="102" t="s">
        <v>56</v>
      </c>
      <c r="D1076" s="99">
        <f>IF(OR(Clientes[[#This Row],[Columna1]]="Pago inmediato",Clientes[[#This Row],[Columna1]]=""),0,SUBSTITUTE(Clientes[[#This Row],[Columna1]]," días",""))</f>
        <v>0</v>
      </c>
      <c r="E1076" s="34"/>
      <c r="F1076"/>
      <c r="G1076" s="77"/>
      <c r="I1076"/>
      <c r="J1076" s="34"/>
      <c r="K1076"/>
    </row>
    <row r="1077" ht="30" spans="1:11">
      <c r="A1077" s="102" t="s">
        <v>1982</v>
      </c>
      <c r="B1077" s="102" t="s">
        <v>1983</v>
      </c>
      <c r="C1077" s="102" t="s">
        <v>56</v>
      </c>
      <c r="D1077" s="99">
        <f>IF(OR(Clientes[[#This Row],[Columna1]]="Pago inmediato",Clientes[[#This Row],[Columna1]]=""),0,SUBSTITUTE(Clientes[[#This Row],[Columna1]]," días",""))</f>
        <v>0</v>
      </c>
      <c r="E1077" s="34"/>
      <c r="F1077"/>
      <c r="G1077" s="77"/>
      <c r="I1077"/>
      <c r="J1077" s="34"/>
      <c r="K1077"/>
    </row>
    <row r="1078" ht="45" spans="1:11">
      <c r="A1078" s="102" t="s">
        <v>1984</v>
      </c>
      <c r="B1078" s="102" t="s">
        <v>1985</v>
      </c>
      <c r="C1078" s="102" t="s">
        <v>61</v>
      </c>
      <c r="D1078" s="99" t="str">
        <f>IF(OR(Clientes[[#This Row],[Columna1]]="Pago inmediato",Clientes[[#This Row],[Columna1]]=""),0,SUBSTITUTE(Clientes[[#This Row],[Columna1]]," días",""))</f>
        <v>15</v>
      </c>
      <c r="E1078" s="34"/>
      <c r="F1078"/>
      <c r="G1078" s="77"/>
      <c r="I1078"/>
      <c r="J1078" s="34"/>
      <c r="K1078"/>
    </row>
    <row r="1079" ht="45" spans="1:11">
      <c r="A1079" s="102" t="s">
        <v>1984</v>
      </c>
      <c r="B1079" s="102" t="s">
        <v>1986</v>
      </c>
      <c r="C1079" s="102" t="s">
        <v>61</v>
      </c>
      <c r="D1079" s="99" t="str">
        <f>IF(OR(Clientes[[#This Row],[Columna1]]="Pago inmediato",Clientes[[#This Row],[Columna1]]=""),0,SUBSTITUTE(Clientes[[#This Row],[Columna1]]," días",""))</f>
        <v>15</v>
      </c>
      <c r="E1079" s="34"/>
      <c r="F1079"/>
      <c r="G1079" s="77"/>
      <c r="I1079"/>
      <c r="J1079" s="34"/>
      <c r="K1079"/>
    </row>
    <row r="1080" ht="45" spans="1:11">
      <c r="A1080" s="102" t="s">
        <v>1987</v>
      </c>
      <c r="B1080" s="102" t="s">
        <v>1988</v>
      </c>
      <c r="C1080" s="102" t="s">
        <v>56</v>
      </c>
      <c r="D1080" s="99">
        <f>IF(OR(Clientes[[#This Row],[Columna1]]="Pago inmediato",Clientes[[#This Row],[Columna1]]=""),0,SUBSTITUTE(Clientes[[#This Row],[Columna1]]," días",""))</f>
        <v>0</v>
      </c>
      <c r="E1080" s="34"/>
      <c r="F1080"/>
      <c r="G1080" s="77"/>
      <c r="I1080"/>
      <c r="J1080" s="34"/>
      <c r="K1080"/>
    </row>
    <row r="1081" ht="30" spans="1:11">
      <c r="A1081" s="102" t="s">
        <v>1989</v>
      </c>
      <c r="B1081" s="102" t="s">
        <v>1990</v>
      </c>
      <c r="C1081" s="102" t="s">
        <v>56</v>
      </c>
      <c r="D1081" s="99">
        <f>IF(OR(Clientes[[#This Row],[Columna1]]="Pago inmediato",Clientes[[#This Row],[Columna1]]=""),0,SUBSTITUTE(Clientes[[#This Row],[Columna1]]," días",""))</f>
        <v>0</v>
      </c>
      <c r="E1081" s="34"/>
      <c r="F1081"/>
      <c r="G1081" s="77"/>
      <c r="I1081"/>
      <c r="J1081" s="34"/>
      <c r="K1081"/>
    </row>
    <row r="1082" ht="30" spans="1:11">
      <c r="A1082" s="102" t="s">
        <v>1991</v>
      </c>
      <c r="B1082" s="102" t="s">
        <v>1992</v>
      </c>
      <c r="C1082" s="102" t="s">
        <v>56</v>
      </c>
      <c r="D1082" s="99">
        <f>IF(OR(Clientes[[#This Row],[Columna1]]="Pago inmediato",Clientes[[#This Row],[Columna1]]=""),0,SUBSTITUTE(Clientes[[#This Row],[Columna1]]," días",""))</f>
        <v>0</v>
      </c>
      <c r="E1082" s="34"/>
      <c r="F1082"/>
      <c r="G1082" s="77"/>
      <c r="I1082"/>
      <c r="J1082" s="34"/>
      <c r="K1082"/>
    </row>
    <row r="1083" ht="60" spans="1:11">
      <c r="A1083" s="102" t="s">
        <v>1991</v>
      </c>
      <c r="B1083" s="102" t="s">
        <v>1993</v>
      </c>
      <c r="C1083" s="102" t="s">
        <v>56</v>
      </c>
      <c r="D1083" s="99">
        <f>IF(OR(Clientes[[#This Row],[Columna1]]="Pago inmediato",Clientes[[#This Row],[Columna1]]=""),0,SUBSTITUTE(Clientes[[#This Row],[Columna1]]," días",""))</f>
        <v>0</v>
      </c>
      <c r="E1083" s="34"/>
      <c r="F1083"/>
      <c r="G1083" s="77"/>
      <c r="I1083"/>
      <c r="J1083" s="34"/>
      <c r="K1083"/>
    </row>
    <row r="1084" ht="30" spans="1:11">
      <c r="A1084" s="102" t="s">
        <v>1994</v>
      </c>
      <c r="B1084" s="102" t="s">
        <v>1995</v>
      </c>
      <c r="C1084" s="102" t="s">
        <v>56</v>
      </c>
      <c r="D1084" s="99">
        <f>IF(OR(Clientes[[#This Row],[Columna1]]="Pago inmediato",Clientes[[#This Row],[Columna1]]=""),0,SUBSTITUTE(Clientes[[#This Row],[Columna1]]," días",""))</f>
        <v>0</v>
      </c>
      <c r="E1084" s="34"/>
      <c r="F1084"/>
      <c r="G1084" s="77"/>
      <c r="I1084"/>
      <c r="J1084" s="34"/>
      <c r="K1084"/>
    </row>
    <row r="1085" ht="30" spans="1:11">
      <c r="A1085" s="102" t="s">
        <v>1996</v>
      </c>
      <c r="B1085" s="102" t="s">
        <v>1997</v>
      </c>
      <c r="C1085" s="102" t="s">
        <v>56</v>
      </c>
      <c r="D1085" s="99">
        <f>IF(OR(Clientes[[#This Row],[Columna1]]="Pago inmediato",Clientes[[#This Row],[Columna1]]=""),0,SUBSTITUTE(Clientes[[#This Row],[Columna1]]," días",""))</f>
        <v>0</v>
      </c>
      <c r="E1085" s="34"/>
      <c r="F1085"/>
      <c r="G1085" s="77"/>
      <c r="I1085"/>
      <c r="J1085" s="34"/>
      <c r="K1085"/>
    </row>
    <row r="1086" ht="30" spans="1:11">
      <c r="A1086" s="102" t="s">
        <v>1998</v>
      </c>
      <c r="B1086" s="102" t="s">
        <v>1999</v>
      </c>
      <c r="C1086" s="102" t="s">
        <v>56</v>
      </c>
      <c r="D1086" s="99">
        <f>IF(OR(Clientes[[#This Row],[Columna1]]="Pago inmediato",Clientes[[#This Row],[Columna1]]=""),0,SUBSTITUTE(Clientes[[#This Row],[Columna1]]," días",""))</f>
        <v>0</v>
      </c>
      <c r="E1086" s="34"/>
      <c r="F1086"/>
      <c r="G1086" s="77"/>
      <c r="I1086"/>
      <c r="J1086" s="34"/>
      <c r="K1086"/>
    </row>
    <row r="1087" ht="30" spans="1:11">
      <c r="A1087" s="102" t="s">
        <v>2000</v>
      </c>
      <c r="B1087" s="102" t="s">
        <v>2001</v>
      </c>
      <c r="C1087" s="102" t="s">
        <v>56</v>
      </c>
      <c r="D1087" s="99">
        <f>IF(OR(Clientes[[#This Row],[Columna1]]="Pago inmediato",Clientes[[#This Row],[Columna1]]=""),0,SUBSTITUTE(Clientes[[#This Row],[Columna1]]," días",""))</f>
        <v>0</v>
      </c>
      <c r="E1087" s="34"/>
      <c r="F1087"/>
      <c r="G1087" s="77"/>
      <c r="I1087"/>
      <c r="J1087" s="34"/>
      <c r="K1087"/>
    </row>
    <row r="1088" ht="30" spans="1:11">
      <c r="A1088" s="102" t="s">
        <v>2002</v>
      </c>
      <c r="B1088" s="102" t="s">
        <v>2003</v>
      </c>
      <c r="C1088" s="102" t="s">
        <v>56</v>
      </c>
      <c r="D1088" s="99">
        <f>IF(OR(Clientes[[#This Row],[Columna1]]="Pago inmediato",Clientes[[#This Row],[Columna1]]=""),0,SUBSTITUTE(Clientes[[#This Row],[Columna1]]," días",""))</f>
        <v>0</v>
      </c>
      <c r="E1088" s="34"/>
      <c r="F1088"/>
      <c r="G1088" s="77"/>
      <c r="I1088"/>
      <c r="J1088" s="34"/>
      <c r="K1088"/>
    </row>
    <row r="1089" ht="45" spans="1:11">
      <c r="A1089" s="102" t="s">
        <v>2004</v>
      </c>
      <c r="B1089" s="102" t="s">
        <v>2005</v>
      </c>
      <c r="C1089" s="102" t="s">
        <v>56</v>
      </c>
      <c r="D1089" s="99">
        <f>IF(OR(Clientes[[#This Row],[Columna1]]="Pago inmediato",Clientes[[#This Row],[Columna1]]=""),0,SUBSTITUTE(Clientes[[#This Row],[Columna1]]," días",""))</f>
        <v>0</v>
      </c>
      <c r="E1089" s="34"/>
      <c r="F1089"/>
      <c r="G1089" s="77"/>
      <c r="I1089"/>
      <c r="J1089" s="34"/>
      <c r="K1089"/>
    </row>
    <row r="1090" ht="45" spans="1:11">
      <c r="A1090" s="102" t="s">
        <v>2006</v>
      </c>
      <c r="B1090" s="102" t="s">
        <v>2007</v>
      </c>
      <c r="C1090" s="102" t="s">
        <v>54</v>
      </c>
      <c r="D1090" s="99" t="str">
        <f>IF(OR(Clientes[[#This Row],[Columna1]]="Pago inmediato",Clientes[[#This Row],[Columna1]]=""),0,SUBSTITUTE(Clientes[[#This Row],[Columna1]]," días",""))</f>
        <v>7</v>
      </c>
      <c r="E1090" s="34"/>
      <c r="F1090"/>
      <c r="G1090" s="77"/>
      <c r="I1090"/>
      <c r="J1090" s="34"/>
      <c r="K1090"/>
    </row>
    <row r="1091" ht="30" spans="1:11">
      <c r="A1091" s="102" t="s">
        <v>2008</v>
      </c>
      <c r="B1091" s="102" t="s">
        <v>2009</v>
      </c>
      <c r="C1091" s="102" t="s">
        <v>56</v>
      </c>
      <c r="D1091" s="99">
        <f>IF(OR(Clientes[[#This Row],[Columna1]]="Pago inmediato",Clientes[[#This Row],[Columna1]]=""),0,SUBSTITUTE(Clientes[[#This Row],[Columna1]]," días",""))</f>
        <v>0</v>
      </c>
      <c r="E1091" s="34"/>
      <c r="F1091"/>
      <c r="G1091" s="77"/>
      <c r="I1091"/>
      <c r="J1091" s="34"/>
      <c r="K1091"/>
    </row>
    <row r="1092" ht="30" spans="1:11">
      <c r="A1092" s="102" t="s">
        <v>2010</v>
      </c>
      <c r="B1092" s="102" t="s">
        <v>2011</v>
      </c>
      <c r="C1092" s="102" t="s">
        <v>56</v>
      </c>
      <c r="D1092" s="99">
        <f>IF(OR(Clientes[[#This Row],[Columna1]]="Pago inmediato",Clientes[[#This Row],[Columna1]]=""),0,SUBSTITUTE(Clientes[[#This Row],[Columna1]]," días",""))</f>
        <v>0</v>
      </c>
      <c r="E1092" s="34"/>
      <c r="F1092"/>
      <c r="G1092" s="77"/>
      <c r="I1092"/>
      <c r="J1092" s="34"/>
      <c r="K1092"/>
    </row>
    <row r="1093" ht="30" spans="1:11">
      <c r="A1093" s="102" t="s">
        <v>2012</v>
      </c>
      <c r="B1093" s="102" t="s">
        <v>2013</v>
      </c>
      <c r="C1093" s="102" t="s">
        <v>56</v>
      </c>
      <c r="D1093" s="99">
        <f>IF(OR(Clientes[[#This Row],[Columna1]]="Pago inmediato",Clientes[[#This Row],[Columna1]]=""),0,SUBSTITUTE(Clientes[[#This Row],[Columna1]]," días",""))</f>
        <v>0</v>
      </c>
      <c r="E1093" s="34"/>
      <c r="F1093"/>
      <c r="G1093" s="77"/>
      <c r="I1093"/>
      <c r="J1093" s="34"/>
      <c r="K1093"/>
    </row>
    <row r="1094" ht="30" spans="1:11">
      <c r="A1094" s="102" t="s">
        <v>2014</v>
      </c>
      <c r="B1094" s="102" t="s">
        <v>2015</v>
      </c>
      <c r="C1094" s="102" t="s">
        <v>56</v>
      </c>
      <c r="D1094" s="99">
        <f>IF(OR(Clientes[[#This Row],[Columna1]]="Pago inmediato",Clientes[[#This Row],[Columna1]]=""),0,SUBSTITUTE(Clientes[[#This Row],[Columna1]]," días",""))</f>
        <v>0</v>
      </c>
      <c r="E1094" s="34"/>
      <c r="F1094"/>
      <c r="G1094" s="77"/>
      <c r="I1094"/>
      <c r="J1094" s="34"/>
      <c r="K1094"/>
    </row>
    <row r="1095" ht="30" spans="1:11">
      <c r="A1095" s="102" t="s">
        <v>2016</v>
      </c>
      <c r="B1095" s="102" t="s">
        <v>2017</v>
      </c>
      <c r="C1095" s="102" t="s">
        <v>56</v>
      </c>
      <c r="D1095" s="99">
        <f>IF(OR(Clientes[[#This Row],[Columna1]]="Pago inmediato",Clientes[[#This Row],[Columna1]]=""),0,SUBSTITUTE(Clientes[[#This Row],[Columna1]]," días",""))</f>
        <v>0</v>
      </c>
      <c r="E1095" s="34"/>
      <c r="F1095"/>
      <c r="G1095" s="77"/>
      <c r="I1095"/>
      <c r="J1095" s="34"/>
      <c r="K1095"/>
    </row>
    <row r="1096" ht="45" spans="1:11">
      <c r="A1096" s="102" t="s">
        <v>2016</v>
      </c>
      <c r="B1096" s="102" t="s">
        <v>2018</v>
      </c>
      <c r="C1096" s="102" t="s">
        <v>56</v>
      </c>
      <c r="D1096" s="99">
        <f>IF(OR(Clientes[[#This Row],[Columna1]]="Pago inmediato",Clientes[[#This Row],[Columna1]]=""),0,SUBSTITUTE(Clientes[[#This Row],[Columna1]]," días",""))</f>
        <v>0</v>
      </c>
      <c r="E1096" s="34"/>
      <c r="F1096"/>
      <c r="G1096" s="77"/>
      <c r="I1096"/>
      <c r="J1096" s="34"/>
      <c r="K1096"/>
    </row>
    <row r="1097" ht="45" spans="1:11">
      <c r="A1097" s="102" t="s">
        <v>2019</v>
      </c>
      <c r="B1097" s="102" t="s">
        <v>2020</v>
      </c>
      <c r="C1097" s="102" t="s">
        <v>56</v>
      </c>
      <c r="D1097" s="99">
        <f>IF(OR(Clientes[[#This Row],[Columna1]]="Pago inmediato",Clientes[[#This Row],[Columna1]]=""),0,SUBSTITUTE(Clientes[[#This Row],[Columna1]]," días",""))</f>
        <v>0</v>
      </c>
      <c r="E1097" s="34"/>
      <c r="F1097"/>
      <c r="G1097" s="77"/>
      <c r="I1097"/>
      <c r="J1097" s="34"/>
      <c r="K1097"/>
    </row>
    <row r="1098" ht="30" spans="1:11">
      <c r="A1098" s="102" t="s">
        <v>2021</v>
      </c>
      <c r="B1098" s="102" t="s">
        <v>2022</v>
      </c>
      <c r="C1098" s="102" t="s">
        <v>56</v>
      </c>
      <c r="D1098" s="99">
        <f>IF(OR(Clientes[[#This Row],[Columna1]]="Pago inmediato",Clientes[[#This Row],[Columna1]]=""),0,SUBSTITUTE(Clientes[[#This Row],[Columna1]]," días",""))</f>
        <v>0</v>
      </c>
      <c r="E1098" s="34"/>
      <c r="F1098"/>
      <c r="G1098" s="77"/>
      <c r="I1098"/>
      <c r="J1098" s="34"/>
      <c r="K1098"/>
    </row>
    <row r="1099" ht="45" spans="1:11">
      <c r="A1099" s="102" t="s">
        <v>2023</v>
      </c>
      <c r="B1099" s="102" t="s">
        <v>2024</v>
      </c>
      <c r="C1099" s="102" t="s">
        <v>56</v>
      </c>
      <c r="D1099" s="99">
        <f>IF(OR(Clientes[[#This Row],[Columna1]]="Pago inmediato",Clientes[[#This Row],[Columna1]]=""),0,SUBSTITUTE(Clientes[[#This Row],[Columna1]]," días",""))</f>
        <v>0</v>
      </c>
      <c r="E1099" s="34"/>
      <c r="F1099"/>
      <c r="G1099" s="77"/>
      <c r="I1099"/>
      <c r="J1099" s="34"/>
      <c r="K1099"/>
    </row>
    <row r="1100" ht="45" spans="1:11">
      <c r="A1100" s="102" t="s">
        <v>2025</v>
      </c>
      <c r="B1100" s="102" t="s">
        <v>2026</v>
      </c>
      <c r="C1100" s="102" t="s">
        <v>56</v>
      </c>
      <c r="D1100" s="99">
        <f>IF(OR(Clientes[[#This Row],[Columna1]]="Pago inmediato",Clientes[[#This Row],[Columna1]]=""),0,SUBSTITUTE(Clientes[[#This Row],[Columna1]]," días",""))</f>
        <v>0</v>
      </c>
      <c r="E1100" s="34"/>
      <c r="F1100"/>
      <c r="G1100" s="77"/>
      <c r="I1100"/>
      <c r="J1100" s="34"/>
      <c r="K1100"/>
    </row>
    <row r="1101" ht="30" spans="1:11">
      <c r="A1101" s="102" t="s">
        <v>2027</v>
      </c>
      <c r="B1101" s="102" t="s">
        <v>2028</v>
      </c>
      <c r="C1101" s="102" t="s">
        <v>54</v>
      </c>
      <c r="D1101" s="99" t="str">
        <f>IF(OR(Clientes[[#This Row],[Columna1]]="Pago inmediato",Clientes[[#This Row],[Columna1]]=""),0,SUBSTITUTE(Clientes[[#This Row],[Columna1]]," días",""))</f>
        <v>7</v>
      </c>
      <c r="E1101" s="34"/>
      <c r="F1101"/>
      <c r="G1101" s="77"/>
      <c r="I1101"/>
      <c r="J1101" s="34"/>
      <c r="K1101"/>
    </row>
    <row r="1102" ht="30" spans="1:11">
      <c r="A1102" s="102" t="s">
        <v>2029</v>
      </c>
      <c r="B1102" s="102" t="s">
        <v>2030</v>
      </c>
      <c r="C1102" s="102" t="s">
        <v>56</v>
      </c>
      <c r="D1102" s="99">
        <f>IF(OR(Clientes[[#This Row],[Columna1]]="Pago inmediato",Clientes[[#This Row],[Columna1]]=""),0,SUBSTITUTE(Clientes[[#This Row],[Columna1]]," días",""))</f>
        <v>0</v>
      </c>
      <c r="E1102" s="34"/>
      <c r="F1102"/>
      <c r="G1102" s="77"/>
      <c r="I1102"/>
      <c r="J1102" s="34"/>
      <c r="K1102"/>
    </row>
    <row r="1103" ht="30" spans="1:11">
      <c r="A1103" s="102" t="s">
        <v>2031</v>
      </c>
      <c r="B1103" s="102" t="s">
        <v>2032</v>
      </c>
      <c r="C1103" s="102" t="s">
        <v>56</v>
      </c>
      <c r="D1103" s="99">
        <f>IF(OR(Clientes[[#This Row],[Columna1]]="Pago inmediato",Clientes[[#This Row],[Columna1]]=""),0,SUBSTITUTE(Clientes[[#This Row],[Columna1]]," días",""))</f>
        <v>0</v>
      </c>
      <c r="E1103" s="34"/>
      <c r="F1103"/>
      <c r="G1103" s="77"/>
      <c r="I1103"/>
      <c r="J1103" s="34"/>
      <c r="K1103"/>
    </row>
    <row r="1104" ht="30" spans="1:11">
      <c r="A1104" s="102" t="s">
        <v>2033</v>
      </c>
      <c r="B1104" s="102" t="s">
        <v>2034</v>
      </c>
      <c r="C1104" s="102" t="s">
        <v>56</v>
      </c>
      <c r="D1104" s="99">
        <f>IF(OR(Clientes[[#This Row],[Columna1]]="Pago inmediato",Clientes[[#This Row],[Columna1]]=""),0,SUBSTITUTE(Clientes[[#This Row],[Columna1]]," días",""))</f>
        <v>0</v>
      </c>
      <c r="E1104" s="34"/>
      <c r="F1104"/>
      <c r="G1104" s="77"/>
      <c r="I1104"/>
      <c r="J1104" s="34"/>
      <c r="K1104"/>
    </row>
    <row r="1105" ht="60" spans="1:11">
      <c r="A1105" s="102" t="s">
        <v>2035</v>
      </c>
      <c r="B1105" s="102" t="s">
        <v>2036</v>
      </c>
      <c r="C1105" s="102" t="s">
        <v>56</v>
      </c>
      <c r="D1105" s="99">
        <f>IF(OR(Clientes[[#This Row],[Columna1]]="Pago inmediato",Clientes[[#This Row],[Columna1]]=""),0,SUBSTITUTE(Clientes[[#This Row],[Columna1]]," días",""))</f>
        <v>0</v>
      </c>
      <c r="E1105" s="34"/>
      <c r="F1105"/>
      <c r="G1105" s="77"/>
      <c r="I1105"/>
      <c r="J1105" s="34"/>
      <c r="K1105"/>
    </row>
    <row r="1106" ht="30" spans="1:11">
      <c r="A1106" s="102" t="s">
        <v>2037</v>
      </c>
      <c r="B1106" s="102" t="s">
        <v>2038</v>
      </c>
      <c r="C1106" s="102" t="s">
        <v>56</v>
      </c>
      <c r="D1106" s="99">
        <f>IF(OR(Clientes[[#This Row],[Columna1]]="Pago inmediato",Clientes[[#This Row],[Columna1]]=""),0,SUBSTITUTE(Clientes[[#This Row],[Columna1]]," días",""))</f>
        <v>0</v>
      </c>
      <c r="E1106" s="34"/>
      <c r="F1106"/>
      <c r="G1106" s="77"/>
      <c r="I1106"/>
      <c r="J1106" s="34"/>
      <c r="K1106"/>
    </row>
    <row r="1107" ht="30" spans="1:11">
      <c r="A1107" s="102" t="s">
        <v>2039</v>
      </c>
      <c r="B1107" s="102" t="s">
        <v>2040</v>
      </c>
      <c r="C1107" s="102" t="s">
        <v>56</v>
      </c>
      <c r="D1107" s="99">
        <f>IF(OR(Clientes[[#This Row],[Columna1]]="Pago inmediato",Clientes[[#This Row],[Columna1]]=""),0,SUBSTITUTE(Clientes[[#This Row],[Columna1]]," días",""))</f>
        <v>0</v>
      </c>
      <c r="E1107" s="34"/>
      <c r="F1107"/>
      <c r="G1107" s="77"/>
      <c r="I1107"/>
      <c r="J1107" s="34"/>
      <c r="K1107"/>
    </row>
    <row r="1108" ht="45" spans="1:11">
      <c r="A1108" s="102" t="s">
        <v>2041</v>
      </c>
      <c r="B1108" s="102" t="s">
        <v>2042</v>
      </c>
      <c r="C1108" s="102" t="s">
        <v>56</v>
      </c>
      <c r="D1108" s="99">
        <f>IF(OR(Clientes[[#This Row],[Columna1]]="Pago inmediato",Clientes[[#This Row],[Columna1]]=""),0,SUBSTITUTE(Clientes[[#This Row],[Columna1]]," días",""))</f>
        <v>0</v>
      </c>
      <c r="E1108" s="34"/>
      <c r="F1108"/>
      <c r="G1108" s="77"/>
      <c r="I1108"/>
      <c r="J1108" s="34"/>
      <c r="K1108"/>
    </row>
    <row r="1109" spans="1:11">
      <c r="A1109" s="102" t="s">
        <v>2043</v>
      </c>
      <c r="B1109" s="102" t="s">
        <v>2044</v>
      </c>
      <c r="C1109" s="102" t="s">
        <v>56</v>
      </c>
      <c r="D1109" s="99">
        <f>IF(OR(Clientes[[#This Row],[Columna1]]="Pago inmediato",Clientes[[#This Row],[Columna1]]=""),0,SUBSTITUTE(Clientes[[#This Row],[Columna1]]," días",""))</f>
        <v>0</v>
      </c>
      <c r="E1109" s="34"/>
      <c r="F1109"/>
      <c r="G1109" s="77"/>
      <c r="I1109"/>
      <c r="J1109" s="34"/>
      <c r="K1109"/>
    </row>
    <row r="1110" ht="30" spans="1:11">
      <c r="A1110" s="102" t="s">
        <v>2045</v>
      </c>
      <c r="B1110" s="102" t="s">
        <v>2046</v>
      </c>
      <c r="C1110" s="102" t="s">
        <v>54</v>
      </c>
      <c r="D1110" s="99" t="str">
        <f>IF(OR(Clientes[[#This Row],[Columna1]]="Pago inmediato",Clientes[[#This Row],[Columna1]]=""),0,SUBSTITUTE(Clientes[[#This Row],[Columna1]]," días",""))</f>
        <v>7</v>
      </c>
      <c r="E1110" s="34"/>
      <c r="F1110"/>
      <c r="G1110" s="77"/>
      <c r="I1110"/>
      <c r="J1110" s="34"/>
      <c r="K1110"/>
    </row>
    <row r="1111" ht="30" spans="1:11">
      <c r="A1111" s="102" t="s">
        <v>2047</v>
      </c>
      <c r="B1111" s="102" t="s">
        <v>2048</v>
      </c>
      <c r="C1111" s="102" t="s">
        <v>2049</v>
      </c>
      <c r="D1111" s="99" t="str">
        <f>IF(OR(Clientes[[#This Row],[Columna1]]="Pago inmediato",Clientes[[#This Row],[Columna1]]=""),0,SUBSTITUTE(Clientes[[#This Row],[Columna1]]," días",""))</f>
        <v>30 Días</v>
      </c>
      <c r="E1111" s="34"/>
      <c r="F1111"/>
      <c r="G1111" s="77"/>
      <c r="I1111"/>
      <c r="J1111" s="34"/>
      <c r="K1111"/>
    </row>
    <row r="1112" ht="30" spans="1:11">
      <c r="A1112" s="102" t="s">
        <v>2050</v>
      </c>
      <c r="B1112" s="102" t="s">
        <v>2051</v>
      </c>
      <c r="C1112" s="102" t="s">
        <v>56</v>
      </c>
      <c r="D1112" s="99">
        <f>IF(OR(Clientes[[#This Row],[Columna1]]="Pago inmediato",Clientes[[#This Row],[Columna1]]=""),0,SUBSTITUTE(Clientes[[#This Row],[Columna1]]," días",""))</f>
        <v>0</v>
      </c>
      <c r="E1112" s="34"/>
      <c r="F1112"/>
      <c r="G1112" s="77"/>
      <c r="I1112"/>
      <c r="J1112" s="34"/>
      <c r="K1112"/>
    </row>
    <row r="1113" ht="30" spans="1:11">
      <c r="A1113" s="102" t="s">
        <v>2052</v>
      </c>
      <c r="B1113" s="102" t="s">
        <v>2053</v>
      </c>
      <c r="C1113" s="102" t="s">
        <v>56</v>
      </c>
      <c r="D1113" s="99">
        <f>IF(OR(Clientes[[#This Row],[Columna1]]="Pago inmediato",Clientes[[#This Row],[Columna1]]=""),0,SUBSTITUTE(Clientes[[#This Row],[Columna1]]," días",""))</f>
        <v>0</v>
      </c>
      <c r="E1113" s="34"/>
      <c r="F1113"/>
      <c r="G1113" s="77"/>
      <c r="I1113"/>
      <c r="J1113" s="34"/>
      <c r="K1113"/>
    </row>
    <row r="1114" ht="30" spans="1:11">
      <c r="A1114" s="102" t="s">
        <v>2054</v>
      </c>
      <c r="B1114" s="102" t="s">
        <v>2055</v>
      </c>
      <c r="C1114" s="102" t="s">
        <v>56</v>
      </c>
      <c r="D1114" s="99">
        <f>IF(OR(Clientes[[#This Row],[Columna1]]="Pago inmediato",Clientes[[#This Row],[Columna1]]=""),0,SUBSTITUTE(Clientes[[#This Row],[Columna1]]," días",""))</f>
        <v>0</v>
      </c>
      <c r="E1114" s="34"/>
      <c r="F1114"/>
      <c r="G1114" s="77"/>
      <c r="I1114"/>
      <c r="J1114" s="34"/>
      <c r="K1114"/>
    </row>
    <row r="1115" ht="30" spans="1:11">
      <c r="A1115" s="102" t="s">
        <v>2056</v>
      </c>
      <c r="B1115" s="102" t="s">
        <v>2057</v>
      </c>
      <c r="C1115" s="102" t="s">
        <v>56</v>
      </c>
      <c r="D1115" s="99">
        <f>IF(OR(Clientes[[#This Row],[Columna1]]="Pago inmediato",Clientes[[#This Row],[Columna1]]=""),0,SUBSTITUTE(Clientes[[#This Row],[Columna1]]," días",""))</f>
        <v>0</v>
      </c>
      <c r="E1115" s="34"/>
      <c r="F1115"/>
      <c r="G1115" s="77"/>
      <c r="I1115"/>
      <c r="J1115" s="34"/>
      <c r="K1115"/>
    </row>
    <row r="1116" ht="30" spans="1:11">
      <c r="A1116" s="102" t="s">
        <v>2058</v>
      </c>
      <c r="B1116" s="102" t="s">
        <v>2059</v>
      </c>
      <c r="C1116" s="102" t="s">
        <v>56</v>
      </c>
      <c r="D1116" s="99">
        <f>IF(OR(Clientes[[#This Row],[Columna1]]="Pago inmediato",Clientes[[#This Row],[Columna1]]=""),0,SUBSTITUTE(Clientes[[#This Row],[Columna1]]," días",""))</f>
        <v>0</v>
      </c>
      <c r="E1116" s="34"/>
      <c r="F1116"/>
      <c r="G1116" s="77"/>
      <c r="I1116"/>
      <c r="J1116" s="34"/>
      <c r="K1116"/>
    </row>
    <row r="1117" ht="30" spans="1:11">
      <c r="A1117" s="102" t="s">
        <v>2060</v>
      </c>
      <c r="B1117" s="102" t="s">
        <v>2061</v>
      </c>
      <c r="C1117" s="102" t="s">
        <v>61</v>
      </c>
      <c r="D1117" s="99" t="str">
        <f>IF(OR(Clientes[[#This Row],[Columna1]]="Pago inmediato",Clientes[[#This Row],[Columna1]]=""),0,SUBSTITUTE(Clientes[[#This Row],[Columna1]]," días",""))</f>
        <v>15</v>
      </c>
      <c r="E1117" s="34"/>
      <c r="F1117"/>
      <c r="G1117" s="77"/>
      <c r="I1117"/>
      <c r="J1117" s="34"/>
      <c r="K1117"/>
    </row>
    <row r="1118" ht="30" spans="1:11">
      <c r="A1118" s="102" t="s">
        <v>2062</v>
      </c>
      <c r="B1118" s="102" t="s">
        <v>2063</v>
      </c>
      <c r="C1118" s="102" t="s">
        <v>56</v>
      </c>
      <c r="D1118" s="99">
        <f>IF(OR(Clientes[[#This Row],[Columna1]]="Pago inmediato",Clientes[[#This Row],[Columna1]]=""),0,SUBSTITUTE(Clientes[[#This Row],[Columna1]]," días",""))</f>
        <v>0</v>
      </c>
      <c r="E1118" s="34"/>
      <c r="F1118"/>
      <c r="G1118" s="77"/>
      <c r="I1118"/>
      <c r="J1118" s="34"/>
      <c r="K1118"/>
    </row>
    <row r="1119" ht="30" spans="1:11">
      <c r="A1119" s="102" t="s">
        <v>2064</v>
      </c>
      <c r="B1119" s="102" t="s">
        <v>2065</v>
      </c>
      <c r="C1119" s="102" t="s">
        <v>56</v>
      </c>
      <c r="D1119" s="99">
        <f>IF(OR(Clientes[[#This Row],[Columna1]]="Pago inmediato",Clientes[[#This Row],[Columna1]]=""),0,SUBSTITUTE(Clientes[[#This Row],[Columna1]]," días",""))</f>
        <v>0</v>
      </c>
      <c r="E1119" s="34"/>
      <c r="F1119"/>
      <c r="G1119" s="77"/>
      <c r="I1119"/>
      <c r="J1119" s="34"/>
      <c r="K1119"/>
    </row>
    <row r="1120" ht="30" spans="1:11">
      <c r="A1120" s="102" t="s">
        <v>2066</v>
      </c>
      <c r="B1120" s="102" t="s">
        <v>2067</v>
      </c>
      <c r="C1120" s="102" t="s">
        <v>56</v>
      </c>
      <c r="D1120" s="99">
        <f>IF(OR(Clientes[[#This Row],[Columna1]]="Pago inmediato",Clientes[[#This Row],[Columna1]]=""),0,SUBSTITUTE(Clientes[[#This Row],[Columna1]]," días",""))</f>
        <v>0</v>
      </c>
      <c r="E1120" s="34"/>
      <c r="F1120"/>
      <c r="G1120" s="77"/>
      <c r="I1120"/>
      <c r="J1120" s="34"/>
      <c r="K1120"/>
    </row>
    <row r="1121" ht="75" spans="1:11">
      <c r="A1121" s="102" t="s">
        <v>2068</v>
      </c>
      <c r="B1121" s="102" t="s">
        <v>2069</v>
      </c>
      <c r="C1121" s="102" t="s">
        <v>56</v>
      </c>
      <c r="D1121" s="99">
        <f>IF(OR(Clientes[[#This Row],[Columna1]]="Pago inmediato",Clientes[[#This Row],[Columna1]]=""),0,SUBSTITUTE(Clientes[[#This Row],[Columna1]]," días",""))</f>
        <v>0</v>
      </c>
      <c r="E1121" s="34"/>
      <c r="F1121"/>
      <c r="G1121" s="77"/>
      <c r="I1121"/>
      <c r="J1121" s="34"/>
      <c r="K1121"/>
    </row>
    <row r="1122" ht="30" spans="1:11">
      <c r="A1122" s="102" t="s">
        <v>2070</v>
      </c>
      <c r="B1122" s="102" t="s">
        <v>2071</v>
      </c>
      <c r="C1122" s="102" t="s">
        <v>61</v>
      </c>
      <c r="D1122" s="99" t="str">
        <f>IF(OR(Clientes[[#This Row],[Columna1]]="Pago inmediato",Clientes[[#This Row],[Columna1]]=""),0,SUBSTITUTE(Clientes[[#This Row],[Columna1]]," días",""))</f>
        <v>15</v>
      </c>
      <c r="E1122" s="34"/>
      <c r="F1122"/>
      <c r="G1122" s="77"/>
      <c r="I1122"/>
      <c r="J1122" s="34"/>
      <c r="K1122"/>
    </row>
    <row r="1123" ht="30" spans="1:11">
      <c r="A1123" s="102" t="s">
        <v>2072</v>
      </c>
      <c r="B1123" s="102" t="s">
        <v>2073</v>
      </c>
      <c r="C1123" s="102" t="s">
        <v>56</v>
      </c>
      <c r="D1123" s="99">
        <f>IF(OR(Clientes[[#This Row],[Columna1]]="Pago inmediato",Clientes[[#This Row],[Columna1]]=""),0,SUBSTITUTE(Clientes[[#This Row],[Columna1]]," días",""))</f>
        <v>0</v>
      </c>
      <c r="E1123" s="34"/>
      <c r="F1123"/>
      <c r="G1123" s="77"/>
      <c r="I1123"/>
      <c r="J1123" s="34"/>
      <c r="K1123"/>
    </row>
    <row r="1124" ht="30" spans="1:11">
      <c r="A1124" s="102" t="s">
        <v>2074</v>
      </c>
      <c r="B1124" s="102" t="s">
        <v>2075</v>
      </c>
      <c r="C1124" s="102" t="s">
        <v>56</v>
      </c>
      <c r="D1124" s="99">
        <f>IF(OR(Clientes[[#This Row],[Columna1]]="Pago inmediato",Clientes[[#This Row],[Columna1]]=""),0,SUBSTITUTE(Clientes[[#This Row],[Columna1]]," días",""))</f>
        <v>0</v>
      </c>
      <c r="E1124" s="34"/>
      <c r="F1124"/>
      <c r="G1124" s="77"/>
      <c r="I1124"/>
      <c r="J1124" s="34"/>
      <c r="K1124"/>
    </row>
    <row r="1125" ht="30" spans="1:11">
      <c r="A1125" s="102" t="s">
        <v>2076</v>
      </c>
      <c r="B1125" s="102" t="s">
        <v>2077</v>
      </c>
      <c r="C1125" s="102" t="s">
        <v>56</v>
      </c>
      <c r="D1125" s="99">
        <f>IF(OR(Clientes[[#This Row],[Columna1]]="Pago inmediato",Clientes[[#This Row],[Columna1]]=""),0,SUBSTITUTE(Clientes[[#This Row],[Columna1]]," días",""))</f>
        <v>0</v>
      </c>
      <c r="E1125" s="34"/>
      <c r="F1125"/>
      <c r="G1125" s="77"/>
      <c r="I1125"/>
      <c r="J1125" s="34"/>
      <c r="K1125"/>
    </row>
    <row r="1126" ht="45" spans="1:11">
      <c r="A1126" s="102" t="s">
        <v>2076</v>
      </c>
      <c r="B1126" s="102" t="s">
        <v>2078</v>
      </c>
      <c r="C1126" s="102" t="s">
        <v>56</v>
      </c>
      <c r="D1126" s="99">
        <f>IF(OR(Clientes[[#This Row],[Columna1]]="Pago inmediato",Clientes[[#This Row],[Columna1]]=""),0,SUBSTITUTE(Clientes[[#This Row],[Columna1]]," días",""))</f>
        <v>0</v>
      </c>
      <c r="E1126" s="34"/>
      <c r="F1126"/>
      <c r="G1126" s="77"/>
      <c r="I1126"/>
      <c r="J1126" s="34"/>
      <c r="K1126"/>
    </row>
    <row r="1127" ht="30" spans="1:11">
      <c r="A1127" s="102" t="s">
        <v>2079</v>
      </c>
      <c r="B1127" s="102" t="s">
        <v>2080</v>
      </c>
      <c r="C1127" s="102" t="s">
        <v>56</v>
      </c>
      <c r="D1127" s="99">
        <f>IF(OR(Clientes[[#This Row],[Columna1]]="Pago inmediato",Clientes[[#This Row],[Columna1]]=""),0,SUBSTITUTE(Clientes[[#This Row],[Columna1]]," días",""))</f>
        <v>0</v>
      </c>
      <c r="E1127" s="34"/>
      <c r="F1127"/>
      <c r="G1127" s="77"/>
      <c r="I1127"/>
      <c r="J1127" s="34"/>
      <c r="K1127"/>
    </row>
    <row r="1128" ht="30" spans="1:11">
      <c r="A1128" s="102" t="s">
        <v>2081</v>
      </c>
      <c r="B1128" s="102" t="s">
        <v>2082</v>
      </c>
      <c r="C1128" s="102" t="s">
        <v>56</v>
      </c>
      <c r="D1128" s="99">
        <f>IF(OR(Clientes[[#This Row],[Columna1]]="Pago inmediato",Clientes[[#This Row],[Columna1]]=""),0,SUBSTITUTE(Clientes[[#This Row],[Columna1]]," días",""))</f>
        <v>0</v>
      </c>
      <c r="E1128" s="34"/>
      <c r="F1128"/>
      <c r="G1128" s="77"/>
      <c r="I1128"/>
      <c r="J1128" s="34"/>
      <c r="K1128"/>
    </row>
    <row r="1129" ht="45" spans="1:11">
      <c r="A1129" s="102" t="s">
        <v>2083</v>
      </c>
      <c r="B1129" s="102" t="s">
        <v>2084</v>
      </c>
      <c r="C1129" s="102" t="s">
        <v>56</v>
      </c>
      <c r="D1129" s="99">
        <f>IF(OR(Clientes[[#This Row],[Columna1]]="Pago inmediato",Clientes[[#This Row],[Columna1]]=""),0,SUBSTITUTE(Clientes[[#This Row],[Columna1]]," días",""))</f>
        <v>0</v>
      </c>
      <c r="E1129" s="34"/>
      <c r="F1129"/>
      <c r="G1129" s="77"/>
      <c r="I1129"/>
      <c r="J1129" s="34"/>
      <c r="K1129"/>
    </row>
    <row r="1130" ht="30" spans="1:11">
      <c r="A1130" s="102" t="s">
        <v>2085</v>
      </c>
      <c r="B1130" s="102" t="s">
        <v>2086</v>
      </c>
      <c r="C1130" s="102" t="s">
        <v>282</v>
      </c>
      <c r="D1130" s="99" t="str">
        <f>IF(OR(Clientes[[#This Row],[Columna1]]="Pago inmediato",Clientes[[#This Row],[Columna1]]=""),0,SUBSTITUTE(Clientes[[#This Row],[Columna1]]," días",""))</f>
        <v>10</v>
      </c>
      <c r="E1130" s="34"/>
      <c r="F1130"/>
      <c r="G1130" s="77"/>
      <c r="I1130"/>
      <c r="J1130" s="34"/>
      <c r="K1130"/>
    </row>
    <row r="1131" ht="30" spans="1:11">
      <c r="A1131" s="102" t="s">
        <v>2087</v>
      </c>
      <c r="B1131" s="102" t="s">
        <v>2088</v>
      </c>
      <c r="C1131" s="102" t="s">
        <v>56</v>
      </c>
      <c r="D1131" s="99">
        <f>IF(OR(Clientes[[#This Row],[Columna1]]="Pago inmediato",Clientes[[#This Row],[Columna1]]=""),0,SUBSTITUTE(Clientes[[#This Row],[Columna1]]," días",""))</f>
        <v>0</v>
      </c>
      <c r="E1131" s="34"/>
      <c r="F1131"/>
      <c r="G1131" s="77"/>
      <c r="I1131"/>
      <c r="J1131" s="34"/>
      <c r="K1131"/>
    </row>
    <row r="1132" ht="30" spans="1:11">
      <c r="A1132" s="102" t="s">
        <v>2089</v>
      </c>
      <c r="B1132" s="102" t="s">
        <v>2090</v>
      </c>
      <c r="C1132" s="102" t="s">
        <v>56</v>
      </c>
      <c r="D1132" s="99">
        <f>IF(OR(Clientes[[#This Row],[Columna1]]="Pago inmediato",Clientes[[#This Row],[Columna1]]=""),0,SUBSTITUTE(Clientes[[#This Row],[Columna1]]," días",""))</f>
        <v>0</v>
      </c>
      <c r="E1132" s="34"/>
      <c r="F1132"/>
      <c r="G1132" s="77"/>
      <c r="I1132"/>
      <c r="J1132" s="34"/>
      <c r="K1132"/>
    </row>
    <row r="1133" ht="30" spans="1:11">
      <c r="A1133" s="102" t="s">
        <v>2091</v>
      </c>
      <c r="B1133" s="102" t="s">
        <v>2092</v>
      </c>
      <c r="C1133" s="102" t="s">
        <v>56</v>
      </c>
      <c r="D1133" s="99">
        <f>IF(OR(Clientes[[#This Row],[Columna1]]="Pago inmediato",Clientes[[#This Row],[Columna1]]=""),0,SUBSTITUTE(Clientes[[#This Row],[Columna1]]," días",""))</f>
        <v>0</v>
      </c>
      <c r="E1133" s="34"/>
      <c r="F1133"/>
      <c r="G1133" s="77"/>
      <c r="I1133"/>
      <c r="J1133" s="34"/>
      <c r="K1133"/>
    </row>
    <row r="1134" ht="30" spans="1:11">
      <c r="A1134" s="102" t="s">
        <v>2093</v>
      </c>
      <c r="B1134" s="102" t="s">
        <v>2094</v>
      </c>
      <c r="C1134" s="102" t="s">
        <v>56</v>
      </c>
      <c r="D1134" s="99">
        <f>IF(OR(Clientes[[#This Row],[Columna1]]="Pago inmediato",Clientes[[#This Row],[Columna1]]=""),0,SUBSTITUTE(Clientes[[#This Row],[Columna1]]," días",""))</f>
        <v>0</v>
      </c>
      <c r="E1134" s="34"/>
      <c r="F1134"/>
      <c r="G1134" s="77"/>
      <c r="I1134"/>
      <c r="J1134" s="34"/>
      <c r="K1134"/>
    </row>
    <row r="1135" ht="30" spans="1:11">
      <c r="A1135" s="102" t="s">
        <v>2095</v>
      </c>
      <c r="B1135" s="102" t="s">
        <v>2096</v>
      </c>
      <c r="C1135" s="102" t="s">
        <v>56</v>
      </c>
      <c r="D1135" s="99">
        <f>IF(OR(Clientes[[#This Row],[Columna1]]="Pago inmediato",Clientes[[#This Row],[Columna1]]=""),0,SUBSTITUTE(Clientes[[#This Row],[Columna1]]," días",""))</f>
        <v>0</v>
      </c>
      <c r="E1135" s="34"/>
      <c r="F1135"/>
      <c r="G1135" s="77"/>
      <c r="I1135"/>
      <c r="J1135" s="34"/>
      <c r="K1135"/>
    </row>
    <row r="1136" ht="30" spans="1:11">
      <c r="A1136" s="102" t="s">
        <v>2097</v>
      </c>
      <c r="B1136" s="102" t="s">
        <v>2098</v>
      </c>
      <c r="C1136" s="102" t="s">
        <v>56</v>
      </c>
      <c r="D1136" s="99">
        <f>IF(OR(Clientes[[#This Row],[Columna1]]="Pago inmediato",Clientes[[#This Row],[Columna1]]=""),0,SUBSTITUTE(Clientes[[#This Row],[Columna1]]," días",""))</f>
        <v>0</v>
      </c>
      <c r="E1136" s="34"/>
      <c r="F1136"/>
      <c r="G1136" s="77"/>
      <c r="I1136"/>
      <c r="J1136" s="34"/>
      <c r="K1136"/>
    </row>
    <row r="1137" ht="30" spans="1:11">
      <c r="A1137" s="102" t="s">
        <v>2099</v>
      </c>
      <c r="B1137" s="102" t="s">
        <v>2100</v>
      </c>
      <c r="C1137" s="102" t="s">
        <v>56</v>
      </c>
      <c r="D1137" s="99">
        <f>IF(OR(Clientes[[#This Row],[Columna1]]="Pago inmediato",Clientes[[#This Row],[Columna1]]=""),0,SUBSTITUTE(Clientes[[#This Row],[Columna1]]," días",""))</f>
        <v>0</v>
      </c>
      <c r="E1137" s="34"/>
      <c r="F1137"/>
      <c r="G1137" s="77"/>
      <c r="I1137"/>
      <c r="J1137" s="34"/>
      <c r="K1137"/>
    </row>
    <row r="1138" ht="30" spans="1:11">
      <c r="A1138" s="102" t="s">
        <v>2101</v>
      </c>
      <c r="B1138" s="102" t="s">
        <v>2102</v>
      </c>
      <c r="C1138" s="102" t="s">
        <v>56</v>
      </c>
      <c r="D1138" s="99">
        <f>IF(OR(Clientes[[#This Row],[Columna1]]="Pago inmediato",Clientes[[#This Row],[Columna1]]=""),0,SUBSTITUTE(Clientes[[#This Row],[Columna1]]," días",""))</f>
        <v>0</v>
      </c>
      <c r="E1138" s="34"/>
      <c r="F1138"/>
      <c r="G1138" s="77"/>
      <c r="I1138"/>
      <c r="J1138" s="34"/>
      <c r="K1138"/>
    </row>
    <row r="1139" ht="45" spans="1:11">
      <c r="A1139" s="102" t="s">
        <v>2103</v>
      </c>
      <c r="B1139" s="102" t="s">
        <v>2104</v>
      </c>
      <c r="C1139" s="102" t="s">
        <v>56</v>
      </c>
      <c r="D1139" s="99">
        <f>IF(OR(Clientes[[#This Row],[Columna1]]="Pago inmediato",Clientes[[#This Row],[Columna1]]=""),0,SUBSTITUTE(Clientes[[#This Row],[Columna1]]," días",""))</f>
        <v>0</v>
      </c>
      <c r="E1139" s="34"/>
      <c r="F1139"/>
      <c r="G1139" s="77"/>
      <c r="I1139"/>
      <c r="J1139" s="34"/>
      <c r="K1139"/>
    </row>
    <row r="1140" ht="45" spans="1:11">
      <c r="A1140" s="102" t="s">
        <v>2105</v>
      </c>
      <c r="B1140" s="102" t="s">
        <v>2106</v>
      </c>
      <c r="C1140" s="102" t="s">
        <v>454</v>
      </c>
      <c r="D1140" s="99" t="str">
        <f>IF(OR(Clientes[[#This Row],[Columna1]]="Pago inmediato",Clientes[[#This Row],[Columna1]]=""),0,SUBSTITUTE(Clientes[[#This Row],[Columna1]]," días",""))</f>
        <v>21</v>
      </c>
      <c r="E1140" s="34"/>
      <c r="F1140"/>
      <c r="G1140" s="77"/>
      <c r="I1140"/>
      <c r="J1140" s="34"/>
      <c r="K1140"/>
    </row>
    <row r="1141" ht="30" spans="1:11">
      <c r="A1141" s="102" t="s">
        <v>2107</v>
      </c>
      <c r="B1141" s="102" t="s">
        <v>2108</v>
      </c>
      <c r="C1141" s="102" t="s">
        <v>56</v>
      </c>
      <c r="D1141" s="99">
        <f>IF(OR(Clientes[[#This Row],[Columna1]]="Pago inmediato",Clientes[[#This Row],[Columna1]]=""),0,SUBSTITUTE(Clientes[[#This Row],[Columna1]]," días",""))</f>
        <v>0</v>
      </c>
      <c r="E1141" s="34"/>
      <c r="F1141"/>
      <c r="G1141" s="77"/>
      <c r="I1141"/>
      <c r="J1141" s="34"/>
      <c r="K1141"/>
    </row>
    <row r="1142" ht="30" spans="1:11">
      <c r="A1142" s="102" t="s">
        <v>2109</v>
      </c>
      <c r="B1142" s="102" t="s">
        <v>2110</v>
      </c>
      <c r="C1142" s="102" t="s">
        <v>56</v>
      </c>
      <c r="D1142" s="99">
        <f>IF(OR(Clientes[[#This Row],[Columna1]]="Pago inmediato",Clientes[[#This Row],[Columna1]]=""),0,SUBSTITUTE(Clientes[[#This Row],[Columna1]]," días",""))</f>
        <v>0</v>
      </c>
      <c r="E1142" s="34"/>
      <c r="F1142"/>
      <c r="G1142" s="77"/>
      <c r="I1142"/>
      <c r="J1142" s="34"/>
      <c r="K1142"/>
    </row>
    <row r="1143" ht="45" spans="1:11">
      <c r="A1143" s="102" t="s">
        <v>2111</v>
      </c>
      <c r="B1143" s="102" t="s">
        <v>2112</v>
      </c>
      <c r="C1143" s="102" t="s">
        <v>56</v>
      </c>
      <c r="D1143" s="99">
        <f>IF(OR(Clientes[[#This Row],[Columna1]]="Pago inmediato",Clientes[[#This Row],[Columna1]]=""),0,SUBSTITUTE(Clientes[[#This Row],[Columna1]]," días",""))</f>
        <v>0</v>
      </c>
      <c r="E1143" s="34"/>
      <c r="F1143"/>
      <c r="G1143" s="77"/>
      <c r="I1143"/>
      <c r="J1143" s="34"/>
      <c r="K1143"/>
    </row>
    <row r="1144" ht="45" spans="1:11">
      <c r="A1144" s="102" t="s">
        <v>2113</v>
      </c>
      <c r="B1144" s="102" t="s">
        <v>2114</v>
      </c>
      <c r="C1144" s="102" t="s">
        <v>56</v>
      </c>
      <c r="D1144" s="99">
        <f>IF(OR(Clientes[[#This Row],[Columna1]]="Pago inmediato",Clientes[[#This Row],[Columna1]]=""),0,SUBSTITUTE(Clientes[[#This Row],[Columna1]]," días",""))</f>
        <v>0</v>
      </c>
      <c r="E1144" s="34"/>
      <c r="F1144"/>
      <c r="G1144" s="77"/>
      <c r="I1144"/>
      <c r="J1144" s="34"/>
      <c r="K1144"/>
    </row>
    <row r="1145" ht="30" spans="1:11">
      <c r="A1145" s="102" t="s">
        <v>2115</v>
      </c>
      <c r="B1145" s="102" t="s">
        <v>2116</v>
      </c>
      <c r="C1145" s="102" t="s">
        <v>56</v>
      </c>
      <c r="D1145" s="99">
        <f>IF(OR(Clientes[[#This Row],[Columna1]]="Pago inmediato",Clientes[[#This Row],[Columna1]]=""),0,SUBSTITUTE(Clientes[[#This Row],[Columna1]]," días",""))</f>
        <v>0</v>
      </c>
      <c r="E1145" s="34"/>
      <c r="F1145"/>
      <c r="G1145" s="77"/>
      <c r="I1145"/>
      <c r="J1145" s="34"/>
      <c r="K1145"/>
    </row>
    <row r="1146" ht="45" spans="1:11">
      <c r="A1146" s="102" t="s">
        <v>2115</v>
      </c>
      <c r="B1146" s="102" t="s">
        <v>2117</v>
      </c>
      <c r="C1146" s="102" t="s">
        <v>56</v>
      </c>
      <c r="D1146" s="99">
        <f>IF(OR(Clientes[[#This Row],[Columna1]]="Pago inmediato",Clientes[[#This Row],[Columna1]]=""),0,SUBSTITUTE(Clientes[[#This Row],[Columna1]]," días",""))</f>
        <v>0</v>
      </c>
      <c r="E1146" s="34"/>
      <c r="F1146"/>
      <c r="G1146" s="77"/>
      <c r="I1146"/>
      <c r="J1146" s="34"/>
      <c r="K1146"/>
    </row>
    <row r="1147" ht="30" spans="1:11">
      <c r="A1147" s="102" t="s">
        <v>2118</v>
      </c>
      <c r="B1147" s="102" t="s">
        <v>2119</v>
      </c>
      <c r="C1147" s="102" t="s">
        <v>56</v>
      </c>
      <c r="D1147" s="99">
        <f>IF(OR(Clientes[[#This Row],[Columna1]]="Pago inmediato",Clientes[[#This Row],[Columna1]]=""),0,SUBSTITUTE(Clientes[[#This Row],[Columna1]]," días",""))</f>
        <v>0</v>
      </c>
      <c r="E1147" s="34"/>
      <c r="F1147"/>
      <c r="G1147" s="77"/>
      <c r="I1147"/>
      <c r="J1147" s="34"/>
      <c r="K1147"/>
    </row>
    <row r="1148" ht="45" spans="1:11">
      <c r="A1148" s="102" t="s">
        <v>2120</v>
      </c>
      <c r="B1148" s="102" t="s">
        <v>2121</v>
      </c>
      <c r="C1148" s="102" t="s">
        <v>56</v>
      </c>
      <c r="D1148" s="99">
        <f>IF(OR(Clientes[[#This Row],[Columna1]]="Pago inmediato",Clientes[[#This Row],[Columna1]]=""),0,SUBSTITUTE(Clientes[[#This Row],[Columna1]]," días",""))</f>
        <v>0</v>
      </c>
      <c r="E1148" s="34"/>
      <c r="F1148"/>
      <c r="G1148" s="77"/>
      <c r="I1148"/>
      <c r="J1148" s="34"/>
      <c r="K1148"/>
    </row>
    <row r="1149" ht="45" spans="1:11">
      <c r="A1149" s="102" t="s">
        <v>2122</v>
      </c>
      <c r="B1149" s="102" t="s">
        <v>2123</v>
      </c>
      <c r="C1149" s="102" t="s">
        <v>56</v>
      </c>
      <c r="D1149" s="99">
        <f>IF(OR(Clientes[[#This Row],[Columna1]]="Pago inmediato",Clientes[[#This Row],[Columna1]]=""),0,SUBSTITUTE(Clientes[[#This Row],[Columna1]]," días",""))</f>
        <v>0</v>
      </c>
      <c r="E1149" s="34"/>
      <c r="F1149"/>
      <c r="G1149" s="77"/>
      <c r="I1149"/>
      <c r="J1149" s="34"/>
      <c r="K1149"/>
    </row>
    <row r="1150" ht="30" spans="1:11">
      <c r="A1150" s="102" t="s">
        <v>2124</v>
      </c>
      <c r="B1150" s="102" t="s">
        <v>2125</v>
      </c>
      <c r="C1150" s="102" t="s">
        <v>56</v>
      </c>
      <c r="D1150" s="99">
        <f>IF(OR(Clientes[[#This Row],[Columna1]]="Pago inmediato",Clientes[[#This Row],[Columna1]]=""),0,SUBSTITUTE(Clientes[[#This Row],[Columna1]]," días",""))</f>
        <v>0</v>
      </c>
      <c r="E1150" s="34"/>
      <c r="F1150"/>
      <c r="G1150" s="77"/>
      <c r="I1150"/>
      <c r="J1150" s="34"/>
      <c r="K1150"/>
    </row>
    <row r="1151" ht="30" spans="1:11">
      <c r="A1151" s="102" t="s">
        <v>2126</v>
      </c>
      <c r="B1151" s="102" t="s">
        <v>2127</v>
      </c>
      <c r="C1151" s="102" t="s">
        <v>56</v>
      </c>
      <c r="D1151" s="99">
        <f>IF(OR(Clientes[[#This Row],[Columna1]]="Pago inmediato",Clientes[[#This Row],[Columna1]]=""),0,SUBSTITUTE(Clientes[[#This Row],[Columna1]]," días",""))</f>
        <v>0</v>
      </c>
      <c r="E1151" s="34"/>
      <c r="F1151"/>
      <c r="G1151" s="77"/>
      <c r="I1151"/>
      <c r="J1151" s="34"/>
      <c r="K1151"/>
    </row>
    <row r="1152" ht="30" spans="1:11">
      <c r="A1152" s="102" t="s">
        <v>2128</v>
      </c>
      <c r="B1152" s="102" t="s">
        <v>2129</v>
      </c>
      <c r="C1152" s="102" t="s">
        <v>56</v>
      </c>
      <c r="D1152" s="99">
        <f>IF(OR(Clientes[[#This Row],[Columna1]]="Pago inmediato",Clientes[[#This Row],[Columna1]]=""),0,SUBSTITUTE(Clientes[[#This Row],[Columna1]]," días",""))</f>
        <v>0</v>
      </c>
      <c r="E1152" s="34"/>
      <c r="F1152"/>
      <c r="G1152" s="77"/>
      <c r="I1152"/>
      <c r="J1152" s="34"/>
      <c r="K1152"/>
    </row>
    <row r="1153" ht="60" spans="1:11">
      <c r="A1153" s="102" t="s">
        <v>2130</v>
      </c>
      <c r="B1153" s="102" t="s">
        <v>2131</v>
      </c>
      <c r="C1153" s="102" t="s">
        <v>56</v>
      </c>
      <c r="D1153" s="99">
        <f>IF(OR(Clientes[[#This Row],[Columna1]]="Pago inmediato",Clientes[[#This Row],[Columna1]]=""),0,SUBSTITUTE(Clientes[[#This Row],[Columna1]]," días",""))</f>
        <v>0</v>
      </c>
      <c r="E1153" s="34"/>
      <c r="F1153"/>
      <c r="G1153" s="77"/>
      <c r="I1153"/>
      <c r="J1153" s="34"/>
      <c r="K1153"/>
    </row>
    <row r="1154" ht="30" spans="1:11">
      <c r="A1154" s="102" t="s">
        <v>2132</v>
      </c>
      <c r="B1154" s="102" t="s">
        <v>2133</v>
      </c>
      <c r="C1154" s="102" t="s">
        <v>54</v>
      </c>
      <c r="D1154" s="99" t="str">
        <f>IF(OR(Clientes[[#This Row],[Columna1]]="Pago inmediato",Clientes[[#This Row],[Columna1]]=""),0,SUBSTITUTE(Clientes[[#This Row],[Columna1]]," días",""))</f>
        <v>7</v>
      </c>
      <c r="E1154" s="34"/>
      <c r="F1154"/>
      <c r="G1154" s="77"/>
      <c r="I1154"/>
      <c r="J1154" s="34"/>
      <c r="K1154"/>
    </row>
    <row r="1155" ht="30" spans="1:11">
      <c r="A1155" s="102" t="s">
        <v>2134</v>
      </c>
      <c r="B1155" s="102" t="s">
        <v>2135</v>
      </c>
      <c r="C1155" s="102" t="s">
        <v>56</v>
      </c>
      <c r="D1155" s="99">
        <f>IF(OR(Clientes[[#This Row],[Columna1]]="Pago inmediato",Clientes[[#This Row],[Columna1]]=""),0,SUBSTITUTE(Clientes[[#This Row],[Columna1]]," días",""))</f>
        <v>0</v>
      </c>
      <c r="E1155" s="34"/>
      <c r="F1155"/>
      <c r="G1155" s="77"/>
      <c r="I1155"/>
      <c r="J1155" s="34"/>
      <c r="K1155"/>
    </row>
    <row r="1156" ht="30" spans="1:11">
      <c r="A1156" s="102" t="s">
        <v>2136</v>
      </c>
      <c r="B1156" s="102" t="s">
        <v>2137</v>
      </c>
      <c r="C1156" s="102" t="s">
        <v>56</v>
      </c>
      <c r="D1156" s="99">
        <f>IF(OR(Clientes[[#This Row],[Columna1]]="Pago inmediato",Clientes[[#This Row],[Columna1]]=""),0,SUBSTITUTE(Clientes[[#This Row],[Columna1]]," días",""))</f>
        <v>0</v>
      </c>
      <c r="E1156" s="34"/>
      <c r="F1156"/>
      <c r="G1156" s="77"/>
      <c r="I1156"/>
      <c r="J1156" s="34"/>
      <c r="K1156"/>
    </row>
    <row r="1157" ht="30" spans="1:11">
      <c r="A1157" s="102" t="s">
        <v>2138</v>
      </c>
      <c r="B1157" s="102" t="s">
        <v>2139</v>
      </c>
      <c r="C1157" s="102" t="s">
        <v>56</v>
      </c>
      <c r="D1157" s="99">
        <f>IF(OR(Clientes[[#This Row],[Columna1]]="Pago inmediato",Clientes[[#This Row],[Columna1]]=""),0,SUBSTITUTE(Clientes[[#This Row],[Columna1]]," días",""))</f>
        <v>0</v>
      </c>
      <c r="E1157" s="34"/>
      <c r="F1157"/>
      <c r="G1157" s="77"/>
      <c r="I1157"/>
      <c r="J1157" s="34"/>
      <c r="K1157"/>
    </row>
    <row r="1158" ht="45" spans="1:11">
      <c r="A1158" s="102" t="s">
        <v>2138</v>
      </c>
      <c r="B1158" s="102" t="s">
        <v>2140</v>
      </c>
      <c r="C1158" s="102" t="s">
        <v>56</v>
      </c>
      <c r="D1158" s="99">
        <f>IF(OR(Clientes[[#This Row],[Columna1]]="Pago inmediato",Clientes[[#This Row],[Columna1]]=""),0,SUBSTITUTE(Clientes[[#This Row],[Columna1]]," días",""))</f>
        <v>0</v>
      </c>
      <c r="E1158" s="34"/>
      <c r="F1158"/>
      <c r="G1158" s="77"/>
      <c r="I1158"/>
      <c r="J1158" s="34"/>
      <c r="K1158"/>
    </row>
    <row r="1159" ht="45" spans="1:11">
      <c r="A1159" s="102" t="s">
        <v>2141</v>
      </c>
      <c r="B1159" s="102" t="s">
        <v>2142</v>
      </c>
      <c r="C1159" s="102" t="s">
        <v>56</v>
      </c>
      <c r="D1159" s="99">
        <f>IF(OR(Clientes[[#This Row],[Columna1]]="Pago inmediato",Clientes[[#This Row],[Columna1]]=""),0,SUBSTITUTE(Clientes[[#This Row],[Columna1]]," días",""))</f>
        <v>0</v>
      </c>
      <c r="E1159" s="34"/>
      <c r="F1159"/>
      <c r="G1159" s="77"/>
      <c r="I1159"/>
      <c r="J1159" s="34"/>
      <c r="K1159"/>
    </row>
    <row r="1160" ht="30" spans="1:11">
      <c r="A1160" s="102" t="s">
        <v>2143</v>
      </c>
      <c r="B1160" s="102" t="s">
        <v>2144</v>
      </c>
      <c r="C1160" s="102" t="s">
        <v>56</v>
      </c>
      <c r="D1160" s="99">
        <f>IF(OR(Clientes[[#This Row],[Columna1]]="Pago inmediato",Clientes[[#This Row],[Columna1]]=""),0,SUBSTITUTE(Clientes[[#This Row],[Columna1]]," días",""))</f>
        <v>0</v>
      </c>
      <c r="E1160" s="34"/>
      <c r="F1160"/>
      <c r="G1160" s="77"/>
      <c r="I1160"/>
      <c r="J1160" s="34"/>
      <c r="K1160"/>
    </row>
    <row r="1161" ht="30" spans="1:11">
      <c r="A1161" s="102" t="s">
        <v>2145</v>
      </c>
      <c r="B1161" s="102" t="s">
        <v>2146</v>
      </c>
      <c r="C1161" s="102" t="s">
        <v>56</v>
      </c>
      <c r="D1161" s="99">
        <f>IF(OR(Clientes[[#This Row],[Columna1]]="Pago inmediato",Clientes[[#This Row],[Columna1]]=""),0,SUBSTITUTE(Clientes[[#This Row],[Columna1]]," días",""))</f>
        <v>0</v>
      </c>
      <c r="E1161" s="34"/>
      <c r="F1161"/>
      <c r="G1161" s="77"/>
      <c r="I1161"/>
      <c r="J1161" s="34"/>
      <c r="K1161"/>
    </row>
    <row r="1162" ht="30" spans="1:11">
      <c r="A1162" s="102" t="s">
        <v>2147</v>
      </c>
      <c r="B1162" s="102" t="s">
        <v>2148</v>
      </c>
      <c r="C1162" s="102" t="s">
        <v>2049</v>
      </c>
      <c r="D1162" s="99" t="str">
        <f>IF(OR(Clientes[[#This Row],[Columna1]]="Pago inmediato",Clientes[[#This Row],[Columna1]]=""),0,SUBSTITUTE(Clientes[[#This Row],[Columna1]]," días",""))</f>
        <v>30 Días</v>
      </c>
      <c r="E1162" s="34"/>
      <c r="F1162"/>
      <c r="G1162" s="77"/>
      <c r="I1162"/>
      <c r="J1162" s="34"/>
      <c r="K1162"/>
    </row>
    <row r="1163" ht="60" spans="1:11">
      <c r="A1163" s="102" t="s">
        <v>2149</v>
      </c>
      <c r="B1163" s="102" t="s">
        <v>2150</v>
      </c>
      <c r="C1163" s="102" t="s">
        <v>56</v>
      </c>
      <c r="D1163" s="99">
        <f>IF(OR(Clientes[[#This Row],[Columna1]]="Pago inmediato",Clientes[[#This Row],[Columna1]]=""),0,SUBSTITUTE(Clientes[[#This Row],[Columna1]]," días",""))</f>
        <v>0</v>
      </c>
      <c r="E1163" s="34"/>
      <c r="F1163"/>
      <c r="G1163" s="77"/>
      <c r="I1163"/>
      <c r="J1163" s="34"/>
      <c r="K1163"/>
    </row>
    <row r="1164" ht="45" spans="1:11">
      <c r="A1164" s="102" t="s">
        <v>2151</v>
      </c>
      <c r="B1164" s="102" t="s">
        <v>2152</v>
      </c>
      <c r="C1164" s="102" t="s">
        <v>56</v>
      </c>
      <c r="D1164" s="99">
        <f>IF(OR(Clientes[[#This Row],[Columna1]]="Pago inmediato",Clientes[[#This Row],[Columna1]]=""),0,SUBSTITUTE(Clientes[[#This Row],[Columna1]]," días",""))</f>
        <v>0</v>
      </c>
      <c r="E1164" s="34"/>
      <c r="F1164"/>
      <c r="G1164" s="77"/>
      <c r="I1164"/>
      <c r="J1164" s="34"/>
      <c r="K1164"/>
    </row>
    <row r="1165" ht="30" spans="1:11">
      <c r="A1165" s="102" t="s">
        <v>2153</v>
      </c>
      <c r="B1165" s="102" t="s">
        <v>2154</v>
      </c>
      <c r="C1165" s="102" t="s">
        <v>56</v>
      </c>
      <c r="D1165" s="99">
        <f>IF(OR(Clientes[[#This Row],[Columna1]]="Pago inmediato",Clientes[[#This Row],[Columna1]]=""),0,SUBSTITUTE(Clientes[[#This Row],[Columna1]]," días",""))</f>
        <v>0</v>
      </c>
      <c r="E1165" s="34"/>
      <c r="F1165"/>
      <c r="G1165" s="77"/>
      <c r="I1165"/>
      <c r="J1165" s="34"/>
      <c r="K1165"/>
    </row>
    <row r="1166" ht="30" spans="1:11">
      <c r="A1166" s="102" t="s">
        <v>2155</v>
      </c>
      <c r="B1166" s="102" t="s">
        <v>2156</v>
      </c>
      <c r="C1166" s="102" t="s">
        <v>56</v>
      </c>
      <c r="D1166" s="99">
        <f>IF(OR(Clientes[[#This Row],[Columna1]]="Pago inmediato",Clientes[[#This Row],[Columna1]]=""),0,SUBSTITUTE(Clientes[[#This Row],[Columna1]]," días",""))</f>
        <v>0</v>
      </c>
      <c r="E1166" s="34"/>
      <c r="F1166"/>
      <c r="G1166" s="77"/>
      <c r="I1166"/>
      <c r="J1166" s="34"/>
      <c r="K1166"/>
    </row>
    <row r="1167" ht="30" spans="1:11">
      <c r="A1167" s="102" t="s">
        <v>2157</v>
      </c>
      <c r="B1167" s="102" t="s">
        <v>2158</v>
      </c>
      <c r="C1167" s="102" t="s">
        <v>56</v>
      </c>
      <c r="D1167" s="99">
        <f>IF(OR(Clientes[[#This Row],[Columna1]]="Pago inmediato",Clientes[[#This Row],[Columna1]]=""),0,SUBSTITUTE(Clientes[[#This Row],[Columna1]]," días",""))</f>
        <v>0</v>
      </c>
      <c r="E1167" s="34"/>
      <c r="F1167"/>
      <c r="G1167" s="77"/>
      <c r="I1167"/>
      <c r="J1167" s="34"/>
      <c r="K1167"/>
    </row>
    <row r="1168" ht="30" spans="1:11">
      <c r="A1168" s="102" t="s">
        <v>2159</v>
      </c>
      <c r="B1168" s="102" t="s">
        <v>2160</v>
      </c>
      <c r="C1168" s="102" t="s">
        <v>56</v>
      </c>
      <c r="D1168" s="99">
        <f>IF(OR(Clientes[[#This Row],[Columna1]]="Pago inmediato",Clientes[[#This Row],[Columna1]]=""),0,SUBSTITUTE(Clientes[[#This Row],[Columna1]]," días",""))</f>
        <v>0</v>
      </c>
      <c r="E1168" s="34"/>
      <c r="F1168"/>
      <c r="G1168" s="77"/>
      <c r="I1168"/>
      <c r="J1168" s="34"/>
      <c r="K1168"/>
    </row>
    <row r="1169" ht="30" spans="1:11">
      <c r="A1169" s="102" t="s">
        <v>2161</v>
      </c>
      <c r="B1169" s="102" t="s">
        <v>2162</v>
      </c>
      <c r="C1169" s="102" t="s">
        <v>56</v>
      </c>
      <c r="D1169" s="99">
        <f>IF(OR(Clientes[[#This Row],[Columna1]]="Pago inmediato",Clientes[[#This Row],[Columna1]]=""),0,SUBSTITUTE(Clientes[[#This Row],[Columna1]]," días",""))</f>
        <v>0</v>
      </c>
      <c r="E1169" s="34"/>
      <c r="F1169"/>
      <c r="G1169" s="77"/>
      <c r="I1169"/>
      <c r="J1169" s="34"/>
      <c r="K1169"/>
    </row>
    <row r="1170" ht="30" spans="1:11">
      <c r="A1170" s="102" t="s">
        <v>2163</v>
      </c>
      <c r="B1170" s="102" t="s">
        <v>2164</v>
      </c>
      <c r="C1170" s="102" t="s">
        <v>56</v>
      </c>
      <c r="D1170" s="99">
        <f>IF(OR(Clientes[[#This Row],[Columna1]]="Pago inmediato",Clientes[[#This Row],[Columna1]]=""),0,SUBSTITUTE(Clientes[[#This Row],[Columna1]]," días",""))</f>
        <v>0</v>
      </c>
      <c r="E1170" s="34"/>
      <c r="F1170"/>
      <c r="G1170" s="77"/>
      <c r="I1170"/>
      <c r="J1170" s="34"/>
      <c r="K1170"/>
    </row>
    <row r="1171" ht="30" spans="1:11">
      <c r="A1171" s="102" t="s">
        <v>2165</v>
      </c>
      <c r="B1171" s="102" t="s">
        <v>2166</v>
      </c>
      <c r="C1171" s="102" t="s">
        <v>56</v>
      </c>
      <c r="D1171" s="99">
        <f>IF(OR(Clientes[[#This Row],[Columna1]]="Pago inmediato",Clientes[[#This Row],[Columna1]]=""),0,SUBSTITUTE(Clientes[[#This Row],[Columna1]]," días",""))</f>
        <v>0</v>
      </c>
      <c r="E1171" s="34"/>
      <c r="F1171"/>
      <c r="G1171" s="77"/>
      <c r="I1171"/>
      <c r="J1171" s="34"/>
      <c r="K1171"/>
    </row>
    <row r="1172" ht="30" spans="1:11">
      <c r="A1172" s="102" t="s">
        <v>2167</v>
      </c>
      <c r="B1172" s="102" t="s">
        <v>2168</v>
      </c>
      <c r="C1172" s="102" t="s">
        <v>56</v>
      </c>
      <c r="D1172" s="99">
        <f>IF(OR(Clientes[[#This Row],[Columna1]]="Pago inmediato",Clientes[[#This Row],[Columna1]]=""),0,SUBSTITUTE(Clientes[[#This Row],[Columna1]]," días",""))</f>
        <v>0</v>
      </c>
      <c r="E1172" s="34"/>
      <c r="F1172"/>
      <c r="G1172" s="77"/>
      <c r="I1172"/>
      <c r="J1172" s="34"/>
      <c r="K1172"/>
    </row>
    <row r="1173" ht="30" spans="1:11">
      <c r="A1173" s="102" t="s">
        <v>2169</v>
      </c>
      <c r="B1173" s="102" t="s">
        <v>2170</v>
      </c>
      <c r="C1173" s="102" t="s">
        <v>56</v>
      </c>
      <c r="D1173" s="99">
        <f>IF(OR(Clientes[[#This Row],[Columna1]]="Pago inmediato",Clientes[[#This Row],[Columna1]]=""),0,SUBSTITUTE(Clientes[[#This Row],[Columna1]]," días",""))</f>
        <v>0</v>
      </c>
      <c r="E1173" s="34"/>
      <c r="F1173"/>
      <c r="G1173" s="77"/>
      <c r="I1173"/>
      <c r="J1173" s="34"/>
      <c r="K1173"/>
    </row>
    <row r="1174" ht="30" spans="1:11">
      <c r="A1174" s="102" t="s">
        <v>2171</v>
      </c>
      <c r="B1174" s="102" t="s">
        <v>2172</v>
      </c>
      <c r="C1174" s="102" t="s">
        <v>56</v>
      </c>
      <c r="D1174" s="99">
        <f>IF(OR(Clientes[[#This Row],[Columna1]]="Pago inmediato",Clientes[[#This Row],[Columna1]]=""),0,SUBSTITUTE(Clientes[[#This Row],[Columna1]]," días",""))</f>
        <v>0</v>
      </c>
      <c r="E1174" s="34"/>
      <c r="F1174"/>
      <c r="G1174" s="77"/>
      <c r="I1174"/>
      <c r="J1174" s="34"/>
      <c r="K1174"/>
    </row>
    <row r="1175" ht="30" spans="1:11">
      <c r="A1175" s="102" t="s">
        <v>2173</v>
      </c>
      <c r="B1175" s="102" t="s">
        <v>2174</v>
      </c>
      <c r="C1175" s="102" t="s">
        <v>56</v>
      </c>
      <c r="D1175" s="99">
        <f>IF(OR(Clientes[[#This Row],[Columna1]]="Pago inmediato",Clientes[[#This Row],[Columna1]]=""),0,SUBSTITUTE(Clientes[[#This Row],[Columna1]]," días",""))</f>
        <v>0</v>
      </c>
      <c r="E1175" s="34"/>
      <c r="F1175"/>
      <c r="G1175" s="77"/>
      <c r="I1175"/>
      <c r="J1175" s="34"/>
      <c r="K1175"/>
    </row>
    <row r="1176" ht="45" spans="1:11">
      <c r="A1176" s="102" t="s">
        <v>2175</v>
      </c>
      <c r="B1176" s="102" t="s">
        <v>2176</v>
      </c>
      <c r="C1176" s="102" t="s">
        <v>56</v>
      </c>
      <c r="D1176" s="99">
        <f>IF(OR(Clientes[[#This Row],[Columna1]]="Pago inmediato",Clientes[[#This Row],[Columna1]]=""),0,SUBSTITUTE(Clientes[[#This Row],[Columna1]]," días",""))</f>
        <v>0</v>
      </c>
      <c r="E1176" s="34"/>
      <c r="F1176"/>
      <c r="G1176" s="77"/>
      <c r="I1176"/>
      <c r="J1176" s="34"/>
      <c r="K1176"/>
    </row>
    <row r="1177" ht="45" spans="1:11">
      <c r="A1177" s="102" t="s">
        <v>2177</v>
      </c>
      <c r="B1177" s="102" t="s">
        <v>2178</v>
      </c>
      <c r="C1177" s="102" t="s">
        <v>56</v>
      </c>
      <c r="D1177" s="99">
        <f>IF(OR(Clientes[[#This Row],[Columna1]]="Pago inmediato",Clientes[[#This Row],[Columna1]]=""),0,SUBSTITUTE(Clientes[[#This Row],[Columna1]]," días",""))</f>
        <v>0</v>
      </c>
      <c r="E1177" s="34"/>
      <c r="F1177"/>
      <c r="G1177" s="77"/>
      <c r="I1177"/>
      <c r="J1177" s="34"/>
      <c r="K1177"/>
    </row>
    <row r="1178" ht="45" spans="1:11">
      <c r="A1178" s="102" t="s">
        <v>2179</v>
      </c>
      <c r="B1178" s="102" t="s">
        <v>2180</v>
      </c>
      <c r="C1178" s="102" t="s">
        <v>56</v>
      </c>
      <c r="D1178" s="99">
        <f>IF(OR(Clientes[[#This Row],[Columna1]]="Pago inmediato",Clientes[[#This Row],[Columna1]]=""),0,SUBSTITUTE(Clientes[[#This Row],[Columna1]]," días",""))</f>
        <v>0</v>
      </c>
      <c r="E1178" s="34"/>
      <c r="F1178"/>
      <c r="G1178" s="77"/>
      <c r="I1178"/>
      <c r="J1178" s="34"/>
      <c r="K1178"/>
    </row>
    <row r="1179" ht="45" spans="1:11">
      <c r="A1179" s="102" t="s">
        <v>2179</v>
      </c>
      <c r="B1179" s="102" t="s">
        <v>2181</v>
      </c>
      <c r="C1179" s="102" t="s">
        <v>56</v>
      </c>
      <c r="D1179" s="99">
        <f>IF(OR(Clientes[[#This Row],[Columna1]]="Pago inmediato",Clientes[[#This Row],[Columna1]]=""),0,SUBSTITUTE(Clientes[[#This Row],[Columna1]]," días",""))</f>
        <v>0</v>
      </c>
      <c r="E1179" s="34"/>
      <c r="F1179"/>
      <c r="G1179" s="77"/>
      <c r="I1179"/>
      <c r="J1179" s="34"/>
      <c r="K1179"/>
    </row>
    <row r="1180" ht="45" spans="1:11">
      <c r="A1180" s="102" t="s">
        <v>2182</v>
      </c>
      <c r="B1180" s="102" t="s">
        <v>2183</v>
      </c>
      <c r="C1180" s="102" t="s">
        <v>56</v>
      </c>
      <c r="D1180" s="99">
        <f>IF(OR(Clientes[[#This Row],[Columna1]]="Pago inmediato",Clientes[[#This Row],[Columna1]]=""),0,SUBSTITUTE(Clientes[[#This Row],[Columna1]]," días",""))</f>
        <v>0</v>
      </c>
      <c r="E1180" s="34"/>
      <c r="F1180"/>
      <c r="G1180" s="77"/>
      <c r="I1180"/>
      <c r="J1180" s="34"/>
      <c r="K1180"/>
    </row>
    <row r="1181" ht="30" spans="1:11">
      <c r="A1181" s="102" t="s">
        <v>2184</v>
      </c>
      <c r="B1181" s="102" t="s">
        <v>2185</v>
      </c>
      <c r="C1181" s="102" t="s">
        <v>56</v>
      </c>
      <c r="D1181" s="99">
        <f>IF(OR(Clientes[[#This Row],[Columna1]]="Pago inmediato",Clientes[[#This Row],[Columna1]]=""),0,SUBSTITUTE(Clientes[[#This Row],[Columna1]]," días",""))</f>
        <v>0</v>
      </c>
      <c r="E1181" s="34"/>
      <c r="F1181"/>
      <c r="G1181" s="77"/>
      <c r="I1181"/>
      <c r="J1181" s="34"/>
      <c r="K1181"/>
    </row>
    <row r="1182" ht="30" spans="1:11">
      <c r="A1182" s="102" t="s">
        <v>2186</v>
      </c>
      <c r="B1182" s="102" t="s">
        <v>2187</v>
      </c>
      <c r="C1182" s="102" t="s">
        <v>56</v>
      </c>
      <c r="D1182" s="99">
        <f>IF(OR(Clientes[[#This Row],[Columna1]]="Pago inmediato",Clientes[[#This Row],[Columna1]]=""),0,SUBSTITUTE(Clientes[[#This Row],[Columna1]]," días",""))</f>
        <v>0</v>
      </c>
      <c r="E1182" s="34"/>
      <c r="F1182"/>
      <c r="G1182" s="77"/>
      <c r="I1182"/>
      <c r="J1182" s="34"/>
      <c r="K1182"/>
    </row>
    <row r="1183" ht="30" spans="1:11">
      <c r="A1183" s="102" t="s">
        <v>2188</v>
      </c>
      <c r="B1183" s="102" t="s">
        <v>2189</v>
      </c>
      <c r="C1183" s="102" t="s">
        <v>56</v>
      </c>
      <c r="D1183" s="99">
        <f>IF(OR(Clientes[[#This Row],[Columna1]]="Pago inmediato",Clientes[[#This Row],[Columna1]]=""),0,SUBSTITUTE(Clientes[[#This Row],[Columna1]]," días",""))</f>
        <v>0</v>
      </c>
      <c r="E1183" s="34"/>
      <c r="F1183"/>
      <c r="G1183" s="77"/>
      <c r="I1183"/>
      <c r="J1183" s="34"/>
      <c r="K1183"/>
    </row>
    <row r="1184" ht="30" spans="1:11">
      <c r="A1184" s="102" t="s">
        <v>2190</v>
      </c>
      <c r="B1184" s="102" t="s">
        <v>2191</v>
      </c>
      <c r="C1184" s="102" t="s">
        <v>56</v>
      </c>
      <c r="D1184" s="99">
        <f>IF(OR(Clientes[[#This Row],[Columna1]]="Pago inmediato",Clientes[[#This Row],[Columna1]]=""),0,SUBSTITUTE(Clientes[[#This Row],[Columna1]]," días",""))</f>
        <v>0</v>
      </c>
      <c r="E1184" s="34"/>
      <c r="F1184"/>
      <c r="G1184" s="77"/>
      <c r="I1184"/>
      <c r="J1184" s="34"/>
      <c r="K1184"/>
    </row>
    <row r="1185" ht="30" spans="1:11">
      <c r="A1185" s="102" t="s">
        <v>2192</v>
      </c>
      <c r="B1185" s="102" t="s">
        <v>2193</v>
      </c>
      <c r="C1185" s="102" t="s">
        <v>454</v>
      </c>
      <c r="D1185" s="99" t="str">
        <f>IF(OR(Clientes[[#This Row],[Columna1]]="Pago inmediato",Clientes[[#This Row],[Columna1]]=""),0,SUBSTITUTE(Clientes[[#This Row],[Columna1]]," días",""))</f>
        <v>21</v>
      </c>
      <c r="E1185" s="34"/>
      <c r="F1185"/>
      <c r="G1185" s="77"/>
      <c r="I1185"/>
      <c r="J1185" s="34"/>
      <c r="K1185"/>
    </row>
    <row r="1186" ht="30" spans="1:11">
      <c r="A1186" s="102" t="s">
        <v>2194</v>
      </c>
      <c r="B1186" s="102" t="s">
        <v>2195</v>
      </c>
      <c r="C1186" s="102" t="s">
        <v>56</v>
      </c>
      <c r="D1186" s="99">
        <f>IF(OR(Clientes[[#This Row],[Columna1]]="Pago inmediato",Clientes[[#This Row],[Columna1]]=""),0,SUBSTITUTE(Clientes[[#This Row],[Columna1]]," días",""))</f>
        <v>0</v>
      </c>
      <c r="E1186" s="34"/>
      <c r="F1186"/>
      <c r="G1186" s="77"/>
      <c r="I1186"/>
      <c r="J1186" s="34"/>
      <c r="K1186"/>
    </row>
    <row r="1187" ht="30" spans="1:11">
      <c r="A1187" s="102" t="s">
        <v>2196</v>
      </c>
      <c r="B1187" s="102" t="s">
        <v>2197</v>
      </c>
      <c r="C1187" s="102" t="s">
        <v>56</v>
      </c>
      <c r="D1187" s="99">
        <f>IF(OR(Clientes[[#This Row],[Columna1]]="Pago inmediato",Clientes[[#This Row],[Columna1]]=""),0,SUBSTITUTE(Clientes[[#This Row],[Columna1]]," días",""))</f>
        <v>0</v>
      </c>
      <c r="E1187" s="34"/>
      <c r="F1187"/>
      <c r="G1187" s="77"/>
      <c r="I1187"/>
      <c r="J1187" s="34"/>
      <c r="K1187"/>
    </row>
    <row r="1188" ht="45" spans="1:11">
      <c r="A1188" s="102" t="s">
        <v>2198</v>
      </c>
      <c r="B1188" s="102" t="s">
        <v>2199</v>
      </c>
      <c r="C1188" s="102" t="s">
        <v>56</v>
      </c>
      <c r="D1188" s="99">
        <f>IF(OR(Clientes[[#This Row],[Columna1]]="Pago inmediato",Clientes[[#This Row],[Columna1]]=""),0,SUBSTITUTE(Clientes[[#This Row],[Columna1]]," días",""))</f>
        <v>0</v>
      </c>
      <c r="E1188" s="34"/>
      <c r="F1188"/>
      <c r="G1188" s="77"/>
      <c r="I1188"/>
      <c r="J1188" s="34"/>
      <c r="K1188"/>
    </row>
    <row r="1189" ht="30" spans="1:11">
      <c r="A1189" s="102" t="s">
        <v>2200</v>
      </c>
      <c r="B1189" s="102" t="s">
        <v>2201</v>
      </c>
      <c r="C1189" s="102" t="s">
        <v>56</v>
      </c>
      <c r="D1189" s="99">
        <f>IF(OR(Clientes[[#This Row],[Columna1]]="Pago inmediato",Clientes[[#This Row],[Columna1]]=""),0,SUBSTITUTE(Clientes[[#This Row],[Columna1]]," días",""))</f>
        <v>0</v>
      </c>
      <c r="E1189" s="34"/>
      <c r="F1189"/>
      <c r="G1189" s="77"/>
      <c r="I1189"/>
      <c r="J1189" s="34"/>
      <c r="K1189"/>
    </row>
    <row r="1190" ht="30" spans="1:11">
      <c r="A1190" s="102" t="s">
        <v>2202</v>
      </c>
      <c r="B1190" s="102" t="s">
        <v>2203</v>
      </c>
      <c r="C1190" s="102" t="s">
        <v>56</v>
      </c>
      <c r="D1190" s="99">
        <f>IF(OR(Clientes[[#This Row],[Columna1]]="Pago inmediato",Clientes[[#This Row],[Columna1]]=""),0,SUBSTITUTE(Clientes[[#This Row],[Columna1]]," días",""))</f>
        <v>0</v>
      </c>
      <c r="E1190" s="34"/>
      <c r="F1190"/>
      <c r="G1190" s="77"/>
      <c r="I1190"/>
      <c r="J1190" s="34"/>
      <c r="K1190"/>
    </row>
    <row r="1191" ht="30" spans="1:11">
      <c r="A1191" s="102" t="s">
        <v>2204</v>
      </c>
      <c r="B1191" s="102" t="s">
        <v>2205</v>
      </c>
      <c r="C1191" s="102" t="s">
        <v>56</v>
      </c>
      <c r="D1191" s="99">
        <f>IF(OR(Clientes[[#This Row],[Columna1]]="Pago inmediato",Clientes[[#This Row],[Columna1]]=""),0,SUBSTITUTE(Clientes[[#This Row],[Columna1]]," días",""))</f>
        <v>0</v>
      </c>
      <c r="E1191" s="34"/>
      <c r="F1191"/>
      <c r="G1191" s="77"/>
      <c r="I1191"/>
      <c r="J1191" s="34"/>
      <c r="K1191"/>
    </row>
    <row r="1192" spans="1:11">
      <c r="A1192" s="102" t="s">
        <v>2206</v>
      </c>
      <c r="B1192" s="102" t="s">
        <v>2207</v>
      </c>
      <c r="C1192" s="102" t="s">
        <v>56</v>
      </c>
      <c r="D1192" s="99">
        <f>IF(OR(Clientes[[#This Row],[Columna1]]="Pago inmediato",Clientes[[#This Row],[Columna1]]=""),0,SUBSTITUTE(Clientes[[#This Row],[Columna1]]," días",""))</f>
        <v>0</v>
      </c>
      <c r="E1192" s="34"/>
      <c r="F1192"/>
      <c r="G1192" s="77"/>
      <c r="I1192"/>
      <c r="J1192" s="34"/>
      <c r="K1192"/>
    </row>
    <row r="1193" ht="30" spans="1:11">
      <c r="A1193" s="102" t="s">
        <v>2206</v>
      </c>
      <c r="B1193" s="102" t="s">
        <v>2208</v>
      </c>
      <c r="C1193" s="102" t="s">
        <v>56</v>
      </c>
      <c r="D1193" s="99">
        <f>IF(OR(Clientes[[#This Row],[Columna1]]="Pago inmediato",Clientes[[#This Row],[Columna1]]=""),0,SUBSTITUTE(Clientes[[#This Row],[Columna1]]," días",""))</f>
        <v>0</v>
      </c>
      <c r="E1193" s="34"/>
      <c r="F1193"/>
      <c r="G1193" s="77"/>
      <c r="I1193"/>
      <c r="J1193" s="34"/>
      <c r="K1193"/>
    </row>
    <row r="1194" spans="1:11">
      <c r="A1194" s="102" t="s">
        <v>2209</v>
      </c>
      <c r="B1194" s="102" t="s">
        <v>2210</v>
      </c>
      <c r="C1194" s="102" t="s">
        <v>56</v>
      </c>
      <c r="D1194" s="99">
        <f>IF(OR(Clientes[[#This Row],[Columna1]]="Pago inmediato",Clientes[[#This Row],[Columna1]]=""),0,SUBSTITUTE(Clientes[[#This Row],[Columna1]]," días",""))</f>
        <v>0</v>
      </c>
      <c r="E1194" s="34"/>
      <c r="F1194"/>
      <c r="G1194" s="77"/>
      <c r="I1194"/>
      <c r="J1194" s="34"/>
      <c r="K1194"/>
    </row>
    <row r="1195" spans="1:11">
      <c r="A1195" s="102" t="s">
        <v>2211</v>
      </c>
      <c r="B1195" s="102" t="s">
        <v>2212</v>
      </c>
      <c r="C1195" s="102" t="s">
        <v>56</v>
      </c>
      <c r="D1195" s="99">
        <f>IF(OR(Clientes[[#This Row],[Columna1]]="Pago inmediato",Clientes[[#This Row],[Columna1]]=""),0,SUBSTITUTE(Clientes[[#This Row],[Columna1]]," días",""))</f>
        <v>0</v>
      </c>
      <c r="E1195" s="34"/>
      <c r="F1195"/>
      <c r="G1195" s="77"/>
      <c r="I1195"/>
      <c r="J1195" s="34"/>
      <c r="K1195"/>
    </row>
    <row r="1196" ht="30" spans="1:11">
      <c r="A1196" s="102" t="s">
        <v>2213</v>
      </c>
      <c r="B1196" s="102" t="s">
        <v>2214</v>
      </c>
      <c r="C1196" s="102" t="s">
        <v>56</v>
      </c>
      <c r="D1196" s="99">
        <f>IF(OR(Clientes[[#This Row],[Columna1]]="Pago inmediato",Clientes[[#This Row],[Columna1]]=""),0,SUBSTITUTE(Clientes[[#This Row],[Columna1]]," días",""))</f>
        <v>0</v>
      </c>
      <c r="E1196" s="34"/>
      <c r="F1196"/>
      <c r="G1196" s="77"/>
      <c r="I1196"/>
      <c r="J1196" s="34"/>
      <c r="K1196"/>
    </row>
    <row r="1197" ht="30" spans="1:11">
      <c r="A1197" s="102" t="s">
        <v>2215</v>
      </c>
      <c r="B1197" s="102" t="s">
        <v>2216</v>
      </c>
      <c r="C1197" s="102" t="s">
        <v>56</v>
      </c>
      <c r="D1197" s="99">
        <f>IF(OR(Clientes[[#This Row],[Columna1]]="Pago inmediato",Clientes[[#This Row],[Columna1]]=""),0,SUBSTITUTE(Clientes[[#This Row],[Columna1]]," días",""))</f>
        <v>0</v>
      </c>
      <c r="E1197" s="34"/>
      <c r="F1197"/>
      <c r="G1197" s="77"/>
      <c r="I1197"/>
      <c r="J1197" s="34"/>
      <c r="K1197"/>
    </row>
    <row r="1198" ht="30" spans="1:11">
      <c r="A1198" s="102" t="s">
        <v>2217</v>
      </c>
      <c r="B1198" s="102" t="s">
        <v>2218</v>
      </c>
      <c r="C1198" s="102" t="s">
        <v>56</v>
      </c>
      <c r="D1198" s="99">
        <f>IF(OR(Clientes[[#This Row],[Columna1]]="Pago inmediato",Clientes[[#This Row],[Columna1]]=""),0,SUBSTITUTE(Clientes[[#This Row],[Columna1]]," días",""))</f>
        <v>0</v>
      </c>
      <c r="E1198" s="34"/>
      <c r="F1198"/>
      <c r="G1198" s="77"/>
      <c r="I1198"/>
      <c r="J1198" s="34"/>
      <c r="K1198"/>
    </row>
    <row r="1199" ht="30" spans="1:11">
      <c r="A1199" s="102" t="s">
        <v>2219</v>
      </c>
      <c r="B1199" s="102" t="s">
        <v>2220</v>
      </c>
      <c r="C1199" s="102" t="s">
        <v>56</v>
      </c>
      <c r="D1199" s="99">
        <f>IF(OR(Clientes[[#This Row],[Columna1]]="Pago inmediato",Clientes[[#This Row],[Columna1]]=""),0,SUBSTITUTE(Clientes[[#This Row],[Columna1]]," días",""))</f>
        <v>0</v>
      </c>
      <c r="E1199" s="34"/>
      <c r="F1199"/>
      <c r="G1199" s="77"/>
      <c r="I1199"/>
      <c r="J1199" s="34"/>
      <c r="K1199"/>
    </row>
    <row r="1200" spans="1:11">
      <c r="A1200" s="102" t="s">
        <v>2221</v>
      </c>
      <c r="B1200" s="102" t="s">
        <v>2222</v>
      </c>
      <c r="C1200" s="102" t="s">
        <v>56</v>
      </c>
      <c r="D1200" s="99">
        <f>IF(OR(Clientes[[#This Row],[Columna1]]="Pago inmediato",Clientes[[#This Row],[Columna1]]=""),0,SUBSTITUTE(Clientes[[#This Row],[Columna1]]," días",""))</f>
        <v>0</v>
      </c>
      <c r="E1200" s="34"/>
      <c r="F1200"/>
      <c r="G1200" s="77"/>
      <c r="I1200"/>
      <c r="J1200" s="34"/>
      <c r="K1200"/>
    </row>
    <row r="1201" ht="30" spans="1:11">
      <c r="A1201" s="102" t="s">
        <v>2223</v>
      </c>
      <c r="B1201" s="102" t="s">
        <v>2224</v>
      </c>
      <c r="C1201" s="102" t="s">
        <v>56</v>
      </c>
      <c r="D1201" s="99">
        <f>IF(OR(Clientes[[#This Row],[Columna1]]="Pago inmediato",Clientes[[#This Row],[Columna1]]=""),0,SUBSTITUTE(Clientes[[#This Row],[Columna1]]," días",""))</f>
        <v>0</v>
      </c>
      <c r="E1201" s="34"/>
      <c r="F1201"/>
      <c r="G1201" s="77"/>
      <c r="I1201"/>
      <c r="J1201" s="34"/>
      <c r="K1201"/>
    </row>
    <row r="1202" ht="30" spans="1:11">
      <c r="A1202" s="102" t="s">
        <v>2225</v>
      </c>
      <c r="B1202" s="102" t="s">
        <v>2226</v>
      </c>
      <c r="C1202" s="102" t="s">
        <v>61</v>
      </c>
      <c r="D1202" s="99" t="str">
        <f>IF(OR(Clientes[[#This Row],[Columna1]]="Pago inmediato",Clientes[[#This Row],[Columna1]]=""),0,SUBSTITUTE(Clientes[[#This Row],[Columna1]]," días",""))</f>
        <v>15</v>
      </c>
      <c r="E1202" s="34"/>
      <c r="F1202"/>
      <c r="G1202" s="77"/>
      <c r="I1202"/>
      <c r="J1202" s="34"/>
      <c r="K1202"/>
    </row>
    <row r="1203" ht="30" spans="1:11">
      <c r="A1203" s="102" t="s">
        <v>2227</v>
      </c>
      <c r="B1203" s="102" t="s">
        <v>2228</v>
      </c>
      <c r="C1203" s="102" t="s">
        <v>56</v>
      </c>
      <c r="D1203" s="99">
        <f>IF(OR(Clientes[[#This Row],[Columna1]]="Pago inmediato",Clientes[[#This Row],[Columna1]]=""),0,SUBSTITUTE(Clientes[[#This Row],[Columna1]]," días",""))</f>
        <v>0</v>
      </c>
      <c r="E1203" s="34"/>
      <c r="F1203"/>
      <c r="G1203" s="77"/>
      <c r="I1203"/>
      <c r="J1203" s="34"/>
      <c r="K1203"/>
    </row>
    <row r="1204" ht="45" spans="1:11">
      <c r="A1204" s="102" t="s">
        <v>2229</v>
      </c>
      <c r="B1204" s="102" t="s">
        <v>2230</v>
      </c>
      <c r="C1204" s="102" t="s">
        <v>56</v>
      </c>
      <c r="D1204" s="99">
        <f>IF(OR(Clientes[[#This Row],[Columna1]]="Pago inmediato",Clientes[[#This Row],[Columna1]]=""),0,SUBSTITUTE(Clientes[[#This Row],[Columna1]]," días",""))</f>
        <v>0</v>
      </c>
      <c r="E1204" s="34"/>
      <c r="F1204"/>
      <c r="G1204" s="77"/>
      <c r="I1204"/>
      <c r="J1204" s="34"/>
      <c r="K1204"/>
    </row>
    <row r="1205" spans="1:11">
      <c r="A1205" s="102" t="s">
        <v>2231</v>
      </c>
      <c r="B1205" s="102" t="s">
        <v>2232</v>
      </c>
      <c r="C1205" s="102" t="s">
        <v>56</v>
      </c>
      <c r="D1205" s="99">
        <f>IF(OR(Clientes[[#This Row],[Columna1]]="Pago inmediato",Clientes[[#This Row],[Columna1]]=""),0,SUBSTITUTE(Clientes[[#This Row],[Columna1]]," días",""))</f>
        <v>0</v>
      </c>
      <c r="E1205" s="34"/>
      <c r="F1205"/>
      <c r="G1205" s="77"/>
      <c r="I1205"/>
      <c r="J1205" s="34"/>
      <c r="K1205"/>
    </row>
    <row r="1206" spans="1:11">
      <c r="A1206" s="102" t="s">
        <v>2233</v>
      </c>
      <c r="B1206" s="102" t="s">
        <v>2234</v>
      </c>
      <c r="C1206" s="102" t="s">
        <v>56</v>
      </c>
      <c r="D1206" s="99">
        <f>IF(OR(Clientes[[#This Row],[Columna1]]="Pago inmediato",Clientes[[#This Row],[Columna1]]=""),0,SUBSTITUTE(Clientes[[#This Row],[Columna1]]," días",""))</f>
        <v>0</v>
      </c>
      <c r="E1206" s="34"/>
      <c r="F1206"/>
      <c r="G1206" s="77"/>
      <c r="I1206"/>
      <c r="J1206" s="34"/>
      <c r="K1206"/>
    </row>
    <row r="1207" spans="1:11">
      <c r="A1207" s="102" t="s">
        <v>2235</v>
      </c>
      <c r="B1207" s="102" t="s">
        <v>2236</v>
      </c>
      <c r="C1207" s="102" t="s">
        <v>56</v>
      </c>
      <c r="D1207" s="99">
        <f>IF(OR(Clientes[[#This Row],[Columna1]]="Pago inmediato",Clientes[[#This Row],[Columna1]]=""),0,SUBSTITUTE(Clientes[[#This Row],[Columna1]]," días",""))</f>
        <v>0</v>
      </c>
      <c r="E1207" s="34"/>
      <c r="F1207"/>
      <c r="G1207" s="77"/>
      <c r="I1207"/>
      <c r="J1207" s="34"/>
      <c r="K1207"/>
    </row>
    <row r="1208" ht="30" spans="1:11">
      <c r="A1208" s="102" t="s">
        <v>2237</v>
      </c>
      <c r="B1208" s="102" t="s">
        <v>2238</v>
      </c>
      <c r="C1208" s="102" t="s">
        <v>56</v>
      </c>
      <c r="D1208" s="99">
        <f>IF(OR(Clientes[[#This Row],[Columna1]]="Pago inmediato",Clientes[[#This Row],[Columna1]]=""),0,SUBSTITUTE(Clientes[[#This Row],[Columna1]]," días",""))</f>
        <v>0</v>
      </c>
      <c r="E1208" s="34"/>
      <c r="F1208"/>
      <c r="G1208" s="77"/>
      <c r="I1208"/>
      <c r="J1208" s="34"/>
      <c r="K1208"/>
    </row>
    <row r="1209" spans="1:11">
      <c r="A1209" s="102"/>
      <c r="B1209" s="102" t="s">
        <v>2239</v>
      </c>
      <c r="C1209" s="102" t="s">
        <v>56</v>
      </c>
      <c r="D1209" s="99">
        <f>IF(OR(Clientes[[#This Row],[Columna1]]="Pago inmediato",Clientes[[#This Row],[Columna1]]=""),0,SUBSTITUTE(Clientes[[#This Row],[Columna1]]," días",""))</f>
        <v>0</v>
      </c>
      <c r="E1209" s="34"/>
      <c r="F1209"/>
      <c r="G1209" s="77"/>
      <c r="I1209"/>
      <c r="J1209" s="34"/>
      <c r="K1209"/>
    </row>
    <row r="1210" ht="30" spans="1:11">
      <c r="A1210" s="102" t="s">
        <v>2240</v>
      </c>
      <c r="B1210" s="102" t="s">
        <v>2241</v>
      </c>
      <c r="C1210" s="102" t="s">
        <v>56</v>
      </c>
      <c r="D1210" s="99">
        <f>IF(OR(Clientes[[#This Row],[Columna1]]="Pago inmediato",Clientes[[#This Row],[Columna1]]=""),0,SUBSTITUTE(Clientes[[#This Row],[Columna1]]," días",""))</f>
        <v>0</v>
      </c>
      <c r="E1210" s="34"/>
      <c r="F1210"/>
      <c r="G1210" s="77"/>
      <c r="I1210"/>
      <c r="J1210" s="34"/>
      <c r="K1210"/>
    </row>
    <row r="1211" spans="1:11">
      <c r="A1211" s="102" t="s">
        <v>2242</v>
      </c>
      <c r="B1211" s="102" t="s">
        <v>2243</v>
      </c>
      <c r="C1211" s="102" t="s">
        <v>56</v>
      </c>
      <c r="D1211" s="99">
        <f>IF(OR(Clientes[[#This Row],[Columna1]]="Pago inmediato",Clientes[[#This Row],[Columna1]]=""),0,SUBSTITUTE(Clientes[[#This Row],[Columna1]]," días",""))</f>
        <v>0</v>
      </c>
      <c r="E1211" s="34"/>
      <c r="F1211"/>
      <c r="G1211" s="77"/>
      <c r="I1211"/>
      <c r="J1211" s="34"/>
      <c r="K1211"/>
    </row>
    <row r="1212" spans="1:11">
      <c r="A1212" s="102"/>
      <c r="B1212" s="102" t="s">
        <v>2244</v>
      </c>
      <c r="C1212" s="102" t="s">
        <v>56</v>
      </c>
      <c r="D1212" s="99">
        <f>IF(OR(Clientes[[#This Row],[Columna1]]="Pago inmediato",Clientes[[#This Row],[Columna1]]=""),0,SUBSTITUTE(Clientes[[#This Row],[Columna1]]," días",""))</f>
        <v>0</v>
      </c>
      <c r="E1212" s="34"/>
      <c r="F1212"/>
      <c r="G1212" s="77"/>
      <c r="I1212"/>
      <c r="J1212" s="34"/>
      <c r="K1212"/>
    </row>
    <row r="1213" spans="1:11">
      <c r="A1213" s="102"/>
      <c r="B1213" s="102" t="s">
        <v>2245</v>
      </c>
      <c r="C1213" s="102"/>
      <c r="D1213" s="99">
        <f>IF(OR(Clientes[[#This Row],[Columna1]]="Pago inmediato",Clientes[[#This Row],[Columna1]]=""),0,SUBSTITUTE(Clientes[[#This Row],[Columna1]]," días",""))</f>
        <v>0</v>
      </c>
      <c r="E1213" s="34"/>
      <c r="F1213"/>
      <c r="G1213" s="77"/>
      <c r="I1213"/>
      <c r="J1213" s="34"/>
      <c r="K1213"/>
    </row>
    <row r="1214" spans="1:11">
      <c r="A1214" s="102"/>
      <c r="B1214" s="102" t="s">
        <v>2246</v>
      </c>
      <c r="C1214" s="102"/>
      <c r="D1214" s="99">
        <f>IF(OR(Clientes[[#This Row],[Columna1]]="Pago inmediato",Clientes[[#This Row],[Columna1]]=""),0,SUBSTITUTE(Clientes[[#This Row],[Columna1]]," días",""))</f>
        <v>0</v>
      </c>
      <c r="E1214" s="34"/>
      <c r="F1214"/>
      <c r="G1214" s="77"/>
      <c r="I1214"/>
      <c r="J1214" s="34"/>
      <c r="K1214"/>
    </row>
    <row r="1215" ht="30" spans="1:11">
      <c r="A1215" s="102" t="s">
        <v>2247</v>
      </c>
      <c r="B1215" s="102" t="s">
        <v>2248</v>
      </c>
      <c r="C1215" s="102" t="s">
        <v>56</v>
      </c>
      <c r="D1215" s="99">
        <f>IF(OR(Clientes[[#This Row],[Columna1]]="Pago inmediato",Clientes[[#This Row],[Columna1]]=""),0,SUBSTITUTE(Clientes[[#This Row],[Columna1]]," días",""))</f>
        <v>0</v>
      </c>
      <c r="E1215" s="34"/>
      <c r="F1215"/>
      <c r="G1215" s="77"/>
      <c r="I1215"/>
      <c r="J1215" s="34"/>
      <c r="K1215"/>
    </row>
    <row r="1216" ht="30" spans="1:11">
      <c r="A1216" s="102" t="s">
        <v>2249</v>
      </c>
      <c r="B1216" s="102" t="s">
        <v>2250</v>
      </c>
      <c r="C1216" s="102" t="s">
        <v>56</v>
      </c>
      <c r="D1216" s="99">
        <f>IF(OR(Clientes[[#This Row],[Columna1]]="Pago inmediato",Clientes[[#This Row],[Columna1]]=""),0,SUBSTITUTE(Clientes[[#This Row],[Columna1]]," días",""))</f>
        <v>0</v>
      </c>
      <c r="E1216" s="34"/>
      <c r="F1216"/>
      <c r="G1216" s="77"/>
      <c r="I1216"/>
      <c r="J1216" s="34"/>
      <c r="K1216"/>
    </row>
    <row r="1217" ht="30" spans="1:11">
      <c r="A1217" s="102" t="s">
        <v>2251</v>
      </c>
      <c r="B1217" s="102" t="s">
        <v>2252</v>
      </c>
      <c r="C1217" s="102" t="s">
        <v>56</v>
      </c>
      <c r="D1217" s="99">
        <f>IF(OR(Clientes[[#This Row],[Columna1]]="Pago inmediato",Clientes[[#This Row],[Columna1]]=""),0,SUBSTITUTE(Clientes[[#This Row],[Columna1]]," días",""))</f>
        <v>0</v>
      </c>
      <c r="E1217" s="34"/>
      <c r="F1217"/>
      <c r="G1217" s="77"/>
      <c r="I1217"/>
      <c r="J1217" s="34"/>
      <c r="K1217"/>
    </row>
    <row r="1218" ht="45" spans="1:11">
      <c r="A1218" s="102" t="s">
        <v>2251</v>
      </c>
      <c r="B1218" s="102" t="s">
        <v>2253</v>
      </c>
      <c r="C1218" s="102" t="s">
        <v>56</v>
      </c>
      <c r="D1218" s="99">
        <f>IF(OR(Clientes[[#This Row],[Columna1]]="Pago inmediato",Clientes[[#This Row],[Columna1]]=""),0,SUBSTITUTE(Clientes[[#This Row],[Columna1]]," días",""))</f>
        <v>0</v>
      </c>
      <c r="E1218" s="34"/>
      <c r="F1218"/>
      <c r="G1218" s="77"/>
      <c r="I1218"/>
      <c r="J1218" s="34"/>
      <c r="K1218"/>
    </row>
    <row r="1219" ht="30" spans="1:11">
      <c r="A1219" s="102" t="s">
        <v>2254</v>
      </c>
      <c r="B1219" s="102" t="s">
        <v>2255</v>
      </c>
      <c r="C1219" s="102" t="s">
        <v>56</v>
      </c>
      <c r="D1219" s="99">
        <v>0</v>
      </c>
      <c r="E1219" s="34"/>
      <c r="F1219"/>
      <c r="G1219" s="77"/>
      <c r="I1219"/>
      <c r="J1219" s="34"/>
      <c r="K1219"/>
    </row>
    <row r="1220" ht="30" spans="1:11">
      <c r="A1220" s="102" t="s">
        <v>2256</v>
      </c>
      <c r="B1220" s="102" t="s">
        <v>2257</v>
      </c>
      <c r="C1220" s="102" t="s">
        <v>56</v>
      </c>
      <c r="D1220" s="99">
        <f>IF(OR(Clientes[[#This Row],[Columna1]]="Pago inmediato",Clientes[[#This Row],[Columna1]]=""),0,SUBSTITUTE(Clientes[[#This Row],[Columna1]]," días",""))</f>
        <v>0</v>
      </c>
      <c r="E1220" s="34"/>
      <c r="F1220"/>
      <c r="G1220" s="77"/>
      <c r="I1220"/>
      <c r="J1220" s="34"/>
      <c r="K1220"/>
    </row>
    <row r="1221" ht="30" spans="1:11">
      <c r="A1221" s="102" t="s">
        <v>2258</v>
      </c>
      <c r="B1221" s="102" t="s">
        <v>2259</v>
      </c>
      <c r="C1221" s="102" t="s">
        <v>56</v>
      </c>
      <c r="D1221" s="99">
        <f>IF(OR(Clientes[[#This Row],[Columna1]]="Pago inmediato",Clientes[[#This Row],[Columna1]]=""),0,SUBSTITUTE(Clientes[[#This Row],[Columna1]]," días",""))</f>
        <v>0</v>
      </c>
      <c r="E1221" s="34"/>
      <c r="F1221"/>
      <c r="G1221" s="77"/>
      <c r="I1221"/>
      <c r="J1221" s="34"/>
      <c r="K1221"/>
    </row>
    <row r="1222" ht="30" spans="1:11">
      <c r="A1222" s="102" t="s">
        <v>2260</v>
      </c>
      <c r="B1222" s="102" t="s">
        <v>2261</v>
      </c>
      <c r="C1222" s="102" t="s">
        <v>56</v>
      </c>
      <c r="D1222" s="99">
        <f>IF(OR(Clientes[[#This Row],[Columna1]]="Pago inmediato",Clientes[[#This Row],[Columna1]]=""),0,SUBSTITUTE(Clientes[[#This Row],[Columna1]]," días",""))</f>
        <v>0</v>
      </c>
      <c r="E1222" s="34"/>
      <c r="F1222"/>
      <c r="G1222" s="77"/>
      <c r="I1222"/>
      <c r="J1222" s="34"/>
      <c r="K1222"/>
    </row>
    <row r="1223" spans="1:11">
      <c r="A1223" s="102" t="s">
        <v>2262</v>
      </c>
      <c r="B1223" s="102" t="s">
        <v>2263</v>
      </c>
      <c r="C1223" s="102" t="s">
        <v>56</v>
      </c>
      <c r="D1223" s="99">
        <f>IF(OR(Clientes[[#This Row],[Columna1]]="Pago inmediato",Clientes[[#This Row],[Columna1]]=""),0,SUBSTITUTE(Clientes[[#This Row],[Columna1]]," días",""))</f>
        <v>0</v>
      </c>
      <c r="E1223" s="34"/>
      <c r="F1223"/>
      <c r="G1223" s="77"/>
      <c r="I1223"/>
      <c r="J1223" s="34"/>
      <c r="K1223"/>
    </row>
    <row r="1224" spans="1:11">
      <c r="A1224" s="102" t="s">
        <v>2264</v>
      </c>
      <c r="B1224" s="102" t="s">
        <v>2265</v>
      </c>
      <c r="C1224" s="102" t="s">
        <v>56</v>
      </c>
      <c r="D1224" s="99">
        <f>IF(OR(Clientes[[#This Row],[Columna1]]="Pago inmediato",Clientes[[#This Row],[Columna1]]=""),0,SUBSTITUTE(Clientes[[#This Row],[Columna1]]," días",""))</f>
        <v>0</v>
      </c>
      <c r="E1224" s="34"/>
      <c r="F1224"/>
      <c r="G1224" s="77"/>
      <c r="I1224"/>
      <c r="J1224" s="34"/>
      <c r="K1224"/>
    </row>
    <row r="1225" ht="30" spans="1:11">
      <c r="A1225" s="102" t="s">
        <v>2266</v>
      </c>
      <c r="B1225" s="102" t="s">
        <v>2267</v>
      </c>
      <c r="C1225" s="102" t="s">
        <v>56</v>
      </c>
      <c r="D1225" s="99">
        <f>IF(OR(Clientes[[#This Row],[Columna1]]="Pago inmediato",Clientes[[#This Row],[Columna1]]=""),0,SUBSTITUTE(Clientes[[#This Row],[Columna1]]," días",""))</f>
        <v>0</v>
      </c>
      <c r="E1225" s="34"/>
      <c r="F1225"/>
      <c r="G1225" s="77"/>
      <c r="I1225"/>
      <c r="J1225" s="34"/>
      <c r="K1225"/>
    </row>
    <row r="1226" ht="30" spans="1:11">
      <c r="A1226" s="102" t="s">
        <v>2268</v>
      </c>
      <c r="B1226" s="102" t="s">
        <v>2269</v>
      </c>
      <c r="C1226" s="102" t="s">
        <v>56</v>
      </c>
      <c r="D1226" s="99">
        <f>IF(OR(Clientes[[#This Row],[Columna1]]="Pago inmediato",Clientes[[#This Row],[Columna1]]=""),0,SUBSTITUTE(Clientes[[#This Row],[Columna1]]," días",""))</f>
        <v>0</v>
      </c>
      <c r="E1226" s="34"/>
      <c r="F1226"/>
      <c r="G1226" s="77"/>
      <c r="I1226"/>
      <c r="J1226" s="34"/>
      <c r="K1226"/>
    </row>
    <row r="1227" ht="30" spans="1:11">
      <c r="A1227" s="102" t="s">
        <v>2270</v>
      </c>
      <c r="B1227" s="102" t="s">
        <v>2271</v>
      </c>
      <c r="C1227" s="102" t="s">
        <v>56</v>
      </c>
      <c r="D1227" s="99">
        <f>IF(OR(Clientes[[#This Row],[Columna1]]="Pago inmediato",Clientes[[#This Row],[Columna1]]=""),0,SUBSTITUTE(Clientes[[#This Row],[Columna1]]," días",""))</f>
        <v>0</v>
      </c>
      <c r="E1227" s="34"/>
      <c r="F1227"/>
      <c r="G1227" s="77"/>
      <c r="I1227"/>
      <c r="J1227" s="34"/>
      <c r="K1227"/>
    </row>
    <row r="1228" spans="1:11">
      <c r="A1228" s="102"/>
      <c r="B1228" s="102" t="s">
        <v>2272</v>
      </c>
      <c r="C1228" s="102"/>
      <c r="D1228" s="99">
        <f>IF(OR(Clientes[[#This Row],[Columna1]]="Pago inmediato",Clientes[[#This Row],[Columna1]]=""),0,SUBSTITUTE(Clientes[[#This Row],[Columna1]]," días",""))</f>
        <v>0</v>
      </c>
      <c r="E1228" s="34"/>
      <c r="F1228"/>
      <c r="G1228" s="77"/>
      <c r="I1228"/>
      <c r="J1228" s="34"/>
      <c r="K1228"/>
    </row>
    <row r="1229" ht="30" spans="1:11">
      <c r="A1229" s="102" t="s">
        <v>2273</v>
      </c>
      <c r="B1229" s="102" t="s">
        <v>2274</v>
      </c>
      <c r="C1229" s="102" t="s">
        <v>56</v>
      </c>
      <c r="D1229" s="99">
        <f>IF(OR(Clientes[[#This Row],[Columna1]]="Pago inmediato",Clientes[[#This Row],[Columna1]]=""),0,SUBSTITUTE(Clientes[[#This Row],[Columna1]]," días",""))</f>
        <v>0</v>
      </c>
      <c r="E1229" s="34"/>
      <c r="F1229"/>
      <c r="G1229" s="77"/>
      <c r="I1229"/>
      <c r="J1229" s="34"/>
      <c r="K1229"/>
    </row>
    <row r="1230" ht="30" spans="1:11">
      <c r="A1230" s="102" t="s">
        <v>2275</v>
      </c>
      <c r="B1230" s="102" t="s">
        <v>2276</v>
      </c>
      <c r="C1230" s="102" t="s">
        <v>56</v>
      </c>
      <c r="D1230" s="99">
        <f>IF(OR(Clientes[[#This Row],[Columna1]]="Pago inmediato",Clientes[[#This Row],[Columna1]]=""),0,SUBSTITUTE(Clientes[[#This Row],[Columna1]]," días",""))</f>
        <v>0</v>
      </c>
      <c r="E1230" s="34"/>
      <c r="F1230"/>
      <c r="G1230" s="77"/>
      <c r="I1230"/>
      <c r="J1230" s="34"/>
      <c r="K1230"/>
    </row>
    <row r="1231" ht="30" spans="1:11">
      <c r="A1231" s="102" t="s">
        <v>2277</v>
      </c>
      <c r="B1231" s="102" t="s">
        <v>2278</v>
      </c>
      <c r="C1231" s="102" t="s">
        <v>56</v>
      </c>
      <c r="D1231" s="99">
        <f>IF(OR(Clientes[[#This Row],[Columna1]]="Pago inmediato",Clientes[[#This Row],[Columna1]]=""),0,SUBSTITUTE(Clientes[[#This Row],[Columna1]]," días",""))</f>
        <v>0</v>
      </c>
      <c r="E1231" s="34"/>
      <c r="F1231"/>
      <c r="G1231" s="77"/>
      <c r="I1231"/>
      <c r="J1231" s="34"/>
      <c r="K1231"/>
    </row>
    <row r="1232" spans="1:11">
      <c r="A1232" s="102" t="s">
        <v>2279</v>
      </c>
      <c r="B1232" s="102" t="s">
        <v>2280</v>
      </c>
      <c r="C1232" s="102" t="s">
        <v>56</v>
      </c>
      <c r="D1232" s="99">
        <f>IF(OR(Clientes[[#This Row],[Columna1]]="Pago inmediato",Clientes[[#This Row],[Columna1]]=""),0,SUBSTITUTE(Clientes[[#This Row],[Columna1]]," días",""))</f>
        <v>0</v>
      </c>
      <c r="E1232" s="34"/>
      <c r="F1232"/>
      <c r="G1232" s="77"/>
      <c r="I1232"/>
      <c r="J1232" s="34"/>
      <c r="K1232"/>
    </row>
    <row r="1233" ht="30" spans="1:11">
      <c r="A1233" s="102" t="s">
        <v>2281</v>
      </c>
      <c r="B1233" s="102" t="s">
        <v>2282</v>
      </c>
      <c r="C1233" s="102" t="s">
        <v>56</v>
      </c>
      <c r="D1233" s="99">
        <f>IF(OR(Clientes[[#This Row],[Columna1]]="Pago inmediato",Clientes[[#This Row],[Columna1]]=""),0,SUBSTITUTE(Clientes[[#This Row],[Columna1]]," días",""))</f>
        <v>0</v>
      </c>
      <c r="E1233" s="34"/>
      <c r="F1233"/>
      <c r="G1233" s="77"/>
      <c r="I1233"/>
      <c r="J1233" s="34"/>
      <c r="K1233"/>
    </row>
    <row r="1234" ht="45" spans="1:11">
      <c r="A1234" s="102" t="s">
        <v>2283</v>
      </c>
      <c r="B1234" s="102" t="s">
        <v>2284</v>
      </c>
      <c r="C1234" s="102" t="s">
        <v>56</v>
      </c>
      <c r="D1234" s="99">
        <f>IF(OR(Clientes[[#This Row],[Columna1]]="Pago inmediato",Clientes[[#This Row],[Columna1]]=""),0,SUBSTITUTE(Clientes[[#This Row],[Columna1]]," días",""))</f>
        <v>0</v>
      </c>
      <c r="E1234" s="34"/>
      <c r="F1234"/>
      <c r="G1234" s="77"/>
      <c r="I1234"/>
      <c r="J1234" s="34"/>
      <c r="K1234"/>
    </row>
    <row r="1235" ht="30" spans="1:11">
      <c r="A1235" s="102" t="s">
        <v>2285</v>
      </c>
      <c r="B1235" s="102" t="s">
        <v>2286</v>
      </c>
      <c r="C1235" s="102" t="s">
        <v>56</v>
      </c>
      <c r="D1235" s="99">
        <f>IF(OR(Clientes[[#This Row],[Columna1]]="Pago inmediato",Clientes[[#This Row],[Columna1]]=""),0,SUBSTITUTE(Clientes[[#This Row],[Columna1]]," días",""))</f>
        <v>0</v>
      </c>
      <c r="E1235" s="34"/>
      <c r="F1235"/>
      <c r="G1235" s="77"/>
      <c r="I1235"/>
      <c r="J1235" s="34"/>
      <c r="K1235"/>
    </row>
    <row r="1236" spans="1:11">
      <c r="A1236" s="102" t="s">
        <v>2287</v>
      </c>
      <c r="B1236" s="102" t="s">
        <v>2288</v>
      </c>
      <c r="C1236" s="102" t="s">
        <v>454</v>
      </c>
      <c r="D1236" s="99" t="str">
        <f>IF(OR(Clientes[[#This Row],[Columna1]]="Pago inmediato",Clientes[[#This Row],[Columna1]]=""),0,SUBSTITUTE(Clientes[[#This Row],[Columna1]]," días",""))</f>
        <v>21</v>
      </c>
      <c r="E1236" s="34"/>
      <c r="F1236"/>
      <c r="G1236" s="77"/>
      <c r="I1236"/>
      <c r="J1236" s="34"/>
      <c r="K1236"/>
    </row>
    <row r="1237" spans="1:11">
      <c r="A1237" s="102" t="s">
        <v>2289</v>
      </c>
      <c r="B1237" s="102" t="s">
        <v>2290</v>
      </c>
      <c r="C1237" s="102" t="s">
        <v>56</v>
      </c>
      <c r="D1237" s="99">
        <f>IF(OR(Clientes[[#This Row],[Columna1]]="Pago inmediato",Clientes[[#This Row],[Columna1]]=""),0,SUBSTITUTE(Clientes[[#This Row],[Columna1]]," días",""))</f>
        <v>0</v>
      </c>
      <c r="E1237" s="34"/>
      <c r="F1237"/>
      <c r="G1237" s="77"/>
      <c r="I1237"/>
      <c r="J1237" s="34"/>
      <c r="K1237"/>
    </row>
    <row r="1238" spans="1:11">
      <c r="A1238" s="102"/>
      <c r="B1238" s="102" t="s">
        <v>2291</v>
      </c>
      <c r="C1238" s="102"/>
      <c r="D1238" s="99">
        <f>IF(OR(Clientes[[#This Row],[Columna1]]="Pago inmediato",Clientes[[#This Row],[Columna1]]=""),0,SUBSTITUTE(Clientes[[#This Row],[Columna1]]," días",""))</f>
        <v>0</v>
      </c>
      <c r="E1238" s="34"/>
      <c r="F1238"/>
      <c r="G1238" s="77"/>
      <c r="I1238"/>
      <c r="J1238" s="34"/>
      <c r="K1238"/>
    </row>
    <row r="1239" ht="30" spans="1:11">
      <c r="A1239" s="102" t="s">
        <v>2292</v>
      </c>
      <c r="B1239" s="102" t="s">
        <v>2293</v>
      </c>
      <c r="C1239" s="102" t="s">
        <v>56</v>
      </c>
      <c r="D1239" s="99">
        <f>IF(OR(Clientes[[#This Row],[Columna1]]="Pago inmediato",Clientes[[#This Row],[Columna1]]=""),0,SUBSTITUTE(Clientes[[#This Row],[Columna1]]," días",""))</f>
        <v>0</v>
      </c>
      <c r="E1239" s="34"/>
      <c r="F1239"/>
      <c r="G1239" s="77"/>
      <c r="I1239"/>
      <c r="J1239" s="34"/>
      <c r="K1239"/>
    </row>
    <row r="1240" ht="30" spans="1:11">
      <c r="A1240" s="102" t="s">
        <v>2294</v>
      </c>
      <c r="B1240" s="102" t="s">
        <v>2295</v>
      </c>
      <c r="C1240" s="102" t="s">
        <v>56</v>
      </c>
      <c r="D1240" s="99">
        <f>IF(OR(Clientes[[#This Row],[Columna1]]="Pago inmediato",Clientes[[#This Row],[Columna1]]=""),0,SUBSTITUTE(Clientes[[#This Row],[Columna1]]," días",""))</f>
        <v>0</v>
      </c>
      <c r="E1240" s="34"/>
      <c r="F1240"/>
      <c r="G1240" s="77"/>
      <c r="I1240"/>
      <c r="J1240" s="34"/>
      <c r="K1240"/>
    </row>
    <row r="1241" ht="45" spans="1:11">
      <c r="A1241" s="102" t="s">
        <v>2296</v>
      </c>
      <c r="B1241" s="102" t="s">
        <v>2297</v>
      </c>
      <c r="C1241" s="102" t="s">
        <v>61</v>
      </c>
      <c r="D1241" s="99" t="str">
        <f>IF(OR(Clientes[[#This Row],[Columna1]]="Pago inmediato",Clientes[[#This Row],[Columna1]]=""),0,SUBSTITUTE(Clientes[[#This Row],[Columna1]]," días",""))</f>
        <v>15</v>
      </c>
      <c r="E1241" s="34"/>
      <c r="F1241"/>
      <c r="G1241" s="77"/>
      <c r="I1241"/>
      <c r="J1241" s="34"/>
      <c r="K1241"/>
    </row>
    <row r="1242" ht="30" spans="1:11">
      <c r="A1242" s="102" t="s">
        <v>2298</v>
      </c>
      <c r="B1242" s="102" t="s">
        <v>2299</v>
      </c>
      <c r="C1242" s="102" t="s">
        <v>56</v>
      </c>
      <c r="D1242" s="99">
        <f>IF(OR(Clientes[[#This Row],[Columna1]]="Pago inmediato",Clientes[[#This Row],[Columna1]]=""),0,SUBSTITUTE(Clientes[[#This Row],[Columna1]]," días",""))</f>
        <v>0</v>
      </c>
      <c r="E1242" s="34"/>
      <c r="F1242"/>
      <c r="G1242" s="77"/>
      <c r="I1242"/>
      <c r="J1242" s="34"/>
      <c r="K1242"/>
    </row>
    <row r="1243" ht="30" spans="1:11">
      <c r="A1243" s="102" t="s">
        <v>2300</v>
      </c>
      <c r="B1243" s="102" t="s">
        <v>2301</v>
      </c>
      <c r="C1243" s="102" t="s">
        <v>56</v>
      </c>
      <c r="D1243" s="99">
        <f>IF(OR(Clientes[[#This Row],[Columna1]]="Pago inmediato",Clientes[[#This Row],[Columna1]]=""),0,SUBSTITUTE(Clientes[[#This Row],[Columna1]]," días",""))</f>
        <v>0</v>
      </c>
      <c r="E1243" s="34"/>
      <c r="F1243"/>
      <c r="G1243" s="77"/>
      <c r="I1243"/>
      <c r="J1243" s="34"/>
      <c r="K1243"/>
    </row>
    <row r="1244" ht="30" spans="1:11">
      <c r="A1244" s="102" t="s">
        <v>2302</v>
      </c>
      <c r="B1244" s="102" t="s">
        <v>2303</v>
      </c>
      <c r="C1244" s="102" t="s">
        <v>56</v>
      </c>
      <c r="D1244" s="99">
        <f>IF(OR(Clientes[[#This Row],[Columna1]]="Pago inmediato",Clientes[[#This Row],[Columna1]]=""),0,SUBSTITUTE(Clientes[[#This Row],[Columna1]]," días",""))</f>
        <v>0</v>
      </c>
      <c r="E1244" s="34"/>
      <c r="F1244"/>
      <c r="G1244" s="77"/>
      <c r="I1244"/>
      <c r="J1244" s="34"/>
      <c r="K1244"/>
    </row>
    <row r="1245" ht="45" spans="1:11">
      <c r="A1245" s="102" t="s">
        <v>2304</v>
      </c>
      <c r="B1245" s="102" t="s">
        <v>2305</v>
      </c>
      <c r="C1245" s="102" t="s">
        <v>56</v>
      </c>
      <c r="D1245" s="99">
        <f>IF(OR(Clientes[[#This Row],[Columna1]]="Pago inmediato",Clientes[[#This Row],[Columna1]]=""),0,SUBSTITUTE(Clientes[[#This Row],[Columna1]]," días",""))</f>
        <v>0</v>
      </c>
      <c r="E1245" s="34"/>
      <c r="F1245"/>
      <c r="G1245" s="77"/>
      <c r="I1245"/>
      <c r="J1245" s="34"/>
      <c r="K1245"/>
    </row>
    <row r="1246" ht="60" spans="1:11">
      <c r="A1246" s="102" t="s">
        <v>2306</v>
      </c>
      <c r="B1246" s="102" t="s">
        <v>2307</v>
      </c>
      <c r="C1246" s="102" t="s">
        <v>56</v>
      </c>
      <c r="D1246" s="99">
        <f>IF(OR(Clientes[[#This Row],[Columna1]]="Pago inmediato",Clientes[[#This Row],[Columna1]]=""),0,SUBSTITUTE(Clientes[[#This Row],[Columna1]]," días",""))</f>
        <v>0</v>
      </c>
      <c r="E1246" s="34"/>
      <c r="F1246"/>
      <c r="G1246" s="77"/>
      <c r="I1246"/>
      <c r="J1246" s="34"/>
      <c r="K1246"/>
    </row>
    <row r="1247" spans="1:11">
      <c r="A1247" s="102"/>
      <c r="B1247" s="102" t="s">
        <v>2308</v>
      </c>
      <c r="C1247" s="102" t="s">
        <v>56</v>
      </c>
      <c r="D1247" s="99">
        <f>IF(OR(Clientes[[#This Row],[Columna1]]="Pago inmediato",Clientes[[#This Row],[Columna1]]=""),0,SUBSTITUTE(Clientes[[#This Row],[Columna1]]," días",""))</f>
        <v>0</v>
      </c>
      <c r="E1247" s="34"/>
      <c r="F1247"/>
      <c r="G1247" s="77"/>
      <c r="I1247"/>
      <c r="J1247" s="34"/>
      <c r="K1247"/>
    </row>
    <row r="1248" spans="1:11">
      <c r="A1248" s="102"/>
      <c r="B1248" s="102" t="s">
        <v>2309</v>
      </c>
      <c r="C1248" s="102"/>
      <c r="D1248" s="99">
        <f>IF(OR(Clientes[[#This Row],[Columna1]]="Pago inmediato",Clientes[[#This Row],[Columna1]]=""),0,SUBSTITUTE(Clientes[[#This Row],[Columna1]]," días",""))</f>
        <v>0</v>
      </c>
      <c r="E1248" s="34"/>
      <c r="F1248"/>
      <c r="G1248" s="77"/>
      <c r="I1248"/>
      <c r="J1248" s="34"/>
      <c r="K1248"/>
    </row>
    <row r="1249" spans="1:11">
      <c r="A1249" s="102"/>
      <c r="B1249" s="102" t="s">
        <v>2310</v>
      </c>
      <c r="C1249" s="102"/>
      <c r="D1249" s="99">
        <f>IF(OR(Clientes[[#This Row],[Columna1]]="Pago inmediato",Clientes[[#This Row],[Columna1]]=""),0,SUBSTITUTE(Clientes[[#This Row],[Columna1]]," días",""))</f>
        <v>0</v>
      </c>
      <c r="E1249" s="34"/>
      <c r="F1249"/>
      <c r="G1249" s="77"/>
      <c r="I1249"/>
      <c r="J1249" s="34"/>
      <c r="K1249"/>
    </row>
    <row r="1250" spans="1:11">
      <c r="A1250" s="102"/>
      <c r="B1250" s="102" t="s">
        <v>2311</v>
      </c>
      <c r="C1250" s="102"/>
      <c r="D1250" s="99">
        <f>IF(OR(Clientes[[#This Row],[Columna1]]="Pago inmediato",Clientes[[#This Row],[Columna1]]=""),0,SUBSTITUTE(Clientes[[#This Row],[Columna1]]," días",""))</f>
        <v>0</v>
      </c>
      <c r="E1250" s="34"/>
      <c r="F1250"/>
      <c r="G1250" s="77"/>
      <c r="I1250"/>
      <c r="J1250" s="34"/>
      <c r="K1250"/>
    </row>
    <row r="1251" spans="1:11">
      <c r="A1251" s="102"/>
      <c r="B1251" s="102" t="s">
        <v>2312</v>
      </c>
      <c r="C1251" s="102"/>
      <c r="D1251" s="99">
        <f>IF(OR(Clientes[[#This Row],[Columna1]]="Pago inmediato",Clientes[[#This Row],[Columna1]]=""),0,SUBSTITUTE(Clientes[[#This Row],[Columna1]]," días",""))</f>
        <v>0</v>
      </c>
      <c r="E1251" s="34"/>
      <c r="F1251"/>
      <c r="G1251" s="77"/>
      <c r="I1251"/>
      <c r="J1251" s="34"/>
      <c r="K1251"/>
    </row>
    <row r="1252" spans="1:11">
      <c r="A1252" s="102"/>
      <c r="B1252" s="102" t="s">
        <v>2313</v>
      </c>
      <c r="C1252" s="102"/>
      <c r="D1252" s="99">
        <f>IF(OR(Clientes[[#This Row],[Columna1]]="Pago inmediato",Clientes[[#This Row],[Columna1]]=""),0,SUBSTITUTE(Clientes[[#This Row],[Columna1]]," días",""))</f>
        <v>0</v>
      </c>
      <c r="E1252" s="34"/>
      <c r="F1252"/>
      <c r="G1252" s="77"/>
      <c r="I1252"/>
      <c r="J1252" s="34"/>
      <c r="K1252"/>
    </row>
    <row r="1253" spans="1:11">
      <c r="A1253" s="102"/>
      <c r="B1253" s="102" t="s">
        <v>2314</v>
      </c>
      <c r="C1253" s="102"/>
      <c r="D1253" s="99">
        <f>IF(OR(Clientes[[#This Row],[Columna1]]="Pago inmediato",Clientes[[#This Row],[Columna1]]=""),0,SUBSTITUTE(Clientes[[#This Row],[Columna1]]," días",""))</f>
        <v>0</v>
      </c>
      <c r="E1253" s="34"/>
      <c r="F1253"/>
      <c r="G1253" s="77"/>
      <c r="I1253"/>
      <c r="J1253" s="34"/>
      <c r="K1253"/>
    </row>
    <row r="1254" ht="30" spans="1:11">
      <c r="A1254" s="102" t="s">
        <v>2315</v>
      </c>
      <c r="B1254" s="102" t="s">
        <v>2316</v>
      </c>
      <c r="C1254" s="102" t="s">
        <v>454</v>
      </c>
      <c r="D1254" s="99" t="str">
        <f>IF(OR(Clientes[[#This Row],[Columna1]]="Pago inmediato",Clientes[[#This Row],[Columna1]]=""),0,SUBSTITUTE(Clientes[[#This Row],[Columna1]]," días",""))</f>
        <v>21</v>
      </c>
      <c r="E1254" s="34"/>
      <c r="F1254"/>
      <c r="G1254" s="77"/>
      <c r="I1254"/>
      <c r="J1254" s="34"/>
      <c r="K1254"/>
    </row>
    <row r="1255" ht="30" spans="1:11">
      <c r="A1255" s="102" t="s">
        <v>2315</v>
      </c>
      <c r="B1255" s="102" t="s">
        <v>2317</v>
      </c>
      <c r="C1255" s="102" t="s">
        <v>454</v>
      </c>
      <c r="D1255" s="99" t="str">
        <f>IF(OR(Clientes[[#This Row],[Columna1]]="Pago inmediato",Clientes[[#This Row],[Columna1]]=""),0,SUBSTITUTE(Clientes[[#This Row],[Columna1]]," días",""))</f>
        <v>21</v>
      </c>
      <c r="E1255" s="34"/>
      <c r="F1255"/>
      <c r="G1255" s="77"/>
      <c r="I1255"/>
      <c r="J1255" s="34"/>
      <c r="K1255"/>
    </row>
    <row r="1256" ht="30" spans="1:11">
      <c r="A1256" s="102" t="s">
        <v>2318</v>
      </c>
      <c r="B1256" s="102" t="s">
        <v>2319</v>
      </c>
      <c r="C1256" s="102" t="s">
        <v>61</v>
      </c>
      <c r="D1256" s="99" t="str">
        <f>IF(OR(Clientes[[#This Row],[Columna1]]="Pago inmediato",Clientes[[#This Row],[Columna1]]=""),0,SUBSTITUTE(Clientes[[#This Row],[Columna1]]," días",""))</f>
        <v>15</v>
      </c>
      <c r="E1256" s="34"/>
      <c r="F1256"/>
      <c r="G1256" s="77"/>
      <c r="I1256"/>
      <c r="J1256" s="34"/>
      <c r="K1256"/>
    </row>
    <row r="1257" spans="1:11">
      <c r="A1257" s="102" t="s">
        <v>2320</v>
      </c>
      <c r="B1257" s="102" t="s">
        <v>2321</v>
      </c>
      <c r="C1257" s="102" t="s">
        <v>56</v>
      </c>
      <c r="D1257" s="99">
        <f>IF(OR(Clientes[[#This Row],[Columna1]]="Pago inmediato",Clientes[[#This Row],[Columna1]]=""),0,SUBSTITUTE(Clientes[[#This Row],[Columna1]]," días",""))</f>
        <v>0</v>
      </c>
      <c r="E1257" s="34"/>
      <c r="F1257"/>
      <c r="G1257" s="77"/>
      <c r="I1257"/>
      <c r="J1257" s="34"/>
      <c r="K1257"/>
    </row>
    <row r="1258" spans="1:11">
      <c r="A1258" s="102" t="s">
        <v>2322</v>
      </c>
      <c r="B1258" s="102" t="s">
        <v>2323</v>
      </c>
      <c r="C1258" s="102" t="s">
        <v>56</v>
      </c>
      <c r="D1258" s="99">
        <f>IF(OR(Clientes[[#This Row],[Columna1]]="Pago inmediato",Clientes[[#This Row],[Columna1]]=""),0,SUBSTITUTE(Clientes[[#This Row],[Columna1]]," días",""))</f>
        <v>0</v>
      </c>
      <c r="E1258" s="34"/>
      <c r="F1258"/>
      <c r="G1258" s="77"/>
      <c r="I1258"/>
      <c r="J1258" s="34"/>
      <c r="K1258"/>
    </row>
    <row r="1259" spans="1:11">
      <c r="A1259" s="102" t="s">
        <v>2324</v>
      </c>
      <c r="B1259" s="102" t="s">
        <v>2325</v>
      </c>
      <c r="C1259" s="102" t="s">
        <v>56</v>
      </c>
      <c r="D1259" s="99">
        <f>IF(OR(Clientes[[#This Row],[Columna1]]="Pago inmediato",Clientes[[#This Row],[Columna1]]=""),0,SUBSTITUTE(Clientes[[#This Row],[Columna1]]," días",""))</f>
        <v>0</v>
      </c>
      <c r="E1259" s="34"/>
      <c r="F1259"/>
      <c r="G1259" s="77"/>
      <c r="I1259"/>
      <c r="J1259" s="34"/>
      <c r="K1259"/>
    </row>
    <row r="1260" ht="30" spans="1:11">
      <c r="A1260" s="102" t="s">
        <v>2324</v>
      </c>
      <c r="B1260" s="102" t="s">
        <v>2326</v>
      </c>
      <c r="C1260" s="102" t="s">
        <v>56</v>
      </c>
      <c r="D1260" s="99">
        <f>IF(OR(Clientes[[#This Row],[Columna1]]="Pago inmediato",Clientes[[#This Row],[Columna1]]=""),0,SUBSTITUTE(Clientes[[#This Row],[Columna1]]," días",""))</f>
        <v>0</v>
      </c>
      <c r="E1260" s="34"/>
      <c r="F1260"/>
      <c r="G1260" s="77"/>
      <c r="I1260"/>
      <c r="J1260" s="34"/>
      <c r="K1260"/>
    </row>
    <row r="1261" spans="1:11">
      <c r="A1261" s="102" t="s">
        <v>2327</v>
      </c>
      <c r="B1261" s="102" t="s">
        <v>2328</v>
      </c>
      <c r="C1261" s="102" t="s">
        <v>56</v>
      </c>
      <c r="D1261" s="99">
        <f>IF(OR(Clientes[[#This Row],[Columna1]]="Pago inmediato",Clientes[[#This Row],[Columna1]]=""),0,SUBSTITUTE(Clientes[[#This Row],[Columna1]]," días",""))</f>
        <v>0</v>
      </c>
      <c r="E1261" s="34"/>
      <c r="F1261"/>
      <c r="G1261" s="77"/>
      <c r="I1261"/>
      <c r="J1261" s="34"/>
      <c r="K1261"/>
    </row>
    <row r="1262" ht="45" spans="1:11">
      <c r="A1262" s="102" t="s">
        <v>2329</v>
      </c>
      <c r="B1262" s="102" t="s">
        <v>2330</v>
      </c>
      <c r="C1262" s="102" t="s">
        <v>56</v>
      </c>
      <c r="D1262" s="99">
        <f>IF(OR(Clientes[[#This Row],[Columna1]]="Pago inmediato",Clientes[[#This Row],[Columna1]]=""),0,SUBSTITUTE(Clientes[[#This Row],[Columna1]]," días",""))</f>
        <v>0</v>
      </c>
      <c r="E1262" s="34"/>
      <c r="F1262"/>
      <c r="G1262" s="77"/>
      <c r="I1262"/>
      <c r="J1262" s="34"/>
      <c r="K1262"/>
    </row>
    <row r="1263" ht="30" spans="1:11">
      <c r="A1263" s="102" t="s">
        <v>2331</v>
      </c>
      <c r="B1263" s="102" t="s">
        <v>2332</v>
      </c>
      <c r="C1263" s="102" t="s">
        <v>56</v>
      </c>
      <c r="D1263" s="99">
        <f>IF(OR(Clientes[[#This Row],[Columna1]]="Pago inmediato",Clientes[[#This Row],[Columna1]]=""),0,SUBSTITUTE(Clientes[[#This Row],[Columna1]]," días",""))</f>
        <v>0</v>
      </c>
      <c r="E1263" s="34"/>
      <c r="F1263"/>
      <c r="G1263" s="77"/>
      <c r="I1263"/>
      <c r="J1263" s="34"/>
      <c r="K1263"/>
    </row>
    <row r="1264" spans="1:11">
      <c r="A1264" s="102" t="s">
        <v>2333</v>
      </c>
      <c r="B1264" s="102" t="s">
        <v>2334</v>
      </c>
      <c r="C1264" s="102" t="s">
        <v>56</v>
      </c>
      <c r="D1264" s="99">
        <f>IF(OR(Clientes[[#This Row],[Columna1]]="Pago inmediato",Clientes[[#This Row],[Columna1]]=""),0,SUBSTITUTE(Clientes[[#This Row],[Columna1]]," días",""))</f>
        <v>0</v>
      </c>
      <c r="E1264" s="34"/>
      <c r="F1264"/>
      <c r="G1264" s="77"/>
      <c r="I1264"/>
      <c r="J1264" s="34"/>
      <c r="K1264"/>
    </row>
    <row r="1265" ht="30" spans="1:11">
      <c r="A1265" s="102" t="s">
        <v>2335</v>
      </c>
      <c r="B1265" s="102" t="s">
        <v>2336</v>
      </c>
      <c r="C1265" s="102" t="s">
        <v>56</v>
      </c>
      <c r="D1265" s="99">
        <f>IF(OR(Clientes[[#This Row],[Columna1]]="Pago inmediato",Clientes[[#This Row],[Columna1]]=""),0,SUBSTITUTE(Clientes[[#This Row],[Columna1]]," días",""))</f>
        <v>0</v>
      </c>
      <c r="E1265" s="34"/>
      <c r="F1265"/>
      <c r="G1265" s="77"/>
      <c r="I1265"/>
      <c r="J1265" s="34"/>
      <c r="K1265"/>
    </row>
    <row r="1266" spans="1:11">
      <c r="A1266" s="102" t="s">
        <v>2337</v>
      </c>
      <c r="B1266" s="102" t="s">
        <v>2338</v>
      </c>
      <c r="C1266" s="102" t="s">
        <v>56</v>
      </c>
      <c r="D1266" s="99">
        <f>IF(OR(Clientes[[#This Row],[Columna1]]="Pago inmediato",Clientes[[#This Row],[Columna1]]=""),0,SUBSTITUTE(Clientes[[#This Row],[Columna1]]," días",""))</f>
        <v>0</v>
      </c>
      <c r="E1266" s="34"/>
      <c r="F1266"/>
      <c r="G1266" s="77"/>
      <c r="I1266"/>
      <c r="J1266" s="34"/>
      <c r="K1266"/>
    </row>
    <row r="1267" ht="30" spans="1:11">
      <c r="A1267" s="102" t="s">
        <v>2339</v>
      </c>
      <c r="B1267" s="102" t="s">
        <v>2340</v>
      </c>
      <c r="C1267" s="102" t="s">
        <v>56</v>
      </c>
      <c r="D1267" s="99">
        <f>IF(OR(Clientes[[#This Row],[Columna1]]="Pago inmediato",Clientes[[#This Row],[Columna1]]=""),0,SUBSTITUTE(Clientes[[#This Row],[Columna1]]," días",""))</f>
        <v>0</v>
      </c>
      <c r="E1267" s="34"/>
      <c r="F1267"/>
      <c r="G1267" s="77"/>
      <c r="I1267"/>
      <c r="J1267" s="34"/>
      <c r="K1267"/>
    </row>
    <row r="1268" ht="30" spans="1:11">
      <c r="A1268" s="102" t="s">
        <v>2341</v>
      </c>
      <c r="B1268" s="102" t="s">
        <v>2342</v>
      </c>
      <c r="C1268" s="102" t="s">
        <v>56</v>
      </c>
      <c r="D1268" s="99">
        <f>IF(OR(Clientes[[#This Row],[Columna1]]="Pago inmediato",Clientes[[#This Row],[Columna1]]=""),0,SUBSTITUTE(Clientes[[#This Row],[Columna1]]," días",""))</f>
        <v>0</v>
      </c>
      <c r="E1268" s="34"/>
      <c r="F1268"/>
      <c r="G1268" s="77"/>
      <c r="I1268"/>
      <c r="J1268" s="34"/>
      <c r="K1268"/>
    </row>
    <row r="1269" spans="1:11">
      <c r="A1269" s="102" t="s">
        <v>2343</v>
      </c>
      <c r="B1269" s="102" t="s">
        <v>2344</v>
      </c>
      <c r="C1269" s="102" t="s">
        <v>56</v>
      </c>
      <c r="D1269" s="99">
        <f>IF(OR(Clientes[[#This Row],[Columna1]]="Pago inmediato",Clientes[[#This Row],[Columna1]]=""),0,SUBSTITUTE(Clientes[[#This Row],[Columna1]]," días",""))</f>
        <v>0</v>
      </c>
      <c r="E1269" s="34"/>
      <c r="F1269"/>
      <c r="G1269" s="77"/>
      <c r="I1269"/>
      <c r="J1269" s="34"/>
      <c r="K1269"/>
    </row>
    <row r="1270" spans="1:11">
      <c r="A1270" s="102" t="s">
        <v>2345</v>
      </c>
      <c r="B1270" s="102" t="s">
        <v>2346</v>
      </c>
      <c r="C1270" s="102" t="s">
        <v>56</v>
      </c>
      <c r="D1270" s="99">
        <f>IF(OR(Clientes[[#This Row],[Columna1]]="Pago inmediato",Clientes[[#This Row],[Columna1]]=""),0,SUBSTITUTE(Clientes[[#This Row],[Columna1]]," días",""))</f>
        <v>0</v>
      </c>
      <c r="E1270" s="34"/>
      <c r="F1270"/>
      <c r="G1270" s="77"/>
      <c r="I1270"/>
      <c r="J1270" s="34"/>
      <c r="K1270"/>
    </row>
    <row r="1271" spans="1:11">
      <c r="A1271" s="102"/>
      <c r="B1271" s="102" t="s">
        <v>2347</v>
      </c>
      <c r="C1271" s="102"/>
      <c r="D1271" s="99">
        <f>IF(OR(Clientes[[#This Row],[Columna1]]="Pago inmediato",Clientes[[#This Row],[Columna1]]=""),0,SUBSTITUTE(Clientes[[#This Row],[Columna1]]," días",""))</f>
        <v>0</v>
      </c>
      <c r="E1271" s="34"/>
      <c r="F1271"/>
      <c r="G1271" s="77"/>
      <c r="I1271"/>
      <c r="J1271" s="34"/>
      <c r="K1271"/>
    </row>
    <row r="1272" spans="1:11">
      <c r="A1272" s="102" t="s">
        <v>2348</v>
      </c>
      <c r="B1272" s="102" t="s">
        <v>2349</v>
      </c>
      <c r="C1272" s="102" t="s">
        <v>56</v>
      </c>
      <c r="D1272" s="99">
        <f>IF(OR(Clientes[[#This Row],[Columna1]]="Pago inmediato",Clientes[[#This Row],[Columna1]]=""),0,SUBSTITUTE(Clientes[[#This Row],[Columna1]]," días",""))</f>
        <v>0</v>
      </c>
      <c r="E1272" s="34"/>
      <c r="F1272"/>
      <c r="G1272" s="77"/>
      <c r="I1272"/>
      <c r="J1272" s="34"/>
      <c r="K1272"/>
    </row>
    <row r="1273" spans="1:11">
      <c r="A1273" s="102" t="s">
        <v>2350</v>
      </c>
      <c r="B1273" s="102" t="s">
        <v>2351</v>
      </c>
      <c r="C1273" s="102" t="s">
        <v>56</v>
      </c>
      <c r="D1273" s="99">
        <f>IF(OR(Clientes[[#This Row],[Columna1]]="Pago inmediato",Clientes[[#This Row],[Columna1]]=""),0,SUBSTITUTE(Clientes[[#This Row],[Columna1]]," días",""))</f>
        <v>0</v>
      </c>
      <c r="E1273" s="34"/>
      <c r="F1273"/>
      <c r="G1273" s="77"/>
      <c r="I1273"/>
      <c r="J1273" s="34"/>
      <c r="K1273"/>
    </row>
    <row r="1274" ht="30" spans="1:11">
      <c r="A1274" s="102" t="s">
        <v>2352</v>
      </c>
      <c r="B1274" s="102" t="s">
        <v>2353</v>
      </c>
      <c r="C1274" s="102" t="s">
        <v>56</v>
      </c>
      <c r="D1274" s="99">
        <f>IF(OR(Clientes[[#This Row],[Columna1]]="Pago inmediato",Clientes[[#This Row],[Columna1]]=""),0,SUBSTITUTE(Clientes[[#This Row],[Columna1]]," días",""))</f>
        <v>0</v>
      </c>
      <c r="E1274" s="34"/>
      <c r="F1274"/>
      <c r="G1274" s="77"/>
      <c r="I1274"/>
      <c r="J1274" s="34"/>
      <c r="K1274"/>
    </row>
    <row r="1275" ht="30" spans="1:11">
      <c r="A1275" s="102" t="s">
        <v>2354</v>
      </c>
      <c r="B1275" s="102" t="s">
        <v>2355</v>
      </c>
      <c r="C1275" s="102" t="s">
        <v>56</v>
      </c>
      <c r="D1275" s="99">
        <f>IF(OR(Clientes[[#This Row],[Columna1]]="Pago inmediato",Clientes[[#This Row],[Columna1]]=""),0,SUBSTITUTE(Clientes[[#This Row],[Columna1]]," días",""))</f>
        <v>0</v>
      </c>
      <c r="E1275" s="34"/>
      <c r="F1275"/>
      <c r="G1275" s="77"/>
      <c r="I1275"/>
      <c r="J1275" s="34"/>
      <c r="K1275"/>
    </row>
    <row r="1276" ht="30" spans="1:11">
      <c r="A1276" s="102" t="s">
        <v>2356</v>
      </c>
      <c r="B1276" s="102" t="s">
        <v>2357</v>
      </c>
      <c r="C1276" s="102" t="s">
        <v>56</v>
      </c>
      <c r="D1276" s="99">
        <v>0</v>
      </c>
      <c r="E1276" s="34"/>
      <c r="F1276"/>
      <c r="G1276" s="77"/>
      <c r="I1276"/>
      <c r="J1276" s="34"/>
      <c r="K1276"/>
    </row>
    <row r="1277" ht="30" spans="1:11">
      <c r="A1277" s="102" t="s">
        <v>2358</v>
      </c>
      <c r="B1277" s="102" t="s">
        <v>2359</v>
      </c>
      <c r="C1277" s="102" t="s">
        <v>56</v>
      </c>
      <c r="D1277" s="99">
        <f>IF(OR(Clientes[[#This Row],[Columna1]]="Pago inmediato",Clientes[[#This Row],[Columna1]]=""),0,SUBSTITUTE(Clientes[[#This Row],[Columna1]]," días",""))</f>
        <v>0</v>
      </c>
      <c r="E1277" s="34"/>
      <c r="F1277"/>
      <c r="G1277" s="77"/>
      <c r="I1277"/>
      <c r="J1277" s="34"/>
      <c r="K1277"/>
    </row>
    <row r="1278" spans="1:11">
      <c r="A1278" s="102" t="s">
        <v>2360</v>
      </c>
      <c r="B1278" s="102" t="s">
        <v>2361</v>
      </c>
      <c r="C1278" s="102" t="s">
        <v>56</v>
      </c>
      <c r="D1278" s="99">
        <f>IF(OR(Clientes[[#This Row],[Columna1]]="Pago inmediato",Clientes[[#This Row],[Columna1]]=""),0,SUBSTITUTE(Clientes[[#This Row],[Columna1]]," días",""))</f>
        <v>0</v>
      </c>
      <c r="E1278" s="34"/>
      <c r="F1278"/>
      <c r="G1278" s="77"/>
      <c r="I1278"/>
      <c r="J1278" s="34"/>
      <c r="K1278"/>
    </row>
    <row r="1279" ht="30" spans="1:11">
      <c r="A1279" s="102" t="s">
        <v>2360</v>
      </c>
      <c r="B1279" s="102" t="s">
        <v>2362</v>
      </c>
      <c r="C1279" s="102" t="s">
        <v>56</v>
      </c>
      <c r="D1279" s="99">
        <f>IF(OR(Clientes[[#This Row],[Columna1]]="Pago inmediato",Clientes[[#This Row],[Columna1]]=""),0,SUBSTITUTE(Clientes[[#This Row],[Columna1]]," días",""))</f>
        <v>0</v>
      </c>
      <c r="E1279" s="34"/>
      <c r="F1279"/>
      <c r="G1279" s="77"/>
      <c r="I1279"/>
      <c r="J1279" s="34"/>
      <c r="K1279"/>
    </row>
    <row r="1280" spans="1:11">
      <c r="A1280" s="102" t="s">
        <v>2363</v>
      </c>
      <c r="B1280" s="102" t="s">
        <v>2364</v>
      </c>
      <c r="C1280" s="102" t="s">
        <v>56</v>
      </c>
      <c r="D1280" s="99">
        <f>IF(OR(Clientes[[#This Row],[Columna1]]="Pago inmediato",Clientes[[#This Row],[Columna1]]=""),0,SUBSTITUTE(Clientes[[#This Row],[Columna1]]," días",""))</f>
        <v>0</v>
      </c>
      <c r="E1280" s="34"/>
      <c r="F1280"/>
      <c r="G1280" s="77"/>
      <c r="I1280"/>
      <c r="J1280" s="34"/>
      <c r="K1280"/>
    </row>
    <row r="1281" ht="45" spans="1:11">
      <c r="A1281" s="102" t="s">
        <v>2365</v>
      </c>
      <c r="B1281" s="102" t="s">
        <v>2366</v>
      </c>
      <c r="C1281" s="102" t="s">
        <v>56</v>
      </c>
      <c r="D1281" s="99">
        <f>IF(OR(Clientes[[#This Row],[Columna1]]="Pago inmediato",Clientes[[#This Row],[Columna1]]=""),0,SUBSTITUTE(Clientes[[#This Row],[Columna1]]," días",""))</f>
        <v>0</v>
      </c>
      <c r="E1281" s="34"/>
      <c r="F1281"/>
      <c r="G1281" s="77"/>
      <c r="I1281"/>
      <c r="J1281" s="34"/>
      <c r="K1281"/>
    </row>
    <row r="1282" spans="1:11">
      <c r="A1282" s="102" t="s">
        <v>2367</v>
      </c>
      <c r="B1282" s="102" t="s">
        <v>2368</v>
      </c>
      <c r="C1282" s="102" t="s">
        <v>56</v>
      </c>
      <c r="D1282" s="99">
        <f>IF(OR(Clientes[[#This Row],[Columna1]]="Pago inmediato",Clientes[[#This Row],[Columna1]]=""),0,SUBSTITUTE(Clientes[[#This Row],[Columna1]]," días",""))</f>
        <v>0</v>
      </c>
      <c r="E1282" s="34"/>
      <c r="F1282"/>
      <c r="G1282" s="77"/>
      <c r="I1282"/>
      <c r="J1282" s="34"/>
      <c r="K1282"/>
    </row>
    <row r="1283" ht="30" spans="1:11">
      <c r="A1283" s="102" t="s">
        <v>2369</v>
      </c>
      <c r="B1283" s="102" t="s">
        <v>2370</v>
      </c>
      <c r="C1283" s="102" t="s">
        <v>56</v>
      </c>
      <c r="D1283" s="99">
        <f>IF(OR(Clientes[[#This Row],[Columna1]]="Pago inmediato",Clientes[[#This Row],[Columna1]]=""),0,SUBSTITUTE(Clientes[[#This Row],[Columna1]]," días",""))</f>
        <v>0</v>
      </c>
      <c r="E1283" s="34"/>
      <c r="F1283"/>
      <c r="G1283" s="77"/>
      <c r="I1283"/>
      <c r="J1283" s="34"/>
      <c r="K1283"/>
    </row>
    <row r="1284" spans="1:11">
      <c r="A1284" s="102" t="s">
        <v>2371</v>
      </c>
      <c r="B1284" s="102" t="s">
        <v>2372</v>
      </c>
      <c r="C1284" s="102" t="s">
        <v>56</v>
      </c>
      <c r="D1284" s="99">
        <f>IF(OR(Clientes[[#This Row],[Columna1]]="Pago inmediato",Clientes[[#This Row],[Columna1]]=""),0,SUBSTITUTE(Clientes[[#This Row],[Columna1]]," días",""))</f>
        <v>0</v>
      </c>
      <c r="E1284" s="34"/>
      <c r="F1284"/>
      <c r="G1284" s="77"/>
      <c r="I1284"/>
      <c r="J1284" s="34"/>
      <c r="K1284"/>
    </row>
    <row r="1285" spans="1:11">
      <c r="A1285" s="102" t="s">
        <v>2373</v>
      </c>
      <c r="B1285" s="102" t="s">
        <v>2374</v>
      </c>
      <c r="C1285" s="102" t="s">
        <v>56</v>
      </c>
      <c r="D1285" s="99">
        <f>IF(OR(Clientes[[#This Row],[Columna1]]="Pago inmediato",Clientes[[#This Row],[Columna1]]=""),0,SUBSTITUTE(Clientes[[#This Row],[Columna1]]," días",""))</f>
        <v>0</v>
      </c>
      <c r="E1285" s="34"/>
      <c r="F1285"/>
      <c r="G1285" s="77"/>
      <c r="I1285"/>
      <c r="J1285" s="34"/>
      <c r="K1285"/>
    </row>
    <row r="1286" ht="30" spans="1:11">
      <c r="A1286" s="102" t="s">
        <v>2375</v>
      </c>
      <c r="B1286" s="102" t="s">
        <v>2376</v>
      </c>
      <c r="C1286" s="102" t="s">
        <v>56</v>
      </c>
      <c r="D1286" s="99">
        <f>IF(OR(Clientes[[#This Row],[Columna1]]="Pago inmediato",Clientes[[#This Row],[Columna1]]=""),0,SUBSTITUTE(Clientes[[#This Row],[Columna1]]," días",""))</f>
        <v>0</v>
      </c>
      <c r="E1286" s="34"/>
      <c r="F1286"/>
      <c r="G1286" s="77"/>
      <c r="I1286"/>
      <c r="J1286" s="34"/>
      <c r="K1286"/>
    </row>
    <row r="1287" ht="30" spans="1:11">
      <c r="A1287" s="102" t="s">
        <v>2377</v>
      </c>
      <c r="B1287" s="102" t="s">
        <v>2378</v>
      </c>
      <c r="C1287" s="102" t="s">
        <v>282</v>
      </c>
      <c r="D1287" s="99" t="str">
        <f>IF(OR(Clientes[[#This Row],[Columna1]]="Pago inmediato",Clientes[[#This Row],[Columna1]]=""),0,SUBSTITUTE(Clientes[[#This Row],[Columna1]]," días",""))</f>
        <v>10</v>
      </c>
      <c r="E1287" s="34"/>
      <c r="F1287"/>
      <c r="G1287" s="77"/>
      <c r="I1287"/>
      <c r="J1287" s="34"/>
      <c r="K1287"/>
    </row>
    <row r="1288" spans="1:11">
      <c r="A1288" s="102"/>
      <c r="B1288" s="102" t="s">
        <v>2379</v>
      </c>
      <c r="C1288" s="102" t="s">
        <v>56</v>
      </c>
      <c r="D1288" s="99">
        <f>IF(OR(Clientes[[#This Row],[Columna1]]="Pago inmediato",Clientes[[#This Row],[Columna1]]=""),0,SUBSTITUTE(Clientes[[#This Row],[Columna1]]," días",""))</f>
        <v>0</v>
      </c>
      <c r="E1288" s="34"/>
      <c r="F1288"/>
      <c r="G1288" s="77"/>
      <c r="I1288"/>
      <c r="J1288" s="34"/>
      <c r="K1288"/>
    </row>
    <row r="1289" spans="1:11">
      <c r="A1289" s="102" t="s">
        <v>2380</v>
      </c>
      <c r="B1289" s="102" t="s">
        <v>2381</v>
      </c>
      <c r="C1289" s="102" t="s">
        <v>61</v>
      </c>
      <c r="D1289" s="99" t="str">
        <f>IF(OR(Clientes[[#This Row],[Columna1]]="Pago inmediato",Clientes[[#This Row],[Columna1]]=""),0,SUBSTITUTE(Clientes[[#This Row],[Columna1]]," días",""))</f>
        <v>15</v>
      </c>
      <c r="E1289" s="34"/>
      <c r="F1289"/>
      <c r="G1289" s="77"/>
      <c r="I1289"/>
      <c r="J1289" s="34"/>
      <c r="K1289"/>
    </row>
    <row r="1290" ht="30" spans="1:11">
      <c r="A1290" s="102" t="s">
        <v>2382</v>
      </c>
      <c r="B1290" s="102" t="s">
        <v>2383</v>
      </c>
      <c r="C1290" s="102" t="s">
        <v>56</v>
      </c>
      <c r="D1290" s="99">
        <f>IF(OR(Clientes[[#This Row],[Columna1]]="Pago inmediato",Clientes[[#This Row],[Columna1]]=""),0,SUBSTITUTE(Clientes[[#This Row],[Columna1]]," días",""))</f>
        <v>0</v>
      </c>
      <c r="E1290" s="34"/>
      <c r="F1290"/>
      <c r="G1290" s="77"/>
      <c r="I1290"/>
      <c r="J1290" s="34"/>
      <c r="K1290"/>
    </row>
    <row r="1291" spans="1:11">
      <c r="A1291" s="102" t="s">
        <v>2384</v>
      </c>
      <c r="B1291" s="102" t="s">
        <v>2385</v>
      </c>
      <c r="C1291" s="102" t="s">
        <v>56</v>
      </c>
      <c r="D1291" s="99">
        <f>IF(OR(Clientes[[#This Row],[Columna1]]="Pago inmediato",Clientes[[#This Row],[Columna1]]=""),0,SUBSTITUTE(Clientes[[#This Row],[Columna1]]," días",""))</f>
        <v>0</v>
      </c>
      <c r="E1291" s="34"/>
      <c r="F1291"/>
      <c r="G1291" s="77"/>
      <c r="I1291"/>
      <c r="J1291" s="34"/>
      <c r="K1291"/>
    </row>
    <row r="1292" ht="30" spans="1:11">
      <c r="A1292" s="102" t="s">
        <v>2386</v>
      </c>
      <c r="B1292" s="102" t="s">
        <v>2387</v>
      </c>
      <c r="C1292" s="102" t="s">
        <v>56</v>
      </c>
      <c r="D1292" s="99">
        <f>IF(OR(Clientes[[#This Row],[Columna1]]="Pago inmediato",Clientes[[#This Row],[Columna1]]=""),0,SUBSTITUTE(Clientes[[#This Row],[Columna1]]," días",""))</f>
        <v>0</v>
      </c>
      <c r="E1292" s="34"/>
      <c r="F1292"/>
      <c r="G1292" s="77"/>
      <c r="I1292"/>
      <c r="J1292" s="34"/>
      <c r="K1292"/>
    </row>
    <row r="1293" spans="1:11">
      <c r="A1293" s="102" t="s">
        <v>2388</v>
      </c>
      <c r="B1293" s="102" t="s">
        <v>2389</v>
      </c>
      <c r="C1293" s="102" t="s">
        <v>56</v>
      </c>
      <c r="D1293" s="99">
        <f>IF(OR(Clientes[[#This Row],[Columna1]]="Pago inmediato",Clientes[[#This Row],[Columna1]]=""),0,SUBSTITUTE(Clientes[[#This Row],[Columna1]]," días",""))</f>
        <v>0</v>
      </c>
      <c r="E1293" s="34"/>
      <c r="F1293"/>
      <c r="G1293" s="77"/>
      <c r="I1293"/>
      <c r="J1293" s="34"/>
      <c r="K1293"/>
    </row>
    <row r="1294" spans="1:11">
      <c r="A1294" s="102" t="s">
        <v>2390</v>
      </c>
      <c r="B1294" s="102" t="s">
        <v>2391</v>
      </c>
      <c r="C1294" s="102"/>
      <c r="D1294" s="99">
        <f>IF(OR(Clientes[[#This Row],[Columna1]]="Pago inmediato",Clientes[[#This Row],[Columna1]]=""),0,SUBSTITUTE(Clientes[[#This Row],[Columna1]]," días",""))</f>
        <v>0</v>
      </c>
      <c r="E1294" s="34"/>
      <c r="F1294"/>
      <c r="G1294" s="77"/>
      <c r="I1294"/>
      <c r="J1294" s="34"/>
      <c r="K1294"/>
    </row>
    <row r="1295" spans="1:11">
      <c r="A1295" s="102"/>
      <c r="B1295" s="102" t="s">
        <v>2392</v>
      </c>
      <c r="C1295" s="102"/>
      <c r="D1295" s="99">
        <f>IF(OR(Clientes[[#This Row],[Columna1]]="Pago inmediato",Clientes[[#This Row],[Columna1]]=""),0,SUBSTITUTE(Clientes[[#This Row],[Columna1]]," días",""))</f>
        <v>0</v>
      </c>
      <c r="E1295" s="34"/>
      <c r="F1295"/>
      <c r="G1295" s="77"/>
      <c r="I1295"/>
      <c r="J1295" s="34"/>
      <c r="K1295"/>
    </row>
    <row r="1296" ht="30" spans="1:11">
      <c r="A1296" s="102" t="s">
        <v>2393</v>
      </c>
      <c r="B1296" s="102" t="s">
        <v>2394</v>
      </c>
      <c r="C1296" s="102" t="s">
        <v>56</v>
      </c>
      <c r="D1296" s="99">
        <f>IF(OR(Clientes[[#This Row],[Columna1]]="Pago inmediato",Clientes[[#This Row],[Columna1]]=""),0,SUBSTITUTE(Clientes[[#This Row],[Columna1]]," días",""))</f>
        <v>0</v>
      </c>
      <c r="E1296" s="34"/>
      <c r="F1296"/>
      <c r="G1296" s="77"/>
      <c r="I1296"/>
      <c r="J1296" s="34"/>
      <c r="K1296"/>
    </row>
    <row r="1297" ht="30" spans="1:11">
      <c r="A1297" s="102" t="s">
        <v>2395</v>
      </c>
      <c r="B1297" s="102" t="s">
        <v>2396</v>
      </c>
      <c r="C1297" s="102" t="s">
        <v>56</v>
      </c>
      <c r="D1297" s="99">
        <f>IF(OR(Clientes[[#This Row],[Columna1]]="Pago inmediato",Clientes[[#This Row],[Columna1]]=""),0,SUBSTITUTE(Clientes[[#This Row],[Columna1]]," días",""))</f>
        <v>0</v>
      </c>
      <c r="E1297" s="34"/>
      <c r="F1297"/>
      <c r="G1297" s="77"/>
      <c r="I1297"/>
      <c r="J1297" s="34"/>
      <c r="K1297"/>
    </row>
    <row r="1298" ht="30" spans="1:11">
      <c r="A1298" s="102" t="s">
        <v>2397</v>
      </c>
      <c r="B1298" s="102" t="s">
        <v>2398</v>
      </c>
      <c r="C1298" s="102" t="s">
        <v>56</v>
      </c>
      <c r="D1298" s="99">
        <f>IF(OR(Clientes[[#This Row],[Columna1]]="Pago inmediato",Clientes[[#This Row],[Columna1]]=""),0,SUBSTITUTE(Clientes[[#This Row],[Columna1]]," días",""))</f>
        <v>0</v>
      </c>
      <c r="E1298" s="34"/>
      <c r="F1298"/>
      <c r="G1298" s="77"/>
      <c r="I1298"/>
      <c r="J1298" s="34"/>
      <c r="K1298"/>
    </row>
    <row r="1299" ht="30" spans="1:11">
      <c r="A1299" s="102" t="s">
        <v>2399</v>
      </c>
      <c r="B1299" s="102" t="s">
        <v>2400</v>
      </c>
      <c r="C1299" s="102" t="s">
        <v>56</v>
      </c>
      <c r="D1299" s="99">
        <f>IF(OR(Clientes[[#This Row],[Columna1]]="Pago inmediato",Clientes[[#This Row],[Columna1]]=""),0,SUBSTITUTE(Clientes[[#This Row],[Columna1]]," días",""))</f>
        <v>0</v>
      </c>
      <c r="E1299" s="34"/>
      <c r="F1299"/>
      <c r="G1299" s="77"/>
      <c r="I1299"/>
      <c r="J1299" s="34"/>
      <c r="K1299"/>
    </row>
    <row r="1300" ht="30" spans="1:11">
      <c r="A1300" s="102" t="s">
        <v>2401</v>
      </c>
      <c r="B1300" s="102" t="s">
        <v>2402</v>
      </c>
      <c r="C1300" s="102" t="s">
        <v>56</v>
      </c>
      <c r="D1300" s="99">
        <f>IF(OR(Clientes[[#This Row],[Columna1]]="Pago inmediato",Clientes[[#This Row],[Columna1]]=""),0,SUBSTITUTE(Clientes[[#This Row],[Columna1]]," días",""))</f>
        <v>0</v>
      </c>
      <c r="E1300" s="34"/>
      <c r="F1300"/>
      <c r="G1300" s="77"/>
      <c r="I1300"/>
      <c r="J1300" s="34"/>
      <c r="K1300"/>
    </row>
    <row r="1301" ht="45" spans="1:11">
      <c r="A1301" s="102" t="s">
        <v>2403</v>
      </c>
      <c r="B1301" s="102" t="s">
        <v>2404</v>
      </c>
      <c r="C1301" s="102" t="s">
        <v>56</v>
      </c>
      <c r="D1301" s="99">
        <f>IF(OR(Clientes[[#This Row],[Columna1]]="Pago inmediato",Clientes[[#This Row],[Columna1]]=""),0,SUBSTITUTE(Clientes[[#This Row],[Columna1]]," días",""))</f>
        <v>0</v>
      </c>
      <c r="E1301" s="34"/>
      <c r="F1301"/>
      <c r="G1301" s="77"/>
      <c r="I1301"/>
      <c r="J1301" s="34"/>
      <c r="K1301"/>
    </row>
    <row r="1302" ht="30" spans="1:11">
      <c r="A1302" s="102" t="s">
        <v>2405</v>
      </c>
      <c r="B1302" s="102" t="s">
        <v>2406</v>
      </c>
      <c r="C1302" s="102" t="s">
        <v>56</v>
      </c>
      <c r="D1302" s="99">
        <f>IF(OR(Clientes[[#This Row],[Columna1]]="Pago inmediato",Clientes[[#This Row],[Columna1]]=""),0,SUBSTITUTE(Clientes[[#This Row],[Columna1]]," días",""))</f>
        <v>0</v>
      </c>
      <c r="E1302" s="34"/>
      <c r="F1302"/>
      <c r="G1302" s="77"/>
      <c r="I1302"/>
      <c r="J1302" s="34"/>
      <c r="K1302"/>
    </row>
    <row r="1303" ht="45" spans="1:11">
      <c r="A1303" s="102" t="s">
        <v>2407</v>
      </c>
      <c r="B1303" s="102" t="s">
        <v>2408</v>
      </c>
      <c r="C1303" s="102" t="s">
        <v>56</v>
      </c>
      <c r="D1303" s="99">
        <f>IF(OR(Clientes[[#This Row],[Columna1]]="Pago inmediato",Clientes[[#This Row],[Columna1]]=""),0,SUBSTITUTE(Clientes[[#This Row],[Columna1]]," días",""))</f>
        <v>0</v>
      </c>
      <c r="E1303" s="34"/>
      <c r="F1303"/>
      <c r="G1303" s="77"/>
      <c r="I1303"/>
      <c r="J1303" s="34"/>
      <c r="K1303"/>
    </row>
    <row r="1304" ht="45" spans="1:11">
      <c r="A1304" s="102" t="s">
        <v>2409</v>
      </c>
      <c r="B1304" s="102" t="s">
        <v>2410</v>
      </c>
      <c r="C1304" s="102" t="s">
        <v>56</v>
      </c>
      <c r="D1304" s="99">
        <f>IF(OR(Clientes[[#This Row],[Columna1]]="Pago inmediato",Clientes[[#This Row],[Columna1]]=""),0,SUBSTITUTE(Clientes[[#This Row],[Columna1]]," días",""))</f>
        <v>0</v>
      </c>
      <c r="E1304" s="34"/>
      <c r="F1304"/>
      <c r="G1304" s="77"/>
      <c r="I1304"/>
      <c r="J1304" s="34"/>
      <c r="K1304"/>
    </row>
    <row r="1305" spans="1:11">
      <c r="A1305" s="102" t="s">
        <v>2411</v>
      </c>
      <c r="B1305" s="102" t="s">
        <v>2412</v>
      </c>
      <c r="C1305" s="102" t="s">
        <v>56</v>
      </c>
      <c r="D1305" s="99">
        <f>IF(OR(Clientes[[#This Row],[Columna1]]="Pago inmediato",Clientes[[#This Row],[Columna1]]=""),0,SUBSTITUTE(Clientes[[#This Row],[Columna1]]," días",""))</f>
        <v>0</v>
      </c>
      <c r="E1305" s="34"/>
      <c r="F1305"/>
      <c r="G1305" s="77"/>
      <c r="I1305"/>
      <c r="J1305" s="34"/>
      <c r="K1305"/>
    </row>
    <row r="1306" ht="30" spans="1:11">
      <c r="A1306" s="102" t="s">
        <v>2413</v>
      </c>
      <c r="B1306" s="102" t="s">
        <v>2414</v>
      </c>
      <c r="C1306" s="102" t="s">
        <v>56</v>
      </c>
      <c r="D1306" s="99">
        <f>IF(OR(Clientes[[#This Row],[Columna1]]="Pago inmediato",Clientes[[#This Row],[Columna1]]=""),0,SUBSTITUTE(Clientes[[#This Row],[Columna1]]," días",""))</f>
        <v>0</v>
      </c>
      <c r="E1306" s="34"/>
      <c r="F1306"/>
      <c r="G1306" s="77"/>
      <c r="I1306"/>
      <c r="J1306" s="34"/>
      <c r="K1306"/>
    </row>
    <row r="1307" spans="1:11">
      <c r="A1307" s="102" t="s">
        <v>2415</v>
      </c>
      <c r="B1307" s="102" t="s">
        <v>2416</v>
      </c>
      <c r="C1307" s="102" t="s">
        <v>56</v>
      </c>
      <c r="D1307" s="99">
        <f>IF(OR(Clientes[[#This Row],[Columna1]]="Pago inmediato",Clientes[[#This Row],[Columna1]]=""),0,SUBSTITUTE(Clientes[[#This Row],[Columna1]]," días",""))</f>
        <v>0</v>
      </c>
      <c r="E1307" s="34"/>
      <c r="F1307"/>
      <c r="G1307" s="77"/>
      <c r="I1307"/>
      <c r="J1307" s="34"/>
      <c r="K1307"/>
    </row>
    <row r="1308" ht="30" spans="1:11">
      <c r="A1308" s="102" t="s">
        <v>2417</v>
      </c>
      <c r="B1308" s="102" t="s">
        <v>2418</v>
      </c>
      <c r="C1308" s="102" t="s">
        <v>56</v>
      </c>
      <c r="D1308" s="99">
        <f>IF(OR(Clientes[[#This Row],[Columna1]]="Pago inmediato",Clientes[[#This Row],[Columna1]]=""),0,SUBSTITUTE(Clientes[[#This Row],[Columna1]]," días",""))</f>
        <v>0</v>
      </c>
      <c r="E1308" s="34"/>
      <c r="F1308"/>
      <c r="G1308" s="77"/>
      <c r="I1308"/>
      <c r="J1308" s="34"/>
      <c r="K1308"/>
    </row>
    <row r="1309" ht="30" spans="1:11">
      <c r="A1309" s="102" t="s">
        <v>2419</v>
      </c>
      <c r="B1309" s="102" t="s">
        <v>2420</v>
      </c>
      <c r="C1309" s="102" t="s">
        <v>56</v>
      </c>
      <c r="D1309" s="99">
        <f>IF(OR(Clientes[[#This Row],[Columna1]]="Pago inmediato",Clientes[[#This Row],[Columna1]]=""),0,SUBSTITUTE(Clientes[[#This Row],[Columna1]]," días",""))</f>
        <v>0</v>
      </c>
      <c r="E1309" s="34"/>
      <c r="F1309"/>
      <c r="G1309" s="77"/>
      <c r="I1309"/>
      <c r="J1309" s="34"/>
      <c r="K1309"/>
    </row>
    <row r="1310" ht="45" spans="1:11">
      <c r="A1310" s="102" t="s">
        <v>2421</v>
      </c>
      <c r="B1310" s="102" t="s">
        <v>2422</v>
      </c>
      <c r="C1310" s="102" t="s">
        <v>56</v>
      </c>
      <c r="D1310" s="99">
        <f>IF(OR(Clientes[[#This Row],[Columna1]]="Pago inmediato",Clientes[[#This Row],[Columna1]]=""),0,SUBSTITUTE(Clientes[[#This Row],[Columna1]]," días",""))</f>
        <v>0</v>
      </c>
      <c r="E1310" s="34"/>
      <c r="F1310"/>
      <c r="G1310" s="77"/>
      <c r="I1310"/>
      <c r="J1310" s="34"/>
      <c r="K1310"/>
    </row>
    <row r="1311" ht="30" spans="1:11">
      <c r="A1311" s="102" t="s">
        <v>2423</v>
      </c>
      <c r="B1311" s="102" t="s">
        <v>2424</v>
      </c>
      <c r="C1311" s="102" t="s">
        <v>56</v>
      </c>
      <c r="D1311" s="99">
        <f>IF(OR(Clientes[[#This Row],[Columna1]]="Pago inmediato",Clientes[[#This Row],[Columna1]]=""),0,SUBSTITUTE(Clientes[[#This Row],[Columna1]]," días",""))</f>
        <v>0</v>
      </c>
      <c r="E1311" s="34"/>
      <c r="F1311"/>
      <c r="G1311" s="77"/>
      <c r="I1311"/>
      <c r="J1311" s="34"/>
      <c r="K1311"/>
    </row>
    <row r="1312" ht="30" spans="1:11">
      <c r="A1312" s="102" t="s">
        <v>2425</v>
      </c>
      <c r="B1312" s="102" t="s">
        <v>2426</v>
      </c>
      <c r="C1312" s="102" t="s">
        <v>56</v>
      </c>
      <c r="D1312" s="99">
        <f>IF(OR(Clientes[[#This Row],[Columna1]]="Pago inmediato",Clientes[[#This Row],[Columna1]]=""),0,SUBSTITUTE(Clientes[[#This Row],[Columna1]]," días",""))</f>
        <v>0</v>
      </c>
      <c r="E1312" s="34"/>
      <c r="F1312"/>
      <c r="G1312" s="77"/>
      <c r="I1312"/>
      <c r="J1312" s="34"/>
      <c r="K1312"/>
    </row>
    <row r="1313" ht="30" spans="1:11">
      <c r="A1313" s="102" t="s">
        <v>2427</v>
      </c>
      <c r="B1313" s="102" t="s">
        <v>2428</v>
      </c>
      <c r="C1313" s="102" t="s">
        <v>56</v>
      </c>
      <c r="D1313" s="99">
        <f>IF(OR(Clientes[[#This Row],[Columna1]]="Pago inmediato",Clientes[[#This Row],[Columna1]]=""),0,SUBSTITUTE(Clientes[[#This Row],[Columna1]]," días",""))</f>
        <v>0</v>
      </c>
      <c r="E1313" s="34"/>
      <c r="F1313"/>
      <c r="G1313" s="77"/>
      <c r="I1313"/>
      <c r="J1313" s="34"/>
      <c r="K1313"/>
    </row>
    <row r="1314" ht="30" spans="1:11">
      <c r="A1314" s="102" t="s">
        <v>2429</v>
      </c>
      <c r="B1314" s="102" t="s">
        <v>2430</v>
      </c>
      <c r="C1314" s="102" t="s">
        <v>56</v>
      </c>
      <c r="D1314" s="99">
        <f>IF(OR(Clientes[[#This Row],[Columna1]]="Pago inmediato",Clientes[[#This Row],[Columna1]]=""),0,SUBSTITUTE(Clientes[[#This Row],[Columna1]]," días",""))</f>
        <v>0</v>
      </c>
      <c r="E1314" s="34"/>
      <c r="F1314"/>
      <c r="G1314" s="77"/>
      <c r="I1314"/>
      <c r="J1314" s="34"/>
      <c r="K1314"/>
    </row>
    <row r="1315" spans="1:11">
      <c r="A1315" s="102" t="s">
        <v>2431</v>
      </c>
      <c r="B1315" s="102" t="s">
        <v>2432</v>
      </c>
      <c r="C1315" s="102" t="s">
        <v>56</v>
      </c>
      <c r="D1315" s="99">
        <f>IF(OR(Clientes[[#This Row],[Columna1]]="Pago inmediato",Clientes[[#This Row],[Columna1]]=""),0,SUBSTITUTE(Clientes[[#This Row],[Columna1]]," días",""))</f>
        <v>0</v>
      </c>
      <c r="E1315" s="34"/>
      <c r="F1315"/>
      <c r="G1315" s="77"/>
      <c r="I1315"/>
      <c r="J1315" s="34"/>
      <c r="K1315"/>
    </row>
    <row r="1316" ht="90" spans="1:11">
      <c r="A1316" s="102" t="s">
        <v>2433</v>
      </c>
      <c r="B1316" s="102" t="s">
        <v>2434</v>
      </c>
      <c r="C1316" s="102" t="s">
        <v>56</v>
      </c>
      <c r="D1316" s="99">
        <f>IF(OR(Clientes[[#This Row],[Columna1]]="Pago inmediato",Clientes[[#This Row],[Columna1]]=""),0,SUBSTITUTE(Clientes[[#This Row],[Columna1]]," días",""))</f>
        <v>0</v>
      </c>
      <c r="E1316" s="34"/>
      <c r="F1316"/>
      <c r="G1316" s="77"/>
      <c r="I1316"/>
      <c r="J1316" s="34"/>
      <c r="K1316"/>
    </row>
    <row r="1317" ht="45" spans="1:11">
      <c r="A1317" s="102" t="s">
        <v>2435</v>
      </c>
      <c r="B1317" s="102" t="s">
        <v>2436</v>
      </c>
      <c r="C1317" s="102" t="s">
        <v>56</v>
      </c>
      <c r="D1317" s="99">
        <f>IF(OR(Clientes[[#This Row],[Columna1]]="Pago inmediato",Clientes[[#This Row],[Columna1]]=""),0,SUBSTITUTE(Clientes[[#This Row],[Columna1]]," días",""))</f>
        <v>0</v>
      </c>
      <c r="E1317" s="34"/>
      <c r="F1317"/>
      <c r="G1317" s="77"/>
      <c r="I1317"/>
      <c r="J1317" s="34"/>
      <c r="K1317"/>
    </row>
    <row r="1318" ht="60" spans="1:11">
      <c r="A1318" s="102" t="s">
        <v>2437</v>
      </c>
      <c r="B1318" s="102" t="s">
        <v>2438</v>
      </c>
      <c r="C1318" s="102" t="s">
        <v>56</v>
      </c>
      <c r="D1318" s="99">
        <f>IF(OR(Clientes[[#This Row],[Columna1]]="Pago inmediato",Clientes[[#This Row],[Columna1]]=""),0,SUBSTITUTE(Clientes[[#This Row],[Columna1]]," días",""))</f>
        <v>0</v>
      </c>
      <c r="E1318" s="34"/>
      <c r="F1318"/>
      <c r="G1318" s="77"/>
      <c r="I1318"/>
      <c r="J1318" s="34"/>
      <c r="K1318"/>
    </row>
    <row r="1319" ht="75" spans="1:11">
      <c r="A1319" s="102" t="s">
        <v>2439</v>
      </c>
      <c r="B1319" s="102" t="s">
        <v>2440</v>
      </c>
      <c r="C1319" s="102" t="s">
        <v>56</v>
      </c>
      <c r="D1319" s="99">
        <f>IF(OR(Clientes[[#This Row],[Columna1]]="Pago inmediato",Clientes[[#This Row],[Columna1]]=""),0,SUBSTITUTE(Clientes[[#This Row],[Columna1]]," días",""))</f>
        <v>0</v>
      </c>
      <c r="E1319" s="34"/>
      <c r="F1319"/>
      <c r="G1319" s="77"/>
      <c r="I1319"/>
      <c r="J1319" s="34"/>
      <c r="K1319"/>
    </row>
    <row r="1320" ht="75" spans="1:11">
      <c r="A1320" s="102" t="s">
        <v>2441</v>
      </c>
      <c r="B1320" s="102" t="s">
        <v>2442</v>
      </c>
      <c r="C1320" s="102" t="s">
        <v>56</v>
      </c>
      <c r="D1320" s="99">
        <f>IF(OR(Clientes[[#This Row],[Columna1]]="Pago inmediato",Clientes[[#This Row],[Columna1]]=""),0,SUBSTITUTE(Clientes[[#This Row],[Columna1]]," días",""))</f>
        <v>0</v>
      </c>
      <c r="E1320" s="34"/>
      <c r="F1320"/>
      <c r="G1320" s="77"/>
      <c r="I1320"/>
      <c r="J1320" s="34"/>
      <c r="K1320"/>
    </row>
    <row r="1321" spans="1:11">
      <c r="A1321" s="102" t="s">
        <v>2443</v>
      </c>
      <c r="B1321" s="102" t="s">
        <v>2444</v>
      </c>
      <c r="C1321" s="102" t="s">
        <v>56</v>
      </c>
      <c r="D1321" s="99">
        <f>IF(OR(Clientes[[#This Row],[Columna1]]="Pago inmediato",Clientes[[#This Row],[Columna1]]=""),0,SUBSTITUTE(Clientes[[#This Row],[Columna1]]," días",""))</f>
        <v>0</v>
      </c>
      <c r="E1321" s="34"/>
      <c r="F1321"/>
      <c r="G1321" s="77"/>
      <c r="I1321"/>
      <c r="J1321" s="34"/>
      <c r="K1321"/>
    </row>
    <row r="1322" spans="1:11">
      <c r="A1322" s="102" t="s">
        <v>2445</v>
      </c>
      <c r="B1322" s="102" t="s">
        <v>2446</v>
      </c>
      <c r="C1322" s="102" t="s">
        <v>56</v>
      </c>
      <c r="D1322" s="99">
        <f>IF(OR(Clientes[[#This Row],[Columna1]]="Pago inmediato",Clientes[[#This Row],[Columna1]]=""),0,SUBSTITUTE(Clientes[[#This Row],[Columna1]]," días",""))</f>
        <v>0</v>
      </c>
      <c r="E1322" s="34"/>
      <c r="F1322"/>
      <c r="G1322" s="77"/>
      <c r="I1322"/>
      <c r="J1322" s="34"/>
      <c r="K1322"/>
    </row>
    <row r="1323" spans="1:11">
      <c r="A1323" s="102" t="s">
        <v>2447</v>
      </c>
      <c r="B1323" s="102" t="s">
        <v>2448</v>
      </c>
      <c r="C1323" s="102" t="s">
        <v>56</v>
      </c>
      <c r="D1323" s="99">
        <f>IF(OR(Clientes[[#This Row],[Columna1]]="Pago inmediato",Clientes[[#This Row],[Columna1]]=""),0,SUBSTITUTE(Clientes[[#This Row],[Columna1]]," días",""))</f>
        <v>0</v>
      </c>
      <c r="E1323" s="34"/>
      <c r="F1323"/>
      <c r="G1323" s="77"/>
      <c r="I1323"/>
      <c r="J1323" s="34"/>
      <c r="K1323"/>
    </row>
    <row r="1324" ht="45" spans="1:11">
      <c r="A1324" s="102" t="s">
        <v>2449</v>
      </c>
      <c r="B1324" s="102" t="s">
        <v>2450</v>
      </c>
      <c r="C1324" s="102" t="s">
        <v>56</v>
      </c>
      <c r="D1324" s="99">
        <f>IF(OR(Clientes[[#This Row],[Columna1]]="Pago inmediato",Clientes[[#This Row],[Columna1]]=""),0,SUBSTITUTE(Clientes[[#This Row],[Columna1]]," días",""))</f>
        <v>0</v>
      </c>
      <c r="E1324" s="34"/>
      <c r="F1324"/>
      <c r="G1324" s="77"/>
      <c r="I1324"/>
      <c r="J1324" s="34"/>
      <c r="K1324"/>
    </row>
    <row r="1325" spans="1:11">
      <c r="A1325" s="102" t="s">
        <v>2451</v>
      </c>
      <c r="B1325" s="102" t="s">
        <v>2452</v>
      </c>
      <c r="C1325" s="102" t="s">
        <v>56</v>
      </c>
      <c r="D1325" s="99">
        <f>IF(OR(Clientes[[#This Row],[Columna1]]="Pago inmediato",Clientes[[#This Row],[Columna1]]=""),0,SUBSTITUTE(Clientes[[#This Row],[Columna1]]," días",""))</f>
        <v>0</v>
      </c>
      <c r="E1325" s="34"/>
      <c r="F1325"/>
      <c r="G1325" s="77"/>
      <c r="I1325"/>
      <c r="J1325" s="34"/>
      <c r="K1325"/>
    </row>
    <row r="1326" ht="30" spans="1:11">
      <c r="A1326" s="102" t="s">
        <v>2453</v>
      </c>
      <c r="B1326" s="102" t="s">
        <v>2454</v>
      </c>
      <c r="C1326" s="102" t="s">
        <v>56</v>
      </c>
      <c r="D1326" s="99">
        <f>IF(OR(Clientes[[#This Row],[Columna1]]="Pago inmediato",Clientes[[#This Row],[Columna1]]=""),0,SUBSTITUTE(Clientes[[#This Row],[Columna1]]," días",""))</f>
        <v>0</v>
      </c>
      <c r="E1326" s="34"/>
      <c r="F1326"/>
      <c r="G1326" s="77"/>
      <c r="I1326"/>
      <c r="J1326" s="34"/>
      <c r="K1326"/>
    </row>
    <row r="1327" ht="30" spans="1:11">
      <c r="A1327" s="102" t="s">
        <v>2455</v>
      </c>
      <c r="B1327" s="102" t="s">
        <v>2456</v>
      </c>
      <c r="C1327" s="102" t="s">
        <v>56</v>
      </c>
      <c r="D1327" s="99">
        <f>IF(OR(Clientes[[#This Row],[Columna1]]="Pago inmediato",Clientes[[#This Row],[Columna1]]=""),0,SUBSTITUTE(Clientes[[#This Row],[Columna1]]," días",""))</f>
        <v>0</v>
      </c>
      <c r="E1327" s="34"/>
      <c r="F1327"/>
      <c r="G1327" s="77"/>
      <c r="I1327"/>
      <c r="J1327" s="34"/>
      <c r="K1327"/>
    </row>
    <row r="1328" ht="30" spans="1:11">
      <c r="A1328" s="102" t="s">
        <v>2457</v>
      </c>
      <c r="B1328" s="102" t="s">
        <v>2458</v>
      </c>
      <c r="C1328" s="102" t="s">
        <v>56</v>
      </c>
      <c r="D1328" s="99">
        <f>IF(OR(Clientes[[#This Row],[Columna1]]="Pago inmediato",Clientes[[#This Row],[Columna1]]=""),0,SUBSTITUTE(Clientes[[#This Row],[Columna1]]," días",""))</f>
        <v>0</v>
      </c>
      <c r="E1328" s="34"/>
      <c r="F1328"/>
      <c r="G1328" s="77"/>
      <c r="I1328"/>
      <c r="J1328" s="34"/>
      <c r="K1328"/>
    </row>
    <row r="1329" spans="1:11">
      <c r="A1329" s="102" t="s">
        <v>2459</v>
      </c>
      <c r="B1329" s="102" t="s">
        <v>2460</v>
      </c>
      <c r="C1329" s="102" t="s">
        <v>56</v>
      </c>
      <c r="D1329" s="99">
        <f>IF(OR(Clientes[[#This Row],[Columna1]]="Pago inmediato",Clientes[[#This Row],[Columna1]]=""),0,SUBSTITUTE(Clientes[[#This Row],[Columna1]]," días",""))</f>
        <v>0</v>
      </c>
      <c r="E1329" s="34"/>
      <c r="F1329"/>
      <c r="G1329" s="77"/>
      <c r="I1329"/>
      <c r="J1329" s="34"/>
      <c r="K1329"/>
    </row>
    <row r="1330" ht="30" spans="1:11">
      <c r="A1330" s="102" t="s">
        <v>2461</v>
      </c>
      <c r="B1330" s="102" t="s">
        <v>2462</v>
      </c>
      <c r="C1330" s="102" t="s">
        <v>56</v>
      </c>
      <c r="D1330" s="99">
        <f>IF(OR(Clientes[[#This Row],[Columna1]]="Pago inmediato",Clientes[[#This Row],[Columna1]]=""),0,SUBSTITUTE(Clientes[[#This Row],[Columna1]]," días",""))</f>
        <v>0</v>
      </c>
      <c r="E1330" s="34"/>
      <c r="F1330"/>
      <c r="G1330" s="77"/>
      <c r="I1330"/>
      <c r="J1330" s="34"/>
      <c r="K1330"/>
    </row>
    <row r="1331" spans="1:11">
      <c r="A1331" s="102" t="s">
        <v>2463</v>
      </c>
      <c r="B1331" s="102" t="s">
        <v>2464</v>
      </c>
      <c r="C1331" s="102" t="s">
        <v>56</v>
      </c>
      <c r="D1331" s="99">
        <f>IF(OR(Clientes[[#This Row],[Columna1]]="Pago inmediato",Clientes[[#This Row],[Columna1]]=""),0,SUBSTITUTE(Clientes[[#This Row],[Columna1]]," días",""))</f>
        <v>0</v>
      </c>
      <c r="E1331" s="34"/>
      <c r="F1331"/>
      <c r="G1331" s="77"/>
      <c r="I1331"/>
      <c r="J1331" s="34"/>
      <c r="K1331"/>
    </row>
    <row r="1332" spans="1:11">
      <c r="A1332" s="102" t="s">
        <v>2465</v>
      </c>
      <c r="B1332" s="102" t="s">
        <v>2466</v>
      </c>
      <c r="C1332" s="102" t="s">
        <v>56</v>
      </c>
      <c r="D1332" s="99">
        <f>IF(OR(Clientes[[#This Row],[Columna1]]="Pago inmediato",Clientes[[#This Row],[Columna1]]=""),0,SUBSTITUTE(Clientes[[#This Row],[Columna1]]," días",""))</f>
        <v>0</v>
      </c>
      <c r="E1332" s="34"/>
      <c r="F1332"/>
      <c r="G1332" s="77"/>
      <c r="I1332"/>
      <c r="J1332" s="34"/>
      <c r="K1332"/>
    </row>
    <row r="1333" ht="30" spans="1:11">
      <c r="A1333" s="102" t="s">
        <v>2467</v>
      </c>
      <c r="B1333" s="102" t="s">
        <v>2468</v>
      </c>
      <c r="C1333" s="102" t="s">
        <v>56</v>
      </c>
      <c r="D1333" s="99">
        <f>IF(OR(Clientes[[#This Row],[Columna1]]="Pago inmediato",Clientes[[#This Row],[Columna1]]=""),0,SUBSTITUTE(Clientes[[#This Row],[Columna1]]," días",""))</f>
        <v>0</v>
      </c>
      <c r="E1333" s="34"/>
      <c r="F1333"/>
      <c r="G1333" s="77"/>
      <c r="I1333"/>
      <c r="J1333" s="34"/>
      <c r="K1333"/>
    </row>
    <row r="1334" ht="45" spans="1:11">
      <c r="A1334" s="102" t="s">
        <v>2467</v>
      </c>
      <c r="B1334" s="102" t="s">
        <v>2469</v>
      </c>
      <c r="C1334" s="102" t="s">
        <v>56</v>
      </c>
      <c r="D1334" s="99">
        <f>IF(OR(Clientes[[#This Row],[Columna1]]="Pago inmediato",Clientes[[#This Row],[Columna1]]=""),0,SUBSTITUTE(Clientes[[#This Row],[Columna1]]," días",""))</f>
        <v>0</v>
      </c>
      <c r="E1334" s="34"/>
      <c r="F1334"/>
      <c r="G1334" s="77"/>
      <c r="I1334"/>
      <c r="J1334" s="34"/>
      <c r="K1334"/>
    </row>
    <row r="1335" ht="60" spans="1:11">
      <c r="A1335" s="102" t="s">
        <v>2470</v>
      </c>
      <c r="B1335" s="102" t="s">
        <v>2471</v>
      </c>
      <c r="C1335" s="102" t="s">
        <v>56</v>
      </c>
      <c r="D1335" s="99">
        <f>IF(OR(Clientes[[#This Row],[Columna1]]="Pago inmediato",Clientes[[#This Row],[Columna1]]=""),0,SUBSTITUTE(Clientes[[#This Row],[Columna1]]," días",""))</f>
        <v>0</v>
      </c>
      <c r="E1335" s="34"/>
      <c r="F1335"/>
      <c r="G1335" s="77"/>
      <c r="I1335"/>
      <c r="J1335" s="34"/>
      <c r="K1335"/>
    </row>
    <row r="1336" ht="75" spans="1:11">
      <c r="A1336" s="102" t="s">
        <v>2470</v>
      </c>
      <c r="B1336" s="102" t="s">
        <v>2472</v>
      </c>
      <c r="C1336" s="102" t="s">
        <v>56</v>
      </c>
      <c r="D1336" s="99">
        <f>IF(OR(Clientes[[#This Row],[Columna1]]="Pago inmediato",Clientes[[#This Row],[Columna1]]=""),0,SUBSTITUTE(Clientes[[#This Row],[Columna1]]," días",""))</f>
        <v>0</v>
      </c>
      <c r="E1336" s="34"/>
      <c r="F1336"/>
      <c r="G1336" s="77"/>
      <c r="I1336"/>
      <c r="J1336" s="34"/>
      <c r="K1336"/>
    </row>
    <row r="1337" ht="30" spans="1:11">
      <c r="A1337" s="102" t="s">
        <v>2473</v>
      </c>
      <c r="B1337" s="102" t="s">
        <v>2474</v>
      </c>
      <c r="C1337" s="102" t="s">
        <v>56</v>
      </c>
      <c r="D1337" s="99">
        <f>IF(OR(Clientes[[#This Row],[Columna1]]="Pago inmediato",Clientes[[#This Row],[Columna1]]=""),0,SUBSTITUTE(Clientes[[#This Row],[Columna1]]," días",""))</f>
        <v>0</v>
      </c>
      <c r="E1337" s="34"/>
      <c r="F1337"/>
      <c r="G1337" s="77"/>
      <c r="I1337"/>
      <c r="J1337" s="34"/>
      <c r="K1337"/>
    </row>
    <row r="1338" ht="30" spans="1:11">
      <c r="A1338" s="102" t="s">
        <v>2475</v>
      </c>
      <c r="B1338" s="102" t="s">
        <v>2476</v>
      </c>
      <c r="C1338" s="102" t="s">
        <v>56</v>
      </c>
      <c r="D1338" s="99">
        <f>IF(OR(Clientes[[#This Row],[Columna1]]="Pago inmediato",Clientes[[#This Row],[Columna1]]=""),0,SUBSTITUTE(Clientes[[#This Row],[Columna1]]," días",""))</f>
        <v>0</v>
      </c>
      <c r="E1338" s="34"/>
      <c r="F1338"/>
      <c r="G1338" s="77"/>
      <c r="I1338"/>
      <c r="J1338" s="34"/>
      <c r="K1338"/>
    </row>
    <row r="1339" ht="30" spans="1:11">
      <c r="A1339" s="102" t="s">
        <v>2477</v>
      </c>
      <c r="B1339" s="102" t="s">
        <v>2478</v>
      </c>
      <c r="C1339" s="102"/>
      <c r="D1339" s="99">
        <f>IF(OR(Clientes[[#This Row],[Columna1]]="Pago inmediato",Clientes[[#This Row],[Columna1]]=""),0,SUBSTITUTE(Clientes[[#This Row],[Columna1]]," días",""))</f>
        <v>0</v>
      </c>
      <c r="E1339" s="34"/>
      <c r="F1339"/>
      <c r="G1339" s="77"/>
      <c r="I1339"/>
      <c r="J1339" s="34"/>
      <c r="K1339"/>
    </row>
    <row r="1340" ht="30" spans="1:11">
      <c r="A1340" s="102"/>
      <c r="B1340" s="102" t="s">
        <v>2479</v>
      </c>
      <c r="C1340" s="102"/>
      <c r="D1340" s="99">
        <f>IF(OR(Clientes[[#This Row],[Columna1]]="Pago inmediato",Clientes[[#This Row],[Columna1]]=""),0,SUBSTITUTE(Clientes[[#This Row],[Columna1]]," días",""))</f>
        <v>0</v>
      </c>
      <c r="E1340" s="34"/>
      <c r="F1340"/>
      <c r="G1340" s="77"/>
      <c r="I1340"/>
      <c r="J1340" s="34"/>
      <c r="K1340"/>
    </row>
    <row r="1341" spans="1:11">
      <c r="A1341" s="102" t="s">
        <v>2480</v>
      </c>
      <c r="B1341" s="102" t="s">
        <v>2481</v>
      </c>
      <c r="C1341" s="102" t="s">
        <v>56</v>
      </c>
      <c r="D1341" s="99">
        <f>IF(OR(Clientes[[#This Row],[Columna1]]="Pago inmediato",Clientes[[#This Row],[Columna1]]=""),0,SUBSTITUTE(Clientes[[#This Row],[Columna1]]," días",""))</f>
        <v>0</v>
      </c>
      <c r="E1341" s="34"/>
      <c r="F1341"/>
      <c r="G1341" s="77"/>
      <c r="I1341"/>
      <c r="J1341" s="34"/>
      <c r="K1341"/>
    </row>
    <row r="1342" ht="30" spans="1:11">
      <c r="A1342" s="102" t="s">
        <v>2482</v>
      </c>
      <c r="B1342" s="102" t="s">
        <v>2483</v>
      </c>
      <c r="C1342" s="102" t="s">
        <v>56</v>
      </c>
      <c r="D1342" s="99">
        <f>IF(OR(Clientes[[#This Row],[Columna1]]="Pago inmediato",Clientes[[#This Row],[Columna1]]=""),0,SUBSTITUTE(Clientes[[#This Row],[Columna1]]," días",""))</f>
        <v>0</v>
      </c>
      <c r="E1342" s="34"/>
      <c r="F1342"/>
      <c r="G1342" s="77"/>
      <c r="I1342"/>
      <c r="J1342" s="34"/>
      <c r="K1342"/>
    </row>
    <row r="1343" spans="1:11">
      <c r="A1343" s="102" t="s">
        <v>2484</v>
      </c>
      <c r="B1343" s="102" t="s">
        <v>2485</v>
      </c>
      <c r="C1343" s="102" t="s">
        <v>56</v>
      </c>
      <c r="D1343" s="99">
        <f>IF(OR(Clientes[[#This Row],[Columna1]]="Pago inmediato",Clientes[[#This Row],[Columna1]]=""),0,SUBSTITUTE(Clientes[[#This Row],[Columna1]]," días",""))</f>
        <v>0</v>
      </c>
      <c r="E1343" s="34"/>
      <c r="F1343"/>
      <c r="G1343" s="77"/>
      <c r="I1343"/>
      <c r="J1343" s="34"/>
      <c r="K1343"/>
    </row>
    <row r="1344" ht="30" spans="1:11">
      <c r="A1344" s="102" t="s">
        <v>2486</v>
      </c>
      <c r="B1344" s="102" t="s">
        <v>2487</v>
      </c>
      <c r="C1344" s="102" t="s">
        <v>465</v>
      </c>
      <c r="D1344" s="99" t="str">
        <f>IF(OR(Clientes[[#This Row],[Columna1]]="Pago inmediato",Clientes[[#This Row],[Columna1]]=""),0,SUBSTITUTE(Clientes[[#This Row],[Columna1]]," días",""))</f>
        <v>3</v>
      </c>
      <c r="E1344" s="34"/>
      <c r="F1344"/>
      <c r="G1344" s="77"/>
      <c r="I1344"/>
      <c r="J1344" s="34"/>
      <c r="K1344"/>
    </row>
    <row r="1345" ht="30" spans="1:11">
      <c r="A1345" s="102" t="s">
        <v>2488</v>
      </c>
      <c r="B1345" s="102" t="s">
        <v>2489</v>
      </c>
      <c r="C1345" s="102" t="s">
        <v>56</v>
      </c>
      <c r="D1345" s="99">
        <f>IF(OR(Clientes[[#This Row],[Columna1]]="Pago inmediato",Clientes[[#This Row],[Columna1]]=""),0,SUBSTITUTE(Clientes[[#This Row],[Columna1]]," días",""))</f>
        <v>0</v>
      </c>
      <c r="E1345" s="34"/>
      <c r="F1345"/>
      <c r="G1345" s="77"/>
      <c r="I1345"/>
      <c r="J1345" s="34"/>
      <c r="K1345"/>
    </row>
    <row r="1346" spans="1:11">
      <c r="A1346" s="102" t="s">
        <v>2490</v>
      </c>
      <c r="B1346" s="102" t="s">
        <v>2491</v>
      </c>
      <c r="C1346" s="102"/>
      <c r="D1346" s="99">
        <f>IF(OR(Clientes[[#This Row],[Columna1]]="Pago inmediato",Clientes[[#This Row],[Columna1]]=""),0,SUBSTITUTE(Clientes[[#This Row],[Columna1]]," días",""))</f>
        <v>0</v>
      </c>
      <c r="E1346" s="34"/>
      <c r="F1346"/>
      <c r="G1346" s="77"/>
      <c r="I1346"/>
      <c r="J1346" s="34"/>
      <c r="K1346"/>
    </row>
    <row r="1347" ht="30" spans="1:11">
      <c r="A1347" s="102" t="s">
        <v>2492</v>
      </c>
      <c r="B1347" s="102" t="s">
        <v>2493</v>
      </c>
      <c r="C1347" s="102"/>
      <c r="D1347" s="99">
        <f>IF(OR(Clientes[[#This Row],[Columna1]]="Pago inmediato",Clientes[[#This Row],[Columna1]]=""),0,SUBSTITUTE(Clientes[[#This Row],[Columna1]]," días",""))</f>
        <v>0</v>
      </c>
      <c r="E1347" s="34"/>
      <c r="F1347"/>
      <c r="G1347" s="77"/>
      <c r="I1347"/>
      <c r="J1347" s="34"/>
      <c r="K1347"/>
    </row>
    <row r="1348" spans="1:11">
      <c r="A1348" s="102" t="s">
        <v>2494</v>
      </c>
      <c r="B1348" s="102" t="s">
        <v>2495</v>
      </c>
      <c r="C1348" s="102" t="s">
        <v>56</v>
      </c>
      <c r="D1348" s="99">
        <f>IF(OR(Clientes[[#This Row],[Columna1]]="Pago inmediato",Clientes[[#This Row],[Columna1]]=""),0,SUBSTITUTE(Clientes[[#This Row],[Columna1]]," días",""))</f>
        <v>0</v>
      </c>
      <c r="E1348" s="34"/>
      <c r="F1348"/>
      <c r="G1348" s="77"/>
      <c r="I1348"/>
      <c r="J1348" s="34"/>
      <c r="K1348"/>
    </row>
    <row r="1349" spans="1:11">
      <c r="A1349" s="102" t="s">
        <v>2496</v>
      </c>
      <c r="B1349" s="102" t="s">
        <v>2497</v>
      </c>
      <c r="C1349" s="102" t="s">
        <v>56</v>
      </c>
      <c r="D1349" s="99">
        <f>IF(OR(Clientes[[#This Row],[Columna1]]="Pago inmediato",Clientes[[#This Row],[Columna1]]=""),0,SUBSTITUTE(Clientes[[#This Row],[Columna1]]," días",""))</f>
        <v>0</v>
      </c>
      <c r="E1349" s="34"/>
      <c r="F1349"/>
      <c r="G1349" s="77"/>
      <c r="I1349"/>
      <c r="J1349" s="34"/>
      <c r="K1349"/>
    </row>
    <row r="1350" spans="1:11">
      <c r="A1350" s="102"/>
      <c r="B1350" s="102" t="s">
        <v>2498</v>
      </c>
      <c r="C1350" s="102" t="s">
        <v>56</v>
      </c>
      <c r="D1350" s="99">
        <f>IF(OR(Clientes[[#This Row],[Columna1]]="Pago inmediato",Clientes[[#This Row],[Columna1]]=""),0,SUBSTITUTE(Clientes[[#This Row],[Columna1]]," días",""))</f>
        <v>0</v>
      </c>
      <c r="E1350" s="34"/>
      <c r="F1350"/>
      <c r="G1350" s="77"/>
      <c r="I1350"/>
      <c r="J1350" s="34"/>
      <c r="K1350"/>
    </row>
    <row r="1351" spans="1:11">
      <c r="A1351" s="102"/>
      <c r="B1351" s="102" t="s">
        <v>2499</v>
      </c>
      <c r="C1351" s="102" t="s">
        <v>56</v>
      </c>
      <c r="D1351" s="99">
        <f>IF(OR(Clientes[[#This Row],[Columna1]]="Pago inmediato",Clientes[[#This Row],[Columna1]]=""),0,SUBSTITUTE(Clientes[[#This Row],[Columna1]]," días",""))</f>
        <v>0</v>
      </c>
      <c r="E1351" s="34"/>
      <c r="F1351"/>
      <c r="G1351" s="77"/>
      <c r="I1351"/>
      <c r="J1351" s="34"/>
      <c r="K1351"/>
    </row>
    <row r="1352" spans="1:11">
      <c r="A1352" s="102" t="s">
        <v>2500</v>
      </c>
      <c r="B1352" s="102" t="s">
        <v>2501</v>
      </c>
      <c r="C1352" s="102" t="s">
        <v>56</v>
      </c>
      <c r="D1352" s="99">
        <f>IF(OR(Clientes[[#This Row],[Columna1]]="Pago inmediato",Clientes[[#This Row],[Columna1]]=""),0,SUBSTITUTE(Clientes[[#This Row],[Columna1]]," días",""))</f>
        <v>0</v>
      </c>
      <c r="E1352" s="34"/>
      <c r="F1352"/>
      <c r="G1352" s="77"/>
      <c r="I1352"/>
      <c r="J1352" s="34"/>
      <c r="K1352"/>
    </row>
    <row r="1353" spans="1:11">
      <c r="A1353" s="102"/>
      <c r="B1353" s="102" t="s">
        <v>2502</v>
      </c>
      <c r="C1353" s="102"/>
      <c r="D1353" s="99">
        <f>IF(OR(Clientes[[#This Row],[Columna1]]="Pago inmediato",Clientes[[#This Row],[Columna1]]=""),0,SUBSTITUTE(Clientes[[#This Row],[Columna1]]," días",""))</f>
        <v>0</v>
      </c>
      <c r="E1353" s="34"/>
      <c r="F1353"/>
      <c r="G1353" s="77"/>
      <c r="I1353"/>
      <c r="J1353" s="34"/>
      <c r="K1353"/>
    </row>
    <row r="1354" ht="30" spans="1:11">
      <c r="A1354" s="102" t="s">
        <v>2503</v>
      </c>
      <c r="B1354" s="102" t="s">
        <v>2504</v>
      </c>
      <c r="C1354" s="102" t="s">
        <v>54</v>
      </c>
      <c r="D1354" s="99" t="str">
        <f>IF(OR(Clientes[[#This Row],[Columna1]]="Pago inmediato",Clientes[[#This Row],[Columna1]]=""),0,SUBSTITUTE(Clientes[[#This Row],[Columna1]]," días",""))</f>
        <v>7</v>
      </c>
      <c r="E1354" s="34"/>
      <c r="F1354"/>
      <c r="G1354" s="77"/>
      <c r="I1354"/>
      <c r="J1354" s="34"/>
      <c r="K1354"/>
    </row>
    <row r="1355" ht="45" spans="1:11">
      <c r="A1355" s="102" t="s">
        <v>2505</v>
      </c>
      <c r="B1355" s="102" t="s">
        <v>2506</v>
      </c>
      <c r="C1355" s="102" t="s">
        <v>56</v>
      </c>
      <c r="D1355" s="99">
        <f>IF(OR(Clientes[[#This Row],[Columna1]]="Pago inmediato",Clientes[[#This Row],[Columna1]]=""),0,SUBSTITUTE(Clientes[[#This Row],[Columna1]]," días",""))</f>
        <v>0</v>
      </c>
      <c r="E1355" s="34"/>
      <c r="F1355"/>
      <c r="G1355" s="77"/>
      <c r="I1355"/>
      <c r="J1355" s="34"/>
      <c r="K1355"/>
    </row>
    <row r="1356" ht="90" spans="1:11">
      <c r="A1356" s="102" t="s">
        <v>2507</v>
      </c>
      <c r="B1356" s="102" t="s">
        <v>2508</v>
      </c>
      <c r="C1356" s="102" t="s">
        <v>61</v>
      </c>
      <c r="D1356" s="99" t="str">
        <f>IF(OR(Clientes[[#This Row],[Columna1]]="Pago inmediato",Clientes[[#This Row],[Columna1]]=""),0,SUBSTITUTE(Clientes[[#This Row],[Columna1]]," días",""))</f>
        <v>15</v>
      </c>
      <c r="E1356" s="34"/>
      <c r="F1356"/>
      <c r="G1356" s="77"/>
      <c r="I1356"/>
      <c r="J1356" s="34"/>
      <c r="K1356"/>
    </row>
    <row r="1357" ht="45" spans="1:11">
      <c r="A1357" s="102" t="s">
        <v>2509</v>
      </c>
      <c r="B1357" s="102" t="s">
        <v>2510</v>
      </c>
      <c r="C1357" s="102" t="s">
        <v>56</v>
      </c>
      <c r="D1357" s="99">
        <f>IF(OR(Clientes[[#This Row],[Columna1]]="Pago inmediato",Clientes[[#This Row],[Columna1]]=""),0,SUBSTITUTE(Clientes[[#This Row],[Columna1]]," días",""))</f>
        <v>0</v>
      </c>
      <c r="E1357" s="34"/>
      <c r="F1357"/>
      <c r="G1357" s="77"/>
      <c r="I1357"/>
      <c r="J1357" s="34"/>
      <c r="K1357"/>
    </row>
    <row r="1358" ht="30" spans="1:11">
      <c r="A1358" s="102" t="s">
        <v>2511</v>
      </c>
      <c r="B1358" s="102" t="s">
        <v>2512</v>
      </c>
      <c r="C1358" s="102" t="s">
        <v>61</v>
      </c>
      <c r="D1358" s="99" t="str">
        <f>IF(OR(Clientes[[#This Row],[Columna1]]="Pago inmediato",Clientes[[#This Row],[Columna1]]=""),0,SUBSTITUTE(Clientes[[#This Row],[Columna1]]," días",""))</f>
        <v>15</v>
      </c>
      <c r="E1358" s="34"/>
      <c r="F1358"/>
      <c r="G1358" s="77"/>
      <c r="I1358"/>
      <c r="J1358" s="34"/>
      <c r="K1358"/>
    </row>
    <row r="1359" ht="30" spans="1:11">
      <c r="A1359" s="102" t="s">
        <v>2513</v>
      </c>
      <c r="B1359" s="102" t="s">
        <v>2514</v>
      </c>
      <c r="C1359" s="102" t="s">
        <v>54</v>
      </c>
      <c r="D1359" s="99" t="str">
        <f>IF(OR(Clientes[[#This Row],[Columna1]]="Pago inmediato",Clientes[[#This Row],[Columna1]]=""),0,SUBSTITUTE(Clientes[[#This Row],[Columna1]]," días",""))</f>
        <v>7</v>
      </c>
      <c r="E1359" s="34"/>
      <c r="F1359"/>
      <c r="G1359" s="77"/>
      <c r="I1359"/>
      <c r="J1359" s="34"/>
      <c r="K1359"/>
    </row>
    <row r="1360" spans="1:11">
      <c r="A1360" s="102" t="s">
        <v>2515</v>
      </c>
      <c r="B1360" s="102" t="s">
        <v>2516</v>
      </c>
      <c r="C1360" s="102" t="s">
        <v>56</v>
      </c>
      <c r="D1360" s="99">
        <f>IF(OR(Clientes[[#This Row],[Columna1]]="Pago inmediato",Clientes[[#This Row],[Columna1]]=""),0,SUBSTITUTE(Clientes[[#This Row],[Columna1]]," días",""))</f>
        <v>0</v>
      </c>
      <c r="E1360" s="34"/>
      <c r="F1360"/>
      <c r="G1360" s="77"/>
      <c r="I1360"/>
      <c r="J1360" s="34"/>
      <c r="K1360"/>
    </row>
    <row r="1361" ht="30" spans="1:11">
      <c r="A1361" s="102" t="s">
        <v>2517</v>
      </c>
      <c r="B1361" s="102" t="s">
        <v>2518</v>
      </c>
      <c r="C1361" s="102" t="s">
        <v>56</v>
      </c>
      <c r="D1361" s="99">
        <f>IF(OR(Clientes[[#This Row],[Columna1]]="Pago inmediato",Clientes[[#This Row],[Columna1]]=""),0,SUBSTITUTE(Clientes[[#This Row],[Columna1]]," días",""))</f>
        <v>0</v>
      </c>
      <c r="E1361" s="34"/>
      <c r="F1361"/>
      <c r="G1361" s="77"/>
      <c r="I1361"/>
      <c r="J1361" s="34"/>
      <c r="K1361"/>
    </row>
    <row r="1362" ht="30" spans="1:11">
      <c r="A1362" s="102" t="s">
        <v>2519</v>
      </c>
      <c r="B1362" s="102" t="s">
        <v>2520</v>
      </c>
      <c r="C1362" s="102" t="s">
        <v>56</v>
      </c>
      <c r="D1362" s="99">
        <f>IF(OR(Clientes[[#This Row],[Columna1]]="Pago inmediato",Clientes[[#This Row],[Columna1]]=""),0,SUBSTITUTE(Clientes[[#This Row],[Columna1]]," días",""))</f>
        <v>0</v>
      </c>
      <c r="E1362" s="34"/>
      <c r="F1362"/>
      <c r="G1362" s="77"/>
      <c r="I1362"/>
      <c r="J1362" s="34"/>
      <c r="K1362"/>
    </row>
    <row r="1363" ht="30" spans="1:11">
      <c r="A1363" s="102" t="s">
        <v>2521</v>
      </c>
      <c r="B1363" s="102" t="s">
        <v>2522</v>
      </c>
      <c r="C1363" s="102" t="s">
        <v>56</v>
      </c>
      <c r="D1363" s="99">
        <f>IF(OR(Clientes[[#This Row],[Columna1]]="Pago inmediato",Clientes[[#This Row],[Columna1]]=""),0,SUBSTITUTE(Clientes[[#This Row],[Columna1]]," días",""))</f>
        <v>0</v>
      </c>
      <c r="E1363" s="34"/>
      <c r="F1363"/>
      <c r="G1363" s="77"/>
      <c r="I1363"/>
      <c r="J1363" s="34"/>
      <c r="K1363"/>
    </row>
    <row r="1364" ht="30" spans="1:11">
      <c r="A1364" s="102" t="s">
        <v>2523</v>
      </c>
      <c r="B1364" s="102" t="s">
        <v>2524</v>
      </c>
      <c r="C1364" s="102" t="s">
        <v>56</v>
      </c>
      <c r="D1364" s="99">
        <f>IF(OR(Clientes[[#This Row],[Columna1]]="Pago inmediato",Clientes[[#This Row],[Columna1]]=""),0,SUBSTITUTE(Clientes[[#This Row],[Columna1]]," días",""))</f>
        <v>0</v>
      </c>
      <c r="E1364" s="34"/>
      <c r="F1364"/>
      <c r="G1364" s="77"/>
      <c r="I1364"/>
      <c r="J1364" s="34"/>
      <c r="K1364"/>
    </row>
    <row r="1365" spans="1:11">
      <c r="A1365" s="102" t="s">
        <v>2525</v>
      </c>
      <c r="B1365" s="102" t="s">
        <v>2526</v>
      </c>
      <c r="C1365" s="102" t="s">
        <v>56</v>
      </c>
      <c r="D1365" s="99">
        <f>IF(OR(Clientes[[#This Row],[Columna1]]="Pago inmediato",Clientes[[#This Row],[Columna1]]=""),0,SUBSTITUTE(Clientes[[#This Row],[Columna1]]," días",""))</f>
        <v>0</v>
      </c>
      <c r="E1365" s="34"/>
      <c r="F1365"/>
      <c r="G1365" s="77"/>
      <c r="I1365"/>
      <c r="J1365" s="34"/>
      <c r="K1365"/>
    </row>
    <row r="1366" ht="30" spans="1:11">
      <c r="A1366" s="102" t="s">
        <v>2527</v>
      </c>
      <c r="B1366" s="102" t="s">
        <v>2528</v>
      </c>
      <c r="C1366" s="102" t="s">
        <v>56</v>
      </c>
      <c r="D1366" s="99">
        <f>IF(OR(Clientes[[#This Row],[Columna1]]="Pago inmediato",Clientes[[#This Row],[Columna1]]=""),0,SUBSTITUTE(Clientes[[#This Row],[Columna1]]," días",""))</f>
        <v>0</v>
      </c>
      <c r="E1366" s="34"/>
      <c r="F1366"/>
      <c r="G1366" s="77"/>
      <c r="I1366"/>
      <c r="J1366" s="34"/>
      <c r="K1366"/>
    </row>
    <row r="1367" ht="30" spans="1:11">
      <c r="A1367" s="102" t="s">
        <v>2529</v>
      </c>
      <c r="B1367" s="102" t="s">
        <v>2530</v>
      </c>
      <c r="C1367" s="102" t="s">
        <v>56</v>
      </c>
      <c r="D1367" s="99">
        <f>IF(OR(Clientes[[#This Row],[Columna1]]="Pago inmediato",Clientes[[#This Row],[Columna1]]=""),0,SUBSTITUTE(Clientes[[#This Row],[Columna1]]," días",""))</f>
        <v>0</v>
      </c>
      <c r="E1367" s="34"/>
      <c r="F1367"/>
      <c r="G1367" s="77"/>
      <c r="I1367"/>
      <c r="J1367" s="34"/>
      <c r="K1367"/>
    </row>
    <row r="1368" ht="30" spans="1:11">
      <c r="A1368" s="102" t="s">
        <v>2529</v>
      </c>
      <c r="B1368" s="102" t="s">
        <v>2531</v>
      </c>
      <c r="C1368" s="102" t="s">
        <v>56</v>
      </c>
      <c r="D1368" s="99">
        <f>IF(OR(Clientes[[#This Row],[Columna1]]="Pago inmediato",Clientes[[#This Row],[Columna1]]=""),0,SUBSTITUTE(Clientes[[#This Row],[Columna1]]," días",""))</f>
        <v>0</v>
      </c>
      <c r="E1368" s="34"/>
      <c r="F1368"/>
      <c r="G1368" s="77"/>
      <c r="I1368"/>
      <c r="J1368" s="34"/>
      <c r="K1368"/>
    </row>
    <row r="1369" ht="30" spans="1:11">
      <c r="A1369" s="102" t="s">
        <v>2532</v>
      </c>
      <c r="B1369" s="102" t="s">
        <v>2533</v>
      </c>
      <c r="C1369" s="102" t="s">
        <v>2049</v>
      </c>
      <c r="D1369" s="99" t="str">
        <f>IF(OR(Clientes[[#This Row],[Columna1]]="Pago inmediato",Clientes[[#This Row],[Columna1]]=""),0,SUBSTITUTE(Clientes[[#This Row],[Columna1]]," días",""))</f>
        <v>30 Días</v>
      </c>
      <c r="E1369" s="34"/>
      <c r="F1369"/>
      <c r="G1369" s="77"/>
      <c r="I1369"/>
      <c r="J1369" s="34"/>
      <c r="K1369"/>
    </row>
    <row r="1370" spans="1:11">
      <c r="A1370" s="102" t="s">
        <v>2534</v>
      </c>
      <c r="B1370" s="102" t="s">
        <v>2535</v>
      </c>
      <c r="C1370" s="102" t="s">
        <v>56</v>
      </c>
      <c r="D1370" s="99">
        <f>IF(OR(Clientes[[#This Row],[Columna1]]="Pago inmediato",Clientes[[#This Row],[Columna1]]=""),0,SUBSTITUTE(Clientes[[#This Row],[Columna1]]," días",""))</f>
        <v>0</v>
      </c>
      <c r="E1370" s="34"/>
      <c r="F1370"/>
      <c r="G1370" s="77"/>
      <c r="I1370"/>
      <c r="J1370" s="34"/>
      <c r="K1370"/>
    </row>
    <row r="1371" ht="30" spans="1:11">
      <c r="A1371" s="102" t="s">
        <v>2536</v>
      </c>
      <c r="B1371" s="102" t="s">
        <v>2537</v>
      </c>
      <c r="C1371" s="102" t="s">
        <v>56</v>
      </c>
      <c r="D1371" s="99">
        <f>IF(OR(Clientes[[#This Row],[Columna1]]="Pago inmediato",Clientes[[#This Row],[Columna1]]=""),0,SUBSTITUTE(Clientes[[#This Row],[Columna1]]," días",""))</f>
        <v>0</v>
      </c>
      <c r="E1371" s="34"/>
      <c r="F1371"/>
      <c r="G1371" s="77"/>
      <c r="I1371"/>
      <c r="J1371" s="34"/>
      <c r="K1371"/>
    </row>
    <row r="1372" spans="1:11">
      <c r="A1372" s="102" t="s">
        <v>2538</v>
      </c>
      <c r="B1372" s="102" t="s">
        <v>2539</v>
      </c>
      <c r="C1372" s="102" t="s">
        <v>56</v>
      </c>
      <c r="D1372" s="99">
        <f>IF(OR(Clientes[[#This Row],[Columna1]]="Pago inmediato",Clientes[[#This Row],[Columna1]]=""),0,SUBSTITUTE(Clientes[[#This Row],[Columna1]]," días",""))</f>
        <v>0</v>
      </c>
      <c r="E1372" s="34"/>
      <c r="F1372"/>
      <c r="G1372" s="77"/>
      <c r="I1372"/>
      <c r="J1372" s="34"/>
      <c r="K1372"/>
    </row>
    <row r="1373" ht="30" spans="1:11">
      <c r="A1373" s="102" t="s">
        <v>2540</v>
      </c>
      <c r="B1373" s="102" t="s">
        <v>2541</v>
      </c>
      <c r="C1373" s="102" t="s">
        <v>56</v>
      </c>
      <c r="D1373" s="99">
        <f>IF(OR(Clientes[[#This Row],[Columna1]]="Pago inmediato",Clientes[[#This Row],[Columna1]]=""),0,SUBSTITUTE(Clientes[[#This Row],[Columna1]]," días",""))</f>
        <v>0</v>
      </c>
      <c r="E1373" s="34"/>
      <c r="F1373"/>
      <c r="G1373" s="77"/>
      <c r="I1373"/>
      <c r="J1373" s="34"/>
      <c r="K1373"/>
    </row>
    <row r="1374" spans="1:11">
      <c r="A1374" s="102" t="s">
        <v>2542</v>
      </c>
      <c r="B1374" s="102" t="s">
        <v>2543</v>
      </c>
      <c r="C1374" s="102" t="s">
        <v>56</v>
      </c>
      <c r="D1374" s="99">
        <f>IF(OR(Clientes[[#This Row],[Columna1]]="Pago inmediato",Clientes[[#This Row],[Columna1]]=""),0,SUBSTITUTE(Clientes[[#This Row],[Columna1]]," días",""))</f>
        <v>0</v>
      </c>
      <c r="E1374" s="34"/>
      <c r="F1374"/>
      <c r="G1374" s="77"/>
      <c r="I1374"/>
      <c r="J1374" s="34"/>
      <c r="K1374"/>
    </row>
    <row r="1375" ht="30" spans="1:11">
      <c r="A1375" s="102" t="s">
        <v>2544</v>
      </c>
      <c r="B1375" s="102" t="s">
        <v>2545</v>
      </c>
      <c r="C1375" s="102" t="s">
        <v>56</v>
      </c>
      <c r="D1375" s="99">
        <f>IF(OR(Clientes[[#This Row],[Columna1]]="Pago inmediato",Clientes[[#This Row],[Columna1]]=""),0,SUBSTITUTE(Clientes[[#This Row],[Columna1]]," días",""))</f>
        <v>0</v>
      </c>
      <c r="E1375" s="34"/>
      <c r="F1375"/>
      <c r="G1375" s="77"/>
      <c r="I1375"/>
      <c r="J1375" s="34"/>
      <c r="K1375"/>
    </row>
    <row r="1376" ht="30" spans="1:11">
      <c r="A1376" s="102" t="s">
        <v>2546</v>
      </c>
      <c r="B1376" s="102" t="s">
        <v>2547</v>
      </c>
      <c r="C1376" s="102" t="s">
        <v>56</v>
      </c>
      <c r="D1376" s="99">
        <f>IF(OR(Clientes[[#This Row],[Columna1]]="Pago inmediato",Clientes[[#This Row],[Columna1]]=""),0,SUBSTITUTE(Clientes[[#This Row],[Columna1]]," días",""))</f>
        <v>0</v>
      </c>
      <c r="E1376" s="34"/>
      <c r="F1376"/>
      <c r="G1376" s="77"/>
      <c r="I1376"/>
      <c r="J1376" s="34"/>
      <c r="K1376"/>
    </row>
    <row r="1377" ht="30" spans="1:11">
      <c r="A1377" s="102" t="s">
        <v>2548</v>
      </c>
      <c r="B1377" s="102" t="s">
        <v>2549</v>
      </c>
      <c r="C1377" s="102" t="s">
        <v>56</v>
      </c>
      <c r="D1377" s="99">
        <f>IF(OR(Clientes[[#This Row],[Columna1]]="Pago inmediato",Clientes[[#This Row],[Columna1]]=""),0,SUBSTITUTE(Clientes[[#This Row],[Columna1]]," días",""))</f>
        <v>0</v>
      </c>
      <c r="E1377" s="34"/>
      <c r="F1377"/>
      <c r="G1377" s="77"/>
      <c r="I1377"/>
      <c r="J1377" s="34"/>
      <c r="K1377"/>
    </row>
    <row r="1378" spans="1:11">
      <c r="A1378" s="102" t="s">
        <v>2550</v>
      </c>
      <c r="B1378" s="102" t="s">
        <v>2551</v>
      </c>
      <c r="C1378" s="102" t="s">
        <v>56</v>
      </c>
      <c r="D1378" s="99">
        <f>IF(OR(Clientes[[#This Row],[Columna1]]="Pago inmediato",Clientes[[#This Row],[Columna1]]=""),0,SUBSTITUTE(Clientes[[#This Row],[Columna1]]," días",""))</f>
        <v>0</v>
      </c>
      <c r="E1378" s="34"/>
      <c r="F1378"/>
      <c r="G1378" s="77"/>
      <c r="I1378"/>
      <c r="J1378" s="34"/>
      <c r="K1378"/>
    </row>
    <row r="1379" ht="30" spans="1:11">
      <c r="A1379" s="102" t="s">
        <v>2552</v>
      </c>
      <c r="B1379" s="102" t="s">
        <v>2553</v>
      </c>
      <c r="C1379" s="102" t="s">
        <v>56</v>
      </c>
      <c r="D1379" s="99">
        <f>IF(OR(Clientes[[#This Row],[Columna1]]="Pago inmediato",Clientes[[#This Row],[Columna1]]=""),0,SUBSTITUTE(Clientes[[#This Row],[Columna1]]," días",""))</f>
        <v>0</v>
      </c>
      <c r="E1379" s="34"/>
      <c r="F1379"/>
      <c r="G1379" s="77"/>
      <c r="I1379"/>
      <c r="J1379" s="34"/>
      <c r="K1379"/>
    </row>
    <row r="1380" ht="30" spans="1:11">
      <c r="A1380" s="102" t="s">
        <v>2554</v>
      </c>
      <c r="B1380" s="102" t="s">
        <v>2555</v>
      </c>
      <c r="C1380" s="102" t="s">
        <v>61</v>
      </c>
      <c r="D1380" s="99" t="str">
        <f>IF(OR(Clientes[[#This Row],[Columna1]]="Pago inmediato",Clientes[[#This Row],[Columna1]]=""),0,SUBSTITUTE(Clientes[[#This Row],[Columna1]]," días",""))</f>
        <v>15</v>
      </c>
      <c r="E1380" s="34"/>
      <c r="F1380"/>
      <c r="G1380" s="77"/>
      <c r="I1380"/>
      <c r="J1380" s="34"/>
      <c r="K1380"/>
    </row>
    <row r="1381" ht="45" spans="1:11">
      <c r="A1381" s="102" t="s">
        <v>2556</v>
      </c>
      <c r="B1381" s="102" t="s">
        <v>2557</v>
      </c>
      <c r="C1381" s="102" t="s">
        <v>56</v>
      </c>
      <c r="D1381" s="99">
        <f>IF(OR(Clientes[[#This Row],[Columna1]]="Pago inmediato",Clientes[[#This Row],[Columna1]]=""),0,SUBSTITUTE(Clientes[[#This Row],[Columna1]]," días",""))</f>
        <v>0</v>
      </c>
      <c r="E1381" s="34"/>
      <c r="F1381"/>
      <c r="G1381" s="77"/>
      <c r="I1381"/>
      <c r="J1381" s="34"/>
      <c r="K1381"/>
    </row>
    <row r="1382" ht="60" spans="1:11">
      <c r="A1382" s="102" t="s">
        <v>2556</v>
      </c>
      <c r="B1382" s="102" t="s">
        <v>2558</v>
      </c>
      <c r="C1382" s="102" t="s">
        <v>56</v>
      </c>
      <c r="D1382" s="99">
        <f>IF(OR(Clientes[[#This Row],[Columna1]]="Pago inmediato",Clientes[[#This Row],[Columna1]]=""),0,SUBSTITUTE(Clientes[[#This Row],[Columna1]]," días",""))</f>
        <v>0</v>
      </c>
      <c r="E1382" s="34"/>
      <c r="F1382"/>
      <c r="G1382" s="77"/>
      <c r="I1382"/>
      <c r="J1382" s="34"/>
      <c r="K1382"/>
    </row>
    <row r="1383" ht="30" spans="1:11">
      <c r="A1383" s="102" t="s">
        <v>2559</v>
      </c>
      <c r="B1383" s="102" t="s">
        <v>2560</v>
      </c>
      <c r="C1383" s="102" t="s">
        <v>56</v>
      </c>
      <c r="D1383" s="99">
        <f>IF(OR(Clientes[[#This Row],[Columna1]]="Pago inmediato",Clientes[[#This Row],[Columna1]]=""),0,SUBSTITUTE(Clientes[[#This Row],[Columna1]]," días",""))</f>
        <v>0</v>
      </c>
      <c r="E1383" s="34"/>
      <c r="F1383"/>
      <c r="G1383" s="77"/>
      <c r="I1383"/>
      <c r="J1383" s="34"/>
      <c r="K1383"/>
    </row>
    <row r="1384" spans="1:11">
      <c r="A1384" s="102" t="s">
        <v>2561</v>
      </c>
      <c r="B1384" s="102" t="s">
        <v>2562</v>
      </c>
      <c r="C1384" s="102" t="s">
        <v>282</v>
      </c>
      <c r="D1384" s="99" t="str">
        <f>IF(OR(Clientes[[#This Row],[Columna1]]="Pago inmediato",Clientes[[#This Row],[Columna1]]=""),0,SUBSTITUTE(Clientes[[#This Row],[Columna1]]," días",""))</f>
        <v>10</v>
      </c>
      <c r="E1384" s="34"/>
      <c r="F1384"/>
      <c r="G1384" s="77"/>
      <c r="I1384"/>
      <c r="J1384" s="34"/>
      <c r="K1384"/>
    </row>
    <row r="1385" spans="1:11">
      <c r="A1385" s="102" t="s">
        <v>2563</v>
      </c>
      <c r="B1385" s="102" t="s">
        <v>2563</v>
      </c>
      <c r="C1385" s="102" t="s">
        <v>56</v>
      </c>
      <c r="D1385" s="99">
        <f>IF(OR(Clientes[[#This Row],[Columna1]]="Pago inmediato",Clientes[[#This Row],[Columna1]]=""),0,SUBSTITUTE(Clientes[[#This Row],[Columna1]]," días",""))</f>
        <v>0</v>
      </c>
      <c r="E1385" s="34"/>
      <c r="F1385"/>
      <c r="G1385" s="77"/>
      <c r="I1385"/>
      <c r="J1385" s="34"/>
      <c r="K1385"/>
    </row>
    <row r="1386" ht="30" spans="1:11">
      <c r="A1386" s="102" t="s">
        <v>2564</v>
      </c>
      <c r="B1386" s="102" t="s">
        <v>2565</v>
      </c>
      <c r="C1386" s="102" t="s">
        <v>56</v>
      </c>
      <c r="D1386" s="99">
        <f>IF(OR(Clientes[[#This Row],[Columna1]]="Pago inmediato",Clientes[[#This Row],[Columna1]]=""),0,SUBSTITUTE(Clientes[[#This Row],[Columna1]]," días",""))</f>
        <v>0</v>
      </c>
      <c r="E1386" s="34"/>
      <c r="F1386"/>
      <c r="G1386" s="77"/>
      <c r="I1386"/>
      <c r="J1386" s="34"/>
      <c r="K1386"/>
    </row>
    <row r="1387" ht="45" spans="1:11">
      <c r="A1387" s="102" t="s">
        <v>2566</v>
      </c>
      <c r="B1387" s="102" t="s">
        <v>2567</v>
      </c>
      <c r="C1387" s="102" t="s">
        <v>61</v>
      </c>
      <c r="D1387" s="99" t="str">
        <f>IF(OR(Clientes[[#This Row],[Columna1]]="Pago inmediato",Clientes[[#This Row],[Columna1]]=""),0,SUBSTITUTE(Clientes[[#This Row],[Columna1]]," días",""))</f>
        <v>15</v>
      </c>
      <c r="E1387" s="34"/>
      <c r="F1387"/>
      <c r="G1387" s="77"/>
      <c r="I1387"/>
      <c r="J1387" s="34"/>
      <c r="K1387"/>
    </row>
    <row r="1388" ht="30" spans="1:11">
      <c r="A1388" s="102" t="s">
        <v>2568</v>
      </c>
      <c r="B1388" s="102" t="s">
        <v>2569</v>
      </c>
      <c r="C1388" s="102" t="s">
        <v>56</v>
      </c>
      <c r="D1388" s="99">
        <f>IF(OR(Clientes[[#This Row],[Columna1]]="Pago inmediato",Clientes[[#This Row],[Columna1]]=""),0,SUBSTITUTE(Clientes[[#This Row],[Columna1]]," días",""))</f>
        <v>0</v>
      </c>
      <c r="E1388" s="34"/>
      <c r="F1388"/>
      <c r="G1388" s="77"/>
      <c r="I1388"/>
      <c r="J1388" s="34"/>
      <c r="K1388"/>
    </row>
    <row r="1389" spans="1:11">
      <c r="A1389" s="102" t="s">
        <v>2570</v>
      </c>
      <c r="B1389" s="102" t="s">
        <v>2571</v>
      </c>
      <c r="C1389" s="102" t="s">
        <v>282</v>
      </c>
      <c r="D1389" s="99" t="str">
        <f>IF(OR(Clientes[[#This Row],[Columna1]]="Pago inmediato",Clientes[[#This Row],[Columna1]]=""),0,SUBSTITUTE(Clientes[[#This Row],[Columna1]]," días",""))</f>
        <v>10</v>
      </c>
      <c r="E1389" s="34"/>
      <c r="F1389"/>
      <c r="G1389" s="77"/>
      <c r="I1389"/>
      <c r="J1389" s="34"/>
      <c r="K1389"/>
    </row>
    <row r="1390" ht="30" spans="1:11">
      <c r="A1390" s="102" t="s">
        <v>2572</v>
      </c>
      <c r="B1390" s="102" t="s">
        <v>2573</v>
      </c>
      <c r="C1390" s="102" t="s">
        <v>56</v>
      </c>
      <c r="D1390" s="99">
        <f>IF(OR(Clientes[[#This Row],[Columna1]]="Pago inmediato",Clientes[[#This Row],[Columna1]]=""),0,SUBSTITUTE(Clientes[[#This Row],[Columna1]]," días",""))</f>
        <v>0</v>
      </c>
      <c r="E1390" s="34"/>
      <c r="F1390"/>
      <c r="G1390" s="77"/>
      <c r="I1390"/>
      <c r="J1390" s="34"/>
      <c r="K1390"/>
    </row>
    <row r="1391" ht="45" spans="1:11">
      <c r="A1391" s="102" t="s">
        <v>2574</v>
      </c>
      <c r="B1391" s="102" t="s">
        <v>2575</v>
      </c>
      <c r="C1391" s="102" t="s">
        <v>56</v>
      </c>
      <c r="D1391" s="99">
        <f>IF(OR(Clientes[[#This Row],[Columna1]]="Pago inmediato",Clientes[[#This Row],[Columna1]]=""),0,SUBSTITUTE(Clientes[[#This Row],[Columna1]]," días",""))</f>
        <v>0</v>
      </c>
      <c r="E1391" s="34"/>
      <c r="F1391"/>
      <c r="G1391" s="77"/>
      <c r="I1391"/>
      <c r="J1391" s="34"/>
      <c r="K1391"/>
    </row>
    <row r="1392" ht="30" spans="1:11">
      <c r="A1392" s="102" t="s">
        <v>2576</v>
      </c>
      <c r="B1392" s="102" t="s">
        <v>2577</v>
      </c>
      <c r="C1392" s="102" t="s">
        <v>54</v>
      </c>
      <c r="D1392" s="99" t="str">
        <f>IF(OR(Clientes[[#This Row],[Columna1]]="Pago inmediato",Clientes[[#This Row],[Columna1]]=""),0,SUBSTITUTE(Clientes[[#This Row],[Columna1]]," días",""))</f>
        <v>7</v>
      </c>
      <c r="E1392" s="34"/>
      <c r="F1392"/>
      <c r="G1392" s="77"/>
      <c r="I1392"/>
      <c r="J1392" s="34"/>
      <c r="K1392"/>
    </row>
    <row r="1393" ht="30" spans="1:11">
      <c r="A1393" s="102" t="s">
        <v>2578</v>
      </c>
      <c r="B1393" s="102" t="s">
        <v>2579</v>
      </c>
      <c r="C1393" s="102" t="s">
        <v>56</v>
      </c>
      <c r="D1393" s="99">
        <f>IF(OR(Clientes[[#This Row],[Columna1]]="Pago inmediato",Clientes[[#This Row],[Columna1]]=""),0,SUBSTITUTE(Clientes[[#This Row],[Columna1]]," días",""))</f>
        <v>0</v>
      </c>
      <c r="E1393" s="34"/>
      <c r="F1393"/>
      <c r="G1393" s="77"/>
      <c r="I1393"/>
      <c r="J1393" s="34"/>
      <c r="K1393"/>
    </row>
    <row r="1394" ht="30" spans="1:11">
      <c r="A1394" s="102" t="s">
        <v>2580</v>
      </c>
      <c r="B1394" s="102" t="s">
        <v>2581</v>
      </c>
      <c r="C1394" s="102" t="s">
        <v>56</v>
      </c>
      <c r="D1394" s="99">
        <f>IF(OR(Clientes[[#This Row],[Columna1]]="Pago inmediato",Clientes[[#This Row],[Columna1]]=""),0,SUBSTITUTE(Clientes[[#This Row],[Columna1]]," días",""))</f>
        <v>0</v>
      </c>
      <c r="E1394" s="34"/>
      <c r="F1394"/>
      <c r="G1394" s="77"/>
      <c r="I1394"/>
      <c r="J1394" s="34"/>
      <c r="K1394"/>
    </row>
    <row r="1395" ht="30" spans="1:11">
      <c r="A1395" s="102" t="s">
        <v>2582</v>
      </c>
      <c r="B1395" s="102" t="s">
        <v>2583</v>
      </c>
      <c r="C1395" s="102" t="s">
        <v>54</v>
      </c>
      <c r="D1395" s="99" t="str">
        <f>IF(OR(Clientes[[#This Row],[Columna1]]="Pago inmediato",Clientes[[#This Row],[Columna1]]=""),0,SUBSTITUTE(Clientes[[#This Row],[Columna1]]," días",""))</f>
        <v>7</v>
      </c>
      <c r="E1395" s="34"/>
      <c r="F1395"/>
      <c r="G1395" s="77"/>
      <c r="I1395"/>
      <c r="J1395" s="34"/>
      <c r="K1395"/>
    </row>
    <row r="1396" spans="1:11">
      <c r="A1396" s="102" t="s">
        <v>2584</v>
      </c>
      <c r="B1396" s="102" t="s">
        <v>2585</v>
      </c>
      <c r="C1396" s="102" t="s">
        <v>56</v>
      </c>
      <c r="D1396" s="99">
        <f>IF(OR(Clientes[[#This Row],[Columna1]]="Pago inmediato",Clientes[[#This Row],[Columna1]]=""),0,SUBSTITUTE(Clientes[[#This Row],[Columna1]]," días",""))</f>
        <v>0</v>
      </c>
      <c r="E1396" s="34"/>
      <c r="F1396"/>
      <c r="G1396" s="77"/>
      <c r="I1396"/>
      <c r="J1396" s="34"/>
      <c r="K1396"/>
    </row>
    <row r="1397" spans="1:11">
      <c r="A1397" s="102" t="s">
        <v>2586</v>
      </c>
      <c r="B1397" s="102" t="s">
        <v>2587</v>
      </c>
      <c r="C1397" s="102" t="s">
        <v>56</v>
      </c>
      <c r="D1397" s="99">
        <f>IF(OR(Clientes[[#This Row],[Columna1]]="Pago inmediato",Clientes[[#This Row],[Columna1]]=""),0,SUBSTITUTE(Clientes[[#This Row],[Columna1]]," días",""))</f>
        <v>0</v>
      </c>
      <c r="E1397" s="34"/>
      <c r="F1397"/>
      <c r="G1397" s="77"/>
      <c r="I1397"/>
      <c r="J1397" s="34"/>
      <c r="K1397"/>
    </row>
    <row r="1398" ht="30" spans="1:11">
      <c r="A1398" s="102" t="s">
        <v>2586</v>
      </c>
      <c r="B1398" s="102" t="s">
        <v>2588</v>
      </c>
      <c r="C1398" s="102" t="s">
        <v>56</v>
      </c>
      <c r="D1398" s="99">
        <f>IF(OR(Clientes[[#This Row],[Columna1]]="Pago inmediato",Clientes[[#This Row],[Columna1]]=""),0,SUBSTITUTE(Clientes[[#This Row],[Columna1]]," días",""))</f>
        <v>0</v>
      </c>
      <c r="E1398" s="34"/>
      <c r="F1398"/>
      <c r="G1398" s="77"/>
      <c r="I1398"/>
      <c r="J1398" s="34"/>
      <c r="K1398"/>
    </row>
    <row r="1399" ht="30" spans="1:11">
      <c r="A1399" s="102" t="s">
        <v>2589</v>
      </c>
      <c r="B1399" s="102" t="s">
        <v>2590</v>
      </c>
      <c r="C1399" s="102" t="s">
        <v>56</v>
      </c>
      <c r="D1399" s="99">
        <f>IF(OR(Clientes[[#This Row],[Columna1]]="Pago inmediato",Clientes[[#This Row],[Columna1]]=""),0,SUBSTITUTE(Clientes[[#This Row],[Columna1]]," días",""))</f>
        <v>0</v>
      </c>
      <c r="E1399" s="34"/>
      <c r="F1399"/>
      <c r="G1399" s="77"/>
      <c r="I1399"/>
      <c r="J1399" s="34"/>
      <c r="K1399"/>
    </row>
    <row r="1400" ht="30" spans="1:11">
      <c r="A1400" s="102" t="s">
        <v>2591</v>
      </c>
      <c r="B1400" s="102" t="s">
        <v>2592</v>
      </c>
      <c r="C1400" s="102" t="s">
        <v>54</v>
      </c>
      <c r="D1400" s="99" t="str">
        <f>IF(OR(Clientes[[#This Row],[Columna1]]="Pago inmediato",Clientes[[#This Row],[Columna1]]=""),0,SUBSTITUTE(Clientes[[#This Row],[Columna1]]," días",""))</f>
        <v>7</v>
      </c>
      <c r="E1400" s="34"/>
      <c r="F1400"/>
      <c r="G1400" s="77"/>
      <c r="I1400"/>
      <c r="J1400" s="34"/>
      <c r="K1400"/>
    </row>
    <row r="1401" spans="1:11">
      <c r="A1401" s="102" t="s">
        <v>2593</v>
      </c>
      <c r="B1401" s="102" t="s">
        <v>2594</v>
      </c>
      <c r="C1401" s="102" t="s">
        <v>56</v>
      </c>
      <c r="D1401" s="99">
        <f>IF(OR(Clientes[[#This Row],[Columna1]]="Pago inmediato",Clientes[[#This Row],[Columna1]]=""),0,SUBSTITUTE(Clientes[[#This Row],[Columna1]]," días",""))</f>
        <v>0</v>
      </c>
      <c r="E1401" s="34"/>
      <c r="F1401"/>
      <c r="G1401" s="77"/>
      <c r="I1401"/>
      <c r="J1401" s="34"/>
      <c r="K1401"/>
    </row>
    <row r="1402" ht="30" spans="1:11">
      <c r="A1402" s="102" t="s">
        <v>2595</v>
      </c>
      <c r="B1402" s="102" t="s">
        <v>2596</v>
      </c>
      <c r="C1402" s="102" t="s">
        <v>56</v>
      </c>
      <c r="D1402" s="99">
        <f>IF(OR(Clientes[[#This Row],[Columna1]]="Pago inmediato",Clientes[[#This Row],[Columna1]]=""),0,SUBSTITUTE(Clientes[[#This Row],[Columna1]]," días",""))</f>
        <v>0</v>
      </c>
      <c r="E1402" s="34"/>
      <c r="F1402"/>
      <c r="G1402" s="77"/>
      <c r="I1402"/>
      <c r="J1402" s="34"/>
      <c r="K1402"/>
    </row>
    <row r="1403" ht="30" spans="1:11">
      <c r="A1403" s="102" t="s">
        <v>2597</v>
      </c>
      <c r="B1403" s="102" t="s">
        <v>2598</v>
      </c>
      <c r="C1403" s="102" t="s">
        <v>56</v>
      </c>
      <c r="D1403" s="99">
        <f>IF(OR(Clientes[[#This Row],[Columna1]]="Pago inmediato",Clientes[[#This Row],[Columna1]]=""),0,SUBSTITUTE(Clientes[[#This Row],[Columna1]]," días",""))</f>
        <v>0</v>
      </c>
      <c r="E1403" s="34"/>
      <c r="F1403"/>
      <c r="G1403" s="77"/>
      <c r="I1403"/>
      <c r="J1403" s="34"/>
      <c r="K1403"/>
    </row>
    <row r="1404" ht="30" spans="1:11">
      <c r="A1404" s="102" t="s">
        <v>2599</v>
      </c>
      <c r="B1404" s="102" t="s">
        <v>2600</v>
      </c>
      <c r="C1404" s="102" t="s">
        <v>56</v>
      </c>
      <c r="D1404" s="99">
        <f>IF(OR(Clientes[[#This Row],[Columna1]]="Pago inmediato",Clientes[[#This Row],[Columna1]]=""),0,SUBSTITUTE(Clientes[[#This Row],[Columna1]]," días",""))</f>
        <v>0</v>
      </c>
      <c r="E1404" s="34"/>
      <c r="F1404"/>
      <c r="G1404" s="77"/>
      <c r="I1404"/>
      <c r="J1404" s="34"/>
      <c r="K1404"/>
    </row>
    <row r="1405" ht="30" spans="1:11">
      <c r="A1405" s="102" t="s">
        <v>2601</v>
      </c>
      <c r="B1405" s="102" t="s">
        <v>2602</v>
      </c>
      <c r="C1405" s="102" t="s">
        <v>56</v>
      </c>
      <c r="D1405" s="99">
        <f>IF(OR(Clientes[[#This Row],[Columna1]]="Pago inmediato",Clientes[[#This Row],[Columna1]]=""),0,SUBSTITUTE(Clientes[[#This Row],[Columna1]]," días",""))</f>
        <v>0</v>
      </c>
      <c r="E1405" s="34"/>
      <c r="F1405"/>
      <c r="G1405" s="77"/>
      <c r="I1405"/>
      <c r="J1405" s="34"/>
      <c r="K1405"/>
    </row>
    <row r="1406" ht="30" spans="1:11">
      <c r="A1406" s="102" t="s">
        <v>2603</v>
      </c>
      <c r="B1406" s="102" t="s">
        <v>2604</v>
      </c>
      <c r="C1406" s="102" t="s">
        <v>56</v>
      </c>
      <c r="D1406" s="99">
        <f>IF(OR(Clientes[[#This Row],[Columna1]]="Pago inmediato",Clientes[[#This Row],[Columna1]]=""),0,SUBSTITUTE(Clientes[[#This Row],[Columna1]]," días",""))</f>
        <v>0</v>
      </c>
      <c r="E1406" s="34"/>
      <c r="F1406"/>
      <c r="G1406" s="77"/>
      <c r="I1406"/>
      <c r="J1406" s="34"/>
      <c r="K1406"/>
    </row>
    <row r="1407" ht="30" spans="1:11">
      <c r="A1407" s="102" t="s">
        <v>2605</v>
      </c>
      <c r="B1407" s="102" t="s">
        <v>2606</v>
      </c>
      <c r="C1407" s="102" t="s">
        <v>56</v>
      </c>
      <c r="D1407" s="99">
        <f>IF(OR(Clientes[[#This Row],[Columna1]]="Pago inmediato",Clientes[[#This Row],[Columna1]]=""),0,SUBSTITUTE(Clientes[[#This Row],[Columna1]]," días",""))</f>
        <v>0</v>
      </c>
      <c r="E1407" s="34"/>
      <c r="F1407"/>
      <c r="G1407" s="77"/>
      <c r="I1407"/>
      <c r="J1407" s="34"/>
      <c r="K1407"/>
    </row>
    <row r="1408" ht="30" spans="1:11">
      <c r="A1408" s="102" t="s">
        <v>2607</v>
      </c>
      <c r="B1408" s="102" t="s">
        <v>2608</v>
      </c>
      <c r="C1408" s="102" t="s">
        <v>56</v>
      </c>
      <c r="D1408" s="99">
        <f>IF(OR(Clientes[[#This Row],[Columna1]]="Pago inmediato",Clientes[[#This Row],[Columna1]]=""),0,SUBSTITUTE(Clientes[[#This Row],[Columna1]]," días",""))</f>
        <v>0</v>
      </c>
      <c r="E1408" s="34"/>
      <c r="F1408"/>
      <c r="G1408" s="77"/>
      <c r="I1408"/>
      <c r="J1408" s="34"/>
      <c r="K1408"/>
    </row>
    <row r="1409" ht="45" spans="1:11">
      <c r="A1409" s="102" t="s">
        <v>2609</v>
      </c>
      <c r="B1409" s="102" t="s">
        <v>2610</v>
      </c>
      <c r="C1409" s="102" t="s">
        <v>56</v>
      </c>
      <c r="D1409" s="99">
        <f>IF(OR(Clientes[[#This Row],[Columna1]]="Pago inmediato",Clientes[[#This Row],[Columna1]]=""),0,SUBSTITUTE(Clientes[[#This Row],[Columna1]]," días",""))</f>
        <v>0</v>
      </c>
      <c r="E1409" s="34"/>
      <c r="F1409"/>
      <c r="G1409" s="77"/>
      <c r="I1409"/>
      <c r="J1409" s="34"/>
      <c r="K1409"/>
    </row>
    <row r="1410" ht="30" spans="1:11">
      <c r="A1410" s="102" t="s">
        <v>2611</v>
      </c>
      <c r="B1410" s="102" t="s">
        <v>2612</v>
      </c>
      <c r="C1410" s="102" t="s">
        <v>56</v>
      </c>
      <c r="D1410" s="99">
        <f>IF(OR(Clientes[[#This Row],[Columna1]]="Pago inmediato",Clientes[[#This Row],[Columna1]]=""),0,SUBSTITUTE(Clientes[[#This Row],[Columna1]]," días",""))</f>
        <v>0</v>
      </c>
      <c r="E1410" s="34"/>
      <c r="F1410"/>
      <c r="G1410" s="77"/>
      <c r="I1410"/>
      <c r="J1410" s="34"/>
      <c r="K1410"/>
    </row>
    <row r="1411" ht="30" spans="1:11">
      <c r="A1411" s="102" t="s">
        <v>2613</v>
      </c>
      <c r="B1411" s="102" t="s">
        <v>2614</v>
      </c>
      <c r="C1411" s="102" t="s">
        <v>56</v>
      </c>
      <c r="D1411" s="99">
        <f>IF(OR(Clientes[[#This Row],[Columna1]]="Pago inmediato",Clientes[[#This Row],[Columna1]]=""),0,SUBSTITUTE(Clientes[[#This Row],[Columna1]]," días",""))</f>
        <v>0</v>
      </c>
      <c r="E1411" s="34"/>
      <c r="F1411"/>
      <c r="G1411" s="77"/>
      <c r="I1411"/>
      <c r="J1411" s="34"/>
      <c r="K1411"/>
    </row>
    <row r="1412" ht="30" spans="1:11">
      <c r="A1412" s="102" t="s">
        <v>2615</v>
      </c>
      <c r="B1412" s="102" t="s">
        <v>2616</v>
      </c>
      <c r="C1412" s="102" t="s">
        <v>56</v>
      </c>
      <c r="D1412" s="99">
        <f>IF(OR(Clientes[[#This Row],[Columna1]]="Pago inmediato",Clientes[[#This Row],[Columna1]]=""),0,SUBSTITUTE(Clientes[[#This Row],[Columna1]]," días",""))</f>
        <v>0</v>
      </c>
      <c r="E1412" s="34"/>
      <c r="F1412"/>
      <c r="G1412" s="77"/>
      <c r="I1412"/>
      <c r="J1412" s="34"/>
      <c r="K1412"/>
    </row>
    <row r="1413" ht="30" spans="1:11">
      <c r="A1413" s="102" t="s">
        <v>2617</v>
      </c>
      <c r="B1413" s="102" t="s">
        <v>2618</v>
      </c>
      <c r="C1413" s="102" t="s">
        <v>56</v>
      </c>
      <c r="D1413" s="99">
        <f>IF(OR(Clientes[[#This Row],[Columna1]]="Pago inmediato",Clientes[[#This Row],[Columna1]]=""),0,SUBSTITUTE(Clientes[[#This Row],[Columna1]]," días",""))</f>
        <v>0</v>
      </c>
      <c r="E1413" s="34"/>
      <c r="F1413"/>
      <c r="G1413" s="77"/>
      <c r="I1413"/>
      <c r="J1413" s="34"/>
      <c r="K1413"/>
    </row>
    <row r="1414" ht="30" spans="1:11">
      <c r="A1414" s="102" t="s">
        <v>2619</v>
      </c>
      <c r="B1414" s="102" t="s">
        <v>2620</v>
      </c>
      <c r="C1414" s="102" t="s">
        <v>56</v>
      </c>
      <c r="D1414" s="99">
        <f>IF(OR(Clientes[[#This Row],[Columna1]]="Pago inmediato",Clientes[[#This Row],[Columna1]]=""),0,SUBSTITUTE(Clientes[[#This Row],[Columna1]]," días",""))</f>
        <v>0</v>
      </c>
      <c r="E1414" s="34"/>
      <c r="F1414"/>
      <c r="G1414" s="77"/>
      <c r="I1414"/>
      <c r="J1414" s="34"/>
      <c r="K1414"/>
    </row>
    <row r="1415" ht="30" spans="1:11">
      <c r="A1415" s="102" t="s">
        <v>2621</v>
      </c>
      <c r="B1415" s="102" t="s">
        <v>2622</v>
      </c>
      <c r="C1415" s="102" t="s">
        <v>56</v>
      </c>
      <c r="D1415" s="99">
        <f>IF(OR(Clientes[[#This Row],[Columna1]]="Pago inmediato",Clientes[[#This Row],[Columna1]]=""),0,SUBSTITUTE(Clientes[[#This Row],[Columna1]]," días",""))</f>
        <v>0</v>
      </c>
      <c r="E1415" s="34"/>
      <c r="F1415"/>
      <c r="G1415" s="77"/>
      <c r="I1415"/>
      <c r="J1415" s="34"/>
      <c r="K1415"/>
    </row>
    <row r="1416" ht="45" spans="1:11">
      <c r="A1416" s="102" t="s">
        <v>2621</v>
      </c>
      <c r="B1416" s="102" t="s">
        <v>2623</v>
      </c>
      <c r="C1416" s="102" t="s">
        <v>56</v>
      </c>
      <c r="D1416" s="99">
        <f>IF(OR(Clientes[[#This Row],[Columna1]]="Pago inmediato",Clientes[[#This Row],[Columna1]]=""),0,SUBSTITUTE(Clientes[[#This Row],[Columna1]]," días",""))</f>
        <v>0</v>
      </c>
      <c r="E1416" s="34"/>
      <c r="F1416"/>
      <c r="G1416" s="77"/>
      <c r="I1416"/>
      <c r="J1416" s="34"/>
      <c r="K1416"/>
    </row>
    <row r="1417" ht="30" spans="1:11">
      <c r="A1417" s="102" t="s">
        <v>2624</v>
      </c>
      <c r="B1417" s="102" t="s">
        <v>2625</v>
      </c>
      <c r="C1417" s="102" t="s">
        <v>56</v>
      </c>
      <c r="D1417" s="99">
        <f>IF(OR(Clientes[[#This Row],[Columna1]]="Pago inmediato",Clientes[[#This Row],[Columna1]]=""),0,SUBSTITUTE(Clientes[[#This Row],[Columna1]]," días",""))</f>
        <v>0</v>
      </c>
      <c r="E1417" s="34"/>
      <c r="F1417"/>
      <c r="G1417" s="77"/>
      <c r="I1417"/>
      <c r="J1417" s="34"/>
      <c r="K1417"/>
    </row>
    <row r="1418" ht="30" spans="1:11">
      <c r="A1418" s="102" t="s">
        <v>2626</v>
      </c>
      <c r="B1418" s="102" t="s">
        <v>2627</v>
      </c>
      <c r="C1418" s="102" t="s">
        <v>56</v>
      </c>
      <c r="D1418" s="99">
        <f>IF(OR(Clientes[[#This Row],[Columna1]]="Pago inmediato",Clientes[[#This Row],[Columna1]]=""),0,SUBSTITUTE(Clientes[[#This Row],[Columna1]]," días",""))</f>
        <v>0</v>
      </c>
      <c r="E1418" s="34"/>
      <c r="F1418"/>
      <c r="G1418" s="77"/>
      <c r="I1418"/>
      <c r="J1418" s="34"/>
      <c r="K1418"/>
    </row>
    <row r="1419" ht="45" spans="1:11">
      <c r="A1419" s="102" t="s">
        <v>2628</v>
      </c>
      <c r="B1419" s="102" t="s">
        <v>2629</v>
      </c>
      <c r="C1419" s="102" t="s">
        <v>54</v>
      </c>
      <c r="D1419" s="99" t="str">
        <f>IF(OR(Clientes[[#This Row],[Columna1]]="Pago inmediato",Clientes[[#This Row],[Columna1]]=""),0,SUBSTITUTE(Clientes[[#This Row],[Columna1]]," días",""))</f>
        <v>7</v>
      </c>
      <c r="E1419" s="34"/>
      <c r="F1419"/>
      <c r="G1419" s="77"/>
      <c r="I1419"/>
      <c r="J1419" s="34"/>
      <c r="K1419"/>
    </row>
    <row r="1420" ht="30" spans="1:11">
      <c r="A1420" s="102" t="s">
        <v>2630</v>
      </c>
      <c r="B1420" s="102" t="s">
        <v>2631</v>
      </c>
      <c r="C1420" s="102" t="s">
        <v>56</v>
      </c>
      <c r="D1420" s="99">
        <f>IF(OR(Clientes[[#This Row],[Columna1]]="Pago inmediato",Clientes[[#This Row],[Columna1]]=""),0,SUBSTITUTE(Clientes[[#This Row],[Columna1]]," días",""))</f>
        <v>0</v>
      </c>
      <c r="E1420" s="34"/>
      <c r="F1420"/>
      <c r="G1420" s="77"/>
      <c r="I1420"/>
      <c r="J1420" s="34"/>
      <c r="K1420"/>
    </row>
    <row r="1421" ht="45" spans="1:11">
      <c r="A1421" s="102" t="s">
        <v>2632</v>
      </c>
      <c r="B1421" s="102" t="s">
        <v>2633</v>
      </c>
      <c r="C1421" s="102" t="s">
        <v>56</v>
      </c>
      <c r="D1421" s="99">
        <f>IF(OR(Clientes[[#This Row],[Columna1]]="Pago inmediato",Clientes[[#This Row],[Columna1]]=""),0,SUBSTITUTE(Clientes[[#This Row],[Columna1]]," días",""))</f>
        <v>0</v>
      </c>
      <c r="E1421" s="34"/>
      <c r="F1421"/>
      <c r="G1421" s="77"/>
      <c r="I1421"/>
      <c r="J1421" s="34"/>
      <c r="K1421"/>
    </row>
    <row r="1422" ht="30" spans="1:11">
      <c r="A1422" s="102" t="s">
        <v>2634</v>
      </c>
      <c r="B1422" s="102" t="s">
        <v>2635</v>
      </c>
      <c r="C1422" s="102" t="s">
        <v>56</v>
      </c>
      <c r="D1422" s="99">
        <f>IF(OR(Clientes[[#This Row],[Columna1]]="Pago inmediato",Clientes[[#This Row],[Columna1]]=""),0,SUBSTITUTE(Clientes[[#This Row],[Columna1]]," días",""))</f>
        <v>0</v>
      </c>
      <c r="E1422" s="34"/>
      <c r="F1422"/>
      <c r="G1422" s="77"/>
      <c r="I1422"/>
      <c r="J1422" s="34"/>
      <c r="K1422"/>
    </row>
    <row r="1423" ht="45" spans="1:11">
      <c r="A1423" s="102" t="s">
        <v>2636</v>
      </c>
      <c r="B1423" s="102" t="s">
        <v>2637</v>
      </c>
      <c r="C1423" s="102" t="s">
        <v>56</v>
      </c>
      <c r="D1423" s="99">
        <f>IF(OR(Clientes[[#This Row],[Columna1]]="Pago inmediato",Clientes[[#This Row],[Columna1]]=""),0,SUBSTITUTE(Clientes[[#This Row],[Columna1]]," días",""))</f>
        <v>0</v>
      </c>
      <c r="E1423" s="34"/>
      <c r="F1423"/>
      <c r="G1423" s="77"/>
      <c r="I1423"/>
      <c r="J1423" s="34"/>
      <c r="K1423"/>
    </row>
    <row r="1424" ht="30" spans="1:11">
      <c r="A1424" s="102" t="s">
        <v>2638</v>
      </c>
      <c r="B1424" s="102" t="s">
        <v>2639</v>
      </c>
      <c r="C1424" s="102" t="s">
        <v>56</v>
      </c>
      <c r="D1424" s="99">
        <f>IF(OR(Clientes[[#This Row],[Columna1]]="Pago inmediato",Clientes[[#This Row],[Columna1]]=""),0,SUBSTITUTE(Clientes[[#This Row],[Columna1]]," días",""))</f>
        <v>0</v>
      </c>
      <c r="E1424" s="34"/>
      <c r="F1424"/>
      <c r="G1424" s="77"/>
      <c r="I1424"/>
      <c r="J1424" s="34"/>
      <c r="K1424"/>
    </row>
    <row r="1425" ht="45" spans="1:11">
      <c r="A1425" s="102" t="s">
        <v>2640</v>
      </c>
      <c r="B1425" s="102" t="s">
        <v>2641</v>
      </c>
      <c r="C1425" s="102" t="s">
        <v>56</v>
      </c>
      <c r="D1425" s="99">
        <f>IF(OR(Clientes[[#This Row],[Columna1]]="Pago inmediato",Clientes[[#This Row],[Columna1]]=""),0,SUBSTITUTE(Clientes[[#This Row],[Columna1]]," días",""))</f>
        <v>0</v>
      </c>
      <c r="E1425" s="34"/>
      <c r="F1425"/>
      <c r="G1425" s="77"/>
      <c r="I1425"/>
      <c r="J1425" s="34"/>
      <c r="K1425"/>
    </row>
    <row r="1426" ht="30" spans="1:11">
      <c r="A1426" s="102" t="s">
        <v>2642</v>
      </c>
      <c r="B1426" s="102" t="s">
        <v>2643</v>
      </c>
      <c r="C1426" s="102" t="s">
        <v>56</v>
      </c>
      <c r="D1426" s="99">
        <f>IF(OR(Clientes[[#This Row],[Columna1]]="Pago inmediato",Clientes[[#This Row],[Columna1]]=""),0,SUBSTITUTE(Clientes[[#This Row],[Columna1]]," días",""))</f>
        <v>0</v>
      </c>
      <c r="E1426" s="34"/>
      <c r="F1426"/>
      <c r="G1426" s="77"/>
      <c r="I1426"/>
      <c r="J1426" s="34"/>
      <c r="K1426"/>
    </row>
    <row r="1427" ht="45" spans="1:11">
      <c r="A1427" s="102" t="s">
        <v>2644</v>
      </c>
      <c r="B1427" s="102" t="s">
        <v>2645</v>
      </c>
      <c r="C1427" s="102" t="s">
        <v>56</v>
      </c>
      <c r="D1427" s="99">
        <f>IF(OR(Clientes[[#This Row],[Columna1]]="Pago inmediato",Clientes[[#This Row],[Columna1]]=""),0,SUBSTITUTE(Clientes[[#This Row],[Columna1]]," días",""))</f>
        <v>0</v>
      </c>
      <c r="E1427" s="34"/>
      <c r="F1427"/>
      <c r="G1427" s="77"/>
      <c r="I1427"/>
      <c r="J1427" s="34"/>
      <c r="K1427"/>
    </row>
    <row r="1428" ht="60" spans="1:11">
      <c r="A1428" s="102" t="s">
        <v>2644</v>
      </c>
      <c r="B1428" s="102" t="s">
        <v>2646</v>
      </c>
      <c r="C1428" s="102" t="s">
        <v>56</v>
      </c>
      <c r="D1428" s="99">
        <f>IF(OR(Clientes[[#This Row],[Columna1]]="Pago inmediato",Clientes[[#This Row],[Columna1]]=""),0,SUBSTITUTE(Clientes[[#This Row],[Columna1]]," días",""))</f>
        <v>0</v>
      </c>
      <c r="E1428" s="34"/>
      <c r="F1428"/>
      <c r="G1428" s="77"/>
      <c r="I1428"/>
      <c r="J1428" s="34"/>
      <c r="K1428"/>
    </row>
    <row r="1429" ht="30" spans="1:11">
      <c r="A1429" s="102" t="s">
        <v>2647</v>
      </c>
      <c r="B1429" s="102" t="s">
        <v>2648</v>
      </c>
      <c r="C1429" s="102" t="s">
        <v>56</v>
      </c>
      <c r="D1429" s="99">
        <f>IF(OR(Clientes[[#This Row],[Columna1]]="Pago inmediato",Clientes[[#This Row],[Columna1]]=""),0,SUBSTITUTE(Clientes[[#This Row],[Columna1]]," días",""))</f>
        <v>0</v>
      </c>
      <c r="E1429" s="34"/>
      <c r="F1429"/>
      <c r="G1429" s="77"/>
      <c r="I1429"/>
      <c r="J1429" s="34"/>
      <c r="K1429"/>
    </row>
    <row r="1430" ht="45" spans="1:11">
      <c r="A1430" s="102" t="s">
        <v>2647</v>
      </c>
      <c r="B1430" s="102" t="s">
        <v>2649</v>
      </c>
      <c r="C1430" s="102" t="s">
        <v>56</v>
      </c>
      <c r="D1430" s="99">
        <f>IF(OR(Clientes[[#This Row],[Columna1]]="Pago inmediato",Clientes[[#This Row],[Columna1]]=""),0,SUBSTITUTE(Clientes[[#This Row],[Columna1]]," días",""))</f>
        <v>0</v>
      </c>
      <c r="E1430" s="34"/>
      <c r="F1430"/>
      <c r="G1430" s="77"/>
      <c r="I1430"/>
      <c r="J1430" s="34"/>
      <c r="K1430"/>
    </row>
    <row r="1431" ht="30" spans="1:11">
      <c r="A1431" s="102" t="s">
        <v>2650</v>
      </c>
      <c r="B1431" s="102" t="s">
        <v>2651</v>
      </c>
      <c r="C1431" s="102" t="s">
        <v>56</v>
      </c>
      <c r="D1431" s="99">
        <f>IF(OR(Clientes[[#This Row],[Columna1]]="Pago inmediato",Clientes[[#This Row],[Columna1]]=""),0,SUBSTITUTE(Clientes[[#This Row],[Columna1]]," días",""))</f>
        <v>0</v>
      </c>
      <c r="E1431" s="34"/>
      <c r="F1431"/>
      <c r="G1431" s="77"/>
      <c r="I1431"/>
      <c r="J1431" s="34"/>
      <c r="K1431"/>
    </row>
    <row r="1432" ht="30" spans="1:11">
      <c r="A1432" s="102" t="s">
        <v>2652</v>
      </c>
      <c r="B1432" s="102" t="s">
        <v>2653</v>
      </c>
      <c r="C1432" s="102" t="s">
        <v>56</v>
      </c>
      <c r="D1432" s="99">
        <f>IF(OR(Clientes[[#This Row],[Columna1]]="Pago inmediato",Clientes[[#This Row],[Columna1]]=""),0,SUBSTITUTE(Clientes[[#This Row],[Columna1]]," días",""))</f>
        <v>0</v>
      </c>
      <c r="E1432" s="34"/>
      <c r="F1432"/>
      <c r="G1432" s="77"/>
      <c r="I1432"/>
      <c r="J1432" s="34"/>
      <c r="K1432"/>
    </row>
    <row r="1433" ht="30" spans="1:11">
      <c r="A1433" s="102" t="s">
        <v>2654</v>
      </c>
      <c r="B1433" s="102" t="s">
        <v>2655</v>
      </c>
      <c r="C1433" s="102" t="s">
        <v>56</v>
      </c>
      <c r="D1433" s="99">
        <f>IF(OR(Clientes[[#This Row],[Columna1]]="Pago inmediato",Clientes[[#This Row],[Columna1]]=""),0,SUBSTITUTE(Clientes[[#This Row],[Columna1]]," días",""))</f>
        <v>0</v>
      </c>
      <c r="E1433" s="34"/>
      <c r="F1433"/>
      <c r="G1433" s="77"/>
      <c r="I1433"/>
      <c r="J1433" s="34"/>
      <c r="K1433"/>
    </row>
    <row r="1434" spans="1:11">
      <c r="A1434" s="102" t="s">
        <v>2656</v>
      </c>
      <c r="B1434" s="102" t="s">
        <v>2657</v>
      </c>
      <c r="C1434" s="102"/>
      <c r="D1434" s="99">
        <f>IF(OR(Clientes[[#This Row],[Columna1]]="Pago inmediato",Clientes[[#This Row],[Columna1]]=""),0,SUBSTITUTE(Clientes[[#This Row],[Columna1]]," días",""))</f>
        <v>0</v>
      </c>
      <c r="E1434" s="34"/>
      <c r="F1434"/>
      <c r="G1434" s="77"/>
      <c r="I1434"/>
      <c r="J1434" s="34"/>
      <c r="K1434"/>
    </row>
    <row r="1435" ht="30" spans="1:11">
      <c r="A1435" s="102" t="s">
        <v>2658</v>
      </c>
      <c r="B1435" s="102" t="s">
        <v>2659</v>
      </c>
      <c r="C1435" s="102" t="s">
        <v>56</v>
      </c>
      <c r="D1435" s="99">
        <f>IF(OR(Clientes[[#This Row],[Columna1]]="Pago inmediato",Clientes[[#This Row],[Columna1]]=""),0,SUBSTITUTE(Clientes[[#This Row],[Columna1]]," días",""))</f>
        <v>0</v>
      </c>
      <c r="E1435" s="34"/>
      <c r="F1435"/>
      <c r="G1435" s="77"/>
      <c r="I1435"/>
      <c r="J1435" s="34"/>
      <c r="K1435"/>
    </row>
    <row r="1436" ht="45" spans="1:11">
      <c r="A1436" s="102" t="s">
        <v>2658</v>
      </c>
      <c r="B1436" s="102" t="s">
        <v>2660</v>
      </c>
      <c r="C1436" s="102" t="s">
        <v>56</v>
      </c>
      <c r="D1436" s="99">
        <f>IF(OR(Clientes[[#This Row],[Columna1]]="Pago inmediato",Clientes[[#This Row],[Columna1]]=""),0,SUBSTITUTE(Clientes[[#This Row],[Columna1]]," días",""))</f>
        <v>0</v>
      </c>
      <c r="E1436" s="34"/>
      <c r="F1436"/>
      <c r="G1436" s="77"/>
      <c r="I1436"/>
      <c r="J1436" s="34"/>
      <c r="K1436"/>
    </row>
    <row r="1437" spans="1:11">
      <c r="A1437" s="102" t="s">
        <v>2661</v>
      </c>
      <c r="B1437" s="102" t="s">
        <v>2662</v>
      </c>
      <c r="C1437" s="102" t="s">
        <v>54</v>
      </c>
      <c r="D1437" s="99" t="str">
        <f>IF(OR(Clientes[[#This Row],[Columna1]]="Pago inmediato",Clientes[[#This Row],[Columna1]]=""),0,SUBSTITUTE(Clientes[[#This Row],[Columna1]]," días",""))</f>
        <v>7</v>
      </c>
      <c r="E1437" s="34"/>
      <c r="F1437"/>
      <c r="G1437" s="77"/>
      <c r="I1437"/>
      <c r="J1437" s="34"/>
      <c r="K1437"/>
    </row>
    <row r="1438" ht="45" spans="1:11">
      <c r="A1438" s="102" t="s">
        <v>2663</v>
      </c>
      <c r="B1438" s="102" t="s">
        <v>2664</v>
      </c>
      <c r="C1438" s="102" t="s">
        <v>56</v>
      </c>
      <c r="D1438" s="99">
        <f>IF(OR(Clientes[[#This Row],[Columna1]]="Pago inmediato",Clientes[[#This Row],[Columna1]]=""),0,SUBSTITUTE(Clientes[[#This Row],[Columna1]]," días",""))</f>
        <v>0</v>
      </c>
      <c r="E1438" s="34"/>
      <c r="F1438"/>
      <c r="G1438" s="77"/>
      <c r="I1438"/>
      <c r="J1438" s="34"/>
      <c r="K1438"/>
    </row>
    <row r="1439" ht="45" spans="1:11">
      <c r="A1439" s="102" t="s">
        <v>2665</v>
      </c>
      <c r="B1439" s="102" t="s">
        <v>2666</v>
      </c>
      <c r="C1439" s="102" t="s">
        <v>56</v>
      </c>
      <c r="D1439" s="99">
        <f>IF(OR(Clientes[[#This Row],[Columna1]]="Pago inmediato",Clientes[[#This Row],[Columna1]]=""),0,SUBSTITUTE(Clientes[[#This Row],[Columna1]]," días",""))</f>
        <v>0</v>
      </c>
      <c r="E1439" s="34"/>
      <c r="F1439"/>
      <c r="G1439" s="77"/>
      <c r="I1439"/>
      <c r="J1439" s="34"/>
      <c r="K1439"/>
    </row>
    <row r="1440" ht="30" spans="1:11">
      <c r="A1440" s="102" t="s">
        <v>2667</v>
      </c>
      <c r="B1440" s="102" t="s">
        <v>2668</v>
      </c>
      <c r="C1440" s="102" t="s">
        <v>56</v>
      </c>
      <c r="D1440" s="99">
        <f>IF(OR(Clientes[[#This Row],[Columna1]]="Pago inmediato",Clientes[[#This Row],[Columna1]]=""),0,SUBSTITUTE(Clientes[[#This Row],[Columna1]]," días",""))</f>
        <v>0</v>
      </c>
      <c r="E1440" s="34"/>
      <c r="F1440"/>
      <c r="G1440" s="77"/>
      <c r="I1440"/>
      <c r="J1440" s="34"/>
      <c r="K1440"/>
    </row>
    <row r="1441" ht="30" spans="1:11">
      <c r="A1441" s="102" t="s">
        <v>2669</v>
      </c>
      <c r="B1441" s="102" t="s">
        <v>2670</v>
      </c>
      <c r="C1441" s="102" t="s">
        <v>56</v>
      </c>
      <c r="D1441" s="99">
        <f>IF(OR(Clientes[[#This Row],[Columna1]]="Pago inmediato",Clientes[[#This Row],[Columna1]]=""),0,SUBSTITUTE(Clientes[[#This Row],[Columna1]]," días",""))</f>
        <v>0</v>
      </c>
      <c r="E1441" s="34"/>
      <c r="F1441"/>
      <c r="G1441" s="77"/>
      <c r="I1441"/>
      <c r="J1441" s="34"/>
      <c r="K1441"/>
    </row>
    <row r="1442" ht="30" spans="1:11">
      <c r="A1442" s="102" t="s">
        <v>2671</v>
      </c>
      <c r="B1442" s="102" t="s">
        <v>2672</v>
      </c>
      <c r="C1442" s="102" t="s">
        <v>56</v>
      </c>
      <c r="D1442" s="99">
        <f>IF(OR(Clientes[[#This Row],[Columna1]]="Pago inmediato",Clientes[[#This Row],[Columna1]]=""),0,SUBSTITUTE(Clientes[[#This Row],[Columna1]]," días",""))</f>
        <v>0</v>
      </c>
      <c r="E1442" s="34"/>
      <c r="F1442"/>
      <c r="G1442" s="77"/>
      <c r="I1442"/>
      <c r="J1442" s="34"/>
      <c r="K1442"/>
    </row>
    <row r="1443" spans="1:11">
      <c r="A1443" s="102" t="s">
        <v>2673</v>
      </c>
      <c r="B1443" s="102" t="s">
        <v>2674</v>
      </c>
      <c r="C1443" s="102" t="s">
        <v>56</v>
      </c>
      <c r="D1443" s="99">
        <f>IF(OR(Clientes[[#This Row],[Columna1]]="Pago inmediato",Clientes[[#This Row],[Columna1]]=""),0,SUBSTITUTE(Clientes[[#This Row],[Columna1]]," días",""))</f>
        <v>0</v>
      </c>
      <c r="E1443" s="34"/>
      <c r="F1443"/>
      <c r="G1443" s="77"/>
      <c r="I1443"/>
      <c r="J1443" s="34"/>
      <c r="K1443"/>
    </row>
    <row r="1444" spans="1:11">
      <c r="A1444" s="102" t="s">
        <v>2675</v>
      </c>
      <c r="B1444" s="102" t="s">
        <v>2676</v>
      </c>
      <c r="C1444" s="102" t="s">
        <v>56</v>
      </c>
      <c r="D1444" s="99">
        <f>IF(OR(Clientes[[#This Row],[Columna1]]="Pago inmediato",Clientes[[#This Row],[Columna1]]=""),0,SUBSTITUTE(Clientes[[#This Row],[Columna1]]," días",""))</f>
        <v>0</v>
      </c>
      <c r="E1444" s="34"/>
      <c r="F1444"/>
      <c r="G1444" s="77"/>
      <c r="I1444"/>
      <c r="J1444" s="34"/>
      <c r="K1444"/>
    </row>
    <row r="1445" spans="1:11">
      <c r="A1445" s="102" t="s">
        <v>2677</v>
      </c>
      <c r="B1445" s="102" t="s">
        <v>2678</v>
      </c>
      <c r="C1445" s="102" t="s">
        <v>56</v>
      </c>
      <c r="D1445" s="99">
        <f>IF(OR(Clientes[[#This Row],[Columna1]]="Pago inmediato",Clientes[[#This Row],[Columna1]]=""),0,SUBSTITUTE(Clientes[[#This Row],[Columna1]]," días",""))</f>
        <v>0</v>
      </c>
      <c r="E1445" s="34"/>
      <c r="F1445"/>
      <c r="G1445" s="77"/>
      <c r="I1445"/>
      <c r="J1445" s="34"/>
      <c r="K1445"/>
    </row>
    <row r="1446" ht="30" spans="1:4">
      <c r="A1446" s="102" t="s">
        <v>2679</v>
      </c>
      <c r="B1446" s="102" t="s">
        <v>2680</v>
      </c>
      <c r="C1446" s="102" t="s">
        <v>56</v>
      </c>
      <c r="D1446" s="117">
        <f>IF(OR(Clientes[[#This Row],[Columna1]]="Pago inmediato",Clientes[[#This Row],[Columna1]]=""),0,SUBSTITUTE(Clientes[[#This Row],[Columna1]]," días",""))</f>
        <v>0</v>
      </c>
    </row>
    <row r="1447" spans="1:4">
      <c r="A1447" s="102"/>
      <c r="B1447" s="102" t="s">
        <v>2681</v>
      </c>
      <c r="C1447" s="102"/>
      <c r="D1447" s="117">
        <f>IF(OR(Clientes[[#This Row],[Columna1]]="Pago inmediato",Clientes[[#This Row],[Columna1]]=""),0,SUBSTITUTE(Clientes[[#This Row],[Columna1]]," días",""))</f>
        <v>0</v>
      </c>
    </row>
    <row r="1448" ht="30" spans="1:4">
      <c r="A1448" s="102"/>
      <c r="B1448" s="102" t="s">
        <v>2682</v>
      </c>
      <c r="C1448" s="102"/>
      <c r="D1448" s="117">
        <f>IF(OR(Clientes[[#This Row],[Columna1]]="Pago inmediato",Clientes[[#This Row],[Columna1]]=""),0,SUBSTITUTE(Clientes[[#This Row],[Columna1]]," días",""))</f>
        <v>0</v>
      </c>
    </row>
    <row r="1449" ht="30" spans="1:4">
      <c r="A1449" s="102"/>
      <c r="B1449" s="102" t="s">
        <v>2683</v>
      </c>
      <c r="C1449" s="102"/>
      <c r="D1449" s="117">
        <f>IF(OR(Clientes[[#This Row],[Columna1]]="Pago inmediato",Clientes[[#This Row],[Columna1]]=""),0,SUBSTITUTE(Clientes[[#This Row],[Columna1]]," días",""))</f>
        <v>0</v>
      </c>
    </row>
    <row r="1450" spans="1:4">
      <c r="A1450" s="102"/>
      <c r="B1450" s="102" t="s">
        <v>2684</v>
      </c>
      <c r="C1450" s="102"/>
      <c r="D1450" s="117">
        <f>IF(OR(Clientes[[#This Row],[Columna1]]="Pago inmediato",Clientes[[#This Row],[Columna1]]=""),0,SUBSTITUTE(Clientes[[#This Row],[Columna1]]," días",""))</f>
        <v>0</v>
      </c>
    </row>
    <row r="1451" spans="1:4">
      <c r="A1451" s="102"/>
      <c r="B1451" s="102" t="s">
        <v>2685</v>
      </c>
      <c r="C1451" s="102"/>
      <c r="D1451" s="117">
        <f>IF(OR(Clientes[[#This Row],[Columna1]]="Pago inmediato",Clientes[[#This Row],[Columna1]]=""),0,SUBSTITUTE(Clientes[[#This Row],[Columna1]]," días",""))</f>
        <v>0</v>
      </c>
    </row>
    <row r="1452" spans="1:4">
      <c r="A1452" s="102" t="s">
        <v>2686</v>
      </c>
      <c r="B1452" s="102" t="s">
        <v>2687</v>
      </c>
      <c r="C1452" s="102"/>
      <c r="D1452" s="117">
        <f>IF(OR(Clientes[[#This Row],[Columna1]]="Pago inmediato",Clientes[[#This Row],[Columna1]]=""),0,SUBSTITUTE(Clientes[[#This Row],[Columna1]]," días",""))</f>
        <v>0</v>
      </c>
    </row>
    <row r="1453" spans="1:4">
      <c r="A1453" s="102"/>
      <c r="B1453" s="102" t="s">
        <v>2688</v>
      </c>
      <c r="C1453" s="102"/>
      <c r="D1453" s="117">
        <f>IF(OR(Clientes[[#This Row],[Columna1]]="Pago inmediato",Clientes[[#This Row],[Columna1]]=""),0,SUBSTITUTE(Clientes[[#This Row],[Columna1]]," días",""))</f>
        <v>0</v>
      </c>
    </row>
    <row r="1454" ht="45" spans="1:4">
      <c r="A1454" s="102" t="s">
        <v>2689</v>
      </c>
      <c r="B1454" s="102" t="s">
        <v>2690</v>
      </c>
      <c r="C1454" s="102" t="s">
        <v>56</v>
      </c>
      <c r="D1454" s="117">
        <f>IF(OR(Clientes[[#This Row],[Columna1]]="Pago inmediato",Clientes[[#This Row],[Columna1]]=""),0,SUBSTITUTE(Clientes[[#This Row],[Columna1]]," días",""))</f>
        <v>0</v>
      </c>
    </row>
    <row r="1455" ht="60" spans="1:4">
      <c r="A1455" s="102" t="s">
        <v>2689</v>
      </c>
      <c r="B1455" s="102" t="s">
        <v>2691</v>
      </c>
      <c r="C1455" s="102" t="s">
        <v>56</v>
      </c>
      <c r="D1455" s="117">
        <f>IF(OR(Clientes[[#This Row],[Columna1]]="Pago inmediato",Clientes[[#This Row],[Columna1]]=""),0,SUBSTITUTE(Clientes[[#This Row],[Columna1]]," días",""))</f>
        <v>0</v>
      </c>
    </row>
    <row r="1456" ht="30" spans="1:4">
      <c r="A1456" s="102" t="s">
        <v>2692</v>
      </c>
      <c r="B1456" s="102" t="s">
        <v>2693</v>
      </c>
      <c r="C1456" s="102" t="s">
        <v>56</v>
      </c>
      <c r="D1456" s="117">
        <f>IF(OR(Clientes[[#This Row],[Columna1]]="Pago inmediato",Clientes[[#This Row],[Columna1]]=""),0,SUBSTITUTE(Clientes[[#This Row],[Columna1]]," días",""))</f>
        <v>0</v>
      </c>
    </row>
    <row r="1457" ht="30" spans="1:4">
      <c r="A1457" s="102" t="s">
        <v>2694</v>
      </c>
      <c r="B1457" s="102" t="s">
        <v>2695</v>
      </c>
      <c r="C1457" s="102" t="s">
        <v>56</v>
      </c>
      <c r="D1457" s="117">
        <f>IF(OR(Clientes[[#This Row],[Columna1]]="Pago inmediato",Clientes[[#This Row],[Columna1]]=""),0,SUBSTITUTE(Clientes[[#This Row],[Columna1]]," días",""))</f>
        <v>0</v>
      </c>
    </row>
    <row r="1458" spans="1:4">
      <c r="A1458" s="102" t="s">
        <v>2696</v>
      </c>
      <c r="B1458" s="102" t="s">
        <v>2697</v>
      </c>
      <c r="C1458" s="102" t="s">
        <v>56</v>
      </c>
      <c r="D1458" s="117">
        <f>IF(OR(Clientes[[#This Row],[Columna1]]="Pago inmediato",Clientes[[#This Row],[Columna1]]=""),0,SUBSTITUTE(Clientes[[#This Row],[Columna1]]," días",""))</f>
        <v>0</v>
      </c>
    </row>
    <row r="1459" spans="1:4">
      <c r="A1459" s="102" t="s">
        <v>2698</v>
      </c>
      <c r="B1459" s="102" t="s">
        <v>2699</v>
      </c>
      <c r="C1459" s="102" t="s">
        <v>56</v>
      </c>
      <c r="D1459" s="117">
        <f>IF(OR(Clientes[[#This Row],[Columna1]]="Pago inmediato",Clientes[[#This Row],[Columna1]]=""),0,SUBSTITUTE(Clientes[[#This Row],[Columna1]]," días",""))</f>
        <v>0</v>
      </c>
    </row>
    <row r="1460" ht="30" spans="1:4">
      <c r="A1460" s="102" t="s">
        <v>2700</v>
      </c>
      <c r="B1460" s="102" t="s">
        <v>2701</v>
      </c>
      <c r="C1460" s="102" t="s">
        <v>56</v>
      </c>
      <c r="D1460" s="117">
        <f>IF(OR(Clientes[[#This Row],[Columna1]]="Pago inmediato",Clientes[[#This Row],[Columna1]]=""),0,SUBSTITUTE(Clientes[[#This Row],[Columna1]]," días",""))</f>
        <v>0</v>
      </c>
    </row>
    <row r="1461" ht="30" spans="1:4">
      <c r="A1461" s="102" t="s">
        <v>2702</v>
      </c>
      <c r="B1461" s="102" t="s">
        <v>2703</v>
      </c>
      <c r="C1461" s="102" t="s">
        <v>56</v>
      </c>
      <c r="D1461" s="117">
        <f>IF(OR(Clientes[[#This Row],[Columna1]]="Pago inmediato",Clientes[[#This Row],[Columna1]]=""),0,SUBSTITUTE(Clientes[[#This Row],[Columna1]]," días",""))</f>
        <v>0</v>
      </c>
    </row>
    <row r="1462" ht="45" spans="1:4">
      <c r="A1462" s="102" t="s">
        <v>2704</v>
      </c>
      <c r="B1462" s="102" t="s">
        <v>2705</v>
      </c>
      <c r="C1462" s="102" t="s">
        <v>56</v>
      </c>
      <c r="D1462" s="117">
        <f>IF(OR(Clientes[[#This Row],[Columna1]]="Pago inmediato",Clientes[[#This Row],[Columna1]]=""),0,SUBSTITUTE(Clientes[[#This Row],[Columna1]]," días",""))</f>
        <v>0</v>
      </c>
    </row>
    <row r="1463" ht="45" spans="1:4">
      <c r="A1463" s="102" t="s">
        <v>2706</v>
      </c>
      <c r="B1463" s="102" t="s">
        <v>2707</v>
      </c>
      <c r="C1463" s="102" t="s">
        <v>56</v>
      </c>
      <c r="D1463" s="117">
        <f>IF(OR(Clientes[[#This Row],[Columna1]]="Pago inmediato",Clientes[[#This Row],[Columna1]]=""),0,SUBSTITUTE(Clientes[[#This Row],[Columna1]]," días",""))</f>
        <v>0</v>
      </c>
    </row>
    <row r="1464" ht="45" spans="1:4">
      <c r="A1464" s="102" t="s">
        <v>2708</v>
      </c>
      <c r="B1464" s="102" t="s">
        <v>2709</v>
      </c>
      <c r="C1464" s="102" t="s">
        <v>56</v>
      </c>
      <c r="D1464" s="117">
        <f>IF(OR(Clientes[[#This Row],[Columna1]]="Pago inmediato",Clientes[[#This Row],[Columna1]]=""),0,SUBSTITUTE(Clientes[[#This Row],[Columna1]]," días",""))</f>
        <v>0</v>
      </c>
    </row>
    <row r="1465" spans="1:4">
      <c r="A1465" s="102" t="s">
        <v>2710</v>
      </c>
      <c r="B1465" s="102" t="s">
        <v>2711</v>
      </c>
      <c r="C1465" s="102" t="s">
        <v>56</v>
      </c>
      <c r="D1465" s="117">
        <f>IF(OR(Clientes[[#This Row],[Columna1]]="Pago inmediato",Clientes[[#This Row],[Columna1]]=""),0,SUBSTITUTE(Clientes[[#This Row],[Columna1]]," días",""))</f>
        <v>0</v>
      </c>
    </row>
    <row r="1466" spans="1:4">
      <c r="A1466" s="102" t="s">
        <v>2712</v>
      </c>
      <c r="B1466" s="102" t="s">
        <v>2713</v>
      </c>
      <c r="C1466" s="102" t="s">
        <v>56</v>
      </c>
      <c r="D1466" s="117">
        <f>IF(OR(Clientes[[#This Row],[Columna1]]="Pago inmediato",Clientes[[#This Row],[Columna1]]=""),0,SUBSTITUTE(Clientes[[#This Row],[Columna1]]," días",""))</f>
        <v>0</v>
      </c>
    </row>
    <row r="1467" spans="1:4">
      <c r="A1467" s="102" t="s">
        <v>2714</v>
      </c>
      <c r="B1467" s="102" t="s">
        <v>2715</v>
      </c>
      <c r="C1467" s="102" t="s">
        <v>56</v>
      </c>
      <c r="D1467" s="117">
        <f>IF(OR(Clientes[[#This Row],[Columna1]]="Pago inmediato",Clientes[[#This Row],[Columna1]]=""),0,SUBSTITUTE(Clientes[[#This Row],[Columna1]]," días",""))</f>
        <v>0</v>
      </c>
    </row>
    <row r="1468" ht="30" spans="1:4">
      <c r="A1468" s="102" t="s">
        <v>2716</v>
      </c>
      <c r="B1468" s="102" t="s">
        <v>2717</v>
      </c>
      <c r="C1468" s="102" t="s">
        <v>56</v>
      </c>
      <c r="D1468" s="117">
        <f>IF(OR(Clientes[[#This Row],[Columna1]]="Pago inmediato",Clientes[[#This Row],[Columna1]]=""),0,SUBSTITUTE(Clientes[[#This Row],[Columna1]]," días",""))</f>
        <v>0</v>
      </c>
    </row>
    <row r="1469" ht="45" spans="1:4">
      <c r="A1469" s="102" t="s">
        <v>2716</v>
      </c>
      <c r="B1469" s="102" t="s">
        <v>2718</v>
      </c>
      <c r="C1469" s="102" t="s">
        <v>56</v>
      </c>
      <c r="D1469" s="117">
        <f>IF(OR(Clientes[[#This Row],[Columna1]]="Pago inmediato",Clientes[[#This Row],[Columna1]]=""),0,SUBSTITUTE(Clientes[[#This Row],[Columna1]]," días",""))</f>
        <v>0</v>
      </c>
    </row>
    <row r="1470" spans="1:4">
      <c r="A1470" s="102" t="s">
        <v>2719</v>
      </c>
      <c r="B1470" s="102" t="s">
        <v>2720</v>
      </c>
      <c r="C1470" s="102" t="s">
        <v>56</v>
      </c>
      <c r="D1470" s="117">
        <f>IF(OR(Clientes[[#This Row],[Columna1]]="Pago inmediato",Clientes[[#This Row],[Columna1]]=""),0,SUBSTITUTE(Clientes[[#This Row],[Columna1]]," días",""))</f>
        <v>0</v>
      </c>
    </row>
    <row r="1471" spans="1:4">
      <c r="A1471" s="102" t="s">
        <v>2721</v>
      </c>
      <c r="B1471" s="102" t="s">
        <v>2722</v>
      </c>
      <c r="C1471" s="102" t="s">
        <v>56</v>
      </c>
      <c r="D1471" s="117">
        <f>IF(OR(Clientes[[#This Row],[Columna1]]="Pago inmediato",Clientes[[#This Row],[Columna1]]=""),0,SUBSTITUTE(Clientes[[#This Row],[Columna1]]," días",""))</f>
        <v>0</v>
      </c>
    </row>
    <row r="1472" ht="30" spans="1:4">
      <c r="A1472" s="102"/>
      <c r="B1472" s="102" t="s">
        <v>2723</v>
      </c>
      <c r="C1472" s="102" t="s">
        <v>56</v>
      </c>
      <c r="D1472" s="117">
        <f>IF(OR(Clientes[[#This Row],[Columna1]]="Pago inmediato",Clientes[[#This Row],[Columna1]]=""),0,SUBSTITUTE(Clientes[[#This Row],[Columna1]]," días",""))</f>
        <v>0</v>
      </c>
    </row>
    <row r="1473" ht="30" spans="1:4">
      <c r="A1473" s="102" t="s">
        <v>2724</v>
      </c>
      <c r="B1473" s="102" t="s">
        <v>2725</v>
      </c>
      <c r="C1473" s="102" t="s">
        <v>56</v>
      </c>
      <c r="D1473" s="117">
        <f>IF(OR(Clientes[[#This Row],[Columna1]]="Pago inmediato",Clientes[[#This Row],[Columna1]]=""),0,SUBSTITUTE(Clientes[[#This Row],[Columna1]]," días",""))</f>
        <v>0</v>
      </c>
    </row>
    <row r="1474" ht="45" spans="1:4">
      <c r="A1474" s="102" t="s">
        <v>2726</v>
      </c>
      <c r="B1474" s="102" t="s">
        <v>2727</v>
      </c>
      <c r="C1474" s="102" t="s">
        <v>61</v>
      </c>
      <c r="D1474" s="117" t="str">
        <f>IF(OR(Clientes[[#This Row],[Columna1]]="Pago inmediato",Clientes[[#This Row],[Columna1]]=""),0,SUBSTITUTE(Clientes[[#This Row],[Columna1]]," días",""))</f>
        <v>15</v>
      </c>
    </row>
    <row r="1475" ht="30" spans="1:4">
      <c r="A1475" s="102" t="s">
        <v>2728</v>
      </c>
      <c r="B1475" s="102" t="s">
        <v>2729</v>
      </c>
      <c r="C1475" s="102" t="s">
        <v>56</v>
      </c>
      <c r="D1475" s="117">
        <f>IF(OR(Clientes[[#This Row],[Columna1]]="Pago inmediato",Clientes[[#This Row],[Columna1]]=""),0,SUBSTITUTE(Clientes[[#This Row],[Columna1]]," días",""))</f>
        <v>0</v>
      </c>
    </row>
    <row r="1476" ht="30" spans="1:4">
      <c r="A1476" s="102" t="s">
        <v>2730</v>
      </c>
      <c r="B1476" s="102" t="s">
        <v>2731</v>
      </c>
      <c r="C1476" s="102" t="s">
        <v>56</v>
      </c>
      <c r="D1476" s="117">
        <f>IF(OR(Clientes[[#This Row],[Columna1]]="Pago inmediato",Clientes[[#This Row],[Columna1]]=""),0,SUBSTITUTE(Clientes[[#This Row],[Columna1]]," días",""))</f>
        <v>0</v>
      </c>
    </row>
    <row r="1477" ht="30" spans="1:4">
      <c r="A1477" s="102" t="s">
        <v>2732</v>
      </c>
      <c r="B1477" s="102" t="s">
        <v>2733</v>
      </c>
      <c r="C1477" s="102" t="s">
        <v>56</v>
      </c>
      <c r="D1477" s="117">
        <f>IF(OR(Clientes[[#This Row],[Columna1]]="Pago inmediato",Clientes[[#This Row],[Columna1]]=""),0,SUBSTITUTE(Clientes[[#This Row],[Columna1]]," días",""))</f>
        <v>0</v>
      </c>
    </row>
    <row r="1478" spans="1:4">
      <c r="A1478" s="102" t="s">
        <v>2734</v>
      </c>
      <c r="B1478" s="102" t="s">
        <v>2735</v>
      </c>
      <c r="C1478" s="102" t="s">
        <v>56</v>
      </c>
      <c r="D1478" s="117">
        <f>IF(OR(Clientes[[#This Row],[Columna1]]="Pago inmediato",Clientes[[#This Row],[Columna1]]=""),0,SUBSTITUTE(Clientes[[#This Row],[Columna1]]," días",""))</f>
        <v>0</v>
      </c>
    </row>
    <row r="1479" spans="1:4">
      <c r="A1479" s="102"/>
      <c r="B1479" s="102" t="s">
        <v>2736</v>
      </c>
      <c r="C1479" s="102"/>
      <c r="D1479" s="117">
        <f>IF(OR(Clientes[[#This Row],[Columna1]]="Pago inmediato",Clientes[[#This Row],[Columna1]]=""),0,SUBSTITUTE(Clientes[[#This Row],[Columna1]]," días",""))</f>
        <v>0</v>
      </c>
    </row>
    <row r="1480" spans="1:4">
      <c r="A1480" s="102" t="s">
        <v>2737</v>
      </c>
      <c r="B1480" s="102" t="s">
        <v>2738</v>
      </c>
      <c r="C1480" s="102"/>
      <c r="D1480" s="117">
        <f>IF(OR(Clientes[[#This Row],[Columna1]]="Pago inmediato",Clientes[[#This Row],[Columna1]]=""),0,SUBSTITUTE(Clientes[[#This Row],[Columna1]]," días",""))</f>
        <v>0</v>
      </c>
    </row>
    <row r="1481" ht="45" spans="1:4">
      <c r="A1481" s="102" t="s">
        <v>2739</v>
      </c>
      <c r="B1481" s="102" t="s">
        <v>2740</v>
      </c>
      <c r="C1481" s="102" t="s">
        <v>56</v>
      </c>
      <c r="D1481" s="117">
        <f>IF(OR(Clientes[[#This Row],[Columna1]]="Pago inmediato",Clientes[[#This Row],[Columna1]]=""),0,SUBSTITUTE(Clientes[[#This Row],[Columna1]]," días",""))</f>
        <v>0</v>
      </c>
    </row>
    <row r="1482" ht="45" spans="1:4">
      <c r="A1482" s="102" t="s">
        <v>2741</v>
      </c>
      <c r="B1482" s="102" t="s">
        <v>2742</v>
      </c>
      <c r="C1482" s="102" t="s">
        <v>56</v>
      </c>
      <c r="D1482" s="117">
        <f>IF(OR(Clientes[[#This Row],[Columna1]]="Pago inmediato",Clientes[[#This Row],[Columna1]]=""),0,SUBSTITUTE(Clientes[[#This Row],[Columna1]]," días",""))</f>
        <v>0</v>
      </c>
    </row>
    <row r="1483" ht="30" spans="1:4">
      <c r="A1483" s="102" t="s">
        <v>2743</v>
      </c>
      <c r="B1483" s="102" t="s">
        <v>2744</v>
      </c>
      <c r="C1483" s="102">
        <v>90</v>
      </c>
      <c r="D1483" s="117" t="str">
        <f>IF(OR(Clientes[[#This Row],[Columna1]]="Pago inmediato",Clientes[[#This Row],[Columna1]]=""),0,SUBSTITUTE(Clientes[[#This Row],[Columna1]]," días",""))</f>
        <v>90</v>
      </c>
    </row>
    <row r="1484" ht="45" spans="1:4">
      <c r="A1484" s="102" t="s">
        <v>2745</v>
      </c>
      <c r="B1484" s="102" t="s">
        <v>2746</v>
      </c>
      <c r="C1484" s="102" t="s">
        <v>56</v>
      </c>
      <c r="D1484" s="117">
        <f>IF(OR(Clientes[[#This Row],[Columna1]]="Pago inmediato",Clientes[[#This Row],[Columna1]]=""),0,SUBSTITUTE(Clientes[[#This Row],[Columna1]]," días",""))</f>
        <v>0</v>
      </c>
    </row>
    <row r="1485" spans="1:4">
      <c r="A1485" s="102" t="s">
        <v>2747</v>
      </c>
      <c r="B1485" s="102" t="s">
        <v>2748</v>
      </c>
      <c r="C1485" s="102" t="s">
        <v>56</v>
      </c>
      <c r="D1485" s="117">
        <f>IF(OR(Clientes[[#This Row],[Columna1]]="Pago inmediato",Clientes[[#This Row],[Columna1]]=""),0,SUBSTITUTE(Clientes[[#This Row],[Columna1]]," días",""))</f>
        <v>0</v>
      </c>
    </row>
    <row r="1486" spans="1:4">
      <c r="A1486" s="102" t="s">
        <v>2749</v>
      </c>
      <c r="B1486" s="102" t="s">
        <v>2750</v>
      </c>
      <c r="C1486" s="102" t="s">
        <v>56</v>
      </c>
      <c r="D1486" s="117">
        <f>IF(OR(Clientes[[#This Row],[Columna1]]="Pago inmediato",Clientes[[#This Row],[Columna1]]=""),0,SUBSTITUTE(Clientes[[#This Row],[Columna1]]," días",""))</f>
        <v>0</v>
      </c>
    </row>
    <row r="1487" spans="1:4">
      <c r="A1487" s="102" t="s">
        <v>2751</v>
      </c>
      <c r="B1487" s="102" t="s">
        <v>2752</v>
      </c>
      <c r="C1487" s="102" t="s">
        <v>486</v>
      </c>
      <c r="D1487" s="117" t="str">
        <f>IF(OR(Clientes[[#This Row],[Columna1]]="Pago inmediato",Clientes[[#This Row],[Columna1]]=""),0,SUBSTITUTE(Clientes[[#This Row],[Columna1]]," días",""))</f>
        <v>30</v>
      </c>
    </row>
    <row r="1488" spans="1:4">
      <c r="A1488" s="102" t="s">
        <v>2753</v>
      </c>
      <c r="B1488" s="102" t="s">
        <v>2754</v>
      </c>
      <c r="C1488" s="102" t="s">
        <v>56</v>
      </c>
      <c r="D1488" s="117">
        <f>IF(OR(Clientes[[#This Row],[Columna1]]="Pago inmediato",Clientes[[#This Row],[Columna1]]=""),0,SUBSTITUTE(Clientes[[#This Row],[Columna1]]," días",""))</f>
        <v>0</v>
      </c>
    </row>
    <row r="1489" ht="30" spans="1:4">
      <c r="A1489" s="102" t="s">
        <v>2755</v>
      </c>
      <c r="B1489" s="102" t="s">
        <v>2756</v>
      </c>
      <c r="C1489" s="102" t="s">
        <v>56</v>
      </c>
      <c r="D1489" s="117">
        <f>IF(OR(Clientes[[#This Row],[Columna1]]="Pago inmediato",Clientes[[#This Row],[Columna1]]=""),0,SUBSTITUTE(Clientes[[#This Row],[Columna1]]," días",""))</f>
        <v>0</v>
      </c>
    </row>
    <row r="1490" ht="30" spans="1:4">
      <c r="A1490" s="102" t="s">
        <v>2757</v>
      </c>
      <c r="B1490" s="102" t="s">
        <v>2758</v>
      </c>
      <c r="C1490" s="102" t="s">
        <v>56</v>
      </c>
      <c r="D1490" s="117">
        <f>IF(OR(Clientes[[#This Row],[Columna1]]="Pago inmediato",Clientes[[#This Row],[Columna1]]=""),0,SUBSTITUTE(Clientes[[#This Row],[Columna1]]," días",""))</f>
        <v>0</v>
      </c>
    </row>
    <row r="1491" ht="30" spans="1:4">
      <c r="A1491" s="102" t="s">
        <v>2759</v>
      </c>
      <c r="B1491" s="102" t="s">
        <v>2760</v>
      </c>
      <c r="C1491" s="102" t="s">
        <v>56</v>
      </c>
      <c r="D1491" s="117">
        <f>IF(OR(Clientes[[#This Row],[Columna1]]="Pago inmediato",Clientes[[#This Row],[Columna1]]=""),0,SUBSTITUTE(Clientes[[#This Row],[Columna1]]," días",""))</f>
        <v>0</v>
      </c>
    </row>
    <row r="1492" ht="30" spans="1:4">
      <c r="A1492" s="102" t="s">
        <v>2761</v>
      </c>
      <c r="B1492" s="102" t="s">
        <v>2762</v>
      </c>
      <c r="C1492" s="102" t="s">
        <v>56</v>
      </c>
      <c r="D1492" s="117">
        <f>IF(OR(Clientes[[#This Row],[Columna1]]="Pago inmediato",Clientes[[#This Row],[Columna1]]=""),0,SUBSTITUTE(Clientes[[#This Row],[Columna1]]," días",""))</f>
        <v>0</v>
      </c>
    </row>
    <row r="1493" spans="1:4">
      <c r="A1493" s="102" t="s">
        <v>2763</v>
      </c>
      <c r="B1493" s="102" t="s">
        <v>2764</v>
      </c>
      <c r="C1493" s="102" t="s">
        <v>56</v>
      </c>
      <c r="D1493" s="117">
        <f>IF(OR(Clientes[[#This Row],[Columna1]]="Pago inmediato",Clientes[[#This Row],[Columna1]]=""),0,SUBSTITUTE(Clientes[[#This Row],[Columna1]]," días",""))</f>
        <v>0</v>
      </c>
    </row>
    <row r="1494" ht="30" spans="1:4">
      <c r="A1494" s="102" t="s">
        <v>2765</v>
      </c>
      <c r="B1494" s="102" t="s">
        <v>2766</v>
      </c>
      <c r="C1494" s="102" t="s">
        <v>56</v>
      </c>
      <c r="D1494" s="117">
        <f>IF(OR(Clientes[[#This Row],[Columna1]]="Pago inmediato",Clientes[[#This Row],[Columna1]]=""),0,SUBSTITUTE(Clientes[[#This Row],[Columna1]]," días",""))</f>
        <v>0</v>
      </c>
    </row>
    <row r="1495" spans="1:4">
      <c r="A1495" s="102" t="s">
        <v>2767</v>
      </c>
      <c r="B1495" s="102" t="s">
        <v>2768</v>
      </c>
      <c r="C1495" s="102" t="s">
        <v>56</v>
      </c>
      <c r="D1495" s="117">
        <f>IF(OR(Clientes[[#This Row],[Columna1]]="Pago inmediato",Clientes[[#This Row],[Columna1]]=""),0,SUBSTITUTE(Clientes[[#This Row],[Columna1]]," días",""))</f>
        <v>0</v>
      </c>
    </row>
    <row r="1496" spans="1:4">
      <c r="A1496" s="102" t="s">
        <v>2769</v>
      </c>
      <c r="B1496" s="102" t="s">
        <v>2770</v>
      </c>
      <c r="C1496" s="102" t="s">
        <v>56</v>
      </c>
      <c r="D1496" s="117">
        <f>IF(OR(Clientes[[#This Row],[Columna1]]="Pago inmediato",Clientes[[#This Row],[Columna1]]=""),0,SUBSTITUTE(Clientes[[#This Row],[Columna1]]," días",""))</f>
        <v>0</v>
      </c>
    </row>
    <row r="1497" ht="30" spans="1:4">
      <c r="A1497" s="102" t="s">
        <v>2771</v>
      </c>
      <c r="B1497" s="102" t="s">
        <v>2772</v>
      </c>
      <c r="C1497" s="102" t="s">
        <v>56</v>
      </c>
      <c r="D1497" s="117">
        <f>IF(OR(Clientes[[#This Row],[Columna1]]="Pago inmediato",Clientes[[#This Row],[Columna1]]=""),0,SUBSTITUTE(Clientes[[#This Row],[Columna1]]," días",""))</f>
        <v>0</v>
      </c>
    </row>
    <row r="1498" spans="1:4">
      <c r="A1498" s="102" t="s">
        <v>2773</v>
      </c>
      <c r="B1498" s="102" t="s">
        <v>2774</v>
      </c>
      <c r="C1498" s="102" t="s">
        <v>56</v>
      </c>
      <c r="D1498" s="117">
        <f>IF(OR(Clientes[[#This Row],[Columna1]]="Pago inmediato",Clientes[[#This Row],[Columna1]]=""),0,SUBSTITUTE(Clientes[[#This Row],[Columna1]]," días",""))</f>
        <v>0</v>
      </c>
    </row>
    <row r="1499" spans="1:4">
      <c r="A1499" s="102" t="s">
        <v>2775</v>
      </c>
      <c r="B1499" s="102" t="s">
        <v>2776</v>
      </c>
      <c r="C1499" s="102" t="s">
        <v>454</v>
      </c>
      <c r="D1499" s="117" t="str">
        <f>IF(OR(Clientes[[#This Row],[Columna1]]="Pago inmediato",Clientes[[#This Row],[Columna1]]=""),0,SUBSTITUTE(Clientes[[#This Row],[Columna1]]," días",""))</f>
        <v>21</v>
      </c>
    </row>
    <row r="1500" spans="1:4">
      <c r="A1500" s="102" t="s">
        <v>2777</v>
      </c>
      <c r="B1500" s="102" t="s">
        <v>2778</v>
      </c>
      <c r="C1500" s="102" t="s">
        <v>56</v>
      </c>
      <c r="D1500" s="117">
        <f>IF(OR(Clientes[[#This Row],[Columna1]]="Pago inmediato",Clientes[[#This Row],[Columna1]]=""),0,SUBSTITUTE(Clientes[[#This Row],[Columna1]]," días",""))</f>
        <v>0</v>
      </c>
    </row>
    <row r="1501" ht="45" spans="1:4">
      <c r="A1501" s="102" t="s">
        <v>2779</v>
      </c>
      <c r="B1501" s="102" t="s">
        <v>2780</v>
      </c>
      <c r="C1501" s="102" t="s">
        <v>56</v>
      </c>
      <c r="D1501" s="117">
        <f>IF(OR(Clientes[[#This Row],[Columna1]]="Pago inmediato",Clientes[[#This Row],[Columna1]]=""),0,SUBSTITUTE(Clientes[[#This Row],[Columna1]]," días",""))</f>
        <v>0</v>
      </c>
    </row>
    <row r="1502" ht="30" spans="1:4">
      <c r="A1502" s="102" t="s">
        <v>2781</v>
      </c>
      <c r="B1502" s="102" t="s">
        <v>2782</v>
      </c>
      <c r="C1502" s="102" t="s">
        <v>56</v>
      </c>
      <c r="D1502" s="117">
        <f>IF(OR(Clientes[[#This Row],[Columna1]]="Pago inmediato",Clientes[[#This Row],[Columna1]]=""),0,SUBSTITUTE(Clientes[[#This Row],[Columna1]]," días",""))</f>
        <v>0</v>
      </c>
    </row>
    <row r="1503" ht="30" spans="1:4">
      <c r="A1503" s="102" t="s">
        <v>2783</v>
      </c>
      <c r="B1503" s="102" t="s">
        <v>2784</v>
      </c>
      <c r="C1503" s="102" t="s">
        <v>56</v>
      </c>
      <c r="D1503" s="117">
        <f>IF(OR(Clientes[[#This Row],[Columna1]]="Pago inmediato",Clientes[[#This Row],[Columna1]]=""),0,SUBSTITUTE(Clientes[[#This Row],[Columna1]]," días",""))</f>
        <v>0</v>
      </c>
    </row>
    <row r="1504" spans="1:4">
      <c r="A1504" s="102"/>
      <c r="B1504" s="102" t="s">
        <v>2785</v>
      </c>
      <c r="C1504" s="102"/>
      <c r="D1504" s="117">
        <f>IF(OR(Clientes[[#This Row],[Columna1]]="Pago inmediato",Clientes[[#This Row],[Columna1]]=""),0,SUBSTITUTE(Clientes[[#This Row],[Columna1]]," días",""))</f>
        <v>0</v>
      </c>
    </row>
    <row r="1505" spans="1:4">
      <c r="A1505" s="102"/>
      <c r="B1505" s="102" t="s">
        <v>2786</v>
      </c>
      <c r="C1505" s="102"/>
      <c r="D1505" s="117">
        <f>IF(OR(Clientes[[#This Row],[Columna1]]="Pago inmediato",Clientes[[#This Row],[Columna1]]=""),0,SUBSTITUTE(Clientes[[#This Row],[Columna1]]," días",""))</f>
        <v>0</v>
      </c>
    </row>
    <row r="1506" spans="1:4">
      <c r="A1506" s="102"/>
      <c r="B1506" s="102" t="s">
        <v>2787</v>
      </c>
      <c r="C1506" s="102"/>
      <c r="D1506" s="117">
        <f>IF(OR(Clientes[[#This Row],[Columna1]]="Pago inmediato",Clientes[[#This Row],[Columna1]]=""),0,SUBSTITUTE(Clientes[[#This Row],[Columna1]]," días",""))</f>
        <v>0</v>
      </c>
    </row>
    <row r="1507" spans="1:4">
      <c r="A1507" s="102" t="s">
        <v>2788</v>
      </c>
      <c r="B1507" s="102" t="s">
        <v>2789</v>
      </c>
      <c r="C1507" s="102" t="s">
        <v>56</v>
      </c>
      <c r="D1507" s="117">
        <f>IF(OR(Clientes[[#This Row],[Columna1]]="Pago inmediato",Clientes[[#This Row],[Columna1]]=""),0,SUBSTITUTE(Clientes[[#This Row],[Columna1]]," días",""))</f>
        <v>0</v>
      </c>
    </row>
    <row r="1508" ht="30" spans="1:4">
      <c r="A1508" s="102" t="s">
        <v>2788</v>
      </c>
      <c r="B1508" s="102" t="s">
        <v>2790</v>
      </c>
      <c r="C1508" s="102" t="s">
        <v>56</v>
      </c>
      <c r="D1508" s="117">
        <f>IF(OR(Clientes[[#This Row],[Columna1]]="Pago inmediato",Clientes[[#This Row],[Columna1]]=""),0,SUBSTITUTE(Clientes[[#This Row],[Columna1]]," días",""))</f>
        <v>0</v>
      </c>
    </row>
    <row r="1509" ht="30" spans="1:4">
      <c r="A1509" s="102" t="s">
        <v>2791</v>
      </c>
      <c r="B1509" s="102" t="s">
        <v>2792</v>
      </c>
      <c r="C1509" s="102" t="s">
        <v>56</v>
      </c>
      <c r="D1509" s="117">
        <v>0</v>
      </c>
    </row>
    <row r="1510" ht="45" spans="1:4">
      <c r="A1510" s="102" t="s">
        <v>2791</v>
      </c>
      <c r="B1510" s="102" t="s">
        <v>2793</v>
      </c>
      <c r="C1510" s="102" t="s">
        <v>56</v>
      </c>
      <c r="D1510" s="117">
        <f>IF(OR(Clientes[[#This Row],[Columna1]]="Pago inmediato",Clientes[[#This Row],[Columna1]]=""),0,SUBSTITUTE(Clientes[[#This Row],[Columna1]]," días",""))</f>
        <v>0</v>
      </c>
    </row>
    <row r="1511" ht="30" spans="1:4">
      <c r="A1511" s="102" t="s">
        <v>2794</v>
      </c>
      <c r="B1511" s="102" t="s">
        <v>2795</v>
      </c>
      <c r="C1511" s="102" t="s">
        <v>56</v>
      </c>
      <c r="D1511" s="117">
        <f>IF(OR(Clientes[[#This Row],[Columna1]]="Pago inmediato",Clientes[[#This Row],[Columna1]]=""),0,SUBSTITUTE(Clientes[[#This Row],[Columna1]]," días",""))</f>
        <v>0</v>
      </c>
    </row>
    <row r="1512" spans="1:4">
      <c r="A1512" s="102" t="s">
        <v>2796</v>
      </c>
      <c r="B1512" s="102" t="s">
        <v>2797</v>
      </c>
      <c r="C1512" s="102" t="s">
        <v>56</v>
      </c>
      <c r="D1512" s="117">
        <f>IF(OR(Clientes[[#This Row],[Columna1]]="Pago inmediato",Clientes[[#This Row],[Columna1]]=""),0,SUBSTITUTE(Clientes[[#This Row],[Columna1]]," días",""))</f>
        <v>0</v>
      </c>
    </row>
    <row r="1513" ht="30" spans="1:4">
      <c r="A1513" s="102" t="s">
        <v>2798</v>
      </c>
      <c r="B1513" s="102" t="s">
        <v>2799</v>
      </c>
      <c r="C1513" s="102" t="s">
        <v>54</v>
      </c>
      <c r="D1513" s="117" t="str">
        <f>IF(OR(Clientes[[#This Row],[Columna1]]="Pago inmediato",Clientes[[#This Row],[Columna1]]=""),0,SUBSTITUTE(Clientes[[#This Row],[Columna1]]," días",""))</f>
        <v>7</v>
      </c>
    </row>
    <row r="1514" ht="30" spans="1:4">
      <c r="A1514" s="102" t="s">
        <v>2800</v>
      </c>
      <c r="B1514" s="102" t="s">
        <v>2801</v>
      </c>
      <c r="C1514" s="102" t="s">
        <v>454</v>
      </c>
      <c r="D1514" s="117" t="str">
        <f>IF(OR(Clientes[[#This Row],[Columna1]]="Pago inmediato",Clientes[[#This Row],[Columna1]]=""),0,SUBSTITUTE(Clientes[[#This Row],[Columna1]]," días",""))</f>
        <v>21</v>
      </c>
    </row>
    <row r="1515" ht="45" spans="1:4">
      <c r="A1515" s="102" t="s">
        <v>2802</v>
      </c>
      <c r="B1515" s="102" t="s">
        <v>2803</v>
      </c>
      <c r="C1515" s="102" t="s">
        <v>56</v>
      </c>
      <c r="D1515" s="117">
        <f>IF(OR(Clientes[[#This Row],[Columna1]]="Pago inmediato",Clientes[[#This Row],[Columna1]]=""),0,SUBSTITUTE(Clientes[[#This Row],[Columna1]]," días",""))</f>
        <v>0</v>
      </c>
    </row>
    <row r="1516" ht="60" spans="1:4">
      <c r="A1516" s="102" t="s">
        <v>2804</v>
      </c>
      <c r="B1516" s="102" t="s">
        <v>2805</v>
      </c>
      <c r="C1516" s="102" t="s">
        <v>56</v>
      </c>
      <c r="D1516" s="117">
        <f>IF(OR(Clientes[[#This Row],[Columna1]]="Pago inmediato",Clientes[[#This Row],[Columna1]]=""),0,SUBSTITUTE(Clientes[[#This Row],[Columna1]]," días",""))</f>
        <v>0</v>
      </c>
    </row>
    <row r="1517" ht="30" spans="1:4">
      <c r="A1517" s="102" t="s">
        <v>2806</v>
      </c>
      <c r="B1517" s="102" t="s">
        <v>2807</v>
      </c>
      <c r="C1517" s="102" t="s">
        <v>56</v>
      </c>
      <c r="D1517" s="117">
        <f>IF(OR(Clientes[[#This Row],[Columna1]]="Pago inmediato",Clientes[[#This Row],[Columna1]]=""),0,SUBSTITUTE(Clientes[[#This Row],[Columna1]]," días",""))</f>
        <v>0</v>
      </c>
    </row>
    <row r="1518" ht="45" spans="1:4">
      <c r="A1518" s="102" t="s">
        <v>2808</v>
      </c>
      <c r="B1518" s="102" t="s">
        <v>2809</v>
      </c>
      <c r="C1518" s="102" t="s">
        <v>56</v>
      </c>
      <c r="D1518" s="117">
        <f>IF(OR(Clientes[[#This Row],[Columna1]]="Pago inmediato",Clientes[[#This Row],[Columna1]]=""),0,SUBSTITUTE(Clientes[[#This Row],[Columna1]]," días",""))</f>
        <v>0</v>
      </c>
    </row>
    <row r="1519" spans="1:4">
      <c r="A1519" s="102" t="s">
        <v>2810</v>
      </c>
      <c r="B1519" s="102" t="s">
        <v>2811</v>
      </c>
      <c r="C1519" s="102" t="s">
        <v>56</v>
      </c>
      <c r="D1519" s="117">
        <f>IF(OR(Clientes[[#This Row],[Columna1]]="Pago inmediato",Clientes[[#This Row],[Columna1]]=""),0,SUBSTITUTE(Clientes[[#This Row],[Columna1]]," días",""))</f>
        <v>0</v>
      </c>
    </row>
    <row r="1520" spans="1:4">
      <c r="A1520" s="102" t="s">
        <v>2812</v>
      </c>
      <c r="B1520" s="102" t="s">
        <v>2813</v>
      </c>
      <c r="C1520" s="102" t="s">
        <v>56</v>
      </c>
      <c r="D1520" s="117">
        <f>IF(OR(Clientes[[#This Row],[Columna1]]="Pago inmediato",Clientes[[#This Row],[Columna1]]=""),0,SUBSTITUTE(Clientes[[#This Row],[Columna1]]," días",""))</f>
        <v>0</v>
      </c>
    </row>
    <row r="1521" ht="30" spans="1:4">
      <c r="A1521" s="102" t="s">
        <v>2812</v>
      </c>
      <c r="B1521" s="102" t="s">
        <v>2814</v>
      </c>
      <c r="C1521" s="102" t="s">
        <v>56</v>
      </c>
      <c r="D1521" s="117">
        <f>IF(OR(Clientes[[#This Row],[Columna1]]="Pago inmediato",Clientes[[#This Row],[Columna1]]=""),0,SUBSTITUTE(Clientes[[#This Row],[Columna1]]," días",""))</f>
        <v>0</v>
      </c>
    </row>
    <row r="1522" spans="1:4">
      <c r="A1522" s="102" t="s">
        <v>2815</v>
      </c>
      <c r="B1522" s="102" t="s">
        <v>2816</v>
      </c>
      <c r="C1522" s="102" t="s">
        <v>56</v>
      </c>
      <c r="D1522" s="117">
        <f>IF(OR(Clientes[[#This Row],[Columna1]]="Pago inmediato",Clientes[[#This Row],[Columna1]]=""),0,SUBSTITUTE(Clientes[[#This Row],[Columna1]]," días",""))</f>
        <v>0</v>
      </c>
    </row>
    <row r="1523" ht="30" spans="1:4">
      <c r="A1523" s="102" t="s">
        <v>2815</v>
      </c>
      <c r="B1523" s="102" t="s">
        <v>2817</v>
      </c>
      <c r="C1523" s="102" t="s">
        <v>56</v>
      </c>
      <c r="D1523" s="117">
        <f>IF(OR(Clientes[[#This Row],[Columna1]]="Pago inmediato",Clientes[[#This Row],[Columna1]]=""),0,SUBSTITUTE(Clientes[[#This Row],[Columna1]]," días",""))</f>
        <v>0</v>
      </c>
    </row>
    <row r="1524" spans="1:4">
      <c r="A1524" s="102" t="s">
        <v>2818</v>
      </c>
      <c r="B1524" s="102" t="s">
        <v>2819</v>
      </c>
      <c r="C1524" s="102" t="s">
        <v>54</v>
      </c>
      <c r="D1524" s="117" t="str">
        <f>IF(OR(Clientes[[#This Row],[Columna1]]="Pago inmediato",Clientes[[#This Row],[Columna1]]=""),0,SUBSTITUTE(Clientes[[#This Row],[Columna1]]," días",""))</f>
        <v>7</v>
      </c>
    </row>
    <row r="1525" ht="30" spans="1:4">
      <c r="A1525" s="102" t="s">
        <v>2820</v>
      </c>
      <c r="B1525" s="102" t="s">
        <v>2821</v>
      </c>
      <c r="C1525" s="102" t="s">
        <v>56</v>
      </c>
      <c r="D1525" s="117">
        <f>IF(OR(Clientes[[#This Row],[Columna1]]="Pago inmediato",Clientes[[#This Row],[Columna1]]=""),0,SUBSTITUTE(Clientes[[#This Row],[Columna1]]," días",""))</f>
        <v>0</v>
      </c>
    </row>
    <row r="1526" ht="30" spans="1:4">
      <c r="A1526" s="102" t="s">
        <v>2822</v>
      </c>
      <c r="B1526" s="102" t="s">
        <v>2823</v>
      </c>
      <c r="C1526" s="102" t="s">
        <v>56</v>
      </c>
      <c r="D1526" s="117">
        <f>IF(OR(Clientes[[#This Row],[Columna1]]="Pago inmediato",Clientes[[#This Row],[Columna1]]=""),0,SUBSTITUTE(Clientes[[#This Row],[Columna1]]," días",""))</f>
        <v>0</v>
      </c>
    </row>
    <row r="1527" spans="1:4">
      <c r="A1527" s="102" t="s">
        <v>2824</v>
      </c>
      <c r="B1527" s="102" t="s">
        <v>2825</v>
      </c>
      <c r="C1527" s="102" t="s">
        <v>2049</v>
      </c>
      <c r="D1527" s="117" t="str">
        <f>IF(OR(Clientes[[#This Row],[Columna1]]="Pago inmediato",Clientes[[#This Row],[Columna1]]=""),0,SUBSTITUTE(Clientes[[#This Row],[Columna1]]," días",""))</f>
        <v>30 Días</v>
      </c>
    </row>
    <row r="1528" spans="1:4">
      <c r="A1528" s="102" t="s">
        <v>2826</v>
      </c>
      <c r="B1528" s="102" t="s">
        <v>2827</v>
      </c>
      <c r="C1528" s="102" t="s">
        <v>54</v>
      </c>
      <c r="D1528" s="117" t="str">
        <f>IF(OR(Clientes[[#This Row],[Columna1]]="Pago inmediato",Clientes[[#This Row],[Columna1]]=""),0,SUBSTITUTE(Clientes[[#This Row],[Columna1]]," días",""))</f>
        <v>7</v>
      </c>
    </row>
    <row r="1529" ht="30" spans="1:4">
      <c r="A1529" s="102" t="s">
        <v>2826</v>
      </c>
      <c r="B1529" s="102" t="s">
        <v>2828</v>
      </c>
      <c r="C1529" s="102" t="s">
        <v>54</v>
      </c>
      <c r="D1529" s="117" t="str">
        <f>IF(OR(Clientes[[#This Row],[Columna1]]="Pago inmediato",Clientes[[#This Row],[Columna1]]=""),0,SUBSTITUTE(Clientes[[#This Row],[Columna1]]," días",""))</f>
        <v>7</v>
      </c>
    </row>
    <row r="1530" spans="1:4">
      <c r="A1530" s="102" t="s">
        <v>2829</v>
      </c>
      <c r="B1530" s="102" t="s">
        <v>2830</v>
      </c>
      <c r="C1530" s="102" t="s">
        <v>282</v>
      </c>
      <c r="D1530" s="117" t="str">
        <f>IF(OR(Clientes[[#This Row],[Columna1]]="Pago inmediato",Clientes[[#This Row],[Columna1]]=""),0,SUBSTITUTE(Clientes[[#This Row],[Columna1]]," días",""))</f>
        <v>10</v>
      </c>
    </row>
    <row r="1531" spans="1:4">
      <c r="A1531" s="102" t="s">
        <v>2831</v>
      </c>
      <c r="B1531" s="102" t="s">
        <v>2832</v>
      </c>
      <c r="C1531" s="102" t="s">
        <v>56</v>
      </c>
      <c r="D1531" s="117">
        <f>IF(OR(Clientes[[#This Row],[Columna1]]="Pago inmediato",Clientes[[#This Row],[Columna1]]=""),0,SUBSTITUTE(Clientes[[#This Row],[Columna1]]," días",""))</f>
        <v>0</v>
      </c>
    </row>
    <row r="1532" spans="1:4">
      <c r="A1532" s="102" t="s">
        <v>2833</v>
      </c>
      <c r="B1532" s="102" t="s">
        <v>2834</v>
      </c>
      <c r="C1532" s="102" t="s">
        <v>56</v>
      </c>
      <c r="D1532" s="117">
        <f>IF(OR(Clientes[[#This Row],[Columna1]]="Pago inmediato",Clientes[[#This Row],[Columna1]]=""),0,SUBSTITUTE(Clientes[[#This Row],[Columna1]]," días",""))</f>
        <v>0</v>
      </c>
    </row>
    <row r="1533" spans="1:4">
      <c r="A1533" s="102" t="s">
        <v>2835</v>
      </c>
      <c r="B1533" s="102" t="s">
        <v>2836</v>
      </c>
      <c r="C1533" s="102" t="s">
        <v>56</v>
      </c>
      <c r="D1533" s="117">
        <f>IF(OR(Clientes[[#This Row],[Columna1]]="Pago inmediato",Clientes[[#This Row],[Columna1]]=""),0,SUBSTITUTE(Clientes[[#This Row],[Columna1]]," días",""))</f>
        <v>0</v>
      </c>
    </row>
    <row r="1534" ht="30" spans="1:4">
      <c r="A1534" s="102" t="s">
        <v>2837</v>
      </c>
      <c r="B1534" s="102" t="s">
        <v>2838</v>
      </c>
      <c r="C1534" s="102" t="s">
        <v>56</v>
      </c>
      <c r="D1534" s="117">
        <f>IF(OR(Clientes[[#This Row],[Columna1]]="Pago inmediato",Clientes[[#This Row],[Columna1]]=""),0,SUBSTITUTE(Clientes[[#This Row],[Columna1]]," días",""))</f>
        <v>0</v>
      </c>
    </row>
    <row r="1535" ht="30" spans="1:4">
      <c r="A1535" s="102" t="s">
        <v>2839</v>
      </c>
      <c r="B1535" s="102" t="s">
        <v>2840</v>
      </c>
      <c r="C1535" s="102">
        <v>30</v>
      </c>
      <c r="D1535" s="117" t="str">
        <f>IF(OR(Clientes[[#This Row],[Columna1]]="Pago inmediato",Clientes[[#This Row],[Columna1]]=""),0,SUBSTITUTE(Clientes[[#This Row],[Columna1]]," días",""))</f>
        <v>30</v>
      </c>
    </row>
    <row r="1536" spans="1:4">
      <c r="A1536" s="102" t="s">
        <v>2841</v>
      </c>
      <c r="B1536" s="102" t="s">
        <v>2842</v>
      </c>
      <c r="C1536" s="102" t="s">
        <v>56</v>
      </c>
      <c r="D1536" s="117">
        <f>IF(OR(Clientes[[#This Row],[Columna1]]="Pago inmediato",Clientes[[#This Row],[Columna1]]=""),0,SUBSTITUTE(Clientes[[#This Row],[Columna1]]," días",""))</f>
        <v>0</v>
      </c>
    </row>
    <row r="1537" ht="30" spans="1:4">
      <c r="A1537" s="102" t="s">
        <v>2843</v>
      </c>
      <c r="B1537" s="102" t="s">
        <v>2844</v>
      </c>
      <c r="C1537" s="102" t="s">
        <v>56</v>
      </c>
      <c r="D1537" s="117">
        <f>IF(OR(Clientes[[#This Row],[Columna1]]="Pago inmediato",Clientes[[#This Row],[Columna1]]=""),0,SUBSTITUTE(Clientes[[#This Row],[Columna1]]," días",""))</f>
        <v>0</v>
      </c>
    </row>
    <row r="1538" ht="45" spans="1:4">
      <c r="A1538" s="102" t="s">
        <v>2845</v>
      </c>
      <c r="B1538" s="102" t="s">
        <v>2846</v>
      </c>
      <c r="C1538" s="102" t="s">
        <v>56</v>
      </c>
      <c r="D1538" s="117">
        <f>IF(OR(Clientes[[#This Row],[Columna1]]="Pago inmediato",Clientes[[#This Row],[Columna1]]=""),0,SUBSTITUTE(Clientes[[#This Row],[Columna1]]," días",""))</f>
        <v>0</v>
      </c>
    </row>
    <row r="1539" ht="30" spans="1:4">
      <c r="A1539" s="102" t="s">
        <v>2847</v>
      </c>
      <c r="B1539" s="102" t="s">
        <v>2848</v>
      </c>
      <c r="C1539" s="102" t="s">
        <v>56</v>
      </c>
      <c r="D1539" s="117">
        <f>IF(OR(Clientes[[#This Row],[Columna1]]="Pago inmediato",Clientes[[#This Row],[Columna1]]=""),0,SUBSTITUTE(Clientes[[#This Row],[Columna1]]," días",""))</f>
        <v>0</v>
      </c>
    </row>
    <row r="1540" ht="30" spans="1:4">
      <c r="A1540" s="102" t="s">
        <v>2849</v>
      </c>
      <c r="B1540" s="102" t="s">
        <v>2850</v>
      </c>
      <c r="C1540" s="102" t="s">
        <v>454</v>
      </c>
      <c r="D1540" s="117" t="str">
        <f>IF(OR(Clientes[[#This Row],[Columna1]]="Pago inmediato",Clientes[[#This Row],[Columna1]]=""),0,SUBSTITUTE(Clientes[[#This Row],[Columna1]]," días",""))</f>
        <v>21</v>
      </c>
    </row>
    <row r="1541" ht="30" spans="1:4">
      <c r="A1541" s="102" t="s">
        <v>2851</v>
      </c>
      <c r="B1541" s="102" t="s">
        <v>2852</v>
      </c>
      <c r="C1541" s="102" t="s">
        <v>54</v>
      </c>
      <c r="D1541" s="117" t="str">
        <f>IF(OR(Clientes[[#This Row],[Columna1]]="Pago inmediato",Clientes[[#This Row],[Columna1]]=""),0,SUBSTITUTE(Clientes[[#This Row],[Columna1]]," días",""))</f>
        <v>7</v>
      </c>
    </row>
    <row r="1542" ht="45" spans="1:4">
      <c r="A1542" s="102" t="s">
        <v>2853</v>
      </c>
      <c r="B1542" s="102" t="s">
        <v>2854</v>
      </c>
      <c r="C1542" s="102" t="s">
        <v>56</v>
      </c>
      <c r="D1542" s="117">
        <f>IF(OR(Clientes[[#This Row],[Columna1]]="Pago inmediato",Clientes[[#This Row],[Columna1]]=""),0,SUBSTITUTE(Clientes[[#This Row],[Columna1]]," días",""))</f>
        <v>0</v>
      </c>
    </row>
    <row r="1543" spans="1:4">
      <c r="A1543" s="102" t="s">
        <v>2855</v>
      </c>
      <c r="B1543" s="102" t="s">
        <v>2856</v>
      </c>
      <c r="C1543" s="102" t="s">
        <v>56</v>
      </c>
      <c r="D1543" s="117">
        <f>IF(OR(Clientes[[#This Row],[Columna1]]="Pago inmediato",Clientes[[#This Row],[Columna1]]=""),0,SUBSTITUTE(Clientes[[#This Row],[Columna1]]," días",""))</f>
        <v>0</v>
      </c>
    </row>
    <row r="1544" spans="1:4">
      <c r="A1544" s="102" t="s">
        <v>2857</v>
      </c>
      <c r="B1544" s="102" t="s">
        <v>2858</v>
      </c>
      <c r="C1544" s="102" t="s">
        <v>56</v>
      </c>
      <c r="D1544" s="117">
        <f>IF(OR(Clientes[[#This Row],[Columna1]]="Pago inmediato",Clientes[[#This Row],[Columna1]]=""),0,SUBSTITUTE(Clientes[[#This Row],[Columna1]]," días",""))</f>
        <v>0</v>
      </c>
    </row>
    <row r="1545" ht="30" spans="1:4">
      <c r="A1545" s="102" t="s">
        <v>2859</v>
      </c>
      <c r="B1545" s="102" t="s">
        <v>2860</v>
      </c>
      <c r="C1545" s="102" t="s">
        <v>56</v>
      </c>
      <c r="D1545" s="117">
        <f>IF(OR(Clientes[[#This Row],[Columna1]]="Pago inmediato",Clientes[[#This Row],[Columna1]]=""),0,SUBSTITUTE(Clientes[[#This Row],[Columna1]]," días",""))</f>
        <v>0</v>
      </c>
    </row>
    <row r="1546" ht="30" spans="1:4">
      <c r="A1546" s="102" t="s">
        <v>2861</v>
      </c>
      <c r="B1546" s="102" t="s">
        <v>2862</v>
      </c>
      <c r="C1546" s="102" t="s">
        <v>56</v>
      </c>
      <c r="D1546" s="117">
        <f>IF(OR(Clientes[[#This Row],[Columna1]]="Pago inmediato",Clientes[[#This Row],[Columna1]]=""),0,SUBSTITUTE(Clientes[[#This Row],[Columna1]]," días",""))</f>
        <v>0</v>
      </c>
    </row>
    <row r="1547" ht="30" spans="1:4">
      <c r="A1547" s="102" t="s">
        <v>2863</v>
      </c>
      <c r="B1547" s="102" t="s">
        <v>2864</v>
      </c>
      <c r="C1547" s="102">
        <v>30</v>
      </c>
      <c r="D1547" s="117" t="str">
        <f>IF(OR(Clientes[[#This Row],[Columna1]]="Pago inmediato",Clientes[[#This Row],[Columna1]]=""),0,SUBSTITUTE(Clientes[[#This Row],[Columna1]]," días",""))</f>
        <v>30</v>
      </c>
    </row>
    <row r="1548" spans="1:4">
      <c r="A1548" s="102" t="s">
        <v>2865</v>
      </c>
      <c r="B1548" s="102" t="s">
        <v>2866</v>
      </c>
      <c r="C1548" s="102" t="s">
        <v>56</v>
      </c>
      <c r="D1548" s="117">
        <f>IF(OR(Clientes[[#This Row],[Columna1]]="Pago inmediato",Clientes[[#This Row],[Columna1]]=""),0,SUBSTITUTE(Clientes[[#This Row],[Columna1]]," días",""))</f>
        <v>0</v>
      </c>
    </row>
    <row r="1549" ht="60" spans="1:4">
      <c r="A1549" s="102" t="s">
        <v>2867</v>
      </c>
      <c r="B1549" s="102" t="s">
        <v>2868</v>
      </c>
      <c r="C1549" s="102" t="s">
        <v>56</v>
      </c>
      <c r="D1549" s="117">
        <v>30</v>
      </c>
    </row>
    <row r="1550" ht="30" spans="1:4">
      <c r="A1550" s="102" t="s">
        <v>2869</v>
      </c>
      <c r="B1550" s="102" t="s">
        <v>2870</v>
      </c>
      <c r="C1550" s="102" t="s">
        <v>56</v>
      </c>
      <c r="D1550" s="117">
        <f>IF(OR(Clientes[[#This Row],[Columna1]]="Pago inmediato",Clientes[[#This Row],[Columna1]]=""),0,SUBSTITUTE(Clientes[[#This Row],[Columna1]]," días",""))</f>
        <v>0</v>
      </c>
    </row>
    <row r="1551" ht="30" spans="1:4">
      <c r="A1551" s="102" t="s">
        <v>2871</v>
      </c>
      <c r="B1551" s="102" t="s">
        <v>2872</v>
      </c>
      <c r="C1551" s="102" t="s">
        <v>56</v>
      </c>
      <c r="D1551" s="117">
        <f>IF(OR(Clientes[[#This Row],[Columna1]]="Pago inmediato",Clientes[[#This Row],[Columna1]]=""),0,SUBSTITUTE(Clientes[[#This Row],[Columna1]]," días",""))</f>
        <v>0</v>
      </c>
    </row>
    <row r="1552" ht="30" spans="1:4">
      <c r="A1552" s="102" t="s">
        <v>2873</v>
      </c>
      <c r="B1552" s="102" t="s">
        <v>2874</v>
      </c>
      <c r="C1552" s="102" t="s">
        <v>56</v>
      </c>
      <c r="D1552" s="117">
        <f>IF(OR(Clientes[[#This Row],[Columna1]]="Pago inmediato",Clientes[[#This Row],[Columna1]]=""),0,SUBSTITUTE(Clientes[[#This Row],[Columna1]]," días",""))</f>
        <v>0</v>
      </c>
    </row>
    <row r="1553" ht="30" spans="1:4">
      <c r="A1553" s="102" t="s">
        <v>2875</v>
      </c>
      <c r="B1553" s="102" t="s">
        <v>2876</v>
      </c>
      <c r="C1553" s="102" t="s">
        <v>56</v>
      </c>
      <c r="D1553" s="117">
        <f>IF(OR(Clientes[[#This Row],[Columna1]]="Pago inmediato",Clientes[[#This Row],[Columna1]]=""),0,SUBSTITUTE(Clientes[[#This Row],[Columna1]]," días",""))</f>
        <v>0</v>
      </c>
    </row>
    <row r="1554" ht="30" spans="1:4">
      <c r="A1554" s="102" t="s">
        <v>2877</v>
      </c>
      <c r="B1554" s="102" t="s">
        <v>2878</v>
      </c>
      <c r="C1554" s="102" t="s">
        <v>56</v>
      </c>
      <c r="D1554" s="117">
        <f>IF(OR(Clientes[[#This Row],[Columna1]]="Pago inmediato",Clientes[[#This Row],[Columna1]]=""),0,SUBSTITUTE(Clientes[[#This Row],[Columna1]]," días",""))</f>
        <v>0</v>
      </c>
    </row>
    <row r="1555" ht="30" spans="1:4">
      <c r="A1555" s="102" t="s">
        <v>2879</v>
      </c>
      <c r="B1555" s="102" t="s">
        <v>2880</v>
      </c>
      <c r="C1555" s="102" t="s">
        <v>56</v>
      </c>
      <c r="D1555" s="117">
        <f>IF(OR(Clientes[[#This Row],[Columna1]]="Pago inmediato",Clientes[[#This Row],[Columna1]]=""),0,SUBSTITUTE(Clientes[[#This Row],[Columna1]]," días",""))</f>
        <v>0</v>
      </c>
    </row>
    <row r="1556" spans="1:4">
      <c r="A1556" s="102" t="s">
        <v>2881</v>
      </c>
      <c r="B1556" s="102" t="s">
        <v>2882</v>
      </c>
      <c r="C1556" s="102" t="s">
        <v>56</v>
      </c>
      <c r="D1556" s="117">
        <f>IF(OR(Clientes[[#This Row],[Columna1]]="Pago inmediato",Clientes[[#This Row],[Columna1]]=""),0,SUBSTITUTE(Clientes[[#This Row],[Columna1]]," días",""))</f>
        <v>0</v>
      </c>
    </row>
    <row r="1557" ht="30" spans="1:4">
      <c r="A1557" s="102" t="s">
        <v>2883</v>
      </c>
      <c r="B1557" s="102" t="s">
        <v>2884</v>
      </c>
      <c r="C1557" s="102" t="s">
        <v>56</v>
      </c>
      <c r="D1557" s="117">
        <f>IF(OR(Clientes[[#This Row],[Columna1]]="Pago inmediato",Clientes[[#This Row],[Columna1]]=""),0,SUBSTITUTE(Clientes[[#This Row],[Columna1]]," días",""))</f>
        <v>0</v>
      </c>
    </row>
    <row r="1558" spans="1:4">
      <c r="A1558" s="102" t="s">
        <v>2885</v>
      </c>
      <c r="B1558" s="102" t="s">
        <v>2886</v>
      </c>
      <c r="C1558" s="102" t="s">
        <v>56</v>
      </c>
      <c r="D1558" s="117">
        <f>IF(OR(Clientes[[#This Row],[Columna1]]="Pago inmediato",Clientes[[#This Row],[Columna1]]=""),0,SUBSTITUTE(Clientes[[#This Row],[Columna1]]," días",""))</f>
        <v>0</v>
      </c>
    </row>
    <row r="1559" ht="30" spans="1:4">
      <c r="A1559" s="102" t="s">
        <v>2887</v>
      </c>
      <c r="B1559" s="102" t="s">
        <v>2888</v>
      </c>
      <c r="C1559" s="102" t="s">
        <v>56</v>
      </c>
      <c r="D1559" s="117">
        <f>IF(OR(Clientes[[#This Row],[Columna1]]="Pago inmediato",Clientes[[#This Row],[Columna1]]=""),0,SUBSTITUTE(Clientes[[#This Row],[Columna1]]," días",""))</f>
        <v>0</v>
      </c>
    </row>
    <row r="1560" ht="30" spans="1:4">
      <c r="A1560" s="102" t="s">
        <v>2889</v>
      </c>
      <c r="B1560" s="102" t="s">
        <v>2890</v>
      </c>
      <c r="C1560" s="102" t="s">
        <v>56</v>
      </c>
      <c r="D1560" s="117">
        <f>IF(OR(Clientes[[#This Row],[Columna1]]="Pago inmediato",Clientes[[#This Row],[Columna1]]=""),0,SUBSTITUTE(Clientes[[#This Row],[Columna1]]," días",""))</f>
        <v>0</v>
      </c>
    </row>
    <row r="1561" spans="1:4">
      <c r="A1561" s="102" t="s">
        <v>2891</v>
      </c>
      <c r="B1561" s="102" t="s">
        <v>2892</v>
      </c>
      <c r="C1561" s="102" t="s">
        <v>56</v>
      </c>
      <c r="D1561" s="117">
        <f>IF(OR(Clientes[[#This Row],[Columna1]]="Pago inmediato",Clientes[[#This Row],[Columna1]]=""),0,SUBSTITUTE(Clientes[[#This Row],[Columna1]]," días",""))</f>
        <v>0</v>
      </c>
    </row>
    <row r="1562" ht="30" spans="1:4">
      <c r="A1562" s="102" t="s">
        <v>2891</v>
      </c>
      <c r="B1562" s="102" t="s">
        <v>2893</v>
      </c>
      <c r="C1562" s="102" t="s">
        <v>56</v>
      </c>
      <c r="D1562" s="117">
        <f>IF(OR(Clientes[[#This Row],[Columna1]]="Pago inmediato",Clientes[[#This Row],[Columna1]]=""),0,SUBSTITUTE(Clientes[[#This Row],[Columna1]]," días",""))</f>
        <v>0</v>
      </c>
    </row>
    <row r="1563" ht="30" spans="1:4">
      <c r="A1563" s="102" t="s">
        <v>2894</v>
      </c>
      <c r="B1563" s="102" t="s">
        <v>2895</v>
      </c>
      <c r="C1563" s="102" t="s">
        <v>56</v>
      </c>
      <c r="D1563" s="117">
        <f>IF(OR(Clientes[[#This Row],[Columna1]]="Pago inmediato",Clientes[[#This Row],[Columna1]]=""),0,SUBSTITUTE(Clientes[[#This Row],[Columna1]]," días",""))</f>
        <v>0</v>
      </c>
    </row>
    <row r="1564" ht="30" spans="1:4">
      <c r="A1564" s="102" t="s">
        <v>2896</v>
      </c>
      <c r="B1564" s="102" t="s">
        <v>2897</v>
      </c>
      <c r="C1564" s="102" t="s">
        <v>56</v>
      </c>
      <c r="D1564" s="117">
        <f>IF(OR(Clientes[[#This Row],[Columna1]]="Pago inmediato",Clientes[[#This Row],[Columna1]]=""),0,SUBSTITUTE(Clientes[[#This Row],[Columna1]]," días",""))</f>
        <v>0</v>
      </c>
    </row>
    <row r="1565" ht="45" spans="1:4">
      <c r="A1565" s="102" t="s">
        <v>2898</v>
      </c>
      <c r="B1565" s="102" t="s">
        <v>2899</v>
      </c>
      <c r="C1565" s="102" t="s">
        <v>56</v>
      </c>
      <c r="D1565" s="117">
        <f>IF(OR(Clientes[[#This Row],[Columna1]]="Pago inmediato",Clientes[[#This Row],[Columna1]]=""),0,SUBSTITUTE(Clientes[[#This Row],[Columna1]]," días",""))</f>
        <v>0</v>
      </c>
    </row>
    <row r="1566" spans="1:4">
      <c r="A1566" s="102" t="s">
        <v>2900</v>
      </c>
      <c r="B1566" s="102" t="s">
        <v>2901</v>
      </c>
      <c r="C1566" s="102" t="s">
        <v>56</v>
      </c>
      <c r="D1566" s="117">
        <f>IF(OR(Clientes[[#This Row],[Columna1]]="Pago inmediato",Clientes[[#This Row],[Columna1]]=""),0,SUBSTITUTE(Clientes[[#This Row],[Columna1]]," días",""))</f>
        <v>0</v>
      </c>
    </row>
    <row r="1567" ht="60" spans="1:4">
      <c r="A1567" s="102" t="s">
        <v>2902</v>
      </c>
      <c r="B1567" s="102" t="s">
        <v>2903</v>
      </c>
      <c r="C1567" s="102" t="s">
        <v>56</v>
      </c>
      <c r="D1567" s="117">
        <f>IF(OR(Clientes[[#This Row],[Columna1]]="Pago inmediato",Clientes[[#This Row],[Columna1]]=""),0,SUBSTITUTE(Clientes[[#This Row],[Columna1]]," días",""))</f>
        <v>0</v>
      </c>
    </row>
    <row r="1568" ht="45" spans="1:4">
      <c r="A1568" s="102" t="s">
        <v>2904</v>
      </c>
      <c r="B1568" s="102" t="s">
        <v>2905</v>
      </c>
      <c r="C1568" s="102" t="s">
        <v>56</v>
      </c>
      <c r="D1568" s="117">
        <f>IF(OR(Clientes[[#This Row],[Columna1]]="Pago inmediato",Clientes[[#This Row],[Columna1]]=""),0,SUBSTITUTE(Clientes[[#This Row],[Columna1]]," días",""))</f>
        <v>0</v>
      </c>
    </row>
    <row r="1569" ht="45" spans="1:4">
      <c r="A1569" s="102" t="s">
        <v>2906</v>
      </c>
      <c r="B1569" s="102" t="s">
        <v>2907</v>
      </c>
      <c r="C1569" s="102" t="s">
        <v>56</v>
      </c>
      <c r="D1569" s="117">
        <f>IF(OR(Clientes[[#This Row],[Columna1]]="Pago inmediato",Clientes[[#This Row],[Columna1]]=""),0,SUBSTITUTE(Clientes[[#This Row],[Columna1]]," días",""))</f>
        <v>0</v>
      </c>
    </row>
    <row r="1570" ht="30" spans="1:4">
      <c r="A1570" s="102" t="s">
        <v>2908</v>
      </c>
      <c r="B1570" s="102" t="s">
        <v>2909</v>
      </c>
      <c r="C1570" s="102" t="s">
        <v>56</v>
      </c>
      <c r="D1570" s="117">
        <f>IF(OR(Clientes[[#This Row],[Columna1]]="Pago inmediato",Clientes[[#This Row],[Columna1]]=""),0,SUBSTITUTE(Clientes[[#This Row],[Columna1]]," días",""))</f>
        <v>0</v>
      </c>
    </row>
    <row r="1571" ht="30" spans="1:4">
      <c r="A1571" s="102" t="s">
        <v>2910</v>
      </c>
      <c r="B1571" s="102" t="s">
        <v>2911</v>
      </c>
      <c r="C1571" s="102" t="s">
        <v>56</v>
      </c>
      <c r="D1571" s="117">
        <f>IF(OR(Clientes[[#This Row],[Columna1]]="Pago inmediato",Clientes[[#This Row],[Columna1]]=""),0,SUBSTITUTE(Clientes[[#This Row],[Columna1]]," días",""))</f>
        <v>0</v>
      </c>
    </row>
    <row r="1572" ht="30" spans="1:4">
      <c r="A1572" s="102" t="s">
        <v>2912</v>
      </c>
      <c r="B1572" s="102" t="s">
        <v>2913</v>
      </c>
      <c r="C1572" s="102" t="s">
        <v>56</v>
      </c>
      <c r="D1572" s="117">
        <f>IF(OR(Clientes[[#This Row],[Columna1]]="Pago inmediato",Clientes[[#This Row],[Columna1]]=""),0,SUBSTITUTE(Clientes[[#This Row],[Columna1]]," días",""))</f>
        <v>0</v>
      </c>
    </row>
    <row r="1573" spans="1:4">
      <c r="A1573" s="102" t="s">
        <v>2914</v>
      </c>
      <c r="B1573" s="102" t="s">
        <v>2915</v>
      </c>
      <c r="C1573" s="102" t="s">
        <v>56</v>
      </c>
      <c r="D1573" s="117">
        <f>IF(OR(Clientes[[#This Row],[Columna1]]="Pago inmediato",Clientes[[#This Row],[Columna1]]=""),0,SUBSTITUTE(Clientes[[#This Row],[Columna1]]," días",""))</f>
        <v>0</v>
      </c>
    </row>
    <row r="1574" ht="30" spans="1:4">
      <c r="A1574" s="102" t="s">
        <v>2914</v>
      </c>
      <c r="B1574" s="102" t="s">
        <v>2916</v>
      </c>
      <c r="C1574" s="102" t="s">
        <v>56</v>
      </c>
      <c r="D1574" s="117">
        <f>IF(OR(Clientes[[#This Row],[Columna1]]="Pago inmediato",Clientes[[#This Row],[Columna1]]=""),0,SUBSTITUTE(Clientes[[#This Row],[Columna1]]," días",""))</f>
        <v>0</v>
      </c>
    </row>
    <row r="1575" ht="45" spans="1:4">
      <c r="A1575" s="102" t="s">
        <v>2917</v>
      </c>
      <c r="B1575" s="102" t="s">
        <v>2918</v>
      </c>
      <c r="C1575" s="102" t="s">
        <v>56</v>
      </c>
      <c r="D1575" s="117">
        <f>IF(OR(Clientes[[#This Row],[Columna1]]="Pago inmediato",Clientes[[#This Row],[Columna1]]=""),0,SUBSTITUTE(Clientes[[#This Row],[Columna1]]," días",""))</f>
        <v>0</v>
      </c>
    </row>
    <row r="1576" ht="30" spans="1:4">
      <c r="A1576" s="102" t="s">
        <v>2919</v>
      </c>
      <c r="B1576" s="102" t="s">
        <v>2920</v>
      </c>
      <c r="C1576" s="102" t="s">
        <v>56</v>
      </c>
      <c r="D1576" s="117">
        <f>IF(OR(Clientes[[#This Row],[Columna1]]="Pago inmediato",Clientes[[#This Row],[Columna1]]=""),0,SUBSTITUTE(Clientes[[#This Row],[Columna1]]," días",""))</f>
        <v>0</v>
      </c>
    </row>
    <row r="1577" spans="1:4">
      <c r="A1577" s="102" t="s">
        <v>2921</v>
      </c>
      <c r="B1577" s="102" t="s">
        <v>2922</v>
      </c>
      <c r="C1577" s="102" t="s">
        <v>56</v>
      </c>
      <c r="D1577" s="117">
        <f>IF(OR(Clientes[[#This Row],[Columna1]]="Pago inmediato",Clientes[[#This Row],[Columna1]]=""),0,SUBSTITUTE(Clientes[[#This Row],[Columna1]]," días",""))</f>
        <v>0</v>
      </c>
    </row>
    <row r="1578" spans="1:4">
      <c r="A1578" s="102" t="s">
        <v>2923</v>
      </c>
      <c r="B1578" s="102" t="s">
        <v>2924</v>
      </c>
      <c r="C1578" s="102" t="s">
        <v>56</v>
      </c>
      <c r="D1578" s="117">
        <f>IF(OR(Clientes[[#This Row],[Columna1]]="Pago inmediato",Clientes[[#This Row],[Columna1]]=""),0,SUBSTITUTE(Clientes[[#This Row],[Columna1]]," días",""))</f>
        <v>0</v>
      </c>
    </row>
    <row r="1579" ht="30" spans="1:4">
      <c r="A1579" s="102" t="s">
        <v>2925</v>
      </c>
      <c r="B1579" s="102" t="s">
        <v>2926</v>
      </c>
      <c r="C1579" s="102" t="s">
        <v>56</v>
      </c>
      <c r="D1579" s="117">
        <f>IF(OR(Clientes[[#This Row],[Columna1]]="Pago inmediato",Clientes[[#This Row],[Columna1]]=""),0,SUBSTITUTE(Clientes[[#This Row],[Columna1]]," días",""))</f>
        <v>0</v>
      </c>
    </row>
    <row r="1580" ht="45" spans="1:4">
      <c r="A1580" s="102" t="s">
        <v>2927</v>
      </c>
      <c r="B1580" s="102" t="s">
        <v>2928</v>
      </c>
      <c r="C1580" s="102" t="s">
        <v>56</v>
      </c>
      <c r="D1580" s="117">
        <f>IF(OR(Clientes[[#This Row],[Columna1]]="Pago inmediato",Clientes[[#This Row],[Columna1]]=""),0,SUBSTITUTE(Clientes[[#This Row],[Columna1]]," días",""))</f>
        <v>0</v>
      </c>
    </row>
    <row r="1581" spans="1:4">
      <c r="A1581" s="102" t="s">
        <v>2929</v>
      </c>
      <c r="B1581" s="102" t="s">
        <v>2930</v>
      </c>
      <c r="C1581" s="102" t="s">
        <v>56</v>
      </c>
      <c r="D1581" s="117">
        <f>IF(OR(Clientes[[#This Row],[Columna1]]="Pago inmediato",Clientes[[#This Row],[Columna1]]=""),0,SUBSTITUTE(Clientes[[#This Row],[Columna1]]," días",""))</f>
        <v>0</v>
      </c>
    </row>
    <row r="1582" ht="30" spans="1:4">
      <c r="A1582" s="102" t="s">
        <v>2929</v>
      </c>
      <c r="B1582" s="102" t="s">
        <v>2931</v>
      </c>
      <c r="C1582" s="102" t="s">
        <v>56</v>
      </c>
      <c r="D1582" s="117">
        <f>IF(OR(Clientes[[#This Row],[Columna1]]="Pago inmediato",Clientes[[#This Row],[Columna1]]=""),0,SUBSTITUTE(Clientes[[#This Row],[Columna1]]," días",""))</f>
        <v>0</v>
      </c>
    </row>
    <row r="1583" spans="1:4">
      <c r="A1583" s="102" t="s">
        <v>2932</v>
      </c>
      <c r="B1583" s="102" t="s">
        <v>2933</v>
      </c>
      <c r="C1583" s="102" t="s">
        <v>56</v>
      </c>
      <c r="D1583" s="117">
        <f>IF(OR(Clientes[[#This Row],[Columna1]]="Pago inmediato",Clientes[[#This Row],[Columna1]]=""),0,SUBSTITUTE(Clientes[[#This Row],[Columna1]]," días",""))</f>
        <v>0</v>
      </c>
    </row>
    <row r="1584" ht="30" spans="1:4">
      <c r="A1584" s="102" t="s">
        <v>2934</v>
      </c>
      <c r="B1584" s="102" t="s">
        <v>2935</v>
      </c>
      <c r="C1584" s="102" t="s">
        <v>454</v>
      </c>
      <c r="D1584" s="117" t="str">
        <f>IF(OR(Clientes[[#This Row],[Columna1]]="Pago inmediato",Clientes[[#This Row],[Columna1]]=""),0,SUBSTITUTE(Clientes[[#This Row],[Columna1]]," días",""))</f>
        <v>21</v>
      </c>
    </row>
    <row r="1585" ht="45" spans="1:4">
      <c r="A1585" s="102" t="s">
        <v>2936</v>
      </c>
      <c r="B1585" s="102" t="s">
        <v>2937</v>
      </c>
      <c r="C1585" s="102" t="s">
        <v>56</v>
      </c>
      <c r="D1585" s="117">
        <f>IF(OR(Clientes[[#This Row],[Columna1]]="Pago inmediato",Clientes[[#This Row],[Columna1]]=""),0,SUBSTITUTE(Clientes[[#This Row],[Columna1]]," días",""))</f>
        <v>0</v>
      </c>
    </row>
    <row r="1586" spans="1:4">
      <c r="A1586" s="102" t="s">
        <v>2938</v>
      </c>
      <c r="B1586" s="102" t="s">
        <v>2939</v>
      </c>
      <c r="C1586" s="102" t="s">
        <v>56</v>
      </c>
      <c r="D1586" s="117">
        <f>IF(OR(Clientes[[#This Row],[Columna1]]="Pago inmediato",Clientes[[#This Row],[Columna1]]=""),0,SUBSTITUTE(Clientes[[#This Row],[Columna1]]," días",""))</f>
        <v>0</v>
      </c>
    </row>
    <row r="1587" spans="1:4">
      <c r="A1587" s="102" t="s">
        <v>2940</v>
      </c>
      <c r="B1587" s="102" t="s">
        <v>2941</v>
      </c>
      <c r="C1587" s="102" t="s">
        <v>56</v>
      </c>
      <c r="D1587" s="117">
        <f>IF(OR(Clientes[[#This Row],[Columna1]]="Pago inmediato",Clientes[[#This Row],[Columna1]]=""),0,SUBSTITUTE(Clientes[[#This Row],[Columna1]]," días",""))</f>
        <v>0</v>
      </c>
    </row>
    <row r="1588" ht="30" spans="1:4">
      <c r="A1588" s="102" t="s">
        <v>2940</v>
      </c>
      <c r="B1588" s="102" t="s">
        <v>2942</v>
      </c>
      <c r="C1588" s="102" t="s">
        <v>56</v>
      </c>
      <c r="D1588" s="117">
        <f>IF(OR(Clientes[[#This Row],[Columna1]]="Pago inmediato",Clientes[[#This Row],[Columna1]]=""),0,SUBSTITUTE(Clientes[[#This Row],[Columna1]]," días",""))</f>
        <v>0</v>
      </c>
    </row>
    <row r="1589" spans="1:4">
      <c r="A1589" s="102"/>
      <c r="B1589" s="102" t="s">
        <v>2943</v>
      </c>
      <c r="C1589" s="102" t="s">
        <v>56</v>
      </c>
      <c r="D1589" s="117">
        <f>IF(OR(Clientes[[#This Row],[Columna1]]="Pago inmediato",Clientes[[#This Row],[Columna1]]=""),0,SUBSTITUTE(Clientes[[#This Row],[Columna1]]," días",""))</f>
        <v>0</v>
      </c>
    </row>
    <row r="1590" spans="1:4">
      <c r="A1590" s="102" t="s">
        <v>2944</v>
      </c>
      <c r="B1590" s="102" t="s">
        <v>2945</v>
      </c>
      <c r="C1590" s="102" t="s">
        <v>56</v>
      </c>
      <c r="D1590" s="117">
        <f>IF(OR(Clientes[[#This Row],[Columna1]]="Pago inmediato",Clientes[[#This Row],[Columna1]]=""),0,SUBSTITUTE(Clientes[[#This Row],[Columna1]]," días",""))</f>
        <v>0</v>
      </c>
    </row>
    <row r="1591" ht="30" spans="1:4">
      <c r="A1591" s="102" t="s">
        <v>2946</v>
      </c>
      <c r="B1591" s="102" t="s">
        <v>2947</v>
      </c>
      <c r="C1591" s="102" t="s">
        <v>56</v>
      </c>
      <c r="D1591" s="117">
        <f>IF(OR(Clientes[[#This Row],[Columna1]]="Pago inmediato",Clientes[[#This Row],[Columna1]]=""),0,SUBSTITUTE(Clientes[[#This Row],[Columna1]]," días",""))</f>
        <v>0</v>
      </c>
    </row>
    <row r="1592" spans="1:4">
      <c r="A1592" s="102" t="s">
        <v>2948</v>
      </c>
      <c r="B1592" s="102" t="s">
        <v>2949</v>
      </c>
      <c r="C1592" s="102" t="s">
        <v>56</v>
      </c>
      <c r="D1592" s="117">
        <f>IF(OR(Clientes[[#This Row],[Columna1]]="Pago inmediato",Clientes[[#This Row],[Columna1]]=""),0,SUBSTITUTE(Clientes[[#This Row],[Columna1]]," días",""))</f>
        <v>0</v>
      </c>
    </row>
    <row r="1593" ht="30" spans="1:4">
      <c r="A1593" s="102" t="s">
        <v>2950</v>
      </c>
      <c r="B1593" s="102" t="s">
        <v>2951</v>
      </c>
      <c r="C1593" s="102" t="s">
        <v>56</v>
      </c>
      <c r="D1593" s="117">
        <f>IF(OR(Clientes[[#This Row],[Columna1]]="Pago inmediato",Clientes[[#This Row],[Columna1]]=""),0,SUBSTITUTE(Clientes[[#This Row],[Columna1]]," días",""))</f>
        <v>0</v>
      </c>
    </row>
    <row r="1594" ht="30" spans="1:4">
      <c r="A1594" s="102" t="s">
        <v>2952</v>
      </c>
      <c r="B1594" s="102" t="s">
        <v>2953</v>
      </c>
      <c r="C1594" s="102" t="s">
        <v>56</v>
      </c>
      <c r="D1594" s="117">
        <f>IF(OR(Clientes[[#This Row],[Columna1]]="Pago inmediato",Clientes[[#This Row],[Columna1]]=""),0,SUBSTITUTE(Clientes[[#This Row],[Columna1]]," días",""))</f>
        <v>0</v>
      </c>
    </row>
    <row r="1595" ht="45" spans="1:4">
      <c r="A1595" s="102" t="s">
        <v>2954</v>
      </c>
      <c r="B1595" s="102" t="s">
        <v>2955</v>
      </c>
      <c r="C1595" s="102" t="s">
        <v>56</v>
      </c>
      <c r="D1595" s="117">
        <f>IF(OR(Clientes[[#This Row],[Columna1]]="Pago inmediato",Clientes[[#This Row],[Columna1]]=""),0,SUBSTITUTE(Clientes[[#This Row],[Columna1]]," días",""))</f>
        <v>0</v>
      </c>
    </row>
    <row r="1596" ht="30" spans="1:4">
      <c r="A1596" s="102" t="s">
        <v>2956</v>
      </c>
      <c r="B1596" s="102" t="s">
        <v>2957</v>
      </c>
      <c r="C1596" s="102" t="s">
        <v>56</v>
      </c>
      <c r="D1596" s="117">
        <f>IF(OR(Clientes[[#This Row],[Columna1]]="Pago inmediato",Clientes[[#This Row],[Columna1]]=""),0,SUBSTITUTE(Clientes[[#This Row],[Columna1]]," días",""))</f>
        <v>0</v>
      </c>
    </row>
    <row r="1597" ht="30" spans="1:4">
      <c r="A1597" s="102" t="s">
        <v>2958</v>
      </c>
      <c r="B1597" s="102" t="s">
        <v>2959</v>
      </c>
      <c r="C1597" s="102" t="s">
        <v>454</v>
      </c>
      <c r="D1597" s="117" t="str">
        <f>IF(OR(Clientes[[#This Row],[Columna1]]="Pago inmediato",Clientes[[#This Row],[Columna1]]=""),0,SUBSTITUTE(Clientes[[#This Row],[Columna1]]," días",""))</f>
        <v>21</v>
      </c>
    </row>
    <row r="1598" ht="30" spans="1:4">
      <c r="A1598" s="102" t="s">
        <v>2960</v>
      </c>
      <c r="B1598" s="102" t="s">
        <v>2961</v>
      </c>
      <c r="C1598" s="102" t="s">
        <v>54</v>
      </c>
      <c r="D1598" s="117" t="str">
        <f>IF(OR(Clientes[[#This Row],[Columna1]]="Pago inmediato",Clientes[[#This Row],[Columna1]]=""),0,SUBSTITUTE(Clientes[[#This Row],[Columna1]]," días",""))</f>
        <v>7</v>
      </c>
    </row>
    <row r="1599" ht="30" spans="1:4">
      <c r="A1599" s="102" t="s">
        <v>2962</v>
      </c>
      <c r="B1599" s="102" t="s">
        <v>2963</v>
      </c>
      <c r="C1599" s="102" t="s">
        <v>56</v>
      </c>
      <c r="D1599" s="117">
        <f>IF(OR(Clientes[[#This Row],[Columna1]]="Pago inmediato",Clientes[[#This Row],[Columna1]]=""),0,SUBSTITUTE(Clientes[[#This Row],[Columna1]]," días",""))</f>
        <v>0</v>
      </c>
    </row>
    <row r="1600" ht="30" spans="1:4">
      <c r="A1600" s="102" t="s">
        <v>2964</v>
      </c>
      <c r="B1600" s="102" t="s">
        <v>2965</v>
      </c>
      <c r="C1600" s="102" t="s">
        <v>56</v>
      </c>
      <c r="D1600" s="117">
        <f>IF(OR(Clientes[[#This Row],[Columna1]]="Pago inmediato",Clientes[[#This Row],[Columna1]]=""),0,SUBSTITUTE(Clientes[[#This Row],[Columna1]]," días",""))</f>
        <v>0</v>
      </c>
    </row>
    <row r="1601" ht="30" spans="1:4">
      <c r="A1601" s="102" t="s">
        <v>2966</v>
      </c>
      <c r="B1601" s="102" t="s">
        <v>2967</v>
      </c>
      <c r="C1601" s="102" t="s">
        <v>56</v>
      </c>
      <c r="D1601" s="117">
        <f>IF(OR(Clientes[[#This Row],[Columna1]]="Pago inmediato",Clientes[[#This Row],[Columna1]]=""),0,SUBSTITUTE(Clientes[[#This Row],[Columna1]]," días",""))</f>
        <v>0</v>
      </c>
    </row>
    <row r="1602" ht="30" spans="1:4">
      <c r="A1602" s="102" t="s">
        <v>2968</v>
      </c>
      <c r="B1602" s="102" t="s">
        <v>2969</v>
      </c>
      <c r="C1602" s="102" t="s">
        <v>56</v>
      </c>
      <c r="D1602" s="117">
        <f>IF(OR(Clientes[[#This Row],[Columna1]]="Pago inmediato",Clientes[[#This Row],[Columna1]]=""),0,SUBSTITUTE(Clientes[[#This Row],[Columna1]]," días",""))</f>
        <v>0</v>
      </c>
    </row>
    <row r="1603" ht="30" spans="1:4">
      <c r="A1603" s="102" t="s">
        <v>2970</v>
      </c>
      <c r="B1603" s="102" t="s">
        <v>2971</v>
      </c>
      <c r="C1603" s="102" t="s">
        <v>56</v>
      </c>
      <c r="D1603" s="117">
        <f>IF(OR(Clientes[[#This Row],[Columna1]]="Pago inmediato",Clientes[[#This Row],[Columna1]]=""),0,SUBSTITUTE(Clientes[[#This Row],[Columna1]]," días",""))</f>
        <v>0</v>
      </c>
    </row>
    <row r="1604" ht="45" spans="1:4">
      <c r="A1604" s="102" t="s">
        <v>2970</v>
      </c>
      <c r="B1604" s="102" t="s">
        <v>2972</v>
      </c>
      <c r="C1604" s="102" t="s">
        <v>56</v>
      </c>
      <c r="D1604" s="117">
        <f>IF(OR(Clientes[[#This Row],[Columna1]]="Pago inmediato",Clientes[[#This Row],[Columna1]]=""),0,SUBSTITUTE(Clientes[[#This Row],[Columna1]]," días",""))</f>
        <v>0</v>
      </c>
    </row>
    <row r="1605" ht="30" spans="1:4">
      <c r="A1605" s="102" t="s">
        <v>2973</v>
      </c>
      <c r="B1605" s="102" t="s">
        <v>2974</v>
      </c>
      <c r="C1605" s="102" t="s">
        <v>56</v>
      </c>
      <c r="D1605" s="117">
        <f>IF(OR(Clientes[[#This Row],[Columna1]]="Pago inmediato",Clientes[[#This Row],[Columna1]]=""),0,SUBSTITUTE(Clientes[[#This Row],[Columna1]]," días",""))</f>
        <v>0</v>
      </c>
    </row>
    <row r="1606" ht="45" spans="1:4">
      <c r="A1606" s="102" t="s">
        <v>2975</v>
      </c>
      <c r="B1606" s="102" t="s">
        <v>2976</v>
      </c>
      <c r="C1606" s="102" t="s">
        <v>56</v>
      </c>
      <c r="D1606" s="117">
        <f>IF(OR(Clientes[[#This Row],[Columna1]]="Pago inmediato",Clientes[[#This Row],[Columna1]]=""),0,SUBSTITUTE(Clientes[[#This Row],[Columna1]]," días",""))</f>
        <v>0</v>
      </c>
    </row>
    <row r="1607" spans="1:4">
      <c r="A1607" s="102" t="s">
        <v>2977</v>
      </c>
      <c r="B1607" s="102" t="s">
        <v>2978</v>
      </c>
      <c r="C1607" s="102" t="s">
        <v>56</v>
      </c>
      <c r="D1607" s="117">
        <f>IF(OR(Clientes[[#This Row],[Columna1]]="Pago inmediato",Clientes[[#This Row],[Columna1]]=""),0,SUBSTITUTE(Clientes[[#This Row],[Columna1]]," días",""))</f>
        <v>0</v>
      </c>
    </row>
    <row r="1608" spans="1:4">
      <c r="A1608" s="102" t="s">
        <v>2979</v>
      </c>
      <c r="B1608" s="102" t="s">
        <v>2980</v>
      </c>
      <c r="C1608" s="102" t="s">
        <v>56</v>
      </c>
      <c r="D1608" s="117">
        <f>IF(OR(Clientes[[#This Row],[Columna1]]="Pago inmediato",Clientes[[#This Row],[Columna1]]=""),0,SUBSTITUTE(Clientes[[#This Row],[Columna1]]," días",""))</f>
        <v>0</v>
      </c>
    </row>
    <row r="1609" ht="30" spans="1:4">
      <c r="A1609" s="102" t="s">
        <v>2981</v>
      </c>
      <c r="B1609" s="102" t="s">
        <v>2982</v>
      </c>
      <c r="C1609" s="102" t="s">
        <v>56</v>
      </c>
      <c r="D1609" s="117">
        <f>IF(OR(Clientes[[#This Row],[Columna1]]="Pago inmediato",Clientes[[#This Row],[Columna1]]=""),0,SUBSTITUTE(Clientes[[#This Row],[Columna1]]," días",""))</f>
        <v>0</v>
      </c>
    </row>
    <row r="1610" ht="30" spans="1:4">
      <c r="A1610" s="102" t="s">
        <v>2983</v>
      </c>
      <c r="B1610" s="102" t="s">
        <v>2984</v>
      </c>
      <c r="C1610" s="102" t="s">
        <v>56</v>
      </c>
      <c r="D1610" s="117">
        <f>IF(OR(Clientes[[#This Row],[Columna1]]="Pago inmediato",Clientes[[#This Row],[Columna1]]=""),0,SUBSTITUTE(Clientes[[#This Row],[Columna1]]," días",""))</f>
        <v>0</v>
      </c>
    </row>
    <row r="1611" ht="30" spans="1:4">
      <c r="A1611" s="102" t="s">
        <v>2985</v>
      </c>
      <c r="B1611" s="102" t="s">
        <v>2986</v>
      </c>
      <c r="C1611" s="102" t="s">
        <v>56</v>
      </c>
      <c r="D1611" s="117">
        <f>IF(OR(Clientes[[#This Row],[Columna1]]="Pago inmediato",Clientes[[#This Row],[Columna1]]=""),0,SUBSTITUTE(Clientes[[#This Row],[Columna1]]," días",""))</f>
        <v>0</v>
      </c>
    </row>
    <row r="1612" spans="1:4">
      <c r="A1612" s="102" t="s">
        <v>2987</v>
      </c>
      <c r="B1612" s="102" t="s">
        <v>2988</v>
      </c>
      <c r="C1612" s="102" t="s">
        <v>56</v>
      </c>
      <c r="D1612" s="117">
        <f>IF(OR(Clientes[[#This Row],[Columna1]]="Pago inmediato",Clientes[[#This Row],[Columna1]]=""),0,SUBSTITUTE(Clientes[[#This Row],[Columna1]]," días",""))</f>
        <v>0</v>
      </c>
    </row>
    <row r="1613" spans="1:4">
      <c r="A1613" s="102" t="s">
        <v>2989</v>
      </c>
      <c r="B1613" s="102" t="s">
        <v>2990</v>
      </c>
      <c r="C1613" s="102" t="s">
        <v>56</v>
      </c>
      <c r="D1613" s="117">
        <f>IF(OR(Clientes[[#This Row],[Columna1]]="Pago inmediato",Clientes[[#This Row],[Columna1]]=""),0,SUBSTITUTE(Clientes[[#This Row],[Columna1]]," días",""))</f>
        <v>0</v>
      </c>
    </row>
    <row r="1614" spans="1:4">
      <c r="A1614" s="102" t="s">
        <v>2991</v>
      </c>
      <c r="B1614" s="102" t="s">
        <v>2992</v>
      </c>
      <c r="C1614" s="102" t="s">
        <v>56</v>
      </c>
      <c r="D1614" s="117">
        <f>IF(OR(Clientes[[#This Row],[Columna1]]="Pago inmediato",Clientes[[#This Row],[Columna1]]=""),0,SUBSTITUTE(Clientes[[#This Row],[Columna1]]," días",""))</f>
        <v>0</v>
      </c>
    </row>
    <row r="1615" spans="1:4">
      <c r="A1615" s="102" t="s">
        <v>2993</v>
      </c>
      <c r="B1615" s="102" t="s">
        <v>2994</v>
      </c>
      <c r="C1615" s="102" t="s">
        <v>56</v>
      </c>
      <c r="D1615" s="117">
        <f>IF(OR(Clientes[[#This Row],[Columna1]]="Pago inmediato",Clientes[[#This Row],[Columna1]]=""),0,SUBSTITUTE(Clientes[[#This Row],[Columna1]]," días",""))</f>
        <v>0</v>
      </c>
    </row>
    <row r="1616" ht="60" spans="1:4">
      <c r="A1616" s="102" t="s">
        <v>2995</v>
      </c>
      <c r="B1616" s="102" t="s">
        <v>2996</v>
      </c>
      <c r="C1616" s="102" t="s">
        <v>56</v>
      </c>
      <c r="D1616" s="117">
        <f>IF(OR(Clientes[[#This Row],[Columna1]]="Pago inmediato",Clientes[[#This Row],[Columna1]]=""),0,SUBSTITUTE(Clientes[[#This Row],[Columna1]]," días",""))</f>
        <v>0</v>
      </c>
    </row>
    <row r="1617" ht="30" spans="1:4">
      <c r="A1617" s="102" t="s">
        <v>2997</v>
      </c>
      <c r="B1617" s="102" t="s">
        <v>2998</v>
      </c>
      <c r="C1617" s="102" t="s">
        <v>56</v>
      </c>
      <c r="D1617" s="117">
        <f>IF(OR(Clientes[[#This Row],[Columna1]]="Pago inmediato",Clientes[[#This Row],[Columna1]]=""),0,SUBSTITUTE(Clientes[[#This Row],[Columna1]]," días",""))</f>
        <v>0</v>
      </c>
    </row>
    <row r="1618" ht="30" spans="1:4">
      <c r="A1618" s="102" t="s">
        <v>2999</v>
      </c>
      <c r="B1618" s="102" t="s">
        <v>3000</v>
      </c>
      <c r="C1618" s="102" t="s">
        <v>56</v>
      </c>
      <c r="D1618" s="117">
        <f>IF(OR(Clientes[[#This Row],[Columna1]]="Pago inmediato",Clientes[[#This Row],[Columna1]]=""),0,SUBSTITUTE(Clientes[[#This Row],[Columna1]]," días",""))</f>
        <v>0</v>
      </c>
    </row>
    <row r="1619" ht="30" spans="1:4">
      <c r="A1619" s="102" t="s">
        <v>3001</v>
      </c>
      <c r="B1619" s="102" t="s">
        <v>3002</v>
      </c>
      <c r="C1619" s="102" t="s">
        <v>56</v>
      </c>
      <c r="D1619" s="117">
        <f>IF(OR(Clientes[[#This Row],[Columna1]]="Pago inmediato",Clientes[[#This Row],[Columna1]]=""),0,SUBSTITUTE(Clientes[[#This Row],[Columna1]]," días",""))</f>
        <v>0</v>
      </c>
    </row>
    <row r="1620" spans="1:4">
      <c r="A1620" s="102" t="s">
        <v>3003</v>
      </c>
      <c r="B1620" s="102" t="s">
        <v>3004</v>
      </c>
      <c r="C1620" s="102" t="s">
        <v>56</v>
      </c>
      <c r="D1620" s="117">
        <f>IF(OR(Clientes[[#This Row],[Columna1]]="Pago inmediato",Clientes[[#This Row],[Columna1]]=""),0,SUBSTITUTE(Clientes[[#This Row],[Columna1]]," días",""))</f>
        <v>0</v>
      </c>
    </row>
    <row r="1621" spans="1:4">
      <c r="A1621" s="102" t="s">
        <v>3005</v>
      </c>
      <c r="B1621" s="102" t="s">
        <v>3006</v>
      </c>
      <c r="C1621" s="102" t="s">
        <v>56</v>
      </c>
      <c r="D1621" s="117">
        <f>IF(OR(Clientes[[#This Row],[Columna1]]="Pago inmediato",Clientes[[#This Row],[Columna1]]=""),0,SUBSTITUTE(Clientes[[#This Row],[Columna1]]," días",""))</f>
        <v>0</v>
      </c>
    </row>
    <row r="1622" ht="30" spans="1:4">
      <c r="A1622" s="102" t="s">
        <v>3007</v>
      </c>
      <c r="B1622" s="102" t="s">
        <v>3008</v>
      </c>
      <c r="C1622" s="102" t="s">
        <v>56</v>
      </c>
      <c r="D1622" s="117">
        <f>IF(OR(Clientes[[#This Row],[Columna1]]="Pago inmediato",Clientes[[#This Row],[Columna1]]=""),0,SUBSTITUTE(Clientes[[#This Row],[Columna1]]," días",""))</f>
        <v>0</v>
      </c>
    </row>
    <row r="1623" ht="30" spans="1:4">
      <c r="A1623" s="102" t="s">
        <v>3009</v>
      </c>
      <c r="B1623" s="102" t="s">
        <v>3010</v>
      </c>
      <c r="C1623" s="102" t="s">
        <v>56</v>
      </c>
      <c r="D1623" s="117">
        <f>IF(OR(Clientes[[#This Row],[Columna1]]="Pago inmediato",Clientes[[#This Row],[Columna1]]=""),0,SUBSTITUTE(Clientes[[#This Row],[Columna1]]," días",""))</f>
        <v>0</v>
      </c>
    </row>
    <row r="1624" ht="30" spans="1:4">
      <c r="A1624" s="102" t="s">
        <v>3011</v>
      </c>
      <c r="B1624" s="102" t="s">
        <v>3012</v>
      </c>
      <c r="C1624" s="102" t="s">
        <v>56</v>
      </c>
      <c r="D1624" s="117">
        <f>IF(OR(Clientes[[#This Row],[Columna1]]="Pago inmediato",Clientes[[#This Row],[Columna1]]=""),0,SUBSTITUTE(Clientes[[#This Row],[Columna1]]," días",""))</f>
        <v>0</v>
      </c>
    </row>
    <row r="1625" spans="1:4">
      <c r="A1625" s="102" t="s">
        <v>3013</v>
      </c>
      <c r="B1625" s="102" t="s">
        <v>3014</v>
      </c>
      <c r="C1625" s="102" t="s">
        <v>56</v>
      </c>
      <c r="D1625" s="117">
        <f>IF(OR(Clientes[[#This Row],[Columna1]]="Pago inmediato",Clientes[[#This Row],[Columna1]]=""),0,SUBSTITUTE(Clientes[[#This Row],[Columna1]]," días",""))</f>
        <v>0</v>
      </c>
    </row>
    <row r="1626" spans="1:4">
      <c r="A1626" s="102" t="s">
        <v>3015</v>
      </c>
      <c r="B1626" s="102" t="s">
        <v>3016</v>
      </c>
      <c r="C1626" s="102"/>
      <c r="D1626" s="117">
        <f>IF(OR(Clientes[[#This Row],[Columna1]]="Pago inmediato",Clientes[[#This Row],[Columna1]]=""),0,SUBSTITUTE(Clientes[[#This Row],[Columna1]]," días",""))</f>
        <v>0</v>
      </c>
    </row>
    <row r="1627" spans="1:4">
      <c r="A1627" s="102" t="s">
        <v>3017</v>
      </c>
      <c r="B1627" s="102" t="s">
        <v>3018</v>
      </c>
      <c r="C1627" s="102"/>
      <c r="D1627" s="117">
        <f>IF(OR(Clientes[[#This Row],[Columna1]]="Pago inmediato",Clientes[[#This Row],[Columna1]]=""),0,SUBSTITUTE(Clientes[[#This Row],[Columna1]]," días",""))</f>
        <v>0</v>
      </c>
    </row>
    <row r="1628" ht="30" spans="1:4">
      <c r="A1628" s="102" t="s">
        <v>3019</v>
      </c>
      <c r="B1628" s="102" t="s">
        <v>3020</v>
      </c>
      <c r="C1628" s="102" t="s">
        <v>56</v>
      </c>
      <c r="D1628" s="117">
        <f>IF(OR(Clientes[[#This Row],[Columna1]]="Pago inmediato",Clientes[[#This Row],[Columna1]]=""),0,SUBSTITUTE(Clientes[[#This Row],[Columna1]]," días",""))</f>
        <v>0</v>
      </c>
    </row>
    <row r="1629" ht="45" spans="1:4">
      <c r="A1629" s="102" t="s">
        <v>3021</v>
      </c>
      <c r="B1629" s="102" t="s">
        <v>3022</v>
      </c>
      <c r="C1629" s="102" t="s">
        <v>56</v>
      </c>
      <c r="D1629" s="117">
        <f>IF(OR(Clientes[[#This Row],[Columna1]]="Pago inmediato",Clientes[[#This Row],[Columna1]]=""),0,SUBSTITUTE(Clientes[[#This Row],[Columna1]]," días",""))</f>
        <v>0</v>
      </c>
    </row>
    <row r="1630" spans="1:4">
      <c r="A1630" s="102" t="s">
        <v>3023</v>
      </c>
      <c r="B1630" s="102" t="s">
        <v>3024</v>
      </c>
      <c r="C1630" s="102" t="s">
        <v>56</v>
      </c>
      <c r="D1630" s="117">
        <f>IF(OR(Clientes[[#This Row],[Columna1]]="Pago inmediato",Clientes[[#This Row],[Columna1]]=""),0,SUBSTITUTE(Clientes[[#This Row],[Columna1]]," días",""))</f>
        <v>0</v>
      </c>
    </row>
    <row r="1631" spans="1:4">
      <c r="A1631" s="102" t="s">
        <v>3025</v>
      </c>
      <c r="B1631" s="102" t="s">
        <v>3026</v>
      </c>
      <c r="C1631" s="102" t="s">
        <v>56</v>
      </c>
      <c r="D1631" s="117">
        <f>IF(OR(Clientes[[#This Row],[Columna1]]="Pago inmediato",Clientes[[#This Row],[Columna1]]=""),0,SUBSTITUTE(Clientes[[#This Row],[Columna1]]," días",""))</f>
        <v>0</v>
      </c>
    </row>
    <row r="1632" ht="45" spans="1:4">
      <c r="A1632" s="102" t="s">
        <v>3027</v>
      </c>
      <c r="B1632" s="102" t="s">
        <v>3028</v>
      </c>
      <c r="C1632" s="102" t="s">
        <v>56</v>
      </c>
      <c r="D1632" s="117">
        <f>IF(OR(Clientes[[#This Row],[Columna1]]="Pago inmediato",Clientes[[#This Row],[Columna1]]=""),0,SUBSTITUTE(Clientes[[#This Row],[Columna1]]," días",""))</f>
        <v>0</v>
      </c>
    </row>
    <row r="1633" ht="30" spans="1:4">
      <c r="A1633" s="102" t="s">
        <v>3029</v>
      </c>
      <c r="B1633" s="102" t="s">
        <v>3030</v>
      </c>
      <c r="C1633" s="102" t="s">
        <v>56</v>
      </c>
      <c r="D1633" s="117">
        <f>IF(OR(Clientes[[#This Row],[Columna1]]="Pago inmediato",Clientes[[#This Row],[Columna1]]=""),0,SUBSTITUTE(Clientes[[#This Row],[Columna1]]," días",""))</f>
        <v>0</v>
      </c>
    </row>
    <row r="1634" spans="1:4">
      <c r="A1634" s="102" t="s">
        <v>3031</v>
      </c>
      <c r="B1634" s="102" t="s">
        <v>3032</v>
      </c>
      <c r="C1634" s="102" t="s">
        <v>56</v>
      </c>
      <c r="D1634" s="117">
        <f>IF(OR(Clientes[[#This Row],[Columna1]]="Pago inmediato",Clientes[[#This Row],[Columna1]]=""),0,SUBSTITUTE(Clientes[[#This Row],[Columna1]]," días",""))</f>
        <v>0</v>
      </c>
    </row>
    <row r="1635" ht="30" spans="1:4">
      <c r="A1635" s="102" t="s">
        <v>3033</v>
      </c>
      <c r="B1635" s="102" t="s">
        <v>3034</v>
      </c>
      <c r="C1635" s="102" t="s">
        <v>56</v>
      </c>
      <c r="D1635" s="117">
        <f>IF(OR(Clientes[[#This Row],[Columna1]]="Pago inmediato",Clientes[[#This Row],[Columna1]]=""),0,SUBSTITUTE(Clientes[[#This Row],[Columna1]]," días",""))</f>
        <v>0</v>
      </c>
    </row>
    <row r="1636" ht="30" spans="1:4">
      <c r="A1636" s="102" t="s">
        <v>3035</v>
      </c>
      <c r="B1636" s="102" t="s">
        <v>3036</v>
      </c>
      <c r="C1636" s="102" t="s">
        <v>56</v>
      </c>
      <c r="D1636" s="117">
        <f>IF(OR(Clientes[[#This Row],[Columna1]]="Pago inmediato",Clientes[[#This Row],[Columna1]]=""),0,SUBSTITUTE(Clientes[[#This Row],[Columna1]]," días",""))</f>
        <v>0</v>
      </c>
    </row>
    <row r="1637" ht="30" spans="1:4">
      <c r="A1637" s="102" t="s">
        <v>3035</v>
      </c>
      <c r="B1637" s="102" t="s">
        <v>3037</v>
      </c>
      <c r="C1637" s="102" t="s">
        <v>56</v>
      </c>
      <c r="D1637" s="117">
        <f>IF(OR(Clientes[[#This Row],[Columna1]]="Pago inmediato",Clientes[[#This Row],[Columna1]]=""),0,SUBSTITUTE(Clientes[[#This Row],[Columna1]]," días",""))</f>
        <v>0</v>
      </c>
    </row>
    <row r="1638" spans="1:4">
      <c r="A1638" s="102" t="s">
        <v>3038</v>
      </c>
      <c r="B1638" s="102" t="s">
        <v>3039</v>
      </c>
      <c r="C1638" s="102" t="s">
        <v>56</v>
      </c>
      <c r="D1638" s="117">
        <f>IF(OR(Clientes[[#This Row],[Columna1]]="Pago inmediato",Clientes[[#This Row],[Columna1]]=""),0,SUBSTITUTE(Clientes[[#This Row],[Columna1]]," días",""))</f>
        <v>0</v>
      </c>
    </row>
    <row r="1639" spans="1:4">
      <c r="A1639" s="102"/>
      <c r="B1639" s="102" t="s">
        <v>3039</v>
      </c>
      <c r="C1639" s="102" t="s">
        <v>56</v>
      </c>
      <c r="D1639" s="117">
        <f>IF(OR(Clientes[[#This Row],[Columna1]]="Pago inmediato",Clientes[[#This Row],[Columna1]]=""),0,SUBSTITUTE(Clientes[[#This Row],[Columna1]]," días",""))</f>
        <v>0</v>
      </c>
    </row>
    <row r="1640" ht="30" spans="1:4">
      <c r="A1640" s="102" t="s">
        <v>3040</v>
      </c>
      <c r="B1640" s="102" t="s">
        <v>3041</v>
      </c>
      <c r="C1640" s="102" t="s">
        <v>56</v>
      </c>
      <c r="D1640" s="117">
        <f>IF(OR(Clientes[[#This Row],[Columna1]]="Pago inmediato",Clientes[[#This Row],[Columna1]]=""),0,SUBSTITUTE(Clientes[[#This Row],[Columna1]]," días",""))</f>
        <v>0</v>
      </c>
    </row>
    <row r="1641" ht="30" spans="1:4">
      <c r="A1641" s="102" t="s">
        <v>3042</v>
      </c>
      <c r="B1641" s="102" t="s">
        <v>3043</v>
      </c>
      <c r="C1641" s="102" t="s">
        <v>56</v>
      </c>
      <c r="D1641" s="117">
        <f>IF(OR(Clientes[[#This Row],[Columna1]]="Pago inmediato",Clientes[[#This Row],[Columna1]]=""),0,SUBSTITUTE(Clientes[[#This Row],[Columna1]]," días",""))</f>
        <v>0</v>
      </c>
    </row>
    <row r="1642" ht="30" spans="1:4">
      <c r="A1642" s="102" t="s">
        <v>3044</v>
      </c>
      <c r="B1642" s="102" t="s">
        <v>3045</v>
      </c>
      <c r="C1642" s="102" t="s">
        <v>56</v>
      </c>
      <c r="D1642" s="117">
        <f>IF(OR(Clientes[[#This Row],[Columna1]]="Pago inmediato",Clientes[[#This Row],[Columna1]]=""),0,SUBSTITUTE(Clientes[[#This Row],[Columna1]]," días",""))</f>
        <v>0</v>
      </c>
    </row>
    <row r="1643" ht="45" spans="1:4">
      <c r="A1643" s="102" t="s">
        <v>3044</v>
      </c>
      <c r="B1643" s="102" t="s">
        <v>3046</v>
      </c>
      <c r="C1643" s="102" t="s">
        <v>56</v>
      </c>
      <c r="D1643" s="117">
        <f>IF(OR(Clientes[[#This Row],[Columna1]]="Pago inmediato",Clientes[[#This Row],[Columna1]]=""),0,SUBSTITUTE(Clientes[[#This Row],[Columna1]]," días",""))</f>
        <v>0</v>
      </c>
    </row>
    <row r="1644" ht="30" spans="1:4">
      <c r="A1644" s="102" t="s">
        <v>3047</v>
      </c>
      <c r="B1644" s="102" t="s">
        <v>3048</v>
      </c>
      <c r="C1644" s="102" t="s">
        <v>56</v>
      </c>
      <c r="D1644" s="117">
        <f>IF(OR(Clientes[[#This Row],[Columna1]]="Pago inmediato",Clientes[[#This Row],[Columna1]]=""),0,SUBSTITUTE(Clientes[[#This Row],[Columna1]]," días",""))</f>
        <v>0</v>
      </c>
    </row>
    <row r="1645" ht="30" spans="1:4">
      <c r="A1645" s="102" t="s">
        <v>3047</v>
      </c>
      <c r="B1645" s="102" t="s">
        <v>3049</v>
      </c>
      <c r="C1645" s="102" t="s">
        <v>56</v>
      </c>
      <c r="D1645" s="117">
        <f>IF(OR(Clientes[[#This Row],[Columna1]]="Pago inmediato",Clientes[[#This Row],[Columna1]]=""),0,SUBSTITUTE(Clientes[[#This Row],[Columna1]]," días",""))</f>
        <v>0</v>
      </c>
    </row>
    <row r="1646" spans="1:4">
      <c r="A1646" s="102" t="s">
        <v>3050</v>
      </c>
      <c r="B1646" s="102" t="s">
        <v>3051</v>
      </c>
      <c r="C1646" s="102" t="s">
        <v>56</v>
      </c>
      <c r="D1646" s="117">
        <f>IF(OR(Clientes[[#This Row],[Columna1]]="Pago inmediato",Clientes[[#This Row],[Columna1]]=""),0,SUBSTITUTE(Clientes[[#This Row],[Columna1]]," días",""))</f>
        <v>0</v>
      </c>
    </row>
    <row r="1647" spans="1:4">
      <c r="A1647" s="102" t="s">
        <v>3052</v>
      </c>
      <c r="B1647" s="102" t="s">
        <v>3053</v>
      </c>
      <c r="C1647" s="102" t="s">
        <v>56</v>
      </c>
      <c r="D1647" s="117">
        <f>IF(OR(Clientes[[#This Row],[Columna1]]="Pago inmediato",Clientes[[#This Row],[Columna1]]=""),0,SUBSTITUTE(Clientes[[#This Row],[Columna1]]," días",""))</f>
        <v>0</v>
      </c>
    </row>
    <row r="1648" ht="30" spans="1:4">
      <c r="A1648" s="102" t="s">
        <v>3054</v>
      </c>
      <c r="B1648" s="102" t="s">
        <v>3055</v>
      </c>
      <c r="C1648" s="102" t="s">
        <v>56</v>
      </c>
      <c r="D1648" s="117">
        <f>IF(OR(Clientes[[#This Row],[Columna1]]="Pago inmediato",Clientes[[#This Row],[Columna1]]=""),0,SUBSTITUTE(Clientes[[#This Row],[Columna1]]," días",""))</f>
        <v>0</v>
      </c>
    </row>
    <row r="1649" ht="30" spans="1:4">
      <c r="A1649" s="102" t="s">
        <v>3056</v>
      </c>
      <c r="B1649" s="102" t="s">
        <v>3057</v>
      </c>
      <c r="C1649" s="102" t="s">
        <v>56</v>
      </c>
      <c r="D1649" s="117">
        <f>IF(OR(Clientes[[#This Row],[Columna1]]="Pago inmediato",Clientes[[#This Row],[Columna1]]=""),0,SUBSTITUTE(Clientes[[#This Row],[Columna1]]," días",""))</f>
        <v>0</v>
      </c>
    </row>
    <row r="1650" spans="1:4">
      <c r="A1650" s="102" t="s">
        <v>3058</v>
      </c>
      <c r="B1650" s="102" t="s">
        <v>3059</v>
      </c>
      <c r="C1650" s="102" t="s">
        <v>56</v>
      </c>
      <c r="D1650" s="117">
        <f>IF(OR(Clientes[[#This Row],[Columna1]]="Pago inmediato",Clientes[[#This Row],[Columna1]]=""),0,SUBSTITUTE(Clientes[[#This Row],[Columna1]]," días",""))</f>
        <v>0</v>
      </c>
    </row>
    <row r="1651" spans="1:4">
      <c r="A1651" s="102" t="s">
        <v>3060</v>
      </c>
      <c r="B1651" s="102" t="s">
        <v>3061</v>
      </c>
      <c r="C1651" s="102" t="s">
        <v>56</v>
      </c>
      <c r="D1651" s="117">
        <f>IF(OR(Clientes[[#This Row],[Columna1]]="Pago inmediato",Clientes[[#This Row],[Columna1]]=""),0,SUBSTITUTE(Clientes[[#This Row],[Columna1]]," días",""))</f>
        <v>0</v>
      </c>
    </row>
    <row r="1652" ht="30" spans="1:4">
      <c r="A1652" s="102" t="s">
        <v>3062</v>
      </c>
      <c r="B1652" s="102" t="s">
        <v>3063</v>
      </c>
      <c r="C1652" s="102" t="s">
        <v>56</v>
      </c>
      <c r="D1652" s="117">
        <f>IF(OR(Clientes[[#This Row],[Columna1]]="Pago inmediato",Clientes[[#This Row],[Columna1]]=""),0,SUBSTITUTE(Clientes[[#This Row],[Columna1]]," días",""))</f>
        <v>0</v>
      </c>
    </row>
    <row r="1653" ht="45" spans="1:4">
      <c r="A1653" s="102" t="s">
        <v>3062</v>
      </c>
      <c r="B1653" s="102" t="s">
        <v>3064</v>
      </c>
      <c r="C1653" s="102" t="s">
        <v>56</v>
      </c>
      <c r="D1653" s="117">
        <f>IF(OR(Clientes[[#This Row],[Columna1]]="Pago inmediato",Clientes[[#This Row],[Columna1]]=""),0,SUBSTITUTE(Clientes[[#This Row],[Columna1]]," días",""))</f>
        <v>0</v>
      </c>
    </row>
    <row r="1654" ht="30" spans="1:4">
      <c r="A1654" s="102" t="s">
        <v>3065</v>
      </c>
      <c r="B1654" s="102" t="s">
        <v>3066</v>
      </c>
      <c r="C1654" s="102" t="s">
        <v>54</v>
      </c>
      <c r="D1654" s="117" t="str">
        <f>IF(OR(Clientes[[#This Row],[Columna1]]="Pago inmediato",Clientes[[#This Row],[Columna1]]=""),0,SUBSTITUTE(Clientes[[#This Row],[Columna1]]," días",""))</f>
        <v>7</v>
      </c>
    </row>
    <row r="1655" ht="30" spans="1:4">
      <c r="A1655" s="102" t="s">
        <v>3067</v>
      </c>
      <c r="B1655" s="102" t="s">
        <v>3068</v>
      </c>
      <c r="C1655" s="102" t="s">
        <v>56</v>
      </c>
      <c r="D1655" s="117">
        <f>IF(OR(Clientes[[#This Row],[Columna1]]="Pago inmediato",Clientes[[#This Row],[Columna1]]=""),0,SUBSTITUTE(Clientes[[#This Row],[Columna1]]," días",""))</f>
        <v>0</v>
      </c>
    </row>
    <row r="1656" ht="75" spans="1:4">
      <c r="A1656" s="102" t="s">
        <v>3069</v>
      </c>
      <c r="B1656" s="102" t="s">
        <v>3070</v>
      </c>
      <c r="C1656" s="102" t="s">
        <v>56</v>
      </c>
      <c r="D1656" s="117">
        <f>IF(OR(Clientes[[#This Row],[Columna1]]="Pago inmediato",Clientes[[#This Row],[Columna1]]=""),0,SUBSTITUTE(Clientes[[#This Row],[Columna1]]," días",""))</f>
        <v>0</v>
      </c>
    </row>
    <row r="1657" ht="60" spans="1:4">
      <c r="A1657" s="102" t="s">
        <v>3071</v>
      </c>
      <c r="B1657" s="102" t="s">
        <v>3072</v>
      </c>
      <c r="C1657" s="102" t="s">
        <v>56</v>
      </c>
      <c r="D1657" s="117">
        <f>IF(OR(Clientes[[#This Row],[Columna1]]="Pago inmediato",Clientes[[#This Row],[Columna1]]=""),0,SUBSTITUTE(Clientes[[#This Row],[Columna1]]," días",""))</f>
        <v>0</v>
      </c>
    </row>
    <row r="1658" ht="60" spans="1:4">
      <c r="A1658" s="102" t="s">
        <v>3071</v>
      </c>
      <c r="B1658" s="102" t="s">
        <v>3073</v>
      </c>
      <c r="C1658" s="102" t="s">
        <v>56</v>
      </c>
      <c r="D1658" s="117">
        <f>IF(OR(Clientes[[#This Row],[Columna1]]="Pago inmediato",Clientes[[#This Row],[Columna1]]=""),0,SUBSTITUTE(Clientes[[#This Row],[Columna1]]," días",""))</f>
        <v>0</v>
      </c>
    </row>
    <row r="1659" ht="30" spans="1:4">
      <c r="A1659" s="102" t="s">
        <v>3074</v>
      </c>
      <c r="B1659" s="102" t="s">
        <v>3075</v>
      </c>
      <c r="C1659" s="102" t="s">
        <v>56</v>
      </c>
      <c r="D1659" s="117">
        <f>IF(OR(Clientes[[#This Row],[Columna1]]="Pago inmediato",Clientes[[#This Row],[Columna1]]=""),0,SUBSTITUTE(Clientes[[#This Row],[Columna1]]," días",""))</f>
        <v>0</v>
      </c>
    </row>
    <row r="1660" ht="30" spans="1:4">
      <c r="A1660" s="102" t="s">
        <v>3076</v>
      </c>
      <c r="B1660" s="102" t="s">
        <v>3077</v>
      </c>
      <c r="C1660" s="102" t="s">
        <v>486</v>
      </c>
      <c r="D1660" s="117" t="str">
        <f>IF(OR(Clientes[[#This Row],[Columna1]]="Pago inmediato",Clientes[[#This Row],[Columna1]]=""),0,SUBSTITUTE(Clientes[[#This Row],[Columna1]]," días",""))</f>
        <v>30</v>
      </c>
    </row>
    <row r="1661" ht="30" spans="1:4">
      <c r="A1661" s="102" t="s">
        <v>3078</v>
      </c>
      <c r="B1661" s="102" t="s">
        <v>3079</v>
      </c>
      <c r="C1661" s="102" t="s">
        <v>56</v>
      </c>
      <c r="D1661" s="117">
        <f>IF(OR(Clientes[[#This Row],[Columna1]]="Pago inmediato",Clientes[[#This Row],[Columna1]]=""),0,SUBSTITUTE(Clientes[[#This Row],[Columna1]]," días",""))</f>
        <v>0</v>
      </c>
    </row>
    <row r="1662" ht="30" spans="1:4">
      <c r="A1662" s="102" t="s">
        <v>3080</v>
      </c>
      <c r="B1662" s="102" t="s">
        <v>3081</v>
      </c>
      <c r="C1662" s="102" t="s">
        <v>56</v>
      </c>
      <c r="D1662" s="117">
        <f>IF(OR(Clientes[[#This Row],[Columna1]]="Pago inmediato",Clientes[[#This Row],[Columna1]]=""),0,SUBSTITUTE(Clientes[[#This Row],[Columna1]]," días",""))</f>
        <v>0</v>
      </c>
    </row>
    <row r="1663" ht="60" spans="1:4">
      <c r="A1663" s="102" t="s">
        <v>3082</v>
      </c>
      <c r="B1663" s="102" t="s">
        <v>3083</v>
      </c>
      <c r="C1663" s="102" t="s">
        <v>56</v>
      </c>
      <c r="D1663" s="117">
        <f>IF(OR(Clientes[[#This Row],[Columna1]]="Pago inmediato",Clientes[[#This Row],[Columna1]]=""),0,SUBSTITUTE(Clientes[[#This Row],[Columna1]]," días",""))</f>
        <v>0</v>
      </c>
    </row>
    <row r="1664" ht="90" spans="1:4">
      <c r="A1664" s="102" t="s">
        <v>3084</v>
      </c>
      <c r="B1664" s="102" t="s">
        <v>3085</v>
      </c>
      <c r="C1664" s="102" t="s">
        <v>56</v>
      </c>
      <c r="D1664" s="117">
        <f>IF(OR(Clientes[[#This Row],[Columna1]]="Pago inmediato",Clientes[[#This Row],[Columna1]]=""),0,SUBSTITUTE(Clientes[[#This Row],[Columna1]]," días",""))</f>
        <v>0</v>
      </c>
    </row>
    <row r="1665" ht="45" spans="1:4">
      <c r="A1665" s="102" t="s">
        <v>3086</v>
      </c>
      <c r="B1665" s="102" t="s">
        <v>3087</v>
      </c>
      <c r="C1665" s="102" t="s">
        <v>56</v>
      </c>
      <c r="D1665" s="117">
        <f>IF(OR(Clientes[[#This Row],[Columna1]]="Pago inmediato",Clientes[[#This Row],[Columna1]]=""),0,SUBSTITUTE(Clientes[[#This Row],[Columna1]]," días",""))</f>
        <v>0</v>
      </c>
    </row>
    <row r="1666" spans="1:4">
      <c r="A1666" s="102" t="s">
        <v>3088</v>
      </c>
      <c r="B1666" s="102" t="s">
        <v>3089</v>
      </c>
      <c r="C1666" s="102" t="s">
        <v>56</v>
      </c>
      <c r="D1666" s="117">
        <f>IF(OR(Clientes[[#This Row],[Columna1]]="Pago inmediato",Clientes[[#This Row],[Columna1]]=""),0,SUBSTITUTE(Clientes[[#This Row],[Columna1]]," días",""))</f>
        <v>0</v>
      </c>
    </row>
    <row r="1667" ht="30" spans="1:4">
      <c r="A1667" s="102" t="s">
        <v>3090</v>
      </c>
      <c r="B1667" s="102" t="s">
        <v>3091</v>
      </c>
      <c r="C1667" s="102" t="s">
        <v>56</v>
      </c>
      <c r="D1667" s="117">
        <f>IF(OR(Clientes[[#This Row],[Columna1]]="Pago inmediato",Clientes[[#This Row],[Columna1]]=""),0,SUBSTITUTE(Clientes[[#This Row],[Columna1]]," días",""))</f>
        <v>0</v>
      </c>
    </row>
    <row r="1668" ht="30" spans="1:4">
      <c r="A1668" s="102" t="s">
        <v>3092</v>
      </c>
      <c r="B1668" s="102" t="s">
        <v>3093</v>
      </c>
      <c r="C1668" s="102" t="s">
        <v>56</v>
      </c>
      <c r="D1668" s="117">
        <f>IF(OR(Clientes[[#This Row],[Columna1]]="Pago inmediato",Clientes[[#This Row],[Columna1]]=""),0,SUBSTITUTE(Clientes[[#This Row],[Columna1]]," días",""))</f>
        <v>0</v>
      </c>
    </row>
    <row r="1669" ht="30" spans="1:4">
      <c r="A1669" s="102" t="s">
        <v>3094</v>
      </c>
      <c r="B1669" s="102" t="s">
        <v>3095</v>
      </c>
      <c r="C1669" s="102" t="s">
        <v>61</v>
      </c>
      <c r="D1669" s="117" t="str">
        <f>IF(OR(Clientes[[#This Row],[Columna1]]="Pago inmediato",Clientes[[#This Row],[Columna1]]=""),0,SUBSTITUTE(Clientes[[#This Row],[Columna1]]," días",""))</f>
        <v>15</v>
      </c>
    </row>
    <row r="1670" ht="30" spans="1:4">
      <c r="A1670" s="102" t="s">
        <v>3096</v>
      </c>
      <c r="B1670" s="102" t="s">
        <v>3097</v>
      </c>
      <c r="C1670" s="102" t="s">
        <v>56</v>
      </c>
      <c r="D1670" s="117">
        <f>IF(OR(Clientes[[#This Row],[Columna1]]="Pago inmediato",Clientes[[#This Row],[Columna1]]=""),0,SUBSTITUTE(Clientes[[#This Row],[Columna1]]," días",""))</f>
        <v>0</v>
      </c>
    </row>
    <row r="1671" ht="30" spans="1:4">
      <c r="A1671" s="102" t="s">
        <v>3098</v>
      </c>
      <c r="B1671" s="102" t="s">
        <v>3099</v>
      </c>
      <c r="C1671" s="102" t="s">
        <v>56</v>
      </c>
      <c r="D1671" s="117">
        <f>IF(OR(Clientes[[#This Row],[Columna1]]="Pago inmediato",Clientes[[#This Row],[Columna1]]=""),0,SUBSTITUTE(Clientes[[#This Row],[Columna1]]," días",""))</f>
        <v>0</v>
      </c>
    </row>
    <row r="1672" ht="45" spans="1:4">
      <c r="A1672" s="102" t="s">
        <v>3100</v>
      </c>
      <c r="B1672" s="102" t="s">
        <v>3101</v>
      </c>
      <c r="C1672" s="102" t="s">
        <v>56</v>
      </c>
      <c r="D1672" s="117">
        <f>IF(OR(Clientes[[#This Row],[Columna1]]="Pago inmediato",Clientes[[#This Row],[Columna1]]=""),0,SUBSTITUTE(Clientes[[#This Row],[Columna1]]," días",""))</f>
        <v>0</v>
      </c>
    </row>
    <row r="1673" ht="45" spans="1:4">
      <c r="A1673" s="102" t="s">
        <v>3102</v>
      </c>
      <c r="B1673" s="102" t="s">
        <v>3103</v>
      </c>
      <c r="C1673" s="102" t="s">
        <v>56</v>
      </c>
      <c r="D1673" s="117">
        <f>IF(OR(Clientes[[#This Row],[Columna1]]="Pago inmediato",Clientes[[#This Row],[Columna1]]=""),0,SUBSTITUTE(Clientes[[#This Row],[Columna1]]," días",""))</f>
        <v>0</v>
      </c>
    </row>
    <row r="1674" ht="30" spans="1:4">
      <c r="A1674" s="102" t="s">
        <v>3104</v>
      </c>
      <c r="B1674" s="102" t="s">
        <v>3105</v>
      </c>
      <c r="C1674" s="102" t="s">
        <v>56</v>
      </c>
      <c r="D1674" s="117">
        <f>IF(OR(Clientes[[#This Row],[Columna1]]="Pago inmediato",Clientes[[#This Row],[Columna1]]=""),0,SUBSTITUTE(Clientes[[#This Row],[Columna1]]," días",""))</f>
        <v>0</v>
      </c>
    </row>
    <row r="1675" ht="45" spans="1:4">
      <c r="A1675" s="102" t="s">
        <v>3106</v>
      </c>
      <c r="B1675" s="102" t="s">
        <v>3107</v>
      </c>
      <c r="C1675" s="102" t="s">
        <v>454</v>
      </c>
      <c r="D1675" s="117" t="str">
        <f>IF(OR(Clientes[[#This Row],[Columna1]]="Pago inmediato",Clientes[[#This Row],[Columna1]]=""),0,SUBSTITUTE(Clientes[[#This Row],[Columna1]]," días",""))</f>
        <v>21</v>
      </c>
    </row>
    <row r="1676" ht="45" spans="1:4">
      <c r="A1676" s="102" t="s">
        <v>3108</v>
      </c>
      <c r="B1676" s="102" t="s">
        <v>3109</v>
      </c>
      <c r="C1676" s="102" t="s">
        <v>56</v>
      </c>
      <c r="D1676" s="117">
        <f>IF(OR(Clientes[[#This Row],[Columna1]]="Pago inmediato",Clientes[[#This Row],[Columna1]]=""),0,SUBSTITUTE(Clientes[[#This Row],[Columna1]]," días",""))</f>
        <v>0</v>
      </c>
    </row>
    <row r="1677" ht="45" spans="1:4">
      <c r="A1677" s="102" t="s">
        <v>3110</v>
      </c>
      <c r="B1677" s="102" t="s">
        <v>3111</v>
      </c>
      <c r="C1677" s="102" t="s">
        <v>61</v>
      </c>
      <c r="D1677" s="117" t="str">
        <f>IF(OR(Clientes[[#This Row],[Columna1]]="Pago inmediato",Clientes[[#This Row],[Columna1]]=""),0,SUBSTITUTE(Clientes[[#This Row],[Columna1]]," días",""))</f>
        <v>15</v>
      </c>
    </row>
    <row r="1678" ht="45" spans="1:4">
      <c r="A1678" s="102" t="s">
        <v>3112</v>
      </c>
      <c r="B1678" s="102" t="s">
        <v>3113</v>
      </c>
      <c r="C1678" s="102" t="s">
        <v>56</v>
      </c>
      <c r="D1678" s="117">
        <f>IF(OR(Clientes[[#This Row],[Columna1]]="Pago inmediato",Clientes[[#This Row],[Columna1]]=""),0,SUBSTITUTE(Clientes[[#This Row],[Columna1]]," días",""))</f>
        <v>0</v>
      </c>
    </row>
    <row r="1679" ht="45" spans="1:4">
      <c r="A1679" s="102" t="s">
        <v>3114</v>
      </c>
      <c r="B1679" s="102" t="s">
        <v>3115</v>
      </c>
      <c r="C1679" s="102" t="s">
        <v>56</v>
      </c>
      <c r="D1679" s="117">
        <f>IF(OR(Clientes[[#This Row],[Columna1]]="Pago inmediato",Clientes[[#This Row],[Columna1]]=""),0,SUBSTITUTE(Clientes[[#This Row],[Columna1]]," días",""))</f>
        <v>0</v>
      </c>
    </row>
    <row r="1680" ht="45" spans="1:4">
      <c r="A1680" s="102" t="s">
        <v>3116</v>
      </c>
      <c r="B1680" s="102" t="s">
        <v>3117</v>
      </c>
      <c r="C1680" s="102" t="s">
        <v>56</v>
      </c>
      <c r="D1680" s="117">
        <f>IF(OR(Clientes[[#This Row],[Columna1]]="Pago inmediato",Clientes[[#This Row],[Columna1]]=""),0,SUBSTITUTE(Clientes[[#This Row],[Columna1]]," días",""))</f>
        <v>0</v>
      </c>
    </row>
    <row r="1681" ht="30" spans="1:4">
      <c r="A1681" s="102" t="s">
        <v>3118</v>
      </c>
      <c r="B1681" s="102" t="s">
        <v>3119</v>
      </c>
      <c r="C1681" s="102" t="s">
        <v>56</v>
      </c>
      <c r="D1681" s="117">
        <f>IF(OR(Clientes[[#This Row],[Columna1]]="Pago inmediato",Clientes[[#This Row],[Columna1]]=""),0,SUBSTITUTE(Clientes[[#This Row],[Columna1]]," días",""))</f>
        <v>0</v>
      </c>
    </row>
    <row r="1682" spans="1:4">
      <c r="A1682" s="102" t="s">
        <v>3120</v>
      </c>
      <c r="B1682" s="102" t="s">
        <v>3121</v>
      </c>
      <c r="C1682" s="102" t="s">
        <v>56</v>
      </c>
      <c r="D1682" s="117">
        <f>IF(OR(Clientes[[#This Row],[Columna1]]="Pago inmediato",Clientes[[#This Row],[Columna1]]=""),0,SUBSTITUTE(Clientes[[#This Row],[Columna1]]," días",""))</f>
        <v>0</v>
      </c>
    </row>
    <row r="1683" ht="45" spans="1:4">
      <c r="A1683" s="102" t="s">
        <v>3120</v>
      </c>
      <c r="B1683" s="102" t="s">
        <v>3122</v>
      </c>
      <c r="C1683" s="102" t="s">
        <v>56</v>
      </c>
      <c r="D1683" s="117">
        <f>IF(OR(Clientes[[#This Row],[Columna1]]="Pago inmediato",Clientes[[#This Row],[Columna1]]=""),0,SUBSTITUTE(Clientes[[#This Row],[Columna1]]," días",""))</f>
        <v>0</v>
      </c>
    </row>
    <row r="1684" spans="1:4">
      <c r="A1684" s="102" t="s">
        <v>3123</v>
      </c>
      <c r="B1684" s="102" t="s">
        <v>3124</v>
      </c>
      <c r="C1684" s="102" t="s">
        <v>61</v>
      </c>
      <c r="D1684" s="117" t="str">
        <f>IF(OR(Clientes[[#This Row],[Columna1]]="Pago inmediato",Clientes[[#This Row],[Columna1]]=""),0,SUBSTITUTE(Clientes[[#This Row],[Columna1]]," días",""))</f>
        <v>15</v>
      </c>
    </row>
    <row r="1685" spans="1:4">
      <c r="A1685" s="102" t="s">
        <v>3125</v>
      </c>
      <c r="B1685" s="102" t="s">
        <v>3126</v>
      </c>
      <c r="C1685" s="102" t="s">
        <v>56</v>
      </c>
      <c r="D1685" s="117">
        <f>IF(OR(Clientes[[#This Row],[Columna1]]="Pago inmediato",Clientes[[#This Row],[Columna1]]=""),0,SUBSTITUTE(Clientes[[#This Row],[Columna1]]," días",""))</f>
        <v>0</v>
      </c>
    </row>
    <row r="1686" ht="30" spans="1:4">
      <c r="A1686" s="102" t="s">
        <v>3127</v>
      </c>
      <c r="B1686" s="102" t="s">
        <v>3128</v>
      </c>
      <c r="C1686" s="102" t="s">
        <v>56</v>
      </c>
      <c r="D1686" s="117">
        <f>IF(OR(Clientes[[#This Row],[Columna1]]="Pago inmediato",Clientes[[#This Row],[Columna1]]=""),0,SUBSTITUTE(Clientes[[#This Row],[Columna1]]," días",""))</f>
        <v>0</v>
      </c>
    </row>
    <row r="1687" ht="45" spans="1:4">
      <c r="A1687" s="102" t="s">
        <v>3127</v>
      </c>
      <c r="B1687" s="102" t="s">
        <v>3129</v>
      </c>
      <c r="C1687" s="102" t="s">
        <v>56</v>
      </c>
      <c r="D1687" s="117">
        <f>IF(OR(Clientes[[#This Row],[Columna1]]="Pago inmediato",Clientes[[#This Row],[Columna1]]=""),0,SUBSTITUTE(Clientes[[#This Row],[Columna1]]," días",""))</f>
        <v>0</v>
      </c>
    </row>
    <row r="1688" spans="1:4">
      <c r="A1688" s="102" t="s">
        <v>3130</v>
      </c>
      <c r="B1688" s="102" t="s">
        <v>3131</v>
      </c>
      <c r="C1688" s="102" t="s">
        <v>56</v>
      </c>
      <c r="D1688" s="117">
        <f>IF(OR(Clientes[[#This Row],[Columna1]]="Pago inmediato",Clientes[[#This Row],[Columna1]]=""),0,SUBSTITUTE(Clientes[[#This Row],[Columna1]]," días",""))</f>
        <v>0</v>
      </c>
    </row>
    <row r="1689" ht="30" spans="1:4">
      <c r="A1689" s="102" t="s">
        <v>3130</v>
      </c>
      <c r="B1689" s="102" t="s">
        <v>3132</v>
      </c>
      <c r="C1689" s="102" t="s">
        <v>56</v>
      </c>
      <c r="D1689" s="117">
        <f>IF(OR(Clientes[[#This Row],[Columna1]]="Pago inmediato",Clientes[[#This Row],[Columna1]]=""),0,SUBSTITUTE(Clientes[[#This Row],[Columna1]]," días",""))</f>
        <v>0</v>
      </c>
    </row>
    <row r="1690" spans="1:4">
      <c r="A1690" s="102" t="s">
        <v>3133</v>
      </c>
      <c r="B1690" s="102" t="s">
        <v>3134</v>
      </c>
      <c r="C1690" s="102" t="s">
        <v>56</v>
      </c>
      <c r="D1690" s="117">
        <f>IF(OR(Clientes[[#This Row],[Columna1]]="Pago inmediato",Clientes[[#This Row],[Columna1]]=""),0,SUBSTITUTE(Clientes[[#This Row],[Columna1]]," días",""))</f>
        <v>0</v>
      </c>
    </row>
    <row r="1691" ht="30" spans="1:4">
      <c r="A1691" s="102" t="s">
        <v>3135</v>
      </c>
      <c r="B1691" s="102" t="s">
        <v>3136</v>
      </c>
      <c r="C1691" s="102" t="s">
        <v>56</v>
      </c>
      <c r="D1691" s="117">
        <f>IF(OR(Clientes[[#This Row],[Columna1]]="Pago inmediato",Clientes[[#This Row],[Columna1]]=""),0,SUBSTITUTE(Clientes[[#This Row],[Columna1]]," días",""))</f>
        <v>0</v>
      </c>
    </row>
    <row r="1692" ht="30" spans="1:4">
      <c r="A1692" s="102" t="s">
        <v>3137</v>
      </c>
      <c r="B1692" s="102" t="s">
        <v>3138</v>
      </c>
      <c r="C1692" s="102" t="s">
        <v>56</v>
      </c>
      <c r="D1692" s="117">
        <f>IF(OR(Clientes[[#This Row],[Columna1]]="Pago inmediato",Clientes[[#This Row],[Columna1]]=""),0,SUBSTITUTE(Clientes[[#This Row],[Columna1]]," días",""))</f>
        <v>0</v>
      </c>
    </row>
    <row r="1693" ht="30" spans="1:4">
      <c r="A1693" s="102" t="s">
        <v>3139</v>
      </c>
      <c r="B1693" s="102" t="s">
        <v>3140</v>
      </c>
      <c r="C1693" s="102" t="s">
        <v>56</v>
      </c>
      <c r="D1693" s="117">
        <f>IF(OR(Clientes[[#This Row],[Columna1]]="Pago inmediato",Clientes[[#This Row],[Columna1]]=""),0,SUBSTITUTE(Clientes[[#This Row],[Columna1]]," días",""))</f>
        <v>0</v>
      </c>
    </row>
    <row r="1694" ht="30" spans="1:4">
      <c r="A1694" s="102" t="s">
        <v>3141</v>
      </c>
      <c r="B1694" s="102" t="s">
        <v>3142</v>
      </c>
      <c r="C1694" s="102" t="s">
        <v>465</v>
      </c>
      <c r="D1694" s="117" t="str">
        <f>IF(OR(Clientes[[#This Row],[Columna1]]="Pago inmediato",Clientes[[#This Row],[Columna1]]=""),0,SUBSTITUTE(Clientes[[#This Row],[Columna1]]," días",""))</f>
        <v>3</v>
      </c>
    </row>
    <row r="1695" ht="30" spans="1:4">
      <c r="A1695" s="102" t="s">
        <v>3143</v>
      </c>
      <c r="B1695" s="102" t="s">
        <v>3144</v>
      </c>
      <c r="C1695" s="102" t="s">
        <v>56</v>
      </c>
      <c r="D1695" s="117">
        <f>IF(OR(Clientes[[#This Row],[Columna1]]="Pago inmediato",Clientes[[#This Row],[Columna1]]=""),0,SUBSTITUTE(Clientes[[#This Row],[Columna1]]," días",""))</f>
        <v>0</v>
      </c>
    </row>
    <row r="1696" ht="30" spans="1:4">
      <c r="A1696" s="102" t="s">
        <v>3145</v>
      </c>
      <c r="B1696" s="102" t="s">
        <v>3146</v>
      </c>
      <c r="C1696" s="102" t="s">
        <v>61</v>
      </c>
      <c r="D1696" s="117" t="str">
        <f>IF(OR(Clientes[[#This Row],[Columna1]]="Pago inmediato",Clientes[[#This Row],[Columna1]]=""),0,SUBSTITUTE(Clientes[[#This Row],[Columna1]]," días",""))</f>
        <v>15</v>
      </c>
    </row>
    <row r="1697" ht="30" spans="1:4">
      <c r="A1697" s="102" t="s">
        <v>3147</v>
      </c>
      <c r="B1697" s="102" t="s">
        <v>3148</v>
      </c>
      <c r="C1697" s="102" t="s">
        <v>56</v>
      </c>
      <c r="D1697" s="117">
        <f>IF(OR(Clientes[[#This Row],[Columna1]]="Pago inmediato",Clientes[[#This Row],[Columna1]]=""),0,SUBSTITUTE(Clientes[[#This Row],[Columna1]]," días",""))</f>
        <v>0</v>
      </c>
    </row>
    <row r="1698" spans="1:4">
      <c r="A1698" s="102" t="s">
        <v>3149</v>
      </c>
      <c r="B1698" s="102" t="s">
        <v>3150</v>
      </c>
      <c r="C1698" s="102" t="s">
        <v>56</v>
      </c>
      <c r="D1698" s="117">
        <f>IF(OR(Clientes[[#This Row],[Columna1]]="Pago inmediato",Clientes[[#This Row],[Columna1]]=""),0,SUBSTITUTE(Clientes[[#This Row],[Columna1]]," días",""))</f>
        <v>0</v>
      </c>
    </row>
    <row r="1699" ht="30" spans="1:4">
      <c r="A1699" s="102" t="s">
        <v>3151</v>
      </c>
      <c r="B1699" s="102" t="s">
        <v>3152</v>
      </c>
      <c r="C1699" s="102" t="s">
        <v>56</v>
      </c>
      <c r="D1699" s="117">
        <f>IF(OR(Clientes[[#This Row],[Columna1]]="Pago inmediato",Clientes[[#This Row],[Columna1]]=""),0,SUBSTITUTE(Clientes[[#This Row],[Columna1]]," días",""))</f>
        <v>0</v>
      </c>
    </row>
    <row r="1700" ht="30" spans="1:4">
      <c r="A1700" s="102" t="s">
        <v>3151</v>
      </c>
      <c r="B1700" s="102" t="s">
        <v>3153</v>
      </c>
      <c r="C1700" s="102" t="s">
        <v>56</v>
      </c>
      <c r="D1700" s="117">
        <f>IF(OR(Clientes[[#This Row],[Columna1]]="Pago inmediato",Clientes[[#This Row],[Columna1]]=""),0,SUBSTITUTE(Clientes[[#This Row],[Columna1]]," días",""))</f>
        <v>0</v>
      </c>
    </row>
    <row r="1701" spans="1:4">
      <c r="A1701" s="102" t="s">
        <v>3154</v>
      </c>
      <c r="B1701" s="102" t="s">
        <v>3155</v>
      </c>
      <c r="C1701" s="102" t="s">
        <v>56</v>
      </c>
      <c r="D1701" s="117">
        <f>IF(OR(Clientes[[#This Row],[Columna1]]="Pago inmediato",Clientes[[#This Row],[Columna1]]=""),0,SUBSTITUTE(Clientes[[#This Row],[Columna1]]," días",""))</f>
        <v>0</v>
      </c>
    </row>
    <row r="1702" ht="45" spans="1:4">
      <c r="A1702" s="102" t="s">
        <v>3154</v>
      </c>
      <c r="B1702" s="102" t="s">
        <v>3156</v>
      </c>
      <c r="C1702" s="102" t="s">
        <v>56</v>
      </c>
      <c r="D1702" s="117">
        <f>IF(OR(Clientes[[#This Row],[Columna1]]="Pago inmediato",Clientes[[#This Row],[Columna1]]=""),0,SUBSTITUTE(Clientes[[#This Row],[Columna1]]," días",""))</f>
        <v>0</v>
      </c>
    </row>
    <row r="1703" spans="1:4">
      <c r="A1703" s="102" t="s">
        <v>3157</v>
      </c>
      <c r="B1703" s="102" t="s">
        <v>3158</v>
      </c>
      <c r="C1703" s="102" t="s">
        <v>56</v>
      </c>
      <c r="D1703" s="117">
        <f>IF(OR(Clientes[[#This Row],[Columna1]]="Pago inmediato",Clientes[[#This Row],[Columna1]]=""),0,SUBSTITUTE(Clientes[[#This Row],[Columna1]]," días",""))</f>
        <v>0</v>
      </c>
    </row>
    <row r="1704" spans="1:4">
      <c r="A1704" s="102" t="s">
        <v>3159</v>
      </c>
      <c r="B1704" s="102" t="s">
        <v>3160</v>
      </c>
      <c r="C1704" s="102" t="s">
        <v>56</v>
      </c>
      <c r="D1704" s="117">
        <f>IF(OR(Clientes[[#This Row],[Columna1]]="Pago inmediato",Clientes[[#This Row],[Columna1]]=""),0,SUBSTITUTE(Clientes[[#This Row],[Columna1]]," días",""))</f>
        <v>0</v>
      </c>
    </row>
    <row r="1705" spans="1:4">
      <c r="A1705" s="102" t="s">
        <v>3161</v>
      </c>
      <c r="B1705" s="102" t="s">
        <v>3162</v>
      </c>
      <c r="C1705" s="102" t="s">
        <v>56</v>
      </c>
      <c r="D1705" s="117">
        <f>IF(OR(Clientes[[#This Row],[Columna1]]="Pago inmediato",Clientes[[#This Row],[Columna1]]=""),0,SUBSTITUTE(Clientes[[#This Row],[Columna1]]," días",""))</f>
        <v>0</v>
      </c>
    </row>
    <row r="1706" ht="30" spans="1:4">
      <c r="A1706" s="102" t="s">
        <v>3163</v>
      </c>
      <c r="B1706" s="102" t="s">
        <v>3164</v>
      </c>
      <c r="C1706" s="102" t="s">
        <v>56</v>
      </c>
      <c r="D1706" s="117">
        <f>IF(OR(Clientes[[#This Row],[Columna1]]="Pago inmediato",Clientes[[#This Row],[Columna1]]=""),0,SUBSTITUTE(Clientes[[#This Row],[Columna1]]," días",""))</f>
        <v>0</v>
      </c>
    </row>
    <row r="1707" ht="45" spans="1:4">
      <c r="A1707" s="102" t="s">
        <v>3165</v>
      </c>
      <c r="B1707" s="102" t="s">
        <v>3166</v>
      </c>
      <c r="C1707" s="102" t="s">
        <v>61</v>
      </c>
      <c r="D1707" s="117" t="str">
        <f>IF(OR(Clientes[[#This Row],[Columna1]]="Pago inmediato",Clientes[[#This Row],[Columna1]]=""),0,SUBSTITUTE(Clientes[[#This Row],[Columna1]]," días",""))</f>
        <v>15</v>
      </c>
    </row>
    <row r="1708" spans="1:4">
      <c r="A1708" s="102" t="s">
        <v>3167</v>
      </c>
      <c r="B1708" s="102" t="s">
        <v>3168</v>
      </c>
      <c r="C1708" s="102" t="s">
        <v>54</v>
      </c>
      <c r="D1708" s="117" t="str">
        <f>IF(OR(Clientes[[#This Row],[Columna1]]="Pago inmediato",Clientes[[#This Row],[Columna1]]=""),0,SUBSTITUTE(Clientes[[#This Row],[Columna1]]," días",""))</f>
        <v>7</v>
      </c>
    </row>
    <row r="1709" ht="30" spans="1:4">
      <c r="A1709" s="102" t="s">
        <v>3169</v>
      </c>
      <c r="B1709" s="102" t="s">
        <v>3170</v>
      </c>
      <c r="C1709" s="102" t="s">
        <v>56</v>
      </c>
      <c r="D1709" s="117">
        <f>IF(OR(Clientes[[#This Row],[Columna1]]="Pago inmediato",Clientes[[#This Row],[Columna1]]=""),0,SUBSTITUTE(Clientes[[#This Row],[Columna1]]," días",""))</f>
        <v>0</v>
      </c>
    </row>
    <row r="1710" ht="30" spans="1:4">
      <c r="A1710" s="102" t="s">
        <v>3171</v>
      </c>
      <c r="B1710" s="102" t="s">
        <v>3172</v>
      </c>
      <c r="C1710" s="102" t="s">
        <v>56</v>
      </c>
      <c r="D1710" s="117">
        <f>IF(OR(Clientes[[#This Row],[Columna1]]="Pago inmediato",Clientes[[#This Row],[Columna1]]=""),0,SUBSTITUTE(Clientes[[#This Row],[Columna1]]," días",""))</f>
        <v>0</v>
      </c>
    </row>
    <row r="1711" ht="30" spans="1:4">
      <c r="A1711" s="102" t="s">
        <v>3173</v>
      </c>
      <c r="B1711" s="102" t="s">
        <v>3174</v>
      </c>
      <c r="C1711" s="102" t="s">
        <v>56</v>
      </c>
      <c r="D1711" s="117">
        <f>IF(OR(Clientes[[#This Row],[Columna1]]="Pago inmediato",Clientes[[#This Row],[Columna1]]=""),0,SUBSTITUTE(Clientes[[#This Row],[Columna1]]," días",""))</f>
        <v>0</v>
      </c>
    </row>
    <row r="1712" ht="30" spans="1:4">
      <c r="A1712" s="102" t="s">
        <v>3175</v>
      </c>
      <c r="B1712" s="102" t="s">
        <v>3176</v>
      </c>
      <c r="C1712" s="102" t="s">
        <v>61</v>
      </c>
      <c r="D1712" s="117" t="str">
        <f>IF(OR(Clientes[[#This Row],[Columna1]]="Pago inmediato",Clientes[[#This Row],[Columna1]]=""),0,SUBSTITUTE(Clientes[[#This Row],[Columna1]]," días",""))</f>
        <v>15</v>
      </c>
    </row>
    <row r="1713" ht="30" spans="1:4">
      <c r="A1713" s="102" t="s">
        <v>3177</v>
      </c>
      <c r="B1713" s="102" t="s">
        <v>3178</v>
      </c>
      <c r="C1713" s="102" t="s">
        <v>56</v>
      </c>
      <c r="D1713" s="117">
        <f>IF(OR(Clientes[[#This Row],[Columna1]]="Pago inmediato",Clientes[[#This Row],[Columna1]]=""),0,SUBSTITUTE(Clientes[[#This Row],[Columna1]]," días",""))</f>
        <v>0</v>
      </c>
    </row>
    <row r="1714" ht="30" spans="1:4">
      <c r="A1714" s="102" t="s">
        <v>3177</v>
      </c>
      <c r="B1714" s="102" t="s">
        <v>3179</v>
      </c>
      <c r="C1714" s="102" t="s">
        <v>56</v>
      </c>
      <c r="D1714" s="117">
        <f>IF(OR(Clientes[[#This Row],[Columna1]]="Pago inmediato",Clientes[[#This Row],[Columna1]]=""),0,SUBSTITUTE(Clientes[[#This Row],[Columna1]]," días",""))</f>
        <v>0</v>
      </c>
    </row>
    <row r="1715" ht="30" spans="1:4">
      <c r="A1715" s="102" t="s">
        <v>3180</v>
      </c>
      <c r="B1715" s="102" t="s">
        <v>3181</v>
      </c>
      <c r="C1715" s="102" t="s">
        <v>56</v>
      </c>
      <c r="D1715" s="117">
        <f>IF(OR(Clientes[[#This Row],[Columna1]]="Pago inmediato",Clientes[[#This Row],[Columna1]]=""),0,SUBSTITUTE(Clientes[[#This Row],[Columna1]]," días",""))</f>
        <v>0</v>
      </c>
    </row>
    <row r="1716" spans="1:4">
      <c r="A1716" s="102" t="s">
        <v>3182</v>
      </c>
      <c r="B1716" s="102" t="s">
        <v>3183</v>
      </c>
      <c r="C1716" s="102" t="s">
        <v>2049</v>
      </c>
      <c r="D1716" s="117">
        <v>30</v>
      </c>
    </row>
    <row r="1717" spans="1:4">
      <c r="A1717" s="102" t="s">
        <v>3184</v>
      </c>
      <c r="B1717" s="102" t="s">
        <v>3185</v>
      </c>
      <c r="C1717" s="102" t="s">
        <v>56</v>
      </c>
      <c r="D1717" s="117">
        <f>IF(OR(Clientes[[#This Row],[Columna1]]="Pago inmediato",Clientes[[#This Row],[Columna1]]=""),0,SUBSTITUTE(Clientes[[#This Row],[Columna1]]," días",""))</f>
        <v>0</v>
      </c>
    </row>
    <row r="1718" spans="1:4">
      <c r="A1718" s="102" t="s">
        <v>3186</v>
      </c>
      <c r="B1718" s="102" t="s">
        <v>3187</v>
      </c>
      <c r="C1718" s="102" t="s">
        <v>56</v>
      </c>
      <c r="D1718" s="117">
        <f>IF(OR(Clientes[[#This Row],[Columna1]]="Pago inmediato",Clientes[[#This Row],[Columna1]]=""),0,SUBSTITUTE(Clientes[[#This Row],[Columna1]]," días",""))</f>
        <v>0</v>
      </c>
    </row>
    <row r="1719" ht="30" spans="1:4">
      <c r="A1719" s="102" t="s">
        <v>3188</v>
      </c>
      <c r="B1719" s="102" t="s">
        <v>3189</v>
      </c>
      <c r="C1719" s="102" t="s">
        <v>56</v>
      </c>
      <c r="D1719" s="117">
        <f>IF(OR(Clientes[[#This Row],[Columna1]]="Pago inmediato",Clientes[[#This Row],[Columna1]]=""),0,SUBSTITUTE(Clientes[[#This Row],[Columna1]]," días",""))</f>
        <v>0</v>
      </c>
    </row>
    <row r="1720" ht="30" spans="1:4">
      <c r="A1720" s="102" t="s">
        <v>3190</v>
      </c>
      <c r="B1720" s="102" t="s">
        <v>3191</v>
      </c>
      <c r="C1720" s="102" t="s">
        <v>454</v>
      </c>
      <c r="D1720" s="117">
        <v>21</v>
      </c>
    </row>
    <row r="1721" ht="30" spans="1:4">
      <c r="A1721" s="102" t="s">
        <v>3192</v>
      </c>
      <c r="B1721" s="102" t="s">
        <v>3193</v>
      </c>
      <c r="C1721" s="102" t="s">
        <v>282</v>
      </c>
      <c r="D1721" s="117" t="str">
        <f>IF(OR(Clientes[[#This Row],[Columna1]]="Pago inmediato",Clientes[[#This Row],[Columna1]]=""),0,SUBSTITUTE(Clientes[[#This Row],[Columna1]]," días",""))</f>
        <v>10</v>
      </c>
    </row>
    <row r="1722" ht="60" spans="1:4">
      <c r="A1722" s="102" t="s">
        <v>3194</v>
      </c>
      <c r="B1722" s="102" t="s">
        <v>3195</v>
      </c>
      <c r="C1722" s="102" t="s">
        <v>56</v>
      </c>
      <c r="D1722" s="117">
        <f>IF(OR(Clientes[[#This Row],[Columna1]]="Pago inmediato",Clientes[[#This Row],[Columna1]]=""),0,SUBSTITUTE(Clientes[[#This Row],[Columna1]]," días",""))</f>
        <v>0</v>
      </c>
    </row>
    <row r="1723" ht="45" spans="1:4">
      <c r="A1723" s="102" t="s">
        <v>3196</v>
      </c>
      <c r="B1723" s="102" t="s">
        <v>3197</v>
      </c>
      <c r="C1723" s="102" t="s">
        <v>56</v>
      </c>
      <c r="D1723" s="117">
        <f>IF(OR(Clientes[[#This Row],[Columna1]]="Pago inmediato",Clientes[[#This Row],[Columna1]]=""),0,SUBSTITUTE(Clientes[[#This Row],[Columna1]]," días",""))</f>
        <v>0</v>
      </c>
    </row>
    <row r="1724" ht="30" spans="1:4">
      <c r="A1724" s="102" t="s">
        <v>3198</v>
      </c>
      <c r="B1724" s="102" t="s">
        <v>3199</v>
      </c>
      <c r="C1724" s="102" t="s">
        <v>56</v>
      </c>
      <c r="D1724" s="117">
        <f>IF(OR(Clientes[[#This Row],[Columna1]]="Pago inmediato",Clientes[[#This Row],[Columna1]]=""),0,SUBSTITUTE(Clientes[[#This Row],[Columna1]]," días",""))</f>
        <v>0</v>
      </c>
    </row>
    <row r="1725" ht="45" spans="1:4">
      <c r="A1725" s="102" t="s">
        <v>3200</v>
      </c>
      <c r="B1725" s="102" t="s">
        <v>3201</v>
      </c>
      <c r="C1725" s="102" t="s">
        <v>56</v>
      </c>
      <c r="D1725" s="117">
        <f>IF(OR(Clientes[[#This Row],[Columna1]]="Pago inmediato",Clientes[[#This Row],[Columna1]]=""),0,SUBSTITUTE(Clientes[[#This Row],[Columna1]]," días",""))</f>
        <v>0</v>
      </c>
    </row>
    <row r="1726" ht="45" spans="1:4">
      <c r="A1726" s="102" t="s">
        <v>3202</v>
      </c>
      <c r="B1726" s="102" t="s">
        <v>3203</v>
      </c>
      <c r="C1726" s="102" t="s">
        <v>56</v>
      </c>
      <c r="D1726" s="117">
        <f>IF(OR(Clientes[[#This Row],[Columna1]]="Pago inmediato",Clientes[[#This Row],[Columna1]]=""),0,SUBSTITUTE(Clientes[[#This Row],[Columna1]]," días",""))</f>
        <v>0</v>
      </c>
    </row>
    <row r="1727" ht="45" spans="1:4">
      <c r="A1727" s="102" t="s">
        <v>3204</v>
      </c>
      <c r="B1727" s="102" t="s">
        <v>3205</v>
      </c>
      <c r="C1727" s="102" t="s">
        <v>54</v>
      </c>
      <c r="D1727" s="117" t="str">
        <f>IF(OR(Clientes[[#This Row],[Columna1]]="Pago inmediato",Clientes[[#This Row],[Columna1]]=""),0,SUBSTITUTE(Clientes[[#This Row],[Columna1]]," días",""))</f>
        <v>7</v>
      </c>
    </row>
    <row r="1728" ht="30" spans="1:4">
      <c r="A1728" s="102" t="s">
        <v>3206</v>
      </c>
      <c r="B1728" s="102" t="s">
        <v>3207</v>
      </c>
      <c r="C1728" s="102" t="s">
        <v>56</v>
      </c>
      <c r="D1728" s="117">
        <f>IF(OR(Clientes[[#This Row],[Columna1]]="Pago inmediato",Clientes[[#This Row],[Columna1]]=""),0,SUBSTITUTE(Clientes[[#This Row],[Columna1]]," días",""))</f>
        <v>0</v>
      </c>
    </row>
    <row r="1729" ht="45" spans="1:4">
      <c r="A1729" s="102" t="s">
        <v>3206</v>
      </c>
      <c r="B1729" s="102" t="s">
        <v>3208</v>
      </c>
      <c r="C1729" s="102" t="s">
        <v>56</v>
      </c>
      <c r="D1729" s="117">
        <f>IF(OR(Clientes[[#This Row],[Columna1]]="Pago inmediato",Clientes[[#This Row],[Columna1]]=""),0,SUBSTITUTE(Clientes[[#This Row],[Columna1]]," días",""))</f>
        <v>0</v>
      </c>
    </row>
    <row r="1730" ht="30" spans="1:4">
      <c r="A1730" s="102" t="s">
        <v>3209</v>
      </c>
      <c r="B1730" s="102" t="s">
        <v>3210</v>
      </c>
      <c r="C1730" s="102" t="s">
        <v>56</v>
      </c>
      <c r="D1730" s="117">
        <f>IF(OR(Clientes[[#This Row],[Columna1]]="Pago inmediato",Clientes[[#This Row],[Columna1]]=""),0,SUBSTITUTE(Clientes[[#This Row],[Columna1]]," días",""))</f>
        <v>0</v>
      </c>
    </row>
    <row r="1731" ht="30" spans="1:4">
      <c r="A1731" s="102" t="s">
        <v>3211</v>
      </c>
      <c r="B1731" s="102" t="s">
        <v>3212</v>
      </c>
      <c r="C1731" s="102" t="s">
        <v>56</v>
      </c>
      <c r="D1731" s="117">
        <f>IF(OR(Clientes[[#This Row],[Columna1]]="Pago inmediato",Clientes[[#This Row],[Columna1]]=""),0,SUBSTITUTE(Clientes[[#This Row],[Columna1]]," días",""))</f>
        <v>0</v>
      </c>
    </row>
    <row r="1732" ht="30" spans="1:4">
      <c r="A1732" s="102" t="s">
        <v>3213</v>
      </c>
      <c r="B1732" s="102" t="s">
        <v>3214</v>
      </c>
      <c r="C1732" s="102" t="s">
        <v>56</v>
      </c>
      <c r="D1732" s="117">
        <f>IF(OR(Clientes[[#This Row],[Columna1]]="Pago inmediato",Clientes[[#This Row],[Columna1]]=""),0,SUBSTITUTE(Clientes[[#This Row],[Columna1]]," días",""))</f>
        <v>0</v>
      </c>
    </row>
    <row r="1733" ht="30" spans="1:4">
      <c r="A1733" s="102" t="s">
        <v>3215</v>
      </c>
      <c r="B1733" s="102" t="s">
        <v>3216</v>
      </c>
      <c r="C1733" s="102" t="s">
        <v>56</v>
      </c>
      <c r="D1733" s="117">
        <f>IF(OR(Clientes[[#This Row],[Columna1]]="Pago inmediato",Clientes[[#This Row],[Columna1]]=""),0,SUBSTITUTE(Clientes[[#This Row],[Columna1]]," días",""))</f>
        <v>0</v>
      </c>
    </row>
    <row r="1734" ht="30" spans="1:4">
      <c r="A1734" s="102" t="s">
        <v>3217</v>
      </c>
      <c r="B1734" s="102" t="s">
        <v>3218</v>
      </c>
      <c r="C1734" s="102" t="s">
        <v>61</v>
      </c>
      <c r="D1734" s="117" t="str">
        <f>IF(OR(Clientes[[#This Row],[Columna1]]="Pago inmediato",Clientes[[#This Row],[Columna1]]=""),0,SUBSTITUTE(Clientes[[#This Row],[Columna1]]," días",""))</f>
        <v>15</v>
      </c>
    </row>
    <row r="1735" ht="75" spans="1:4">
      <c r="A1735" s="102" t="s">
        <v>3219</v>
      </c>
      <c r="B1735" s="102" t="s">
        <v>3220</v>
      </c>
      <c r="C1735" s="102" t="s">
        <v>56</v>
      </c>
      <c r="D1735" s="117">
        <f>IF(OR(Clientes[[#This Row],[Columna1]]="Pago inmediato",Clientes[[#This Row],[Columna1]]=""),0,SUBSTITUTE(Clientes[[#This Row],[Columna1]]," días",""))</f>
        <v>0</v>
      </c>
    </row>
    <row r="1736" ht="45" spans="1:4">
      <c r="A1736" s="102" t="s">
        <v>3221</v>
      </c>
      <c r="B1736" s="102" t="s">
        <v>3222</v>
      </c>
      <c r="C1736" s="102" t="s">
        <v>56</v>
      </c>
      <c r="D1736" s="117">
        <f>IF(OR(Clientes[[#This Row],[Columna1]]="Pago inmediato",Clientes[[#This Row],[Columna1]]=""),0,SUBSTITUTE(Clientes[[#This Row],[Columna1]]," días",""))</f>
        <v>0</v>
      </c>
    </row>
    <row r="1737" ht="45" spans="1:4">
      <c r="A1737" s="102" t="s">
        <v>3223</v>
      </c>
      <c r="B1737" s="102" t="s">
        <v>3224</v>
      </c>
      <c r="C1737" s="102" t="s">
        <v>56</v>
      </c>
      <c r="D1737" s="117">
        <f>IF(OR(Clientes[[#This Row],[Columna1]]="Pago inmediato",Clientes[[#This Row],[Columna1]]=""),0,SUBSTITUTE(Clientes[[#This Row],[Columna1]]," días",""))</f>
        <v>0</v>
      </c>
    </row>
    <row r="1738" ht="45" spans="1:4">
      <c r="A1738" s="102" t="s">
        <v>3225</v>
      </c>
      <c r="B1738" s="102" t="s">
        <v>3226</v>
      </c>
      <c r="C1738" s="102" t="s">
        <v>61</v>
      </c>
      <c r="D1738" s="117" t="str">
        <f>IF(OR(Clientes[[#This Row],[Columna1]]="Pago inmediato",Clientes[[#This Row],[Columna1]]=""),0,SUBSTITUTE(Clientes[[#This Row],[Columna1]]," días",""))</f>
        <v>15</v>
      </c>
    </row>
    <row r="1739" ht="60" spans="1:4">
      <c r="A1739" s="102" t="s">
        <v>3227</v>
      </c>
      <c r="B1739" s="102" t="s">
        <v>3228</v>
      </c>
      <c r="C1739" s="102" t="s">
        <v>56</v>
      </c>
      <c r="D1739" s="117">
        <f>IF(OR(Clientes[[#This Row],[Columna1]]="Pago inmediato",Clientes[[#This Row],[Columna1]]=""),0,SUBSTITUTE(Clientes[[#This Row],[Columna1]]," días",""))</f>
        <v>0</v>
      </c>
    </row>
    <row r="1740" ht="60" spans="1:4">
      <c r="A1740" s="102" t="s">
        <v>3229</v>
      </c>
      <c r="B1740" s="102" t="s">
        <v>3230</v>
      </c>
      <c r="C1740" s="102" t="s">
        <v>56</v>
      </c>
      <c r="D1740" s="117">
        <f>IF(OR(Clientes[[#This Row],[Columna1]]="Pago inmediato",Clientes[[#This Row],[Columna1]]=""),0,SUBSTITUTE(Clientes[[#This Row],[Columna1]]," días",""))</f>
        <v>0</v>
      </c>
    </row>
    <row r="1741" ht="75" spans="1:4">
      <c r="A1741" s="102" t="s">
        <v>3229</v>
      </c>
      <c r="B1741" s="102" t="s">
        <v>3231</v>
      </c>
      <c r="C1741" s="102" t="s">
        <v>56</v>
      </c>
      <c r="D1741" s="117">
        <f>IF(OR(Clientes[[#This Row],[Columna1]]="Pago inmediato",Clientes[[#This Row],[Columna1]]=""),0,SUBSTITUTE(Clientes[[#This Row],[Columna1]]," días",""))</f>
        <v>0</v>
      </c>
    </row>
    <row r="1742" ht="45" spans="1:4">
      <c r="A1742" s="102" t="s">
        <v>3232</v>
      </c>
      <c r="B1742" s="102" t="s">
        <v>3233</v>
      </c>
      <c r="C1742" s="102" t="s">
        <v>56</v>
      </c>
      <c r="D1742" s="117">
        <f>IF(OR(Clientes[[#This Row],[Columna1]]="Pago inmediato",Clientes[[#This Row],[Columna1]]=""),0,SUBSTITUTE(Clientes[[#This Row],[Columna1]]," días",""))</f>
        <v>0</v>
      </c>
    </row>
    <row r="1743" ht="30" spans="1:4">
      <c r="A1743" s="102" t="s">
        <v>3234</v>
      </c>
      <c r="B1743" s="102" t="s">
        <v>3235</v>
      </c>
      <c r="C1743" s="102" t="s">
        <v>56</v>
      </c>
      <c r="D1743" s="117">
        <f>IF(OR(Clientes[[#This Row],[Columna1]]="Pago inmediato",Clientes[[#This Row],[Columna1]]=""),0,SUBSTITUTE(Clientes[[#This Row],[Columna1]]," días",""))</f>
        <v>0</v>
      </c>
    </row>
    <row r="1744" ht="30" spans="1:4">
      <c r="A1744" s="102" t="s">
        <v>3236</v>
      </c>
      <c r="B1744" s="102" t="s">
        <v>3235</v>
      </c>
      <c r="C1744" s="102" t="s">
        <v>56</v>
      </c>
      <c r="D1744" s="117">
        <f>IF(OR(Clientes[[#This Row],[Columna1]]="Pago inmediato",Clientes[[#This Row],[Columna1]]=""),0,SUBSTITUTE(Clientes[[#This Row],[Columna1]]," días",""))</f>
        <v>0</v>
      </c>
    </row>
    <row r="1745" ht="45" spans="1:4">
      <c r="A1745" s="102" t="s">
        <v>3234</v>
      </c>
      <c r="B1745" s="102" t="s">
        <v>3237</v>
      </c>
      <c r="C1745" s="102" t="s">
        <v>56</v>
      </c>
      <c r="D1745" s="117">
        <f>IF(OR(Clientes[[#This Row],[Columna1]]="Pago inmediato",Clientes[[#This Row],[Columna1]]=""),0,SUBSTITUTE(Clientes[[#This Row],[Columna1]]," días",""))</f>
        <v>0</v>
      </c>
    </row>
    <row r="1746" ht="45" spans="1:4">
      <c r="A1746" s="102" t="s">
        <v>3236</v>
      </c>
      <c r="B1746" s="102" t="s">
        <v>3238</v>
      </c>
      <c r="C1746" s="102" t="s">
        <v>56</v>
      </c>
      <c r="D1746" s="117">
        <f>IF(OR(Clientes[[#This Row],[Columna1]]="Pago inmediato",Clientes[[#This Row],[Columna1]]=""),0,SUBSTITUTE(Clientes[[#This Row],[Columna1]]," días",""))</f>
        <v>0</v>
      </c>
    </row>
    <row r="1747" ht="30" spans="1:4">
      <c r="A1747" s="102" t="s">
        <v>3239</v>
      </c>
      <c r="B1747" s="102" t="s">
        <v>3240</v>
      </c>
      <c r="C1747" s="102" t="s">
        <v>56</v>
      </c>
      <c r="D1747" s="117">
        <f>IF(OR(Clientes[[#This Row],[Columna1]]="Pago inmediato",Clientes[[#This Row],[Columna1]]=""),0,SUBSTITUTE(Clientes[[#This Row],[Columna1]]," días",""))</f>
        <v>0</v>
      </c>
    </row>
    <row r="1748" ht="45" spans="1:4">
      <c r="A1748" s="102" t="s">
        <v>3239</v>
      </c>
      <c r="B1748" s="102" t="s">
        <v>3241</v>
      </c>
      <c r="C1748" s="102" t="s">
        <v>56</v>
      </c>
      <c r="D1748" s="117">
        <f>IF(OR(Clientes[[#This Row],[Columna1]]="Pago inmediato",Clientes[[#This Row],[Columna1]]=""),0,SUBSTITUTE(Clientes[[#This Row],[Columna1]]," días",""))</f>
        <v>0</v>
      </c>
    </row>
    <row r="1749" ht="30" spans="1:4">
      <c r="A1749" s="102" t="s">
        <v>3242</v>
      </c>
      <c r="B1749" s="102" t="s">
        <v>3243</v>
      </c>
      <c r="C1749" s="102" t="s">
        <v>56</v>
      </c>
      <c r="D1749" s="117">
        <f>IF(OR(Clientes[[#This Row],[Columna1]]="Pago inmediato",Clientes[[#This Row],[Columna1]]=""),0,SUBSTITUTE(Clientes[[#This Row],[Columna1]]," días",""))</f>
        <v>0</v>
      </c>
    </row>
    <row r="1750" ht="30" spans="1:4">
      <c r="A1750" s="102" t="s">
        <v>3244</v>
      </c>
      <c r="B1750" s="102" t="s">
        <v>3245</v>
      </c>
      <c r="C1750" s="102" t="s">
        <v>56</v>
      </c>
      <c r="D1750" s="117">
        <f>IF(OR(Clientes[[#This Row],[Columna1]]="Pago inmediato",Clientes[[#This Row],[Columna1]]=""),0,SUBSTITUTE(Clientes[[#This Row],[Columna1]]," días",""))</f>
        <v>0</v>
      </c>
    </row>
    <row r="1751" ht="30" spans="1:4">
      <c r="A1751" s="102" t="s">
        <v>3246</v>
      </c>
      <c r="B1751" s="102" t="s">
        <v>3247</v>
      </c>
      <c r="C1751" s="102" t="s">
        <v>56</v>
      </c>
      <c r="D1751" s="117">
        <f>IF(OR(Clientes[[#This Row],[Columna1]]="Pago inmediato",Clientes[[#This Row],[Columna1]]=""),0,SUBSTITUTE(Clientes[[#This Row],[Columna1]]," días",""))</f>
        <v>0</v>
      </c>
    </row>
    <row r="1752" ht="30" spans="1:4">
      <c r="A1752" s="102" t="s">
        <v>3248</v>
      </c>
      <c r="B1752" s="102" t="s">
        <v>3249</v>
      </c>
      <c r="C1752" s="102" t="s">
        <v>56</v>
      </c>
      <c r="D1752" s="117">
        <f>IF(OR(Clientes[[#This Row],[Columna1]]="Pago inmediato",Clientes[[#This Row],[Columna1]]=""),0,SUBSTITUTE(Clientes[[#This Row],[Columna1]]," días",""))</f>
        <v>0</v>
      </c>
    </row>
    <row r="1753" ht="30" spans="1:4">
      <c r="A1753" s="102" t="s">
        <v>3250</v>
      </c>
      <c r="B1753" s="102" t="s">
        <v>3251</v>
      </c>
      <c r="C1753" s="102" t="s">
        <v>56</v>
      </c>
      <c r="D1753" s="117">
        <f>IF(OR(Clientes[[#This Row],[Columna1]]="Pago inmediato",Clientes[[#This Row],[Columna1]]=""),0,SUBSTITUTE(Clientes[[#This Row],[Columna1]]," días",""))</f>
        <v>0</v>
      </c>
    </row>
    <row r="1754" ht="30" spans="1:4">
      <c r="A1754" s="102" t="s">
        <v>3252</v>
      </c>
      <c r="B1754" s="102" t="s">
        <v>3252</v>
      </c>
      <c r="C1754" s="102" t="s">
        <v>56</v>
      </c>
      <c r="D1754" s="117">
        <f>IF(OR(Clientes[[#This Row],[Columna1]]="Pago inmediato",Clientes[[#This Row],[Columna1]]=""),0,SUBSTITUTE(Clientes[[#This Row],[Columna1]]," días",""))</f>
        <v>0</v>
      </c>
    </row>
    <row r="1755" ht="75" spans="1:4">
      <c r="A1755" s="102" t="s">
        <v>3252</v>
      </c>
      <c r="B1755" s="102" t="s">
        <v>3253</v>
      </c>
      <c r="C1755" s="102" t="s">
        <v>56</v>
      </c>
      <c r="D1755" s="117">
        <f>IF(OR(Clientes[[#This Row],[Columna1]]="Pago inmediato",Clientes[[#This Row],[Columna1]]=""),0,SUBSTITUTE(Clientes[[#This Row],[Columna1]]," días",""))</f>
        <v>0</v>
      </c>
    </row>
    <row r="1756" ht="30" spans="1:4">
      <c r="A1756" s="102" t="s">
        <v>3254</v>
      </c>
      <c r="B1756" s="102" t="s">
        <v>3255</v>
      </c>
      <c r="C1756" s="102" t="s">
        <v>56</v>
      </c>
      <c r="D1756" s="117">
        <f>IF(OR(Clientes[[#This Row],[Columna1]]="Pago inmediato",Clientes[[#This Row],[Columna1]]=""),0,SUBSTITUTE(Clientes[[#This Row],[Columna1]]," días",""))</f>
        <v>0</v>
      </c>
    </row>
    <row r="1757" ht="30" spans="1:4">
      <c r="A1757" s="102" t="s">
        <v>3256</v>
      </c>
      <c r="B1757" s="102" t="s">
        <v>3257</v>
      </c>
      <c r="C1757" s="102" t="s">
        <v>56</v>
      </c>
      <c r="D1757" s="117">
        <f>IF(OR(Clientes[[#This Row],[Columna1]]="Pago inmediato",Clientes[[#This Row],[Columna1]]=""),0,SUBSTITUTE(Clientes[[#This Row],[Columna1]]," días",""))</f>
        <v>0</v>
      </c>
    </row>
    <row r="1758" ht="30" spans="1:4">
      <c r="A1758" s="102" t="s">
        <v>3258</v>
      </c>
      <c r="B1758" s="102" t="s">
        <v>3259</v>
      </c>
      <c r="C1758" s="102" t="s">
        <v>56</v>
      </c>
      <c r="D1758" s="117">
        <f>IF(OR(Clientes[[#This Row],[Columna1]]="Pago inmediato",Clientes[[#This Row],[Columna1]]=""),0,SUBSTITUTE(Clientes[[#This Row],[Columna1]]," días",""))</f>
        <v>0</v>
      </c>
    </row>
    <row r="1759" ht="45" spans="1:4">
      <c r="A1759" s="102" t="s">
        <v>3258</v>
      </c>
      <c r="B1759" s="102" t="s">
        <v>3260</v>
      </c>
      <c r="C1759" s="102" t="s">
        <v>56</v>
      </c>
      <c r="D1759" s="117">
        <f>IF(OR(Clientes[[#This Row],[Columna1]]="Pago inmediato",Clientes[[#This Row],[Columna1]]=""),0,SUBSTITUTE(Clientes[[#This Row],[Columna1]]," días",""))</f>
        <v>0</v>
      </c>
    </row>
    <row r="1760" ht="30" spans="1:4">
      <c r="A1760" s="102" t="s">
        <v>3261</v>
      </c>
      <c r="B1760" s="102" t="s">
        <v>3262</v>
      </c>
      <c r="C1760" s="102" t="s">
        <v>56</v>
      </c>
      <c r="D1760" s="117">
        <f>IF(OR(Clientes[[#This Row],[Columna1]]="Pago inmediato",Clientes[[#This Row],[Columna1]]=""),0,SUBSTITUTE(Clientes[[#This Row],[Columna1]]," días",""))</f>
        <v>0</v>
      </c>
    </row>
    <row r="1761" ht="30" spans="1:4">
      <c r="A1761" s="102" t="s">
        <v>3263</v>
      </c>
      <c r="B1761" s="102" t="s">
        <v>3264</v>
      </c>
      <c r="C1761" s="102" t="s">
        <v>56</v>
      </c>
      <c r="D1761" s="117">
        <f>IF(OR(Clientes[[#This Row],[Columna1]]="Pago inmediato",Clientes[[#This Row],[Columna1]]=""),0,SUBSTITUTE(Clientes[[#This Row],[Columna1]]," días",""))</f>
        <v>0</v>
      </c>
    </row>
    <row r="1762" ht="60" spans="1:4">
      <c r="A1762" s="102" t="s">
        <v>3265</v>
      </c>
      <c r="B1762" s="102" t="s">
        <v>3266</v>
      </c>
      <c r="C1762" s="102" t="s">
        <v>56</v>
      </c>
      <c r="D1762" s="117">
        <f>IF(OR(Clientes[[#This Row],[Columna1]]="Pago inmediato",Clientes[[#This Row],[Columna1]]=""),0,SUBSTITUTE(Clientes[[#This Row],[Columna1]]," días",""))</f>
        <v>0</v>
      </c>
    </row>
    <row r="1763" ht="45" spans="1:4">
      <c r="A1763" s="102" t="s">
        <v>3267</v>
      </c>
      <c r="B1763" s="102" t="s">
        <v>3268</v>
      </c>
      <c r="C1763" s="102" t="s">
        <v>56</v>
      </c>
      <c r="D1763" s="117">
        <f>IF(OR(Clientes[[#This Row],[Columna1]]="Pago inmediato",Clientes[[#This Row],[Columna1]]=""),0,SUBSTITUTE(Clientes[[#This Row],[Columna1]]," días",""))</f>
        <v>0</v>
      </c>
    </row>
    <row r="1764" ht="45" spans="1:4">
      <c r="A1764" s="102" t="s">
        <v>3269</v>
      </c>
      <c r="B1764" s="102" t="s">
        <v>3270</v>
      </c>
      <c r="C1764" s="102" t="s">
        <v>56</v>
      </c>
      <c r="D1764" s="117">
        <f>IF(OR(Clientes[[#This Row],[Columna1]]="Pago inmediato",Clientes[[#This Row],[Columna1]]=""),0,SUBSTITUTE(Clientes[[#This Row],[Columna1]]," días",""))</f>
        <v>0</v>
      </c>
    </row>
    <row r="1765" ht="30" spans="1:4">
      <c r="A1765" s="102" t="s">
        <v>3271</v>
      </c>
      <c r="B1765" s="102" t="s">
        <v>3272</v>
      </c>
      <c r="C1765" s="102" t="s">
        <v>56</v>
      </c>
      <c r="D1765" s="117">
        <f>IF(OR(Clientes[[#This Row],[Columna1]]="Pago inmediato",Clientes[[#This Row],[Columna1]]=""),0,SUBSTITUTE(Clientes[[#This Row],[Columna1]]," días",""))</f>
        <v>0</v>
      </c>
    </row>
    <row r="1766" ht="45" spans="1:4">
      <c r="A1766" s="102" t="s">
        <v>3273</v>
      </c>
      <c r="B1766" s="102" t="s">
        <v>3274</v>
      </c>
      <c r="C1766" s="102" t="s">
        <v>56</v>
      </c>
      <c r="D1766" s="117">
        <f>IF(OR(Clientes[[#This Row],[Columna1]]="Pago inmediato",Clientes[[#This Row],[Columna1]]=""),0,SUBSTITUTE(Clientes[[#This Row],[Columna1]]," días",""))</f>
        <v>0</v>
      </c>
    </row>
    <row r="1767" ht="45" spans="1:4">
      <c r="A1767" s="102" t="s">
        <v>3275</v>
      </c>
      <c r="B1767" s="102" t="s">
        <v>3276</v>
      </c>
      <c r="C1767" s="102" t="s">
        <v>61</v>
      </c>
      <c r="D1767" s="117" t="str">
        <f>IF(OR(Clientes[[#This Row],[Columna1]]="Pago inmediato",Clientes[[#This Row],[Columna1]]=""),0,SUBSTITUTE(Clientes[[#This Row],[Columna1]]," días",""))</f>
        <v>15</v>
      </c>
    </row>
    <row r="1768" ht="30" spans="1:4">
      <c r="A1768" s="102" t="s">
        <v>3277</v>
      </c>
      <c r="B1768" s="102" t="s">
        <v>3278</v>
      </c>
      <c r="C1768" s="102" t="s">
        <v>56</v>
      </c>
      <c r="D1768" s="117">
        <f>IF(OR(Clientes[[#This Row],[Columna1]]="Pago inmediato",Clientes[[#This Row],[Columna1]]=""),0,SUBSTITUTE(Clientes[[#This Row],[Columna1]]," días",""))</f>
        <v>0</v>
      </c>
    </row>
    <row r="1769" ht="30" spans="1:4">
      <c r="A1769" s="102" t="s">
        <v>3279</v>
      </c>
      <c r="B1769" s="102" t="s">
        <v>3280</v>
      </c>
      <c r="C1769" s="102" t="s">
        <v>56</v>
      </c>
      <c r="D1769" s="117">
        <f>IF(OR(Clientes[[#This Row],[Columna1]]="Pago inmediato",Clientes[[#This Row],[Columna1]]=""),0,SUBSTITUTE(Clientes[[#This Row],[Columna1]]," días",""))</f>
        <v>0</v>
      </c>
    </row>
    <row r="1770" ht="30" spans="1:4">
      <c r="A1770" s="102" t="s">
        <v>3281</v>
      </c>
      <c r="B1770" s="102" t="s">
        <v>3282</v>
      </c>
      <c r="C1770" s="102" t="s">
        <v>56</v>
      </c>
      <c r="D1770" s="117">
        <f>IF(OR(Clientes[[#This Row],[Columna1]]="Pago inmediato",Clientes[[#This Row],[Columna1]]=""),0,SUBSTITUTE(Clientes[[#This Row],[Columna1]]," días",""))</f>
        <v>0</v>
      </c>
    </row>
    <row r="1771" ht="30" spans="1:4">
      <c r="A1771" s="102" t="s">
        <v>3283</v>
      </c>
      <c r="B1771" s="102" t="s">
        <v>3284</v>
      </c>
      <c r="C1771" s="102" t="s">
        <v>56</v>
      </c>
      <c r="D1771" s="117">
        <f>IF(OR(Clientes[[#This Row],[Columna1]]="Pago inmediato",Clientes[[#This Row],[Columna1]]=""),0,SUBSTITUTE(Clientes[[#This Row],[Columna1]]," días",""))</f>
        <v>0</v>
      </c>
    </row>
    <row r="1772" spans="1:4">
      <c r="A1772" s="102" t="s">
        <v>3285</v>
      </c>
      <c r="B1772" s="102" t="s">
        <v>3286</v>
      </c>
      <c r="C1772" s="102" t="s">
        <v>56</v>
      </c>
      <c r="D1772" s="117">
        <f>IF(OR(Clientes[[#This Row],[Columna1]]="Pago inmediato",Clientes[[#This Row],[Columna1]]=""),0,SUBSTITUTE(Clientes[[#This Row],[Columna1]]," días",""))</f>
        <v>0</v>
      </c>
    </row>
    <row r="1773" spans="1:4">
      <c r="A1773" s="102" t="s">
        <v>3287</v>
      </c>
      <c r="B1773" s="102" t="s">
        <v>3288</v>
      </c>
      <c r="C1773" s="102" t="s">
        <v>56</v>
      </c>
      <c r="D1773" s="117">
        <f>IF(OR(Clientes[[#This Row],[Columna1]]="Pago inmediato",Clientes[[#This Row],[Columna1]]=""),0,SUBSTITUTE(Clientes[[#This Row],[Columna1]]," días",""))</f>
        <v>0</v>
      </c>
    </row>
    <row r="1774" ht="30" spans="1:4">
      <c r="A1774" s="102" t="s">
        <v>3289</v>
      </c>
      <c r="B1774" s="102" t="s">
        <v>3290</v>
      </c>
      <c r="C1774" s="102" t="s">
        <v>56</v>
      </c>
      <c r="D1774" s="117">
        <f>IF(OR(Clientes[[#This Row],[Columna1]]="Pago inmediato",Clientes[[#This Row],[Columna1]]=""),0,SUBSTITUTE(Clientes[[#This Row],[Columna1]]," días",""))</f>
        <v>0</v>
      </c>
    </row>
    <row r="1775" spans="1:4">
      <c r="A1775" s="102" t="s">
        <v>3291</v>
      </c>
      <c r="B1775" s="102" t="s">
        <v>3292</v>
      </c>
      <c r="C1775" s="102" t="s">
        <v>56</v>
      </c>
      <c r="D1775" s="117">
        <f>IF(OR(Clientes[[#This Row],[Columna1]]="Pago inmediato",Clientes[[#This Row],[Columna1]]=""),0,SUBSTITUTE(Clientes[[#This Row],[Columna1]]," días",""))</f>
        <v>0</v>
      </c>
    </row>
    <row r="1776" spans="1:4">
      <c r="A1776" s="102" t="s">
        <v>3293</v>
      </c>
      <c r="B1776" s="102" t="s">
        <v>3294</v>
      </c>
      <c r="C1776" s="102" t="s">
        <v>56</v>
      </c>
      <c r="D1776" s="117">
        <f>IF(OR(Clientes[[#This Row],[Columna1]]="Pago inmediato",Clientes[[#This Row],[Columna1]]=""),0,SUBSTITUTE(Clientes[[#This Row],[Columna1]]," días",""))</f>
        <v>0</v>
      </c>
    </row>
    <row r="1777" ht="30" spans="1:4">
      <c r="A1777" s="102" t="s">
        <v>3295</v>
      </c>
      <c r="B1777" s="102" t="s">
        <v>3296</v>
      </c>
      <c r="C1777" s="102" t="s">
        <v>54</v>
      </c>
      <c r="D1777" s="117" t="str">
        <f>IF(OR(Clientes[[#This Row],[Columna1]]="Pago inmediato",Clientes[[#This Row],[Columna1]]=""),0,SUBSTITUTE(Clientes[[#This Row],[Columna1]]," días",""))</f>
        <v>7</v>
      </c>
    </row>
    <row r="1778" ht="30" spans="1:4">
      <c r="A1778" s="102" t="s">
        <v>3297</v>
      </c>
      <c r="B1778" s="102" t="s">
        <v>3298</v>
      </c>
      <c r="C1778" s="102" t="s">
        <v>56</v>
      </c>
      <c r="D1778" s="117">
        <f>IF(OR(Clientes[[#This Row],[Columna1]]="Pago inmediato",Clientes[[#This Row],[Columna1]]=""),0,SUBSTITUTE(Clientes[[#This Row],[Columna1]]," días",""))</f>
        <v>0</v>
      </c>
    </row>
    <row r="1779" spans="1:4">
      <c r="A1779" s="102" t="s">
        <v>3299</v>
      </c>
      <c r="B1779" s="102" t="s">
        <v>3300</v>
      </c>
      <c r="C1779" s="102" t="s">
        <v>56</v>
      </c>
      <c r="D1779" s="117">
        <f>IF(OR(Clientes[[#This Row],[Columna1]]="Pago inmediato",Clientes[[#This Row],[Columna1]]=""),0,SUBSTITUTE(Clientes[[#This Row],[Columna1]]," días",""))</f>
        <v>0</v>
      </c>
    </row>
    <row r="1780" ht="30" spans="1:4">
      <c r="A1780" s="102" t="s">
        <v>3301</v>
      </c>
      <c r="B1780" s="102" t="s">
        <v>3302</v>
      </c>
      <c r="C1780" s="102" t="s">
        <v>56</v>
      </c>
      <c r="D1780" s="117">
        <f>IF(OR(Clientes[[#This Row],[Columna1]]="Pago inmediato",Clientes[[#This Row],[Columna1]]=""),0,SUBSTITUTE(Clientes[[#This Row],[Columna1]]," días",""))</f>
        <v>0</v>
      </c>
    </row>
    <row r="1781" ht="30" spans="1:4">
      <c r="A1781" s="102" t="s">
        <v>3303</v>
      </c>
      <c r="B1781" s="102" t="s">
        <v>3304</v>
      </c>
      <c r="C1781" s="102" t="s">
        <v>61</v>
      </c>
      <c r="D1781" s="117" t="str">
        <f>IF(OR(Clientes[[#This Row],[Columna1]]="Pago inmediato",Clientes[[#This Row],[Columna1]]=""),0,SUBSTITUTE(Clientes[[#This Row],[Columna1]]," días",""))</f>
        <v>15</v>
      </c>
    </row>
    <row r="1782" ht="30" spans="1:4">
      <c r="A1782" s="102" t="s">
        <v>3305</v>
      </c>
      <c r="B1782" s="102" t="s">
        <v>3306</v>
      </c>
      <c r="C1782" s="102" t="s">
        <v>56</v>
      </c>
      <c r="D1782" s="117">
        <f>IF(OR(Clientes[[#This Row],[Columna1]]="Pago inmediato",Clientes[[#This Row],[Columna1]]=""),0,SUBSTITUTE(Clientes[[#This Row],[Columna1]]," días",""))</f>
        <v>0</v>
      </c>
    </row>
    <row r="1783" spans="1:4">
      <c r="A1783" s="102" t="s">
        <v>3307</v>
      </c>
      <c r="B1783" s="102" t="s">
        <v>3308</v>
      </c>
      <c r="C1783" s="102" t="s">
        <v>56</v>
      </c>
      <c r="D1783" s="117">
        <f>IF(OR(Clientes[[#This Row],[Columna1]]="Pago inmediato",Clientes[[#This Row],[Columna1]]=""),0,SUBSTITUTE(Clientes[[#This Row],[Columna1]]," días",""))</f>
        <v>0</v>
      </c>
    </row>
    <row r="1784" ht="30" spans="1:4">
      <c r="A1784" s="102" t="s">
        <v>3309</v>
      </c>
      <c r="B1784" s="102" t="s">
        <v>3310</v>
      </c>
      <c r="C1784" s="102" t="s">
        <v>56</v>
      </c>
      <c r="D1784" s="117">
        <f>IF(OR(Clientes[[#This Row],[Columna1]]="Pago inmediato",Clientes[[#This Row],[Columna1]]=""),0,SUBSTITUTE(Clientes[[#This Row],[Columna1]]," días",""))</f>
        <v>0</v>
      </c>
    </row>
    <row r="1785" spans="1:4">
      <c r="A1785" s="102" t="s">
        <v>3311</v>
      </c>
      <c r="B1785" s="102" t="s">
        <v>3312</v>
      </c>
      <c r="C1785" s="102" t="s">
        <v>56</v>
      </c>
      <c r="D1785" s="117">
        <f>IF(OR(Clientes[[#This Row],[Columna1]]="Pago inmediato",Clientes[[#This Row],[Columna1]]=""),0,SUBSTITUTE(Clientes[[#This Row],[Columna1]]," días",""))</f>
        <v>0</v>
      </c>
    </row>
    <row r="1786" ht="30" spans="1:4">
      <c r="A1786" s="102" t="s">
        <v>3313</v>
      </c>
      <c r="B1786" s="102" t="s">
        <v>3314</v>
      </c>
      <c r="C1786" s="102" t="s">
        <v>56</v>
      </c>
      <c r="D1786" s="117">
        <f>IF(OR(Clientes[[#This Row],[Columna1]]="Pago inmediato",Clientes[[#This Row],[Columna1]]=""),0,SUBSTITUTE(Clientes[[#This Row],[Columna1]]," días",""))</f>
        <v>0</v>
      </c>
    </row>
    <row r="1787" ht="30" spans="1:4">
      <c r="A1787" s="102" t="s">
        <v>3315</v>
      </c>
      <c r="B1787" s="102" t="s">
        <v>3316</v>
      </c>
      <c r="C1787" s="102" t="s">
        <v>56</v>
      </c>
      <c r="D1787" s="117">
        <f>IF(OR(Clientes[[#This Row],[Columna1]]="Pago inmediato",Clientes[[#This Row],[Columna1]]=""),0,SUBSTITUTE(Clientes[[#This Row],[Columna1]]," días",""))</f>
        <v>0</v>
      </c>
    </row>
    <row r="1788" ht="30" spans="1:4">
      <c r="A1788" s="102" t="s">
        <v>3317</v>
      </c>
      <c r="B1788" s="102" t="s">
        <v>3318</v>
      </c>
      <c r="C1788" s="102" t="s">
        <v>56</v>
      </c>
      <c r="D1788" s="117">
        <f>IF(OR(Clientes[[#This Row],[Columna1]]="Pago inmediato",Clientes[[#This Row],[Columna1]]=""),0,SUBSTITUTE(Clientes[[#This Row],[Columna1]]," días",""))</f>
        <v>0</v>
      </c>
    </row>
    <row r="1789" ht="30" spans="1:4">
      <c r="A1789" s="102" t="s">
        <v>3319</v>
      </c>
      <c r="B1789" s="102" t="s">
        <v>3320</v>
      </c>
      <c r="C1789" s="102" t="s">
        <v>56</v>
      </c>
      <c r="D1789" s="117">
        <f>IF(OR(Clientes[[#This Row],[Columna1]]="Pago inmediato",Clientes[[#This Row],[Columna1]]=""),0,SUBSTITUTE(Clientes[[#This Row],[Columna1]]," días",""))</f>
        <v>0</v>
      </c>
    </row>
    <row r="1790" ht="30" spans="1:4">
      <c r="A1790" s="102" t="s">
        <v>3321</v>
      </c>
      <c r="B1790" s="102" t="s">
        <v>3322</v>
      </c>
      <c r="C1790" s="102" t="s">
        <v>61</v>
      </c>
      <c r="D1790" s="117" t="str">
        <f>IF(OR(Clientes[[#This Row],[Columna1]]="Pago inmediato",Clientes[[#This Row],[Columna1]]=""),0,SUBSTITUTE(Clientes[[#This Row],[Columna1]]," días",""))</f>
        <v>15</v>
      </c>
    </row>
    <row r="1791" ht="30" spans="1:4">
      <c r="A1791" s="102" t="s">
        <v>3323</v>
      </c>
      <c r="B1791" s="102" t="s">
        <v>3324</v>
      </c>
      <c r="C1791" s="102" t="s">
        <v>56</v>
      </c>
      <c r="D1791" s="117">
        <f>IF(OR(Clientes[[#This Row],[Columna1]]="Pago inmediato",Clientes[[#This Row],[Columna1]]=""),0,SUBSTITUTE(Clientes[[#This Row],[Columna1]]," días",""))</f>
        <v>0</v>
      </c>
    </row>
    <row r="1792" ht="30" spans="1:4">
      <c r="A1792" s="102" t="s">
        <v>3325</v>
      </c>
      <c r="B1792" s="102" t="s">
        <v>3326</v>
      </c>
      <c r="C1792" s="102" t="s">
        <v>56</v>
      </c>
      <c r="D1792" s="117">
        <f>IF(OR(Clientes[[#This Row],[Columna1]]="Pago inmediato",Clientes[[#This Row],[Columna1]]=""),0,SUBSTITUTE(Clientes[[#This Row],[Columna1]]," días",""))</f>
        <v>0</v>
      </c>
    </row>
    <row r="1793" ht="30" spans="1:4">
      <c r="A1793" s="102" t="s">
        <v>3327</v>
      </c>
      <c r="B1793" s="102" t="s">
        <v>3328</v>
      </c>
      <c r="C1793" s="102" t="s">
        <v>56</v>
      </c>
      <c r="D1793" s="117">
        <f>IF(OR(Clientes[[#This Row],[Columna1]]="Pago inmediato",Clientes[[#This Row],[Columna1]]=""),0,SUBSTITUTE(Clientes[[#This Row],[Columna1]]," días",""))</f>
        <v>0</v>
      </c>
    </row>
    <row r="1794" ht="45" spans="1:4">
      <c r="A1794" s="102" t="s">
        <v>3329</v>
      </c>
      <c r="B1794" s="102" t="s">
        <v>3330</v>
      </c>
      <c r="C1794" s="102"/>
      <c r="D1794" s="117">
        <f>IF(OR(Clientes[[#This Row],[Columna1]]="Pago inmediato",Clientes[[#This Row],[Columna1]]=""),0,SUBSTITUTE(Clientes[[#This Row],[Columna1]]," días",""))</f>
        <v>0</v>
      </c>
    </row>
    <row r="1795" ht="30" spans="1:4">
      <c r="A1795" s="102" t="s">
        <v>3331</v>
      </c>
      <c r="B1795" s="102" t="s">
        <v>3332</v>
      </c>
      <c r="C1795" s="102" t="s">
        <v>56</v>
      </c>
      <c r="D1795" s="117">
        <f>IF(OR(Clientes[[#This Row],[Columna1]]="Pago inmediato",Clientes[[#This Row],[Columna1]]=""),0,SUBSTITUTE(Clientes[[#This Row],[Columna1]]," días",""))</f>
        <v>0</v>
      </c>
    </row>
    <row r="1796" ht="45" spans="1:4">
      <c r="A1796" s="102" t="s">
        <v>3331</v>
      </c>
      <c r="B1796" s="102" t="s">
        <v>3333</v>
      </c>
      <c r="C1796" s="102" t="s">
        <v>56</v>
      </c>
      <c r="D1796" s="117">
        <f>IF(OR(Clientes[[#This Row],[Columna1]]="Pago inmediato",Clientes[[#This Row],[Columna1]]=""),0,SUBSTITUTE(Clientes[[#This Row],[Columna1]]," días",""))</f>
        <v>0</v>
      </c>
    </row>
    <row r="1797" ht="45" spans="1:4">
      <c r="A1797" s="102" t="s">
        <v>3334</v>
      </c>
      <c r="B1797" s="102" t="s">
        <v>3335</v>
      </c>
      <c r="C1797" s="102" t="s">
        <v>56</v>
      </c>
      <c r="D1797" s="117">
        <f>IF(OR(Clientes[[#This Row],[Columna1]]="Pago inmediato",Clientes[[#This Row],[Columna1]]=""),0,SUBSTITUTE(Clientes[[#This Row],[Columna1]]," días",""))</f>
        <v>0</v>
      </c>
    </row>
    <row r="1798" ht="45" spans="1:4">
      <c r="A1798" s="102" t="s">
        <v>3336</v>
      </c>
      <c r="B1798" s="102" t="s">
        <v>3337</v>
      </c>
      <c r="C1798" s="102" t="s">
        <v>56</v>
      </c>
      <c r="D1798" s="117">
        <f>IF(OR(Clientes[[#This Row],[Columna1]]="Pago inmediato",Clientes[[#This Row],[Columna1]]=""),0,SUBSTITUTE(Clientes[[#This Row],[Columna1]]," días",""))</f>
        <v>0</v>
      </c>
    </row>
    <row r="1799" ht="45" spans="1:4">
      <c r="A1799" s="102" t="s">
        <v>3338</v>
      </c>
      <c r="B1799" s="102" t="s">
        <v>3339</v>
      </c>
      <c r="C1799" s="102" t="s">
        <v>56</v>
      </c>
      <c r="D1799" s="117">
        <f>IF(OR(Clientes[[#This Row],[Columna1]]="Pago inmediato",Clientes[[#This Row],[Columna1]]=""),0,SUBSTITUTE(Clientes[[#This Row],[Columna1]]," días",""))</f>
        <v>0</v>
      </c>
    </row>
    <row r="1800" ht="45" spans="1:4">
      <c r="A1800" s="102" t="s">
        <v>3340</v>
      </c>
      <c r="B1800" s="102" t="s">
        <v>3341</v>
      </c>
      <c r="C1800" s="102" t="s">
        <v>56</v>
      </c>
      <c r="D1800" s="117">
        <f>IF(OR(Clientes[[#This Row],[Columna1]]="Pago inmediato",Clientes[[#This Row],[Columna1]]=""),0,SUBSTITUTE(Clientes[[#This Row],[Columna1]]," días",""))</f>
        <v>0</v>
      </c>
    </row>
    <row r="1801" ht="30" spans="1:4">
      <c r="A1801" s="102" t="s">
        <v>3342</v>
      </c>
      <c r="B1801" s="102" t="s">
        <v>3343</v>
      </c>
      <c r="C1801" s="102" t="s">
        <v>56</v>
      </c>
      <c r="D1801" s="117">
        <f>IF(OR(Clientes[[#This Row],[Columna1]]="Pago inmediato",Clientes[[#This Row],[Columna1]]=""),0,SUBSTITUTE(Clientes[[#This Row],[Columna1]]," días",""))</f>
        <v>0</v>
      </c>
    </row>
    <row r="1802" ht="30" spans="1:4">
      <c r="A1802" s="102" t="s">
        <v>3344</v>
      </c>
      <c r="B1802" s="102" t="s">
        <v>3345</v>
      </c>
      <c r="C1802" s="102" t="s">
        <v>56</v>
      </c>
      <c r="D1802" s="117">
        <f>IF(OR(Clientes[[#This Row],[Columna1]]="Pago inmediato",Clientes[[#This Row],[Columna1]]=""),0,SUBSTITUTE(Clientes[[#This Row],[Columna1]]," días",""))</f>
        <v>0</v>
      </c>
    </row>
    <row r="1803" ht="45" spans="1:4">
      <c r="A1803" s="102" t="s">
        <v>3346</v>
      </c>
      <c r="B1803" s="102" t="s">
        <v>3347</v>
      </c>
      <c r="C1803" s="102" t="s">
        <v>56</v>
      </c>
      <c r="D1803" s="117">
        <f>IF(OR(Clientes[[#This Row],[Columna1]]="Pago inmediato",Clientes[[#This Row],[Columna1]]=""),0,SUBSTITUTE(Clientes[[#This Row],[Columna1]]," días",""))</f>
        <v>0</v>
      </c>
    </row>
    <row r="1804" ht="30" spans="1:4">
      <c r="A1804" s="102" t="s">
        <v>3348</v>
      </c>
      <c r="B1804" s="102" t="s">
        <v>3349</v>
      </c>
      <c r="C1804" s="102" t="s">
        <v>56</v>
      </c>
      <c r="D1804" s="117">
        <f>IF(OR(Clientes[[#This Row],[Columna1]]="Pago inmediato",Clientes[[#This Row],[Columna1]]=""),0,SUBSTITUTE(Clientes[[#This Row],[Columna1]]," días",""))</f>
        <v>0</v>
      </c>
    </row>
    <row r="1805" ht="45" spans="1:4">
      <c r="A1805" s="102" t="s">
        <v>3350</v>
      </c>
      <c r="B1805" s="102" t="s">
        <v>3351</v>
      </c>
      <c r="C1805" s="102" t="s">
        <v>56</v>
      </c>
      <c r="D1805" s="117">
        <f>IF(OR(Clientes[[#This Row],[Columna1]]="Pago inmediato",Clientes[[#This Row],[Columna1]]=""),0,SUBSTITUTE(Clientes[[#This Row],[Columna1]]," días",""))</f>
        <v>0</v>
      </c>
    </row>
    <row r="1806" ht="30" spans="1:4">
      <c r="A1806" s="102" t="s">
        <v>3352</v>
      </c>
      <c r="B1806" s="102" t="s">
        <v>3353</v>
      </c>
      <c r="C1806" s="102" t="s">
        <v>56</v>
      </c>
      <c r="D1806" s="117">
        <f>IF(OR(Clientes[[#This Row],[Columna1]]="Pago inmediato",Clientes[[#This Row],[Columna1]]=""),0,SUBSTITUTE(Clientes[[#This Row],[Columna1]]," días",""))</f>
        <v>0</v>
      </c>
    </row>
    <row r="1807" ht="45" spans="1:4">
      <c r="A1807" s="102" t="s">
        <v>3354</v>
      </c>
      <c r="B1807" s="102" t="s">
        <v>3355</v>
      </c>
      <c r="C1807" s="102" t="s">
        <v>56</v>
      </c>
      <c r="D1807" s="117">
        <f>IF(OR(Clientes[[#This Row],[Columna1]]="Pago inmediato",Clientes[[#This Row],[Columna1]]=""),0,SUBSTITUTE(Clientes[[#This Row],[Columna1]]," días",""))</f>
        <v>0</v>
      </c>
    </row>
    <row r="1808" ht="45" spans="1:4">
      <c r="A1808" s="102" t="s">
        <v>3356</v>
      </c>
      <c r="B1808" s="102" t="s">
        <v>3357</v>
      </c>
      <c r="C1808" s="102" t="s">
        <v>56</v>
      </c>
      <c r="D1808" s="117">
        <f>IF(OR(Clientes[[#This Row],[Columna1]]="Pago inmediato",Clientes[[#This Row],[Columna1]]=""),0,SUBSTITUTE(Clientes[[#This Row],[Columna1]]," días",""))</f>
        <v>0</v>
      </c>
    </row>
    <row r="1809" ht="45" spans="1:4">
      <c r="A1809" s="102" t="s">
        <v>3358</v>
      </c>
      <c r="B1809" s="102" t="s">
        <v>3359</v>
      </c>
      <c r="C1809" s="102" t="s">
        <v>56</v>
      </c>
      <c r="D1809" s="117">
        <f>IF(OR(Clientes[[#This Row],[Columna1]]="Pago inmediato",Clientes[[#This Row],[Columna1]]=""),0,SUBSTITUTE(Clientes[[#This Row],[Columna1]]," días",""))</f>
        <v>0</v>
      </c>
    </row>
    <row r="1810" ht="45" spans="1:4">
      <c r="A1810" s="102" t="s">
        <v>3360</v>
      </c>
      <c r="B1810" s="102" t="s">
        <v>3361</v>
      </c>
      <c r="C1810" s="102" t="s">
        <v>56</v>
      </c>
      <c r="D1810" s="117">
        <f>IF(OR(Clientes[[#This Row],[Columna1]]="Pago inmediato",Clientes[[#This Row],[Columna1]]=""),0,SUBSTITUTE(Clientes[[#This Row],[Columna1]]," días",""))</f>
        <v>0</v>
      </c>
    </row>
    <row r="1811" ht="60" spans="1:4">
      <c r="A1811" s="102" t="s">
        <v>3362</v>
      </c>
      <c r="B1811" s="102" t="s">
        <v>3363</v>
      </c>
      <c r="C1811" s="102" t="s">
        <v>56</v>
      </c>
      <c r="D1811" s="117">
        <f>IF(OR(Clientes[[#This Row],[Columna1]]="Pago inmediato",Clientes[[#This Row],[Columna1]]=""),0,SUBSTITUTE(Clientes[[#This Row],[Columna1]]," días",""))</f>
        <v>0</v>
      </c>
    </row>
    <row r="1812" spans="1:4">
      <c r="A1812" s="102" t="s">
        <v>3364</v>
      </c>
      <c r="B1812" s="102" t="s">
        <v>3365</v>
      </c>
      <c r="C1812" s="102" t="s">
        <v>56</v>
      </c>
      <c r="D1812" s="117">
        <f>IF(OR(Clientes[[#This Row],[Columna1]]="Pago inmediato",Clientes[[#This Row],[Columna1]]=""),0,SUBSTITUTE(Clientes[[#This Row],[Columna1]]," días",""))</f>
        <v>0</v>
      </c>
    </row>
    <row r="1813" ht="30" spans="1:4">
      <c r="A1813" s="102" t="s">
        <v>3366</v>
      </c>
      <c r="B1813" s="102" t="s">
        <v>3367</v>
      </c>
      <c r="C1813" s="102" t="s">
        <v>56</v>
      </c>
      <c r="D1813" s="117">
        <f>IF(OR(Clientes[[#This Row],[Columna1]]="Pago inmediato",Clientes[[#This Row],[Columna1]]=""),0,SUBSTITUTE(Clientes[[#This Row],[Columna1]]," días",""))</f>
        <v>0</v>
      </c>
    </row>
    <row r="1814" ht="30" spans="1:4">
      <c r="A1814" s="102" t="s">
        <v>3368</v>
      </c>
      <c r="B1814" s="102" t="s">
        <v>3369</v>
      </c>
      <c r="C1814" s="102" t="s">
        <v>56</v>
      </c>
      <c r="D1814" s="117">
        <f>IF(OR(Clientes[[#This Row],[Columna1]]="Pago inmediato",Clientes[[#This Row],[Columna1]]=""),0,SUBSTITUTE(Clientes[[#This Row],[Columna1]]," días",""))</f>
        <v>0</v>
      </c>
    </row>
    <row r="1815" spans="1:4">
      <c r="A1815" s="102" t="s">
        <v>3370</v>
      </c>
      <c r="B1815" s="102" t="s">
        <v>3371</v>
      </c>
      <c r="C1815" s="102" t="s">
        <v>56</v>
      </c>
      <c r="D1815" s="117">
        <f>IF(OR(Clientes[[#This Row],[Columna1]]="Pago inmediato",Clientes[[#This Row],[Columna1]]=""),0,SUBSTITUTE(Clientes[[#This Row],[Columna1]]," días",""))</f>
        <v>0</v>
      </c>
    </row>
    <row r="1816" spans="1:4">
      <c r="A1816" s="102" t="s">
        <v>3372</v>
      </c>
      <c r="B1816" s="102" t="s">
        <v>3373</v>
      </c>
      <c r="C1816" s="102" t="s">
        <v>56</v>
      </c>
      <c r="D1816" s="117">
        <f>IF(OR(Clientes[[#This Row],[Columna1]]="Pago inmediato",Clientes[[#This Row],[Columna1]]=""),0,SUBSTITUTE(Clientes[[#This Row],[Columna1]]," días",""))</f>
        <v>0</v>
      </c>
    </row>
    <row r="1817" ht="30" spans="1:4">
      <c r="A1817" s="102" t="s">
        <v>3374</v>
      </c>
      <c r="B1817" s="102" t="s">
        <v>3375</v>
      </c>
      <c r="C1817" s="102" t="s">
        <v>56</v>
      </c>
      <c r="D1817" s="117">
        <f>IF(OR(Clientes[[#This Row],[Columna1]]="Pago inmediato",Clientes[[#This Row],[Columna1]]=""),0,SUBSTITUTE(Clientes[[#This Row],[Columna1]]," días",""))</f>
        <v>0</v>
      </c>
    </row>
    <row r="1818" ht="30" spans="1:4">
      <c r="A1818" s="102" t="s">
        <v>3376</v>
      </c>
      <c r="B1818" s="102" t="s">
        <v>3377</v>
      </c>
      <c r="C1818" s="102" t="s">
        <v>56</v>
      </c>
      <c r="D1818" s="117">
        <f>IF(OR(Clientes[[#This Row],[Columna1]]="Pago inmediato",Clientes[[#This Row],[Columna1]]=""),0,SUBSTITUTE(Clientes[[#This Row],[Columna1]]," días",""))</f>
        <v>0</v>
      </c>
    </row>
    <row r="1819" ht="30" spans="1:4">
      <c r="A1819" s="102" t="s">
        <v>3378</v>
      </c>
      <c r="B1819" s="102" t="s">
        <v>3379</v>
      </c>
      <c r="C1819" s="102" t="s">
        <v>56</v>
      </c>
      <c r="D1819" s="117">
        <f>IF(OR(Clientes[[#This Row],[Columna1]]="Pago inmediato",Clientes[[#This Row],[Columna1]]=""),0,SUBSTITUTE(Clientes[[#This Row],[Columna1]]," días",""))</f>
        <v>0</v>
      </c>
    </row>
    <row r="1820" ht="30" spans="1:4">
      <c r="A1820" s="102" t="s">
        <v>3380</v>
      </c>
      <c r="B1820" s="102" t="s">
        <v>3381</v>
      </c>
      <c r="C1820" s="102" t="s">
        <v>56</v>
      </c>
      <c r="D1820" s="117">
        <f>IF(OR(Clientes[[#This Row],[Columna1]]="Pago inmediato",Clientes[[#This Row],[Columna1]]=""),0,SUBSTITUTE(Clientes[[#This Row],[Columna1]]," días",""))</f>
        <v>0</v>
      </c>
    </row>
    <row r="1821" spans="1:4">
      <c r="A1821" s="102" t="s">
        <v>3382</v>
      </c>
      <c r="B1821" s="102" t="s">
        <v>3383</v>
      </c>
      <c r="C1821" s="102" t="s">
        <v>56</v>
      </c>
      <c r="D1821" s="117">
        <f>IF(OR(Clientes[[#This Row],[Columna1]]="Pago inmediato",Clientes[[#This Row],[Columna1]]=""),0,SUBSTITUTE(Clientes[[#This Row],[Columna1]]," días",""))</f>
        <v>0</v>
      </c>
    </row>
    <row r="1822" spans="1:4">
      <c r="A1822" s="102" t="s">
        <v>3384</v>
      </c>
      <c r="B1822" s="102" t="s">
        <v>3385</v>
      </c>
      <c r="C1822" s="102" t="s">
        <v>56</v>
      </c>
      <c r="D1822" s="117">
        <f>IF(OR(Clientes[[#This Row],[Columna1]]="Pago inmediato",Clientes[[#This Row],[Columna1]]=""),0,SUBSTITUTE(Clientes[[#This Row],[Columna1]]," días",""))</f>
        <v>0</v>
      </c>
    </row>
    <row r="1823" spans="1:4">
      <c r="A1823" s="102"/>
      <c r="B1823" s="102" t="s">
        <v>3386</v>
      </c>
      <c r="C1823" s="102" t="s">
        <v>56</v>
      </c>
      <c r="D1823" s="117">
        <f>IF(OR(Clientes[[#This Row],[Columna1]]="Pago inmediato",Clientes[[#This Row],[Columna1]]=""),0,SUBSTITUTE(Clientes[[#This Row],[Columna1]]," días",""))</f>
        <v>0</v>
      </c>
    </row>
    <row r="1824" ht="30" spans="1:4">
      <c r="A1824" s="102" t="s">
        <v>3387</v>
      </c>
      <c r="B1824" s="102" t="s">
        <v>3388</v>
      </c>
      <c r="C1824" s="102">
        <v>90</v>
      </c>
      <c r="D1824" s="117" t="str">
        <f>IF(OR(Clientes[[#This Row],[Columna1]]="Pago inmediato",Clientes[[#This Row],[Columna1]]=""),0,SUBSTITUTE(Clientes[[#This Row],[Columna1]]," días",""))</f>
        <v>90</v>
      </c>
    </row>
    <row r="1825" ht="30" spans="1:4">
      <c r="A1825" s="102" t="s">
        <v>3389</v>
      </c>
      <c r="B1825" s="102" t="s">
        <v>3390</v>
      </c>
      <c r="C1825" s="102"/>
      <c r="D1825" s="117">
        <f>IF(OR(Clientes[[#This Row],[Columna1]]="Pago inmediato",Clientes[[#This Row],[Columna1]]=""),0,SUBSTITUTE(Clientes[[#This Row],[Columna1]]," días",""))</f>
        <v>0</v>
      </c>
    </row>
    <row r="1826" spans="1:4">
      <c r="A1826" s="102" t="s">
        <v>3391</v>
      </c>
      <c r="B1826" s="102" t="s">
        <v>3392</v>
      </c>
      <c r="C1826" s="102" t="s">
        <v>56</v>
      </c>
      <c r="D1826" s="117">
        <f>IF(OR(Clientes[[#This Row],[Columna1]]="Pago inmediato",Clientes[[#This Row],[Columna1]]=""),0,SUBSTITUTE(Clientes[[#This Row],[Columna1]]," días",""))</f>
        <v>0</v>
      </c>
    </row>
    <row r="1827" spans="1:4">
      <c r="A1827" s="102" t="s">
        <v>3393</v>
      </c>
      <c r="B1827" s="102" t="s">
        <v>3394</v>
      </c>
      <c r="C1827" s="102"/>
      <c r="D1827" s="117">
        <f>IF(OR(Clientes[[#This Row],[Columna1]]="Pago inmediato",Clientes[[#This Row],[Columna1]]=""),0,SUBSTITUTE(Clientes[[#This Row],[Columna1]]," días",""))</f>
        <v>0</v>
      </c>
    </row>
    <row r="1828" spans="1:4">
      <c r="A1828" s="102" t="s">
        <v>3395</v>
      </c>
      <c r="B1828" s="102" t="s">
        <v>3396</v>
      </c>
      <c r="C1828" s="102" t="s">
        <v>56</v>
      </c>
      <c r="D1828" s="117">
        <f>IF(OR(Clientes[[#This Row],[Columna1]]="Pago inmediato",Clientes[[#This Row],[Columna1]]=""),0,SUBSTITUTE(Clientes[[#This Row],[Columna1]]," días",""))</f>
        <v>0</v>
      </c>
    </row>
    <row r="1829" ht="30" spans="1:4">
      <c r="A1829" s="102" t="s">
        <v>3397</v>
      </c>
      <c r="B1829" s="102" t="s">
        <v>3398</v>
      </c>
      <c r="C1829" s="102" t="s">
        <v>56</v>
      </c>
      <c r="D1829" s="117">
        <f>IF(OR(Clientes[[#This Row],[Columna1]]="Pago inmediato",Clientes[[#This Row],[Columna1]]=""),0,SUBSTITUTE(Clientes[[#This Row],[Columna1]]," días",""))</f>
        <v>0</v>
      </c>
    </row>
    <row r="1830" ht="45" spans="1:4">
      <c r="A1830" s="102" t="s">
        <v>3397</v>
      </c>
      <c r="B1830" s="102" t="s">
        <v>3399</v>
      </c>
      <c r="C1830" s="102" t="s">
        <v>56</v>
      </c>
      <c r="D1830" s="117">
        <f>IF(OR(Clientes[[#This Row],[Columna1]]="Pago inmediato",Clientes[[#This Row],[Columna1]]=""),0,SUBSTITUTE(Clientes[[#This Row],[Columna1]]," días",""))</f>
        <v>0</v>
      </c>
    </row>
    <row r="1831" spans="1:4">
      <c r="A1831" s="102" t="s">
        <v>3400</v>
      </c>
      <c r="B1831" s="102" t="s">
        <v>3401</v>
      </c>
      <c r="C1831" s="102" t="s">
        <v>56</v>
      </c>
      <c r="D1831" s="117">
        <f>IF(OR(Clientes[[#This Row],[Columna1]]="Pago inmediato",Clientes[[#This Row],[Columna1]]=""),0,SUBSTITUTE(Clientes[[#This Row],[Columna1]]," días",""))</f>
        <v>0</v>
      </c>
    </row>
    <row r="1832" spans="1:4">
      <c r="A1832" s="102" t="s">
        <v>3402</v>
      </c>
      <c r="B1832" s="102" t="s">
        <v>3403</v>
      </c>
      <c r="C1832" s="102" t="s">
        <v>56</v>
      </c>
      <c r="D1832" s="117">
        <f>IF(OR(Clientes[[#This Row],[Columna1]]="Pago inmediato",Clientes[[#This Row],[Columna1]]=""),0,SUBSTITUTE(Clientes[[#This Row],[Columna1]]," días",""))</f>
        <v>0</v>
      </c>
    </row>
    <row r="1833" spans="1:4">
      <c r="A1833" s="102" t="s">
        <v>3404</v>
      </c>
      <c r="B1833" s="102" t="s">
        <v>3405</v>
      </c>
      <c r="C1833" s="102" t="s">
        <v>56</v>
      </c>
      <c r="D1833" s="117">
        <f>IF(OR(Clientes[[#This Row],[Columna1]]="Pago inmediato",Clientes[[#This Row],[Columna1]]=""),0,SUBSTITUTE(Clientes[[#This Row],[Columna1]]," días",""))</f>
        <v>0</v>
      </c>
    </row>
    <row r="1834" spans="1:4">
      <c r="A1834" s="102" t="s">
        <v>3406</v>
      </c>
      <c r="B1834" s="102" t="s">
        <v>3407</v>
      </c>
      <c r="C1834" s="102" t="s">
        <v>56</v>
      </c>
      <c r="D1834" s="117">
        <f>IF(OR(Clientes[[#This Row],[Columna1]]="Pago inmediato",Clientes[[#This Row],[Columna1]]=""),0,SUBSTITUTE(Clientes[[#This Row],[Columna1]]," días",""))</f>
        <v>0</v>
      </c>
    </row>
    <row r="1835" spans="1:4">
      <c r="A1835" s="102"/>
      <c r="B1835" s="102" t="s">
        <v>3408</v>
      </c>
      <c r="C1835" s="102"/>
      <c r="D1835" s="117">
        <f>IF(OR(Clientes[[#This Row],[Columna1]]="Pago inmediato",Clientes[[#This Row],[Columna1]]=""),0,SUBSTITUTE(Clientes[[#This Row],[Columna1]]," días",""))</f>
        <v>0</v>
      </c>
    </row>
    <row r="1836" ht="30" spans="1:4">
      <c r="A1836" s="102"/>
      <c r="B1836" s="102" t="s">
        <v>3409</v>
      </c>
      <c r="C1836" s="102"/>
      <c r="D1836" s="117">
        <f>IF(OR(Clientes[[#This Row],[Columna1]]="Pago inmediato",Clientes[[#This Row],[Columna1]]=""),0,SUBSTITUTE(Clientes[[#This Row],[Columna1]]," días",""))</f>
        <v>0</v>
      </c>
    </row>
    <row r="1837" ht="30" spans="1:4">
      <c r="A1837" s="102"/>
      <c r="B1837" s="102" t="s">
        <v>3410</v>
      </c>
      <c r="C1837" s="102"/>
      <c r="D1837" s="117">
        <f>IF(OR(Clientes[[#This Row],[Columna1]]="Pago inmediato",Clientes[[#This Row],[Columna1]]=""),0,SUBSTITUTE(Clientes[[#This Row],[Columna1]]," días",""))</f>
        <v>0</v>
      </c>
    </row>
    <row r="1838" spans="1:4">
      <c r="A1838" s="102" t="s">
        <v>3411</v>
      </c>
      <c r="B1838" s="102" t="s">
        <v>3412</v>
      </c>
      <c r="C1838" s="102"/>
      <c r="D1838" s="117">
        <f>IF(OR(Clientes[[#This Row],[Columna1]]="Pago inmediato",Clientes[[#This Row],[Columna1]]=""),0,SUBSTITUTE(Clientes[[#This Row],[Columna1]]," días",""))</f>
        <v>0</v>
      </c>
    </row>
    <row r="1839" ht="45" spans="1:4">
      <c r="A1839" s="102" t="s">
        <v>3413</v>
      </c>
      <c r="B1839" s="102" t="s">
        <v>3414</v>
      </c>
      <c r="C1839" s="102" t="s">
        <v>56</v>
      </c>
      <c r="D1839" s="117">
        <f>IF(OR(Clientes[[#This Row],[Columna1]]="Pago inmediato",Clientes[[#This Row],[Columna1]]=""),0,SUBSTITUTE(Clientes[[#This Row],[Columna1]]," días",""))</f>
        <v>0</v>
      </c>
    </row>
    <row r="1840" ht="30" spans="1:4">
      <c r="A1840" s="102"/>
      <c r="B1840" s="102" t="s">
        <v>3415</v>
      </c>
      <c r="C1840" s="102"/>
      <c r="D1840" s="117">
        <f>IF(OR(Clientes[[#This Row],[Columna1]]="Pago inmediato",Clientes[[#This Row],[Columna1]]=""),0,SUBSTITUTE(Clientes[[#This Row],[Columna1]]," días",""))</f>
        <v>0</v>
      </c>
    </row>
    <row r="1841" spans="1:4">
      <c r="A1841" s="102"/>
      <c r="B1841" s="102" t="s">
        <v>3416</v>
      </c>
      <c r="C1841" s="102"/>
      <c r="D1841" s="117">
        <f>IF(OR(Clientes[[#This Row],[Columna1]]="Pago inmediato",Clientes[[#This Row],[Columna1]]=""),0,SUBSTITUTE(Clientes[[#This Row],[Columna1]]," días",""))</f>
        <v>0</v>
      </c>
    </row>
    <row r="1842" spans="1:4">
      <c r="A1842" s="102" t="s">
        <v>3417</v>
      </c>
      <c r="B1842" s="102" t="s">
        <v>3418</v>
      </c>
      <c r="C1842" s="102" t="s">
        <v>56</v>
      </c>
      <c r="D1842" s="117">
        <f>IF(OR(Clientes[[#This Row],[Columna1]]="Pago inmediato",Clientes[[#This Row],[Columna1]]=""),0,SUBSTITUTE(Clientes[[#This Row],[Columna1]]," días",""))</f>
        <v>0</v>
      </c>
    </row>
    <row r="1843" ht="45" spans="1:4">
      <c r="A1843" s="102" t="s">
        <v>3419</v>
      </c>
      <c r="B1843" s="102" t="s">
        <v>3420</v>
      </c>
      <c r="C1843" s="102" t="s">
        <v>56</v>
      </c>
      <c r="D1843" s="117">
        <f>IF(OR(Clientes[[#This Row],[Columna1]]="Pago inmediato",Clientes[[#This Row],[Columna1]]=""),0,SUBSTITUTE(Clientes[[#This Row],[Columna1]]," días",""))</f>
        <v>0</v>
      </c>
    </row>
    <row r="1844" ht="45" spans="1:4">
      <c r="A1844" s="102" t="s">
        <v>3421</v>
      </c>
      <c r="B1844" s="102" t="s">
        <v>3422</v>
      </c>
      <c r="C1844" s="102" t="s">
        <v>56</v>
      </c>
      <c r="D1844" s="117">
        <f>IF(OR(Clientes[[#This Row],[Columna1]]="Pago inmediato",Clientes[[#This Row],[Columna1]]=""),0,SUBSTITUTE(Clientes[[#This Row],[Columna1]]," días",""))</f>
        <v>0</v>
      </c>
    </row>
    <row r="1845" ht="45" spans="1:4">
      <c r="A1845" s="102" t="s">
        <v>3423</v>
      </c>
      <c r="B1845" s="102" t="s">
        <v>3424</v>
      </c>
      <c r="C1845" s="102" t="s">
        <v>56</v>
      </c>
      <c r="D1845" s="117">
        <f>IF(OR(Clientes[[#This Row],[Columna1]]="Pago inmediato",Clientes[[#This Row],[Columna1]]=""),0,SUBSTITUTE(Clientes[[#This Row],[Columna1]]," días",""))</f>
        <v>0</v>
      </c>
    </row>
    <row r="1846" spans="1:4">
      <c r="A1846" s="102" t="s">
        <v>3425</v>
      </c>
      <c r="B1846" s="102" t="s">
        <v>3426</v>
      </c>
      <c r="C1846" s="102" t="s">
        <v>56</v>
      </c>
      <c r="D1846" s="117">
        <f>IF(OR(Clientes[[#This Row],[Columna1]]="Pago inmediato",Clientes[[#This Row],[Columna1]]=""),0,SUBSTITUTE(Clientes[[#This Row],[Columna1]]," días",""))</f>
        <v>0</v>
      </c>
    </row>
    <row r="1847" spans="1:4">
      <c r="A1847" s="102" t="s">
        <v>3427</v>
      </c>
      <c r="B1847" s="102" t="s">
        <v>3428</v>
      </c>
      <c r="C1847" s="102" t="s">
        <v>61</v>
      </c>
      <c r="D1847" s="117" t="str">
        <f>IF(OR(Clientes[[#This Row],[Columna1]]="Pago inmediato",Clientes[[#This Row],[Columna1]]=""),0,SUBSTITUTE(Clientes[[#This Row],[Columna1]]," días",""))</f>
        <v>15</v>
      </c>
    </row>
    <row r="1848" ht="30" spans="1:4">
      <c r="A1848" s="102" t="s">
        <v>3429</v>
      </c>
      <c r="B1848" s="102" t="s">
        <v>3430</v>
      </c>
      <c r="C1848" s="102" t="s">
        <v>282</v>
      </c>
      <c r="D1848" s="117" t="str">
        <f>IF(OR(Clientes[[#This Row],[Columna1]]="Pago inmediato",Clientes[[#This Row],[Columna1]]=""),0,SUBSTITUTE(Clientes[[#This Row],[Columna1]]," días",""))</f>
        <v>10</v>
      </c>
    </row>
    <row r="1849" ht="30" spans="1:4">
      <c r="A1849" s="102" t="s">
        <v>3431</v>
      </c>
      <c r="B1849" s="102" t="s">
        <v>3432</v>
      </c>
      <c r="C1849" s="102" t="s">
        <v>56</v>
      </c>
      <c r="D1849" s="117">
        <f>IF(OR(Clientes[[#This Row],[Columna1]]="Pago inmediato",Clientes[[#This Row],[Columna1]]=""),0,SUBSTITUTE(Clientes[[#This Row],[Columna1]]," días",""))</f>
        <v>0</v>
      </c>
    </row>
    <row r="1850" ht="30" spans="1:4">
      <c r="A1850" s="102" t="s">
        <v>3431</v>
      </c>
      <c r="B1850" s="102" t="s">
        <v>3433</v>
      </c>
      <c r="C1850" s="102" t="s">
        <v>56</v>
      </c>
      <c r="D1850" s="117">
        <f>IF(OR(Clientes[[#This Row],[Columna1]]="Pago inmediato",Clientes[[#This Row],[Columna1]]=""),0,SUBSTITUTE(Clientes[[#This Row],[Columna1]]," días",""))</f>
        <v>0</v>
      </c>
    </row>
    <row r="1851" ht="30" spans="1:4">
      <c r="A1851" s="102" t="s">
        <v>3434</v>
      </c>
      <c r="B1851" s="102" t="s">
        <v>3435</v>
      </c>
      <c r="C1851" s="102" t="s">
        <v>56</v>
      </c>
      <c r="D1851" s="117">
        <f>IF(OR(Clientes[[#This Row],[Columna1]]="Pago inmediato",Clientes[[#This Row],[Columna1]]=""),0,SUBSTITUTE(Clientes[[#This Row],[Columna1]]," días",""))</f>
        <v>0</v>
      </c>
    </row>
    <row r="1852" spans="1:4">
      <c r="A1852" s="102" t="s">
        <v>3436</v>
      </c>
      <c r="B1852" s="102" t="s">
        <v>3437</v>
      </c>
      <c r="C1852" s="102" t="s">
        <v>56</v>
      </c>
      <c r="D1852" s="117">
        <f>IF(OR(Clientes[[#This Row],[Columna1]]="Pago inmediato",Clientes[[#This Row],[Columna1]]=""),0,SUBSTITUTE(Clientes[[#This Row],[Columna1]]," días",""))</f>
        <v>0</v>
      </c>
    </row>
    <row r="1853" spans="1:4">
      <c r="A1853" s="102" t="s">
        <v>3438</v>
      </c>
      <c r="B1853" s="102" t="s">
        <v>3439</v>
      </c>
      <c r="C1853" s="102" t="s">
        <v>54</v>
      </c>
      <c r="D1853" s="117" t="str">
        <f>IF(OR(Clientes[[#This Row],[Columna1]]="Pago inmediato",Clientes[[#This Row],[Columna1]]=""),0,SUBSTITUTE(Clientes[[#This Row],[Columna1]]," días",""))</f>
        <v>7</v>
      </c>
    </row>
    <row r="1854" ht="30" spans="1:4">
      <c r="A1854" s="102" t="s">
        <v>3440</v>
      </c>
      <c r="B1854" s="102" t="s">
        <v>3441</v>
      </c>
      <c r="C1854" s="102" t="s">
        <v>56</v>
      </c>
      <c r="D1854" s="117">
        <f>IF(OR(Clientes[[#This Row],[Columna1]]="Pago inmediato",Clientes[[#This Row],[Columna1]]=""),0,SUBSTITUTE(Clientes[[#This Row],[Columna1]]," días",""))</f>
        <v>0</v>
      </c>
    </row>
    <row r="1855" spans="1:4">
      <c r="A1855" s="102" t="s">
        <v>3442</v>
      </c>
      <c r="B1855" s="102" t="s">
        <v>3443</v>
      </c>
      <c r="C1855" s="102" t="s">
        <v>56</v>
      </c>
      <c r="D1855" s="117">
        <f>IF(OR(Clientes[[#This Row],[Columna1]]="Pago inmediato",Clientes[[#This Row],[Columna1]]=""),0,SUBSTITUTE(Clientes[[#This Row],[Columna1]]," días",""))</f>
        <v>0</v>
      </c>
    </row>
    <row r="1856" spans="1:4">
      <c r="A1856" s="102" t="s">
        <v>3444</v>
      </c>
      <c r="B1856" s="102" t="s">
        <v>3445</v>
      </c>
      <c r="C1856" s="102" t="s">
        <v>56</v>
      </c>
      <c r="D1856" s="117">
        <f>IF(OR(Clientes[[#This Row],[Columna1]]="Pago inmediato",Clientes[[#This Row],[Columna1]]=""),0,SUBSTITUTE(Clientes[[#This Row],[Columna1]]," días",""))</f>
        <v>0</v>
      </c>
    </row>
    <row r="1857" ht="30" spans="1:4">
      <c r="A1857" s="102" t="s">
        <v>3446</v>
      </c>
      <c r="B1857" s="102" t="s">
        <v>3447</v>
      </c>
      <c r="C1857" s="102" t="s">
        <v>56</v>
      </c>
      <c r="D1857" s="117">
        <f>IF(OR(Clientes[[#This Row],[Columna1]]="Pago inmediato",Clientes[[#This Row],[Columna1]]=""),0,SUBSTITUTE(Clientes[[#This Row],[Columna1]]," días",""))</f>
        <v>0</v>
      </c>
    </row>
    <row r="1858" ht="60" spans="1:4">
      <c r="A1858" s="102" t="s">
        <v>3448</v>
      </c>
      <c r="B1858" s="102" t="s">
        <v>3449</v>
      </c>
      <c r="C1858" s="118" t="s">
        <v>56</v>
      </c>
      <c r="D1858" s="117">
        <f>IF(OR(Clientes[[#This Row],[Columna1]]="Pago inmediato",Clientes[[#This Row],[Columna1]]=""),0,SUBSTITUTE(Clientes[[#This Row],[Columna1]]," días",""))</f>
        <v>0</v>
      </c>
    </row>
    <row r="1859" spans="1:4">
      <c r="A1859" s="102" t="s">
        <v>3450</v>
      </c>
      <c r="B1859" s="102" t="s">
        <v>3451</v>
      </c>
      <c r="C1859" s="102" t="s">
        <v>56</v>
      </c>
      <c r="D1859" s="117">
        <f>IF(OR(Clientes[[#This Row],[Columna1]]="Pago inmediato",Clientes[[#This Row],[Columna1]]=""),0,SUBSTITUTE(Clientes[[#This Row],[Columna1]]," días",""))</f>
        <v>0</v>
      </c>
    </row>
    <row r="1860" spans="1:4">
      <c r="A1860" s="102" t="s">
        <v>3452</v>
      </c>
      <c r="B1860" s="102" t="s">
        <v>3453</v>
      </c>
      <c r="C1860" s="102" t="s">
        <v>61</v>
      </c>
      <c r="D1860" s="117" t="str">
        <f>IF(OR(Clientes[[#This Row],[Columna1]]="Pago inmediato",Clientes[[#This Row],[Columna1]]=""),0,SUBSTITUTE(Clientes[[#This Row],[Columna1]]," días",""))</f>
        <v>15</v>
      </c>
    </row>
    <row r="1861" ht="30" spans="1:4">
      <c r="A1861" s="102" t="s">
        <v>3454</v>
      </c>
      <c r="B1861" s="102" t="s">
        <v>3455</v>
      </c>
      <c r="C1861" s="102" t="s">
        <v>56</v>
      </c>
      <c r="D1861" s="117">
        <f>IF(OR(Clientes[[#This Row],[Columna1]]="Pago inmediato",Clientes[[#This Row],[Columna1]]=""),0,SUBSTITUTE(Clientes[[#This Row],[Columna1]]," días",""))</f>
        <v>0</v>
      </c>
    </row>
    <row r="1862" spans="1:4">
      <c r="A1862" s="102" t="s">
        <v>3456</v>
      </c>
      <c r="B1862" s="102" t="s">
        <v>3457</v>
      </c>
      <c r="C1862" s="102" t="s">
        <v>56</v>
      </c>
      <c r="D1862" s="117">
        <f>IF(OR(Clientes[[#This Row],[Columna1]]="Pago inmediato",Clientes[[#This Row],[Columna1]]=""),0,SUBSTITUTE(Clientes[[#This Row],[Columna1]]," días",""))</f>
        <v>0</v>
      </c>
    </row>
    <row r="1863" ht="30" spans="1:4">
      <c r="A1863" s="102" t="s">
        <v>3456</v>
      </c>
      <c r="B1863" s="102" t="s">
        <v>3458</v>
      </c>
      <c r="C1863" s="102" t="s">
        <v>56</v>
      </c>
      <c r="D1863" s="117">
        <f>IF(OR(Clientes[[#This Row],[Columna1]]="Pago inmediato",Clientes[[#This Row],[Columna1]]=""),0,SUBSTITUTE(Clientes[[#This Row],[Columna1]]," días",""))</f>
        <v>0</v>
      </c>
    </row>
    <row r="1864" ht="30" spans="1:4">
      <c r="A1864" s="102" t="s">
        <v>3459</v>
      </c>
      <c r="B1864" s="102" t="s">
        <v>3460</v>
      </c>
      <c r="C1864" s="102" t="s">
        <v>56</v>
      </c>
      <c r="D1864" s="117">
        <f>IF(OR(Clientes[[#This Row],[Columna1]]="Pago inmediato",Clientes[[#This Row],[Columna1]]=""),0,SUBSTITUTE(Clientes[[#This Row],[Columna1]]," días",""))</f>
        <v>0</v>
      </c>
    </row>
    <row r="1865" ht="30" spans="1:4">
      <c r="A1865" s="102" t="s">
        <v>3461</v>
      </c>
      <c r="B1865" s="102" t="s">
        <v>3462</v>
      </c>
      <c r="C1865" s="102" t="s">
        <v>56</v>
      </c>
      <c r="D1865" s="117">
        <f>IF(OR(Clientes[[#This Row],[Columna1]]="Pago inmediato",Clientes[[#This Row],[Columna1]]=""),0,SUBSTITUTE(Clientes[[#This Row],[Columna1]]," días",""))</f>
        <v>0</v>
      </c>
    </row>
    <row r="1866" ht="30" spans="1:4">
      <c r="A1866" s="102" t="s">
        <v>3463</v>
      </c>
      <c r="B1866" s="102" t="s">
        <v>3464</v>
      </c>
      <c r="C1866" s="102" t="s">
        <v>56</v>
      </c>
      <c r="D1866" s="117">
        <f>IF(OR(Clientes[[#This Row],[Columna1]]="Pago inmediato",Clientes[[#This Row],[Columna1]]=""),0,SUBSTITUTE(Clientes[[#This Row],[Columna1]]," días",""))</f>
        <v>0</v>
      </c>
    </row>
    <row r="1867" ht="30" spans="1:4">
      <c r="A1867" s="102" t="s">
        <v>3465</v>
      </c>
      <c r="B1867" s="102" t="s">
        <v>3466</v>
      </c>
      <c r="C1867" s="102" t="s">
        <v>56</v>
      </c>
      <c r="D1867" s="117">
        <f>IF(OR(Clientes[[#This Row],[Columna1]]="Pago inmediato",Clientes[[#This Row],[Columna1]]=""),0,SUBSTITUTE(Clientes[[#This Row],[Columna1]]," días",""))</f>
        <v>0</v>
      </c>
    </row>
    <row r="1868" ht="45" spans="1:4">
      <c r="A1868" s="102" t="s">
        <v>3465</v>
      </c>
      <c r="B1868" s="102" t="s">
        <v>3467</v>
      </c>
      <c r="C1868" s="102" t="s">
        <v>56</v>
      </c>
      <c r="D1868" s="117">
        <f>IF(OR(Clientes[[#This Row],[Columna1]]="Pago inmediato",Clientes[[#This Row],[Columna1]]=""),0,SUBSTITUTE(Clientes[[#This Row],[Columna1]]," días",""))</f>
        <v>0</v>
      </c>
    </row>
    <row r="1869" ht="30" spans="1:4">
      <c r="A1869" s="102" t="s">
        <v>3468</v>
      </c>
      <c r="B1869" s="102" t="s">
        <v>3469</v>
      </c>
      <c r="C1869" s="102" t="s">
        <v>56</v>
      </c>
      <c r="D1869" s="117">
        <f>IF(OR(Clientes[[#This Row],[Columna1]]="Pago inmediato",Clientes[[#This Row],[Columna1]]=""),0,SUBSTITUTE(Clientes[[#This Row],[Columna1]]," días",""))</f>
        <v>0</v>
      </c>
    </row>
    <row r="1870" ht="30" spans="1:4">
      <c r="A1870" s="102" t="s">
        <v>3470</v>
      </c>
      <c r="B1870" s="102" t="s">
        <v>3471</v>
      </c>
      <c r="C1870" s="102" t="s">
        <v>56</v>
      </c>
      <c r="D1870" s="117">
        <f>IF(OR(Clientes[[#This Row],[Columna1]]="Pago inmediato",Clientes[[#This Row],[Columna1]]=""),0,SUBSTITUTE(Clientes[[#This Row],[Columna1]]," días",""))</f>
        <v>0</v>
      </c>
    </row>
    <row r="1871" ht="45" spans="1:4">
      <c r="A1871" s="102" t="s">
        <v>3472</v>
      </c>
      <c r="B1871" s="102" t="s">
        <v>3473</v>
      </c>
      <c r="C1871" s="102" t="s">
        <v>56</v>
      </c>
      <c r="D1871" s="117">
        <f>IF(OR(Clientes[[#This Row],[Columna1]]="Pago inmediato",Clientes[[#This Row],[Columna1]]=""),0,SUBSTITUTE(Clientes[[#This Row],[Columna1]]," días",""))</f>
        <v>0</v>
      </c>
    </row>
    <row r="1872" ht="30" spans="1:4">
      <c r="A1872" s="102" t="s">
        <v>3474</v>
      </c>
      <c r="B1872" s="102" t="s">
        <v>3475</v>
      </c>
      <c r="C1872" s="102" t="s">
        <v>56</v>
      </c>
      <c r="D1872" s="117">
        <f>IF(OR(Clientes[[#This Row],[Columna1]]="Pago inmediato",Clientes[[#This Row],[Columna1]]=""),0,SUBSTITUTE(Clientes[[#This Row],[Columna1]]," días",""))</f>
        <v>0</v>
      </c>
    </row>
    <row r="1873" ht="30" spans="1:4">
      <c r="A1873" s="102" t="s">
        <v>3476</v>
      </c>
      <c r="B1873" s="102" t="s">
        <v>3477</v>
      </c>
      <c r="C1873" s="102" t="s">
        <v>56</v>
      </c>
      <c r="D1873" s="117">
        <f>IF(OR(Clientes[[#This Row],[Columna1]]="Pago inmediato",Clientes[[#This Row],[Columna1]]=""),0,SUBSTITUTE(Clientes[[#This Row],[Columna1]]," días",""))</f>
        <v>0</v>
      </c>
    </row>
    <row r="1874" ht="30" spans="1:4">
      <c r="A1874" s="102" t="s">
        <v>3478</v>
      </c>
      <c r="B1874" s="102" t="s">
        <v>3479</v>
      </c>
      <c r="C1874" s="102" t="s">
        <v>56</v>
      </c>
      <c r="D1874" s="117">
        <f>IF(OR(Clientes[[#This Row],[Columna1]]="Pago inmediato",Clientes[[#This Row],[Columna1]]=""),0,SUBSTITUTE(Clientes[[#This Row],[Columna1]]," días",""))</f>
        <v>0</v>
      </c>
    </row>
    <row r="1875" spans="1:4">
      <c r="A1875" s="102" t="s">
        <v>3480</v>
      </c>
      <c r="B1875" s="102" t="s">
        <v>3481</v>
      </c>
      <c r="C1875" s="102" t="s">
        <v>2049</v>
      </c>
      <c r="D1875" s="117" t="str">
        <f>IF(OR(Clientes[[#This Row],[Columna1]]="Pago inmediato",Clientes[[#This Row],[Columna1]]=""),0,SUBSTITUTE(Clientes[[#This Row],[Columna1]]," días",""))</f>
        <v>30 Días</v>
      </c>
    </row>
    <row r="1876" spans="1:4">
      <c r="A1876" s="102" t="s">
        <v>3482</v>
      </c>
      <c r="B1876" s="102" t="s">
        <v>3483</v>
      </c>
      <c r="C1876" s="102" t="s">
        <v>56</v>
      </c>
      <c r="D1876" s="117">
        <f>IF(OR(Clientes[[#This Row],[Columna1]]="Pago inmediato",Clientes[[#This Row],[Columna1]]=""),0,SUBSTITUTE(Clientes[[#This Row],[Columna1]]," días",""))</f>
        <v>0</v>
      </c>
    </row>
    <row r="1877" ht="30" spans="1:4">
      <c r="A1877" s="102" t="s">
        <v>3484</v>
      </c>
      <c r="B1877" s="102" t="s">
        <v>3485</v>
      </c>
      <c r="C1877" s="102" t="s">
        <v>56</v>
      </c>
      <c r="D1877" s="117">
        <f>IF(OR(Clientes[[#This Row],[Columna1]]="Pago inmediato",Clientes[[#This Row],[Columna1]]=""),0,SUBSTITUTE(Clientes[[#This Row],[Columna1]]," días",""))</f>
        <v>0</v>
      </c>
    </row>
    <row r="1878" ht="30" spans="1:4">
      <c r="A1878" s="102" t="s">
        <v>3486</v>
      </c>
      <c r="B1878" s="102" t="s">
        <v>3487</v>
      </c>
      <c r="C1878" s="102" t="s">
        <v>56</v>
      </c>
      <c r="D1878" s="117">
        <f>IF(OR(Clientes[[#This Row],[Columna1]]="Pago inmediato",Clientes[[#This Row],[Columna1]]=""),0,SUBSTITUTE(Clientes[[#This Row],[Columna1]]," días",""))</f>
        <v>0</v>
      </c>
    </row>
    <row r="1879" ht="45" spans="1:4">
      <c r="A1879" s="102" t="s">
        <v>3488</v>
      </c>
      <c r="B1879" s="102" t="s">
        <v>3489</v>
      </c>
      <c r="C1879" s="102" t="s">
        <v>56</v>
      </c>
      <c r="D1879" s="117">
        <f>IF(OR(Clientes[[#This Row],[Columna1]]="Pago inmediato",Clientes[[#This Row],[Columna1]]=""),0,SUBSTITUTE(Clientes[[#This Row],[Columna1]]," días",""))</f>
        <v>0</v>
      </c>
    </row>
    <row r="1880" ht="30" spans="1:4">
      <c r="A1880" s="102" t="s">
        <v>3490</v>
      </c>
      <c r="B1880" s="102" t="s">
        <v>3491</v>
      </c>
      <c r="C1880" s="102" t="s">
        <v>56</v>
      </c>
      <c r="D1880" s="117">
        <f>IF(OR(Clientes[[#This Row],[Columna1]]="Pago inmediato",Clientes[[#This Row],[Columna1]]=""),0,SUBSTITUTE(Clientes[[#This Row],[Columna1]]," días",""))</f>
        <v>0</v>
      </c>
    </row>
    <row r="1881" ht="45" spans="1:4">
      <c r="A1881" s="102" t="s">
        <v>3492</v>
      </c>
      <c r="B1881" s="102" t="s">
        <v>3493</v>
      </c>
      <c r="C1881" s="102" t="s">
        <v>56</v>
      </c>
      <c r="D1881" s="117">
        <f>IF(OR(Clientes[[#This Row],[Columna1]]="Pago inmediato",Clientes[[#This Row],[Columna1]]=""),0,SUBSTITUTE(Clientes[[#This Row],[Columna1]]," días",""))</f>
        <v>0</v>
      </c>
    </row>
    <row r="1882" ht="60" spans="1:4">
      <c r="A1882" s="102" t="s">
        <v>3492</v>
      </c>
      <c r="B1882" s="102" t="s">
        <v>3494</v>
      </c>
      <c r="C1882" s="102" t="s">
        <v>56</v>
      </c>
      <c r="D1882" s="117">
        <f>IF(OR(Clientes[[#This Row],[Columna1]]="Pago inmediato",Clientes[[#This Row],[Columna1]]=""),0,SUBSTITUTE(Clientes[[#This Row],[Columna1]]," días",""))</f>
        <v>0</v>
      </c>
    </row>
    <row r="1883" ht="30" spans="1:4">
      <c r="A1883" s="102" t="s">
        <v>3495</v>
      </c>
      <c r="B1883" s="102" t="s">
        <v>3496</v>
      </c>
      <c r="C1883" s="102" t="s">
        <v>56</v>
      </c>
      <c r="D1883" s="117">
        <f>IF(OR(Clientes[[#This Row],[Columna1]]="Pago inmediato",Clientes[[#This Row],[Columna1]]=""),0,SUBSTITUTE(Clientes[[#This Row],[Columna1]]," días",""))</f>
        <v>0</v>
      </c>
    </row>
    <row r="1884" ht="30" spans="1:4">
      <c r="A1884" s="102" t="s">
        <v>3497</v>
      </c>
      <c r="B1884" s="102" t="s">
        <v>3498</v>
      </c>
      <c r="C1884" s="102" t="s">
        <v>56</v>
      </c>
      <c r="D1884" s="117">
        <f>IF(OR(Clientes[[#This Row],[Columna1]]="Pago inmediato",Clientes[[#This Row],[Columna1]]=""),0,SUBSTITUTE(Clientes[[#This Row],[Columna1]]," días",""))</f>
        <v>0</v>
      </c>
    </row>
    <row r="1885" ht="45" spans="1:4">
      <c r="A1885" s="102" t="s">
        <v>3497</v>
      </c>
      <c r="B1885" s="102" t="s">
        <v>3499</v>
      </c>
      <c r="C1885" s="102" t="s">
        <v>56</v>
      </c>
      <c r="D1885" s="117">
        <f>IF(OR(Clientes[[#This Row],[Columna1]]="Pago inmediato",Clientes[[#This Row],[Columna1]]=""),0,SUBSTITUTE(Clientes[[#This Row],[Columna1]]," días",""))</f>
        <v>0</v>
      </c>
    </row>
    <row r="1886" ht="30" spans="1:4">
      <c r="A1886" s="102" t="s">
        <v>3500</v>
      </c>
      <c r="B1886" s="102" t="s">
        <v>3501</v>
      </c>
      <c r="C1886" s="102" t="s">
        <v>56</v>
      </c>
      <c r="D1886" s="117">
        <f>IF(OR(Clientes[[#This Row],[Columna1]]="Pago inmediato",Clientes[[#This Row],[Columna1]]=""),0,SUBSTITUTE(Clientes[[#This Row],[Columna1]]," días",""))</f>
        <v>0</v>
      </c>
    </row>
    <row r="1887" spans="1:4">
      <c r="A1887" s="102" t="s">
        <v>3502</v>
      </c>
      <c r="B1887" s="102" t="s">
        <v>3503</v>
      </c>
      <c r="C1887" s="102" t="s">
        <v>54</v>
      </c>
      <c r="D1887" s="117" t="str">
        <f>IF(OR(Clientes[[#This Row],[Columna1]]="Pago inmediato",Clientes[[#This Row],[Columna1]]=""),0,SUBSTITUTE(Clientes[[#This Row],[Columna1]]," días",""))</f>
        <v>7</v>
      </c>
    </row>
    <row r="1888" spans="1:4">
      <c r="A1888" s="102" t="s">
        <v>3504</v>
      </c>
      <c r="B1888" s="102" t="s">
        <v>3505</v>
      </c>
      <c r="C1888" s="102" t="s">
        <v>56</v>
      </c>
      <c r="D1888" s="117">
        <f>IF(OR(Clientes[[#This Row],[Columna1]]="Pago inmediato",Clientes[[#This Row],[Columna1]]=""),0,SUBSTITUTE(Clientes[[#This Row],[Columna1]]," días",""))</f>
        <v>0</v>
      </c>
    </row>
    <row r="1889" ht="30" spans="1:4">
      <c r="A1889" s="102" t="s">
        <v>3506</v>
      </c>
      <c r="B1889" s="102" t="s">
        <v>3507</v>
      </c>
      <c r="C1889" s="102" t="s">
        <v>56</v>
      </c>
      <c r="D1889" s="117">
        <f>IF(OR(Clientes[[#This Row],[Columna1]]="Pago inmediato",Clientes[[#This Row],[Columna1]]=""),0,SUBSTITUTE(Clientes[[#This Row],[Columna1]]," días",""))</f>
        <v>0</v>
      </c>
    </row>
    <row r="1890" ht="30" spans="1:4">
      <c r="A1890" s="102" t="s">
        <v>3508</v>
      </c>
      <c r="B1890" s="102" t="s">
        <v>3509</v>
      </c>
      <c r="C1890" s="102" t="s">
        <v>56</v>
      </c>
      <c r="D1890" s="117">
        <f>IF(OR(Clientes[[#This Row],[Columna1]]="Pago inmediato",Clientes[[#This Row],[Columna1]]=""),0,SUBSTITUTE(Clientes[[#This Row],[Columna1]]," días",""))</f>
        <v>0</v>
      </c>
    </row>
    <row r="1891" ht="30" spans="1:4">
      <c r="A1891" s="102" t="s">
        <v>3510</v>
      </c>
      <c r="B1891" s="102" t="s">
        <v>3511</v>
      </c>
      <c r="C1891" s="102" t="s">
        <v>56</v>
      </c>
      <c r="D1891" s="117">
        <f>IF(OR(Clientes[[#This Row],[Columna1]]="Pago inmediato",Clientes[[#This Row],[Columna1]]=""),0,SUBSTITUTE(Clientes[[#This Row],[Columna1]]," días",""))</f>
        <v>0</v>
      </c>
    </row>
    <row r="1892" ht="30" spans="1:4">
      <c r="A1892" s="102" t="s">
        <v>3512</v>
      </c>
      <c r="B1892" s="102" t="s">
        <v>3513</v>
      </c>
      <c r="C1892" s="102" t="s">
        <v>56</v>
      </c>
      <c r="D1892" s="117">
        <f>IF(OR(Clientes[[#This Row],[Columna1]]="Pago inmediato",Clientes[[#This Row],[Columna1]]=""),0,SUBSTITUTE(Clientes[[#This Row],[Columna1]]," días",""))</f>
        <v>0</v>
      </c>
    </row>
    <row r="1893" ht="30" spans="1:4">
      <c r="A1893" s="102" t="s">
        <v>3512</v>
      </c>
      <c r="B1893" s="102" t="s">
        <v>3514</v>
      </c>
      <c r="C1893" s="102" t="s">
        <v>56</v>
      </c>
      <c r="D1893" s="117">
        <f>IF(OR(Clientes[[#This Row],[Columna1]]="Pago inmediato",Clientes[[#This Row],[Columna1]]=""),0,SUBSTITUTE(Clientes[[#This Row],[Columna1]]," días",""))</f>
        <v>0</v>
      </c>
    </row>
    <row r="1894" ht="30" spans="1:4">
      <c r="A1894" s="102" t="s">
        <v>3515</v>
      </c>
      <c r="B1894" s="102" t="s">
        <v>3516</v>
      </c>
      <c r="C1894" s="102" t="s">
        <v>56</v>
      </c>
      <c r="D1894" s="117">
        <f>IF(OR(Clientes[[#This Row],[Columna1]]="Pago inmediato",Clientes[[#This Row],[Columna1]]=""),0,SUBSTITUTE(Clientes[[#This Row],[Columna1]]," días",""))</f>
        <v>0</v>
      </c>
    </row>
    <row r="1895" ht="60" spans="1:4">
      <c r="A1895" s="102" t="s">
        <v>3517</v>
      </c>
      <c r="B1895" s="102" t="s">
        <v>3518</v>
      </c>
      <c r="C1895" s="102" t="s">
        <v>56</v>
      </c>
      <c r="D1895" s="117">
        <f>IF(OR(Clientes[[#This Row],[Columna1]]="Pago inmediato",Clientes[[#This Row],[Columna1]]=""),0,SUBSTITUTE(Clientes[[#This Row],[Columna1]]," días",""))</f>
        <v>0</v>
      </c>
    </row>
    <row r="1896" ht="30" spans="1:4">
      <c r="A1896" s="102" t="s">
        <v>3519</v>
      </c>
      <c r="B1896" s="102" t="s">
        <v>3520</v>
      </c>
      <c r="C1896" s="102" t="s">
        <v>56</v>
      </c>
      <c r="D1896" s="117">
        <f>IF(OR(Clientes[[#This Row],[Columna1]]="Pago inmediato",Clientes[[#This Row],[Columna1]]=""),0,SUBSTITUTE(Clientes[[#This Row],[Columna1]]," días",""))</f>
        <v>0</v>
      </c>
    </row>
    <row r="1897" ht="45" spans="1:4">
      <c r="A1897" s="102" t="s">
        <v>3519</v>
      </c>
      <c r="B1897" s="102" t="s">
        <v>3521</v>
      </c>
      <c r="C1897" s="102" t="s">
        <v>56</v>
      </c>
      <c r="D1897" s="117">
        <f>IF(OR(Clientes[[#This Row],[Columna1]]="Pago inmediato",Clientes[[#This Row],[Columna1]]=""),0,SUBSTITUTE(Clientes[[#This Row],[Columna1]]," días",""))</f>
        <v>0</v>
      </c>
    </row>
    <row r="1898" ht="30" spans="1:4">
      <c r="A1898" s="102" t="s">
        <v>3522</v>
      </c>
      <c r="B1898" s="102" t="s">
        <v>3523</v>
      </c>
      <c r="C1898" s="102" t="s">
        <v>61</v>
      </c>
      <c r="D1898" s="117" t="str">
        <f>IF(OR(Clientes[[#This Row],[Columna1]]="Pago inmediato",Clientes[[#This Row],[Columna1]]=""),0,SUBSTITUTE(Clientes[[#This Row],[Columna1]]," días",""))</f>
        <v>15</v>
      </c>
    </row>
    <row r="1899" ht="30" spans="1:4">
      <c r="A1899" s="102" t="s">
        <v>3524</v>
      </c>
      <c r="B1899" s="102" t="s">
        <v>3525</v>
      </c>
      <c r="C1899" s="102" t="s">
        <v>56</v>
      </c>
      <c r="D1899" s="117">
        <f>IF(OR(Clientes[[#This Row],[Columna1]]="Pago inmediato",Clientes[[#This Row],[Columna1]]=""),0,SUBSTITUTE(Clientes[[#This Row],[Columna1]]," días",""))</f>
        <v>0</v>
      </c>
    </row>
    <row r="1900" ht="30" spans="1:4">
      <c r="A1900" s="102" t="s">
        <v>3526</v>
      </c>
      <c r="B1900" s="102" t="s">
        <v>3527</v>
      </c>
      <c r="C1900" s="102" t="s">
        <v>56</v>
      </c>
      <c r="D1900" s="117">
        <f>IF(OR(Clientes[[#This Row],[Columna1]]="Pago inmediato",Clientes[[#This Row],[Columna1]]=""),0,SUBSTITUTE(Clientes[[#This Row],[Columna1]]," días",""))</f>
        <v>0</v>
      </c>
    </row>
    <row r="1901" ht="45" spans="1:4">
      <c r="A1901" s="102" t="s">
        <v>3528</v>
      </c>
      <c r="B1901" s="102" t="s">
        <v>3529</v>
      </c>
      <c r="C1901" s="102" t="s">
        <v>56</v>
      </c>
      <c r="D1901" s="117">
        <f>IF(OR(Clientes[[#This Row],[Columna1]]="Pago inmediato",Clientes[[#This Row],[Columna1]]=""),0,SUBSTITUTE(Clientes[[#This Row],[Columna1]]," días",""))</f>
        <v>0</v>
      </c>
    </row>
    <row r="1902" ht="60" spans="1:4">
      <c r="A1902" s="102" t="s">
        <v>3528</v>
      </c>
      <c r="B1902" s="102" t="s">
        <v>3530</v>
      </c>
      <c r="C1902" s="102" t="s">
        <v>56</v>
      </c>
      <c r="D1902" s="117">
        <f>IF(OR(Clientes[[#This Row],[Columna1]]="Pago inmediato",Clientes[[#This Row],[Columna1]]=""),0,SUBSTITUTE(Clientes[[#This Row],[Columna1]]," días",""))</f>
        <v>0</v>
      </c>
    </row>
    <row r="1903" ht="30" spans="1:4">
      <c r="A1903" s="102" t="s">
        <v>3531</v>
      </c>
      <c r="B1903" s="102" t="s">
        <v>3532</v>
      </c>
      <c r="C1903" s="102" t="s">
        <v>61</v>
      </c>
      <c r="D1903" s="117" t="str">
        <f>IF(OR(Clientes[[#This Row],[Columna1]]="Pago inmediato",Clientes[[#This Row],[Columna1]]=""),0,SUBSTITUTE(Clientes[[#This Row],[Columna1]]," días",""))</f>
        <v>15</v>
      </c>
    </row>
    <row r="1904" ht="30" spans="1:4">
      <c r="A1904" s="102" t="s">
        <v>3533</v>
      </c>
      <c r="B1904" s="102" t="s">
        <v>3534</v>
      </c>
      <c r="C1904" s="102" t="s">
        <v>56</v>
      </c>
      <c r="D1904" s="117">
        <f>IF(OR(Clientes[[#This Row],[Columna1]]="Pago inmediato",Clientes[[#This Row],[Columna1]]=""),0,SUBSTITUTE(Clientes[[#This Row],[Columna1]]," días",""))</f>
        <v>0</v>
      </c>
    </row>
    <row r="1905" ht="45" spans="1:4">
      <c r="A1905" s="102" t="s">
        <v>3535</v>
      </c>
      <c r="B1905" s="102" t="s">
        <v>3536</v>
      </c>
      <c r="C1905" s="102" t="s">
        <v>56</v>
      </c>
      <c r="D1905" s="117">
        <f>IF(OR(Clientes[[#This Row],[Columna1]]="Pago inmediato",Clientes[[#This Row],[Columna1]]=""),0,SUBSTITUTE(Clientes[[#This Row],[Columna1]]," días",""))</f>
        <v>0</v>
      </c>
    </row>
    <row r="1906" ht="30" spans="1:4">
      <c r="A1906" s="102" t="s">
        <v>3537</v>
      </c>
      <c r="B1906" s="102" t="s">
        <v>3538</v>
      </c>
      <c r="C1906" s="102" t="s">
        <v>56</v>
      </c>
      <c r="D1906" s="117">
        <f>IF(OR(Clientes[[#This Row],[Columna1]]="Pago inmediato",Clientes[[#This Row],[Columna1]]=""),0,SUBSTITUTE(Clientes[[#This Row],[Columna1]]," días",""))</f>
        <v>0</v>
      </c>
    </row>
    <row r="1907" ht="45" spans="1:4">
      <c r="A1907" s="102" t="s">
        <v>3537</v>
      </c>
      <c r="B1907" s="102" t="s">
        <v>3539</v>
      </c>
      <c r="C1907" s="102" t="s">
        <v>56</v>
      </c>
      <c r="D1907" s="117">
        <f>IF(OR(Clientes[[#This Row],[Columna1]]="Pago inmediato",Clientes[[#This Row],[Columna1]]=""),0,SUBSTITUTE(Clientes[[#This Row],[Columna1]]," días",""))</f>
        <v>0</v>
      </c>
    </row>
    <row r="1908" ht="45" spans="1:4">
      <c r="A1908" s="102" t="s">
        <v>3540</v>
      </c>
      <c r="B1908" s="102" t="s">
        <v>3541</v>
      </c>
      <c r="C1908" s="102" t="s">
        <v>56</v>
      </c>
      <c r="D1908" s="117">
        <f>IF(OR(Clientes[[#This Row],[Columna1]]="Pago inmediato",Clientes[[#This Row],[Columna1]]=""),0,SUBSTITUTE(Clientes[[#This Row],[Columna1]]," días",""))</f>
        <v>0</v>
      </c>
    </row>
    <row r="1909" ht="30" spans="1:4">
      <c r="A1909" s="102" t="s">
        <v>3542</v>
      </c>
      <c r="B1909" s="102" t="s">
        <v>3543</v>
      </c>
      <c r="C1909" s="102" t="s">
        <v>56</v>
      </c>
      <c r="D1909" s="117">
        <f>IF(OR(Clientes[[#This Row],[Columna1]]="Pago inmediato",Clientes[[#This Row],[Columna1]]=""),0,SUBSTITUTE(Clientes[[#This Row],[Columna1]]," días",""))</f>
        <v>0</v>
      </c>
    </row>
    <row r="1910" ht="30" spans="1:4">
      <c r="A1910" s="102" t="s">
        <v>3544</v>
      </c>
      <c r="B1910" s="102" t="s">
        <v>3545</v>
      </c>
      <c r="C1910" s="102" t="s">
        <v>56</v>
      </c>
      <c r="D1910" s="117">
        <f>IF(OR(Clientes[[#This Row],[Columna1]]="Pago inmediato",Clientes[[#This Row],[Columna1]]=""),0,SUBSTITUTE(Clientes[[#This Row],[Columna1]]," días",""))</f>
        <v>0</v>
      </c>
    </row>
    <row r="1911" ht="30" spans="1:4">
      <c r="A1911" s="102" t="s">
        <v>3546</v>
      </c>
      <c r="B1911" s="102" t="s">
        <v>3547</v>
      </c>
      <c r="C1911" s="102" t="s">
        <v>56</v>
      </c>
      <c r="D1911" s="117">
        <f>IF(OR(Clientes[[#This Row],[Columna1]]="Pago inmediato",Clientes[[#This Row],[Columna1]]=""),0,SUBSTITUTE(Clientes[[#This Row],[Columna1]]," días",""))</f>
        <v>0</v>
      </c>
    </row>
    <row r="1912" ht="45" spans="1:4">
      <c r="A1912" s="102" t="s">
        <v>3548</v>
      </c>
      <c r="B1912" s="102" t="s">
        <v>3549</v>
      </c>
      <c r="C1912" s="102" t="s">
        <v>56</v>
      </c>
      <c r="D1912" s="117">
        <f>IF(OR(Clientes[[#This Row],[Columna1]]="Pago inmediato",Clientes[[#This Row],[Columna1]]=""),0,SUBSTITUTE(Clientes[[#This Row],[Columna1]]," días",""))</f>
        <v>0</v>
      </c>
    </row>
    <row r="1913" ht="30" spans="1:4">
      <c r="A1913" s="102" t="s">
        <v>3550</v>
      </c>
      <c r="B1913" s="102" t="s">
        <v>3551</v>
      </c>
      <c r="C1913" s="102" t="s">
        <v>56</v>
      </c>
      <c r="D1913" s="117">
        <f>IF(OR(Clientes[[#This Row],[Columna1]]="Pago inmediato",Clientes[[#This Row],[Columna1]]=""),0,SUBSTITUTE(Clientes[[#This Row],[Columna1]]," días",""))</f>
        <v>0</v>
      </c>
    </row>
    <row r="1914" ht="60" spans="1:4">
      <c r="A1914" s="102" t="s">
        <v>3550</v>
      </c>
      <c r="B1914" s="102" t="s">
        <v>3552</v>
      </c>
      <c r="C1914" s="102" t="s">
        <v>56</v>
      </c>
      <c r="D1914" s="117">
        <f>IF(OR(Clientes[[#This Row],[Columna1]]="Pago inmediato",Clientes[[#This Row],[Columna1]]=""),0,SUBSTITUTE(Clientes[[#This Row],[Columna1]]," días",""))</f>
        <v>0</v>
      </c>
    </row>
    <row r="1915" spans="1:4">
      <c r="A1915" s="102" t="s">
        <v>3553</v>
      </c>
      <c r="B1915" s="102" t="s">
        <v>3554</v>
      </c>
      <c r="C1915" s="102" t="s">
        <v>56</v>
      </c>
      <c r="D1915" s="117">
        <f>IF(OR(Clientes[[#This Row],[Columna1]]="Pago inmediato",Clientes[[#This Row],[Columna1]]=""),0,SUBSTITUTE(Clientes[[#This Row],[Columna1]]," días",""))</f>
        <v>0</v>
      </c>
    </row>
    <row r="1916" spans="1:4">
      <c r="A1916" s="102" t="s">
        <v>3555</v>
      </c>
      <c r="B1916" s="102" t="s">
        <v>3556</v>
      </c>
      <c r="C1916" s="102" t="s">
        <v>56</v>
      </c>
      <c r="D1916" s="117">
        <f>IF(OR(Clientes[[#This Row],[Columna1]]="Pago inmediato",Clientes[[#This Row],[Columna1]]=""),0,SUBSTITUTE(Clientes[[#This Row],[Columna1]]," días",""))</f>
        <v>0</v>
      </c>
    </row>
    <row r="1917" ht="30" spans="1:4">
      <c r="A1917" s="102" t="s">
        <v>3557</v>
      </c>
      <c r="B1917" s="102" t="s">
        <v>3558</v>
      </c>
      <c r="C1917" s="102" t="s">
        <v>56</v>
      </c>
      <c r="D1917" s="117">
        <f>IF(OR(Clientes[[#This Row],[Columna1]]="Pago inmediato",Clientes[[#This Row],[Columna1]]=""),0,SUBSTITUTE(Clientes[[#This Row],[Columna1]]," días",""))</f>
        <v>0</v>
      </c>
    </row>
    <row r="1918" ht="30" spans="1:4">
      <c r="A1918" s="102" t="s">
        <v>3559</v>
      </c>
      <c r="B1918" s="102" t="s">
        <v>3560</v>
      </c>
      <c r="C1918" s="102" t="s">
        <v>56</v>
      </c>
      <c r="D1918" s="117">
        <f>IF(OR(Clientes[[#This Row],[Columna1]]="Pago inmediato",Clientes[[#This Row],[Columna1]]=""),0,SUBSTITUTE(Clientes[[#This Row],[Columna1]]," días",""))</f>
        <v>0</v>
      </c>
    </row>
    <row r="1919" spans="1:4">
      <c r="A1919" s="102" t="s">
        <v>3561</v>
      </c>
      <c r="B1919" s="102" t="s">
        <v>3562</v>
      </c>
      <c r="C1919" s="102" t="s">
        <v>56</v>
      </c>
      <c r="D1919" s="117">
        <f>IF(OR(Clientes[[#This Row],[Columna1]]="Pago inmediato",Clientes[[#This Row],[Columna1]]=""),0,SUBSTITUTE(Clientes[[#This Row],[Columna1]]," días",""))</f>
        <v>0</v>
      </c>
    </row>
    <row r="1920" ht="30" spans="1:4">
      <c r="A1920" s="102" t="s">
        <v>3563</v>
      </c>
      <c r="B1920" s="102" t="s">
        <v>3564</v>
      </c>
      <c r="C1920" s="102" t="s">
        <v>56</v>
      </c>
      <c r="D1920" s="117">
        <f>IF(OR(Clientes[[#This Row],[Columna1]]="Pago inmediato",Clientes[[#This Row],[Columna1]]=""),0,SUBSTITUTE(Clientes[[#This Row],[Columna1]]," días",""))</f>
        <v>0</v>
      </c>
    </row>
    <row r="1921" spans="1:4">
      <c r="A1921" s="102" t="s">
        <v>3565</v>
      </c>
      <c r="B1921" s="102" t="s">
        <v>3566</v>
      </c>
      <c r="C1921" s="102" t="s">
        <v>56</v>
      </c>
      <c r="D1921" s="117">
        <f>IF(OR(Clientes[[#This Row],[Columna1]]="Pago inmediato",Clientes[[#This Row],[Columna1]]=""),0,SUBSTITUTE(Clientes[[#This Row],[Columna1]]," días",""))</f>
        <v>0</v>
      </c>
    </row>
    <row r="1922" ht="30" spans="1:4">
      <c r="A1922" s="102" t="s">
        <v>3567</v>
      </c>
      <c r="B1922" s="102" t="s">
        <v>3568</v>
      </c>
      <c r="C1922" s="102" t="s">
        <v>56</v>
      </c>
      <c r="D1922" s="117">
        <f>IF(OR(Clientes[[#This Row],[Columna1]]="Pago inmediato",Clientes[[#This Row],[Columna1]]=""),0,SUBSTITUTE(Clientes[[#This Row],[Columna1]]," días",""))</f>
        <v>0</v>
      </c>
    </row>
    <row r="1923" spans="1:4">
      <c r="A1923" s="102" t="s">
        <v>3569</v>
      </c>
      <c r="B1923" s="102" t="s">
        <v>3570</v>
      </c>
      <c r="C1923" s="102" t="s">
        <v>56</v>
      </c>
      <c r="D1923" s="117">
        <f>IF(OR(Clientes[[#This Row],[Columna1]]="Pago inmediato",Clientes[[#This Row],[Columna1]]=""),0,SUBSTITUTE(Clientes[[#This Row],[Columna1]]," días",""))</f>
        <v>0</v>
      </c>
    </row>
    <row r="1924" ht="30" spans="1:4">
      <c r="A1924" s="102" t="s">
        <v>3569</v>
      </c>
      <c r="B1924" s="102" t="s">
        <v>3571</v>
      </c>
      <c r="C1924" s="102" t="s">
        <v>56</v>
      </c>
      <c r="D1924" s="117">
        <f>IF(OR(Clientes[[#This Row],[Columna1]]="Pago inmediato",Clientes[[#This Row],[Columna1]]=""),0,SUBSTITUTE(Clientes[[#This Row],[Columna1]]," días",""))</f>
        <v>0</v>
      </c>
    </row>
    <row r="1925" spans="1:4">
      <c r="A1925" s="102" t="s">
        <v>3572</v>
      </c>
      <c r="B1925" s="102" t="s">
        <v>3573</v>
      </c>
      <c r="C1925" s="102" t="s">
        <v>56</v>
      </c>
      <c r="D1925" s="119">
        <f>IF(OR(Clientes[[#This Row],[Columna1]]="Pago inmediato",Clientes[[#This Row],[Columna1]]=""),0,SUBSTITUTE(Clientes[[#This Row],[Columna1]]," días",""))</f>
        <v>0</v>
      </c>
    </row>
    <row r="1926" ht="30" spans="1:4">
      <c r="A1926" s="102" t="s">
        <v>3574</v>
      </c>
      <c r="B1926" s="102" t="s">
        <v>3575</v>
      </c>
      <c r="C1926" s="102" t="s">
        <v>56</v>
      </c>
      <c r="D1926" s="119">
        <f>IF(OR(Clientes[[#This Row],[Columna1]]="Pago inmediato",Clientes[[#This Row],[Columna1]]=""),0,SUBSTITUTE(Clientes[[#This Row],[Columna1]]," días",""))</f>
        <v>0</v>
      </c>
    </row>
    <row r="1927" ht="30" spans="1:4">
      <c r="A1927" s="102" t="s">
        <v>3576</v>
      </c>
      <c r="B1927" s="102" t="s">
        <v>3577</v>
      </c>
      <c r="C1927" s="102" t="s">
        <v>61</v>
      </c>
      <c r="D1927" s="119" t="str">
        <f>IF(OR(Clientes[[#This Row],[Columna1]]="Pago inmediato",Clientes[[#This Row],[Columna1]]=""),0,SUBSTITUTE(Clientes[[#This Row],[Columna1]]," días",""))</f>
        <v>15</v>
      </c>
    </row>
    <row r="1928" ht="30" spans="1:4">
      <c r="A1928" s="102" t="s">
        <v>3578</v>
      </c>
      <c r="B1928" s="102" t="s">
        <v>3579</v>
      </c>
      <c r="C1928" s="102" t="s">
        <v>454</v>
      </c>
      <c r="D1928" s="119" t="str">
        <f>IF(OR(Clientes[[#This Row],[Columna1]]="Pago inmediato",Clientes[[#This Row],[Columna1]]=""),0,SUBSTITUTE(Clientes[[#This Row],[Columna1]]," días",""))</f>
        <v>21</v>
      </c>
    </row>
    <row r="1929" ht="30" spans="1:4">
      <c r="A1929" s="102" t="s">
        <v>3580</v>
      </c>
      <c r="B1929" s="102" t="s">
        <v>3581</v>
      </c>
      <c r="C1929" s="102" t="s">
        <v>454</v>
      </c>
      <c r="D1929" s="119" t="str">
        <f>IF(OR(Clientes[[#This Row],[Columna1]]="Pago inmediato",Clientes[[#This Row],[Columna1]]=""),0,SUBSTITUTE(Clientes[[#This Row],[Columna1]]," días",""))</f>
        <v>21</v>
      </c>
    </row>
    <row r="1930" spans="1:4">
      <c r="A1930" s="102" t="s">
        <v>3582</v>
      </c>
      <c r="B1930" s="102" t="s">
        <v>3583</v>
      </c>
      <c r="C1930" s="102" t="s">
        <v>56</v>
      </c>
      <c r="D1930" s="119">
        <f>IF(OR(Clientes[[#This Row],[Columna1]]="Pago inmediato",Clientes[[#This Row],[Columna1]]=""),0,SUBSTITUTE(Clientes[[#This Row],[Columna1]]," días",""))</f>
        <v>0</v>
      </c>
    </row>
    <row r="1931" spans="1:4">
      <c r="A1931" s="102" t="s">
        <v>3584</v>
      </c>
      <c r="B1931" s="102" t="s">
        <v>3585</v>
      </c>
      <c r="C1931" s="102" t="s">
        <v>56</v>
      </c>
      <c r="D1931" s="119">
        <f>IF(OR(Clientes[[#This Row],[Columna1]]="Pago inmediato",Clientes[[#This Row],[Columna1]]=""),0,SUBSTITUTE(Clientes[[#This Row],[Columna1]]," días",""))</f>
        <v>0</v>
      </c>
    </row>
    <row r="1932" ht="45" spans="1:4">
      <c r="A1932" s="102" t="s">
        <v>3586</v>
      </c>
      <c r="B1932" s="102" t="s">
        <v>3587</v>
      </c>
      <c r="C1932" s="102" t="s">
        <v>56</v>
      </c>
      <c r="D1932" s="119">
        <f>IF(OR(Clientes[[#This Row],[Columna1]]="Pago inmediato",Clientes[[#This Row],[Columna1]]=""),0,SUBSTITUTE(Clientes[[#This Row],[Columna1]]," días",""))</f>
        <v>0</v>
      </c>
    </row>
    <row r="1933" ht="30" spans="1:4">
      <c r="A1933" s="102" t="s">
        <v>3588</v>
      </c>
      <c r="B1933" s="102" t="s">
        <v>3589</v>
      </c>
      <c r="C1933" s="102" t="s">
        <v>56</v>
      </c>
      <c r="D1933" s="119">
        <f>IF(OR(Clientes[[#This Row],[Columna1]]="Pago inmediato",Clientes[[#This Row],[Columna1]]=""),0,SUBSTITUTE(Clientes[[#This Row],[Columna1]]," días",""))</f>
        <v>0</v>
      </c>
    </row>
    <row r="1934" ht="45" spans="1:4">
      <c r="A1934" s="102" t="s">
        <v>3590</v>
      </c>
      <c r="B1934" s="102" t="s">
        <v>3591</v>
      </c>
      <c r="C1934" s="102" t="s">
        <v>56</v>
      </c>
      <c r="D1934" s="119">
        <f>IF(OR(Clientes[[#This Row],[Columna1]]="Pago inmediato",Clientes[[#This Row],[Columna1]]=""),0,SUBSTITUTE(Clientes[[#This Row],[Columna1]]," días",""))</f>
        <v>0</v>
      </c>
    </row>
    <row r="1935" ht="45" spans="1:4">
      <c r="A1935" s="102" t="s">
        <v>3590</v>
      </c>
      <c r="B1935" s="102" t="s">
        <v>3592</v>
      </c>
      <c r="C1935" s="102" t="s">
        <v>56</v>
      </c>
      <c r="D1935" s="119">
        <f>IF(OR(Clientes[[#This Row],[Columna1]]="Pago inmediato",Clientes[[#This Row],[Columna1]]=""),0,SUBSTITUTE(Clientes[[#This Row],[Columna1]]," días",""))</f>
        <v>0</v>
      </c>
    </row>
    <row r="1936" ht="30" spans="1:4">
      <c r="A1936" s="102" t="s">
        <v>3593</v>
      </c>
      <c r="B1936" s="102" t="s">
        <v>3593</v>
      </c>
      <c r="C1936" s="102" t="s">
        <v>56</v>
      </c>
      <c r="D1936" s="119">
        <f>IF(OR(Clientes[[#This Row],[Columna1]]="Pago inmediato",Clientes[[#This Row],[Columna1]]=""),0,SUBSTITUTE(Clientes[[#This Row],[Columna1]]," días",""))</f>
        <v>0</v>
      </c>
    </row>
    <row r="1937" ht="30" spans="1:4">
      <c r="A1937" s="102" t="s">
        <v>3594</v>
      </c>
      <c r="B1937" s="102" t="s">
        <v>3595</v>
      </c>
      <c r="C1937" s="102" t="s">
        <v>56</v>
      </c>
      <c r="D1937" s="119">
        <f>IF(OR(Clientes[[#This Row],[Columna1]]="Pago inmediato",Clientes[[#This Row],[Columna1]]=""),0,SUBSTITUTE(Clientes[[#This Row],[Columna1]]," días",""))</f>
        <v>0</v>
      </c>
    </row>
    <row r="1938" spans="1:4">
      <c r="A1938" s="102" t="s">
        <v>3596</v>
      </c>
      <c r="B1938" s="102" t="s">
        <v>3597</v>
      </c>
      <c r="C1938" s="102" t="s">
        <v>56</v>
      </c>
      <c r="D1938" s="119">
        <f>IF(OR(Clientes[[#This Row],[Columna1]]="Pago inmediato",Clientes[[#This Row],[Columna1]]=""),0,SUBSTITUTE(Clientes[[#This Row],[Columna1]]," días",""))</f>
        <v>0</v>
      </c>
    </row>
    <row r="1939" ht="30" spans="1:4">
      <c r="A1939" s="102" t="s">
        <v>3598</v>
      </c>
      <c r="B1939" s="102" t="s">
        <v>3599</v>
      </c>
      <c r="C1939" s="102" t="s">
        <v>56</v>
      </c>
      <c r="D1939" s="119">
        <f>IF(OR(Clientes[[#This Row],[Columna1]]="Pago inmediato",Clientes[[#This Row],[Columna1]]=""),0,SUBSTITUTE(Clientes[[#This Row],[Columna1]]," días",""))</f>
        <v>0</v>
      </c>
    </row>
    <row r="1940" ht="30" spans="1:4">
      <c r="A1940" s="102" t="s">
        <v>3600</v>
      </c>
      <c r="B1940" s="102" t="s">
        <v>3601</v>
      </c>
      <c r="C1940" s="102" t="s">
        <v>56</v>
      </c>
      <c r="D1940" s="119">
        <f>IF(OR(Clientes[[#This Row],[Columna1]]="Pago inmediato",Clientes[[#This Row],[Columna1]]=""),0,SUBSTITUTE(Clientes[[#This Row],[Columna1]]," días",""))</f>
        <v>0</v>
      </c>
    </row>
    <row r="1941" ht="30" spans="1:4">
      <c r="A1941" s="102" t="s">
        <v>3602</v>
      </c>
      <c r="B1941" s="102" t="s">
        <v>3603</v>
      </c>
      <c r="C1941" s="102" t="s">
        <v>61</v>
      </c>
      <c r="D1941" s="119" t="str">
        <f>IF(OR(Clientes[[#This Row],[Columna1]]="Pago inmediato",Clientes[[#This Row],[Columna1]]=""),0,SUBSTITUTE(Clientes[[#This Row],[Columna1]]," días",""))</f>
        <v>15</v>
      </c>
    </row>
    <row r="1942" spans="1:4">
      <c r="A1942" s="102" t="s">
        <v>3604</v>
      </c>
      <c r="B1942" s="102" t="s">
        <v>3605</v>
      </c>
      <c r="C1942" s="102" t="s">
        <v>454</v>
      </c>
      <c r="D1942" s="119" t="str">
        <f>IF(OR(Clientes[[#This Row],[Columna1]]="Pago inmediato",Clientes[[#This Row],[Columna1]]=""),0,SUBSTITUTE(Clientes[[#This Row],[Columna1]]," días",""))</f>
        <v>21</v>
      </c>
    </row>
    <row r="1943" ht="30" spans="1:4">
      <c r="A1943" s="102" t="s">
        <v>3604</v>
      </c>
      <c r="B1943" s="102" t="s">
        <v>3606</v>
      </c>
      <c r="C1943" s="102" t="s">
        <v>454</v>
      </c>
      <c r="D1943" s="119" t="str">
        <f>IF(OR(Clientes[[#This Row],[Columna1]]="Pago inmediato",Clientes[[#This Row],[Columna1]]=""),0,SUBSTITUTE(Clientes[[#This Row],[Columna1]]," días",""))</f>
        <v>21</v>
      </c>
    </row>
    <row r="1944" spans="1:4">
      <c r="A1944" s="102" t="s">
        <v>3607</v>
      </c>
      <c r="B1944" s="102" t="s">
        <v>3608</v>
      </c>
      <c r="C1944" s="102" t="s">
        <v>454</v>
      </c>
      <c r="D1944" s="119" t="str">
        <f>IF(OR(Clientes[[#This Row],[Columna1]]="Pago inmediato",Clientes[[#This Row],[Columna1]]=""),0,SUBSTITUTE(Clientes[[#This Row],[Columna1]]," días",""))</f>
        <v>21</v>
      </c>
    </row>
    <row r="1945" ht="45" spans="1:4">
      <c r="A1945" s="102" t="s">
        <v>3609</v>
      </c>
      <c r="B1945" s="102" t="s">
        <v>3610</v>
      </c>
      <c r="C1945" s="102" t="s">
        <v>56</v>
      </c>
      <c r="D1945" s="119">
        <f>IF(OR(Clientes[[#This Row],[Columna1]]="Pago inmediato",Clientes[[#This Row],[Columna1]]=""),0,SUBSTITUTE(Clientes[[#This Row],[Columna1]]," días",""))</f>
        <v>0</v>
      </c>
    </row>
    <row r="1946" ht="30" spans="1:4">
      <c r="A1946" s="102" t="s">
        <v>3611</v>
      </c>
      <c r="B1946" s="102" t="s">
        <v>3612</v>
      </c>
      <c r="C1946" s="102" t="s">
        <v>56</v>
      </c>
      <c r="D1946" s="119">
        <f>IF(OR(Clientes[[#This Row],[Columna1]]="Pago inmediato",Clientes[[#This Row],[Columna1]]=""),0,SUBSTITUTE(Clientes[[#This Row],[Columna1]]," días",""))</f>
        <v>0</v>
      </c>
    </row>
    <row r="1947" ht="30" spans="1:4">
      <c r="A1947" s="102" t="s">
        <v>3613</v>
      </c>
      <c r="B1947" s="102" t="s">
        <v>3614</v>
      </c>
      <c r="C1947" s="102" t="s">
        <v>56</v>
      </c>
      <c r="D1947" s="119">
        <f>IF(OR(Clientes[[#This Row],[Columna1]]="Pago inmediato",Clientes[[#This Row],[Columna1]]=""),0,SUBSTITUTE(Clientes[[#This Row],[Columna1]]," días",""))</f>
        <v>0</v>
      </c>
    </row>
    <row r="1948" ht="30" spans="1:4">
      <c r="A1948" s="102" t="s">
        <v>3615</v>
      </c>
      <c r="B1948" s="102" t="s">
        <v>3616</v>
      </c>
      <c r="C1948" s="102" t="s">
        <v>56</v>
      </c>
      <c r="D1948" s="119">
        <f>IF(OR(Clientes[[#This Row],[Columna1]]="Pago inmediato",Clientes[[#This Row],[Columna1]]=""),0,SUBSTITUTE(Clientes[[#This Row],[Columna1]]," días",""))</f>
        <v>0</v>
      </c>
    </row>
    <row r="1949" ht="30" spans="1:4">
      <c r="A1949" s="102" t="s">
        <v>3615</v>
      </c>
      <c r="B1949" s="102" t="s">
        <v>3617</v>
      </c>
      <c r="C1949" s="102" t="s">
        <v>56</v>
      </c>
      <c r="D1949" s="119">
        <f>IF(OR(Clientes[[#This Row],[Columna1]]="Pago inmediato",Clientes[[#This Row],[Columna1]]=""),0,SUBSTITUTE(Clientes[[#This Row],[Columna1]]," días",""))</f>
        <v>0</v>
      </c>
    </row>
    <row r="1950" spans="1:4">
      <c r="A1950" s="102" t="s">
        <v>3618</v>
      </c>
      <c r="B1950" s="102" t="s">
        <v>3619</v>
      </c>
      <c r="C1950" s="102" t="s">
        <v>56</v>
      </c>
      <c r="D1950" s="119">
        <f>IF(OR(Clientes[[#This Row],[Columna1]]="Pago inmediato",Clientes[[#This Row],[Columna1]]=""),0,SUBSTITUTE(Clientes[[#This Row],[Columna1]]," días",""))</f>
        <v>0</v>
      </c>
    </row>
    <row r="1951" ht="30" spans="1:4">
      <c r="A1951" s="102" t="s">
        <v>3620</v>
      </c>
      <c r="B1951" s="102" t="s">
        <v>3621</v>
      </c>
      <c r="C1951" s="102" t="s">
        <v>56</v>
      </c>
      <c r="D1951" s="119">
        <f>IF(OR(Clientes[[#This Row],[Columna1]]="Pago inmediato",Clientes[[#This Row],[Columna1]]=""),0,SUBSTITUTE(Clientes[[#This Row],[Columna1]]," días",""))</f>
        <v>0</v>
      </c>
    </row>
    <row r="1952" ht="30" spans="1:4">
      <c r="A1952" s="102" t="s">
        <v>3622</v>
      </c>
      <c r="B1952" s="102" t="s">
        <v>3623</v>
      </c>
      <c r="C1952" s="102" t="s">
        <v>56</v>
      </c>
      <c r="D1952" s="119">
        <f>IF(OR(Clientes[[#This Row],[Columna1]]="Pago inmediato",Clientes[[#This Row],[Columna1]]=""),0,SUBSTITUTE(Clientes[[#This Row],[Columna1]]," días",""))</f>
        <v>0</v>
      </c>
    </row>
    <row r="1953" ht="45" spans="1:4">
      <c r="A1953" s="102" t="s">
        <v>3622</v>
      </c>
      <c r="B1953" s="102" t="s">
        <v>3624</v>
      </c>
      <c r="C1953" s="102" t="s">
        <v>56</v>
      </c>
      <c r="D1953" s="119">
        <f>IF(OR(Clientes[[#This Row],[Columna1]]="Pago inmediato",Clientes[[#This Row],[Columna1]]=""),0,SUBSTITUTE(Clientes[[#This Row],[Columna1]]," días",""))</f>
        <v>0</v>
      </c>
    </row>
    <row r="1954" spans="1:4">
      <c r="A1954" s="102" t="s">
        <v>3625</v>
      </c>
      <c r="B1954" s="102" t="s">
        <v>3626</v>
      </c>
      <c r="C1954" s="102" t="s">
        <v>56</v>
      </c>
      <c r="D1954" s="119">
        <f>IF(OR(Clientes[[#This Row],[Columna1]]="Pago inmediato",Clientes[[#This Row],[Columna1]]=""),0,SUBSTITUTE(Clientes[[#This Row],[Columna1]]," días",""))</f>
        <v>0</v>
      </c>
    </row>
    <row r="1955" ht="30" spans="1:4">
      <c r="A1955" s="102" t="s">
        <v>3627</v>
      </c>
      <c r="B1955" s="102" t="s">
        <v>3628</v>
      </c>
      <c r="C1955" s="102" t="s">
        <v>56</v>
      </c>
      <c r="D1955" s="119">
        <f>IF(OR(Clientes[[#This Row],[Columna1]]="Pago inmediato",Clientes[[#This Row],[Columna1]]=""),0,SUBSTITUTE(Clientes[[#This Row],[Columna1]]," días",""))</f>
        <v>0</v>
      </c>
    </row>
    <row r="1956" ht="30" spans="1:4">
      <c r="A1956" s="102" t="s">
        <v>3629</v>
      </c>
      <c r="B1956" s="102" t="s">
        <v>3630</v>
      </c>
      <c r="C1956" s="102" t="s">
        <v>56</v>
      </c>
      <c r="D1956" s="119">
        <f>IF(OR(Clientes[[#This Row],[Columna1]]="Pago inmediato",Clientes[[#This Row],[Columna1]]=""),0,SUBSTITUTE(Clientes[[#This Row],[Columna1]]," días",""))</f>
        <v>0</v>
      </c>
    </row>
    <row r="1957" spans="1:4">
      <c r="A1957" s="102" t="s">
        <v>3631</v>
      </c>
      <c r="B1957" s="102" t="s">
        <v>3632</v>
      </c>
      <c r="C1957" s="102" t="s">
        <v>61</v>
      </c>
      <c r="D1957" s="119" t="str">
        <f>IF(OR(Clientes[[#This Row],[Columna1]]="Pago inmediato",Clientes[[#This Row],[Columna1]]=""),0,SUBSTITUTE(Clientes[[#This Row],[Columna1]]," días",""))</f>
        <v>15</v>
      </c>
    </row>
    <row r="1958" ht="30" spans="1:4">
      <c r="A1958" s="102" t="s">
        <v>3633</v>
      </c>
      <c r="B1958" s="102" t="s">
        <v>3634</v>
      </c>
      <c r="C1958" s="102" t="s">
        <v>56</v>
      </c>
      <c r="D1958" s="119">
        <f>IF(OR(Clientes[[#This Row],[Columna1]]="Pago inmediato",Clientes[[#This Row],[Columna1]]=""),0,SUBSTITUTE(Clientes[[#This Row],[Columna1]]," días",""))</f>
        <v>0</v>
      </c>
    </row>
    <row r="1959" ht="30" spans="1:4">
      <c r="A1959" s="102" t="s">
        <v>3635</v>
      </c>
      <c r="B1959" s="102" t="s">
        <v>3636</v>
      </c>
      <c r="C1959" s="102" t="s">
        <v>56</v>
      </c>
      <c r="D1959" s="119">
        <f>IF(OR(Clientes[[#This Row],[Columna1]]="Pago inmediato",Clientes[[#This Row],[Columna1]]=""),0,SUBSTITUTE(Clientes[[#This Row],[Columna1]]," días",""))</f>
        <v>0</v>
      </c>
    </row>
    <row r="1960" ht="45" spans="1:4">
      <c r="A1960" s="102" t="s">
        <v>3637</v>
      </c>
      <c r="B1960" s="102" t="s">
        <v>3638</v>
      </c>
      <c r="C1960" s="102" t="s">
        <v>56</v>
      </c>
      <c r="D1960" s="119">
        <f>IF(OR(Clientes[[#This Row],[Columna1]]="Pago inmediato",Clientes[[#This Row],[Columna1]]=""),0,SUBSTITUTE(Clientes[[#This Row],[Columna1]]," días",""))</f>
        <v>0</v>
      </c>
    </row>
    <row r="1961" ht="30" spans="1:4">
      <c r="A1961" s="102" t="s">
        <v>3639</v>
      </c>
      <c r="B1961" s="102" t="s">
        <v>3640</v>
      </c>
      <c r="C1961" s="102" t="s">
        <v>54</v>
      </c>
      <c r="D1961" s="119" t="str">
        <f>IF(OR(Clientes[[#This Row],[Columna1]]="Pago inmediato",Clientes[[#This Row],[Columna1]]=""),0,SUBSTITUTE(Clientes[[#This Row],[Columna1]]," días",""))</f>
        <v>7</v>
      </c>
    </row>
    <row r="1962" ht="30" spans="1:4">
      <c r="A1962" s="102" t="s">
        <v>3641</v>
      </c>
      <c r="B1962" s="102" t="s">
        <v>3642</v>
      </c>
      <c r="C1962" s="102" t="s">
        <v>56</v>
      </c>
      <c r="D1962" s="119">
        <f>IF(OR(Clientes[[#This Row],[Columna1]]="Pago inmediato",Clientes[[#This Row],[Columna1]]=""),0,SUBSTITUTE(Clientes[[#This Row],[Columna1]]," días",""))</f>
        <v>0</v>
      </c>
    </row>
    <row r="1963" ht="30" spans="1:4">
      <c r="A1963" s="102" t="s">
        <v>3643</v>
      </c>
      <c r="B1963" s="102" t="s">
        <v>3644</v>
      </c>
      <c r="C1963" s="102" t="s">
        <v>56</v>
      </c>
      <c r="D1963" s="119">
        <f>IF(OR(Clientes[[#This Row],[Columna1]]="Pago inmediato",Clientes[[#This Row],[Columna1]]=""),0,SUBSTITUTE(Clientes[[#This Row],[Columna1]]," días",""))</f>
        <v>0</v>
      </c>
    </row>
    <row r="1964" ht="45" spans="1:4">
      <c r="A1964" s="102" t="s">
        <v>3645</v>
      </c>
      <c r="B1964" s="102" t="s">
        <v>3646</v>
      </c>
      <c r="C1964" s="102" t="s">
        <v>56</v>
      </c>
      <c r="D1964" s="119">
        <f>IF(OR(Clientes[[#This Row],[Columna1]]="Pago inmediato",Clientes[[#This Row],[Columna1]]=""),0,SUBSTITUTE(Clientes[[#This Row],[Columna1]]," días",""))</f>
        <v>0</v>
      </c>
    </row>
    <row r="1965" ht="30" spans="1:4">
      <c r="A1965" s="102" t="s">
        <v>3647</v>
      </c>
      <c r="B1965" s="102" t="s">
        <v>3648</v>
      </c>
      <c r="C1965" s="102" t="s">
        <v>56</v>
      </c>
      <c r="D1965" s="119">
        <f>IF(OR(Clientes[[#This Row],[Columna1]]="Pago inmediato",Clientes[[#This Row],[Columna1]]=""),0,SUBSTITUTE(Clientes[[#This Row],[Columna1]]," días",""))</f>
        <v>0</v>
      </c>
    </row>
    <row r="1966" spans="1:4">
      <c r="A1966" s="102" t="s">
        <v>3649</v>
      </c>
      <c r="B1966" s="102" t="s">
        <v>3650</v>
      </c>
      <c r="C1966" s="102" t="s">
        <v>56</v>
      </c>
      <c r="D1966" s="119">
        <f>IF(OR(Clientes[[#This Row],[Columna1]]="Pago inmediato",Clientes[[#This Row],[Columna1]]=""),0,SUBSTITUTE(Clientes[[#This Row],[Columna1]]," días",""))</f>
        <v>0</v>
      </c>
    </row>
    <row r="1967" ht="30" spans="1:4">
      <c r="A1967" s="102" t="s">
        <v>3649</v>
      </c>
      <c r="B1967" s="102" t="s">
        <v>3651</v>
      </c>
      <c r="C1967" s="102" t="s">
        <v>56</v>
      </c>
      <c r="D1967" s="119">
        <f>IF(OR(Clientes[[#This Row],[Columna1]]="Pago inmediato",Clientes[[#This Row],[Columna1]]=""),0,SUBSTITUTE(Clientes[[#This Row],[Columna1]]," días",""))</f>
        <v>0</v>
      </c>
    </row>
    <row r="1968" ht="30" spans="1:4">
      <c r="A1968" s="102" t="s">
        <v>3652</v>
      </c>
      <c r="B1968" s="102" t="s">
        <v>3653</v>
      </c>
      <c r="C1968" s="102" t="s">
        <v>56</v>
      </c>
      <c r="D1968" s="119">
        <f>IF(OR(Clientes[[#This Row],[Columna1]]="Pago inmediato",Clientes[[#This Row],[Columna1]]=""),0,SUBSTITUTE(Clientes[[#This Row],[Columna1]]," días",""))</f>
        <v>0</v>
      </c>
    </row>
    <row r="1969" ht="30" spans="1:4">
      <c r="A1969" s="102" t="s">
        <v>3654</v>
      </c>
      <c r="B1969" s="102" t="s">
        <v>3655</v>
      </c>
      <c r="C1969" s="102" t="s">
        <v>56</v>
      </c>
      <c r="D1969" s="119">
        <f>IF(OR(Clientes[[#This Row],[Columna1]]="Pago inmediato",Clientes[[#This Row],[Columna1]]=""),0,SUBSTITUTE(Clientes[[#This Row],[Columna1]]," días",""))</f>
        <v>0</v>
      </c>
    </row>
    <row r="1970" ht="30" spans="1:4">
      <c r="A1970" s="102" t="s">
        <v>3656</v>
      </c>
      <c r="B1970" s="102" t="s">
        <v>3657</v>
      </c>
      <c r="C1970" s="102" t="s">
        <v>56</v>
      </c>
      <c r="D1970" s="119">
        <f>IF(OR(Clientes[[#This Row],[Columna1]]="Pago inmediato",Clientes[[#This Row],[Columna1]]=""),0,SUBSTITUTE(Clientes[[#This Row],[Columna1]]," días",""))</f>
        <v>0</v>
      </c>
    </row>
    <row r="1971" spans="1:4">
      <c r="A1971" s="102" t="s">
        <v>3658</v>
      </c>
      <c r="B1971" s="102" t="s">
        <v>3659</v>
      </c>
      <c r="C1971" s="102" t="s">
        <v>56</v>
      </c>
      <c r="D1971" s="119">
        <f>IF(OR(Clientes[[#This Row],[Columna1]]="Pago inmediato",Clientes[[#This Row],[Columna1]]=""),0,SUBSTITUTE(Clientes[[#This Row],[Columna1]]," días",""))</f>
        <v>0</v>
      </c>
    </row>
    <row r="1972" ht="30" spans="1:4">
      <c r="A1972" s="102" t="s">
        <v>3660</v>
      </c>
      <c r="B1972" s="102" t="s">
        <v>3661</v>
      </c>
      <c r="C1972" s="102" t="s">
        <v>56</v>
      </c>
      <c r="D1972" s="119">
        <f>IF(OR(Clientes[[#This Row],[Columna1]]="Pago inmediato",Clientes[[#This Row],[Columna1]]=""),0,SUBSTITUTE(Clientes[[#This Row],[Columna1]]," días",""))</f>
        <v>0</v>
      </c>
    </row>
    <row r="1973" ht="30" spans="1:4">
      <c r="A1973" s="102" t="s">
        <v>3662</v>
      </c>
      <c r="B1973" s="102" t="s">
        <v>3663</v>
      </c>
      <c r="C1973" s="102" t="s">
        <v>56</v>
      </c>
      <c r="D1973" s="119">
        <f>IF(OR(Clientes[[#This Row],[Columna1]]="Pago inmediato",Clientes[[#This Row],[Columna1]]=""),0,SUBSTITUTE(Clientes[[#This Row],[Columna1]]," días",""))</f>
        <v>0</v>
      </c>
    </row>
    <row r="1974" ht="30" spans="1:4">
      <c r="A1974" s="102" t="s">
        <v>3664</v>
      </c>
      <c r="B1974" s="102" t="s">
        <v>3665</v>
      </c>
      <c r="C1974" s="102" t="s">
        <v>56</v>
      </c>
      <c r="D1974" s="119">
        <f>IF(OR(Clientes[[#This Row],[Columna1]]="Pago inmediato",Clientes[[#This Row],[Columna1]]=""),0,SUBSTITUTE(Clientes[[#This Row],[Columna1]]," días",""))</f>
        <v>0</v>
      </c>
    </row>
    <row r="1975" spans="1:4">
      <c r="A1975" s="102" t="s">
        <v>3666</v>
      </c>
      <c r="B1975" s="102" t="s">
        <v>3667</v>
      </c>
      <c r="C1975" s="102" t="s">
        <v>56</v>
      </c>
      <c r="D1975" s="119">
        <f>IF(OR(Clientes[[#This Row],[Columna1]]="Pago inmediato",Clientes[[#This Row],[Columna1]]=""),0,SUBSTITUTE(Clientes[[#This Row],[Columna1]]," días",""))</f>
        <v>0</v>
      </c>
    </row>
    <row r="1976" spans="1:4">
      <c r="A1976" s="102" t="s">
        <v>3668</v>
      </c>
      <c r="B1976" s="102" t="s">
        <v>3669</v>
      </c>
      <c r="C1976" s="102" t="s">
        <v>56</v>
      </c>
      <c r="D1976" s="119">
        <f>IF(OR(Clientes[[#This Row],[Columna1]]="Pago inmediato",Clientes[[#This Row],[Columna1]]=""),0,SUBSTITUTE(Clientes[[#This Row],[Columna1]]," días",""))</f>
        <v>0</v>
      </c>
    </row>
    <row r="1977" spans="1:4">
      <c r="A1977" s="102" t="s">
        <v>3670</v>
      </c>
      <c r="B1977" s="102" t="s">
        <v>3671</v>
      </c>
      <c r="C1977" s="102" t="s">
        <v>56</v>
      </c>
      <c r="D1977" s="119">
        <f>IF(OR(Clientes[[#This Row],[Columna1]]="Pago inmediato",Clientes[[#This Row],[Columna1]]=""),0,SUBSTITUTE(Clientes[[#This Row],[Columna1]]," días",""))</f>
        <v>0</v>
      </c>
    </row>
    <row r="1978" ht="30" spans="1:4">
      <c r="A1978" s="102" t="s">
        <v>3672</v>
      </c>
      <c r="B1978" s="102" t="s">
        <v>3673</v>
      </c>
      <c r="C1978" s="102" t="s">
        <v>56</v>
      </c>
      <c r="D1978" s="119">
        <f>IF(OR(Clientes[[#This Row],[Columna1]]="Pago inmediato",Clientes[[#This Row],[Columna1]]=""),0,SUBSTITUTE(Clientes[[#This Row],[Columna1]]," días",""))</f>
        <v>0</v>
      </c>
    </row>
    <row r="1979" ht="30" spans="1:4">
      <c r="A1979" s="102" t="s">
        <v>3672</v>
      </c>
      <c r="B1979" s="102" t="s">
        <v>3674</v>
      </c>
      <c r="C1979" s="102" t="s">
        <v>56</v>
      </c>
      <c r="D1979" s="119">
        <f>IF(OR(Clientes[[#This Row],[Columna1]]="Pago inmediato",Clientes[[#This Row],[Columna1]]=""),0,SUBSTITUTE(Clientes[[#This Row],[Columna1]]," días",""))</f>
        <v>0</v>
      </c>
    </row>
    <row r="1980" spans="1:4">
      <c r="A1980" s="102" t="s">
        <v>3675</v>
      </c>
      <c r="B1980" s="102" t="s">
        <v>3676</v>
      </c>
      <c r="C1980" s="102" t="s">
        <v>56</v>
      </c>
      <c r="D1980" s="119">
        <f>IF(OR(Clientes[[#This Row],[Columna1]]="Pago inmediato",Clientes[[#This Row],[Columna1]]=""),0,SUBSTITUTE(Clientes[[#This Row],[Columna1]]," días",""))</f>
        <v>0</v>
      </c>
    </row>
    <row r="1981" spans="1:4">
      <c r="A1981" s="102" t="s">
        <v>3677</v>
      </c>
      <c r="B1981" s="102" t="s">
        <v>3678</v>
      </c>
      <c r="C1981" s="102" t="s">
        <v>56</v>
      </c>
      <c r="D1981" s="119">
        <f>IF(OR(Clientes[[#This Row],[Columna1]]="Pago inmediato",Clientes[[#This Row],[Columna1]]=""),0,SUBSTITUTE(Clientes[[#This Row],[Columna1]]," días",""))</f>
        <v>0</v>
      </c>
    </row>
    <row r="1982" spans="1:4">
      <c r="A1982" s="102" t="s">
        <v>3679</v>
      </c>
      <c r="B1982" s="102" t="s">
        <v>3680</v>
      </c>
      <c r="C1982" s="102" t="s">
        <v>56</v>
      </c>
      <c r="D1982" s="119">
        <f>IF(OR(Clientes[[#This Row],[Columna1]]="Pago inmediato",Clientes[[#This Row],[Columna1]]=""),0,SUBSTITUTE(Clientes[[#This Row],[Columna1]]," días",""))</f>
        <v>0</v>
      </c>
    </row>
    <row r="1983" ht="30" spans="1:4">
      <c r="A1983" s="102" t="s">
        <v>3681</v>
      </c>
      <c r="B1983" s="102" t="s">
        <v>3682</v>
      </c>
      <c r="C1983" s="102" t="s">
        <v>56</v>
      </c>
      <c r="D1983" s="119">
        <f>IF(OR(Clientes[[#This Row],[Columna1]]="Pago inmediato",Clientes[[#This Row],[Columna1]]=""),0,SUBSTITUTE(Clientes[[#This Row],[Columna1]]," días",""))</f>
        <v>0</v>
      </c>
    </row>
    <row r="1984" spans="1:4">
      <c r="A1984" s="102" t="s">
        <v>3683</v>
      </c>
      <c r="B1984" s="102" t="s">
        <v>3684</v>
      </c>
      <c r="C1984" s="102" t="s">
        <v>56</v>
      </c>
      <c r="D1984" s="119">
        <f>IF(OR(Clientes[[#This Row],[Columna1]]="Pago inmediato",Clientes[[#This Row],[Columna1]]=""),0,SUBSTITUTE(Clientes[[#This Row],[Columna1]]," días",""))</f>
        <v>0</v>
      </c>
    </row>
    <row r="1985" ht="30" spans="1:4">
      <c r="A1985" s="102" t="s">
        <v>3685</v>
      </c>
      <c r="B1985" s="102" t="s">
        <v>3686</v>
      </c>
      <c r="C1985" s="102" t="s">
        <v>56</v>
      </c>
      <c r="D1985" s="119">
        <f>IF(OR(Clientes[[#This Row],[Columna1]]="Pago inmediato",Clientes[[#This Row],[Columna1]]=""),0,SUBSTITUTE(Clientes[[#This Row],[Columna1]]," días",""))</f>
        <v>0</v>
      </c>
    </row>
    <row r="1986" ht="30" spans="1:4">
      <c r="A1986" s="102" t="s">
        <v>3687</v>
      </c>
      <c r="B1986" s="102" t="s">
        <v>3688</v>
      </c>
      <c r="C1986" s="102" t="s">
        <v>56</v>
      </c>
      <c r="D1986" s="119">
        <f>IF(OR(Clientes[[#This Row],[Columna1]]="Pago inmediato",Clientes[[#This Row],[Columna1]]=""),0,SUBSTITUTE(Clientes[[#This Row],[Columna1]]," días",""))</f>
        <v>0</v>
      </c>
    </row>
    <row r="1987" ht="30" spans="1:4">
      <c r="A1987" s="102" t="s">
        <v>3689</v>
      </c>
      <c r="B1987" s="102" t="s">
        <v>3690</v>
      </c>
      <c r="C1987" s="102" t="s">
        <v>56</v>
      </c>
      <c r="D1987" s="119">
        <f>IF(OR(Clientes[[#This Row],[Columna1]]="Pago inmediato",Clientes[[#This Row],[Columna1]]=""),0,SUBSTITUTE(Clientes[[#This Row],[Columna1]]," días",""))</f>
        <v>0</v>
      </c>
    </row>
    <row r="1988" spans="1:4">
      <c r="A1988" s="102" t="s">
        <v>3691</v>
      </c>
      <c r="B1988" s="102" t="s">
        <v>3692</v>
      </c>
      <c r="C1988" s="102" t="s">
        <v>56</v>
      </c>
      <c r="D1988" s="119">
        <f>IF(OR(Clientes[[#This Row],[Columna1]]="Pago inmediato",Clientes[[#This Row],[Columna1]]=""),0,SUBSTITUTE(Clientes[[#This Row],[Columna1]]," días",""))</f>
        <v>0</v>
      </c>
    </row>
    <row r="1989" ht="30" spans="1:4">
      <c r="A1989" s="102" t="s">
        <v>3693</v>
      </c>
      <c r="B1989" s="102" t="s">
        <v>3694</v>
      </c>
      <c r="C1989" s="102" t="s">
        <v>56</v>
      </c>
      <c r="D1989" s="119">
        <f>IF(OR(Clientes[[#This Row],[Columna1]]="Pago inmediato",Clientes[[#This Row],[Columna1]]=""),0,SUBSTITUTE(Clientes[[#This Row],[Columna1]]," días",""))</f>
        <v>0</v>
      </c>
    </row>
    <row r="1990" ht="30" spans="1:4">
      <c r="A1990" s="102" t="s">
        <v>3695</v>
      </c>
      <c r="B1990" s="102" t="s">
        <v>3696</v>
      </c>
      <c r="C1990" s="102" t="s">
        <v>56</v>
      </c>
      <c r="D1990" s="119">
        <f>IF(OR(Clientes[[#This Row],[Columna1]]="Pago inmediato",Clientes[[#This Row],[Columna1]]=""),0,SUBSTITUTE(Clientes[[#This Row],[Columna1]]," días",""))</f>
        <v>0</v>
      </c>
    </row>
    <row r="1991" ht="30" spans="1:4">
      <c r="A1991" s="102" t="s">
        <v>3697</v>
      </c>
      <c r="B1991" s="102" t="s">
        <v>3698</v>
      </c>
      <c r="C1991" s="102" t="s">
        <v>56</v>
      </c>
      <c r="D1991" s="119">
        <f>IF(OR(Clientes[[#This Row],[Columna1]]="Pago inmediato",Clientes[[#This Row],[Columna1]]=""),0,SUBSTITUTE(Clientes[[#This Row],[Columna1]]," días",""))</f>
        <v>0</v>
      </c>
    </row>
    <row r="1992" spans="1:4">
      <c r="A1992" s="102"/>
      <c r="B1992" s="102" t="s">
        <v>3699</v>
      </c>
      <c r="C1992" s="102" t="s">
        <v>56</v>
      </c>
      <c r="D1992" s="119">
        <f>IF(OR(Clientes[[#This Row],[Columna1]]="Pago inmediato",Clientes[[#This Row],[Columna1]]=""),0,SUBSTITUTE(Clientes[[#This Row],[Columna1]]," días",""))</f>
        <v>0</v>
      </c>
    </row>
    <row r="1993" spans="1:4">
      <c r="A1993" s="102" t="s">
        <v>3700</v>
      </c>
      <c r="B1993" s="102" t="s">
        <v>3701</v>
      </c>
      <c r="C1993" s="102" t="s">
        <v>56</v>
      </c>
      <c r="D1993" s="119">
        <f>IF(OR(Clientes[[#This Row],[Columna1]]="Pago inmediato",Clientes[[#This Row],[Columna1]]=""),0,SUBSTITUTE(Clientes[[#This Row],[Columna1]]," días",""))</f>
        <v>0</v>
      </c>
    </row>
    <row r="1994" spans="1:4">
      <c r="A1994" s="102"/>
      <c r="B1994" s="102" t="s">
        <v>3701</v>
      </c>
      <c r="C1994" s="102"/>
      <c r="D1994" s="119">
        <f>IF(OR(Clientes[[#This Row],[Columna1]]="Pago inmediato",Clientes[[#This Row],[Columna1]]=""),0,SUBSTITUTE(Clientes[[#This Row],[Columna1]]," días",""))</f>
        <v>0</v>
      </c>
    </row>
    <row r="1995" ht="30" spans="1:4">
      <c r="A1995" s="102"/>
      <c r="B1995" s="102" t="s">
        <v>3702</v>
      </c>
      <c r="C1995" s="102"/>
      <c r="D1995" s="119">
        <f>IF(OR(Clientes[[#This Row],[Columna1]]="Pago inmediato",Clientes[[#This Row],[Columna1]]=""),0,SUBSTITUTE(Clientes[[#This Row],[Columna1]]," días",""))</f>
        <v>0</v>
      </c>
    </row>
    <row r="1996" ht="30" spans="1:4">
      <c r="A1996" s="102" t="s">
        <v>3703</v>
      </c>
      <c r="B1996" s="102" t="s">
        <v>3704</v>
      </c>
      <c r="C1996" s="102" t="s">
        <v>54</v>
      </c>
      <c r="D1996" s="119" t="str">
        <f>IF(OR(Clientes[[#This Row],[Columna1]]="Pago inmediato",Clientes[[#This Row],[Columna1]]=""),0,SUBSTITUTE(Clientes[[#This Row],[Columna1]]," días",""))</f>
        <v>7</v>
      </c>
    </row>
    <row r="1997" ht="30" spans="1:4">
      <c r="A1997" s="102" t="s">
        <v>3705</v>
      </c>
      <c r="B1997" s="102" t="s">
        <v>3706</v>
      </c>
      <c r="C1997" s="102" t="s">
        <v>54</v>
      </c>
      <c r="D1997" s="119" t="str">
        <f>IF(OR(Clientes[[#This Row],[Columna1]]="Pago inmediato",Clientes[[#This Row],[Columna1]]=""),0,SUBSTITUTE(Clientes[[#This Row],[Columna1]]," días",""))</f>
        <v>7</v>
      </c>
    </row>
    <row r="1998" ht="30" spans="1:4">
      <c r="A1998" s="102" t="s">
        <v>3707</v>
      </c>
      <c r="B1998" s="102" t="s">
        <v>3708</v>
      </c>
      <c r="C1998" s="102" t="s">
        <v>282</v>
      </c>
      <c r="D1998" s="119" t="str">
        <f>IF(OR(Clientes[[#This Row],[Columna1]]="Pago inmediato",Clientes[[#This Row],[Columna1]]=""),0,SUBSTITUTE(Clientes[[#This Row],[Columna1]]," días",""))</f>
        <v>10</v>
      </c>
    </row>
    <row r="1999" ht="45" spans="1:4">
      <c r="A1999" s="102" t="s">
        <v>3709</v>
      </c>
      <c r="B1999" s="102" t="s">
        <v>3710</v>
      </c>
      <c r="C1999" s="102" t="s">
        <v>56</v>
      </c>
      <c r="D1999" s="119">
        <f>IF(OR(Clientes[[#This Row],[Columna1]]="Pago inmediato",Clientes[[#This Row],[Columna1]]=""),0,SUBSTITUTE(Clientes[[#This Row],[Columna1]]," días",""))</f>
        <v>0</v>
      </c>
    </row>
    <row r="2000" spans="1:4">
      <c r="A2000" s="102" t="s">
        <v>3711</v>
      </c>
      <c r="B2000" s="102" t="s">
        <v>3712</v>
      </c>
      <c r="C2000" s="102" t="s">
        <v>56</v>
      </c>
      <c r="D2000" s="119">
        <f>IF(OR(Clientes[[#This Row],[Columna1]]="Pago inmediato",Clientes[[#This Row],[Columna1]]=""),0,SUBSTITUTE(Clientes[[#This Row],[Columna1]]," días",""))</f>
        <v>0</v>
      </c>
    </row>
    <row r="2001" spans="1:4">
      <c r="A2001" s="102" t="s">
        <v>3713</v>
      </c>
      <c r="B2001" s="102" t="s">
        <v>3714</v>
      </c>
      <c r="C2001" s="102" t="s">
        <v>56</v>
      </c>
      <c r="D2001" s="119">
        <f>IF(OR(Clientes[[#This Row],[Columna1]]="Pago inmediato",Clientes[[#This Row],[Columna1]]=""),0,SUBSTITUTE(Clientes[[#This Row],[Columna1]]," días",""))</f>
        <v>0</v>
      </c>
    </row>
    <row r="2002" ht="30" spans="1:4">
      <c r="A2002" s="102" t="s">
        <v>3715</v>
      </c>
      <c r="B2002" s="102" t="s">
        <v>3716</v>
      </c>
      <c r="C2002" s="102" t="s">
        <v>54</v>
      </c>
      <c r="D2002" s="119" t="str">
        <f>IF(OR(Clientes[[#This Row],[Columna1]]="Pago inmediato",Clientes[[#This Row],[Columna1]]=""),0,SUBSTITUTE(Clientes[[#This Row],[Columna1]]," días",""))</f>
        <v>7</v>
      </c>
    </row>
    <row r="2003" ht="45" spans="1:4">
      <c r="A2003" s="102" t="s">
        <v>3717</v>
      </c>
      <c r="B2003" s="102" t="s">
        <v>3718</v>
      </c>
      <c r="C2003" s="102" t="s">
        <v>56</v>
      </c>
      <c r="D2003" s="119">
        <f>IF(OR(Clientes[[#This Row],[Columna1]]="Pago inmediato",Clientes[[#This Row],[Columna1]]=""),0,SUBSTITUTE(Clientes[[#This Row],[Columna1]]," días",""))</f>
        <v>0</v>
      </c>
    </row>
    <row r="2004" ht="45" spans="1:4">
      <c r="A2004" s="102" t="s">
        <v>3719</v>
      </c>
      <c r="B2004" s="102" t="s">
        <v>3720</v>
      </c>
      <c r="C2004" s="102" t="s">
        <v>56</v>
      </c>
      <c r="D2004" s="119">
        <f>IF(OR(Clientes[[#This Row],[Columna1]]="Pago inmediato",Clientes[[#This Row],[Columna1]]=""),0,SUBSTITUTE(Clientes[[#This Row],[Columna1]]," días",""))</f>
        <v>0</v>
      </c>
    </row>
    <row r="2005" spans="1:4">
      <c r="A2005" s="102" t="s">
        <v>3721</v>
      </c>
      <c r="B2005" s="102" t="s">
        <v>3722</v>
      </c>
      <c r="C2005" s="102" t="s">
        <v>56</v>
      </c>
      <c r="D2005" s="119">
        <f>IF(OR(Clientes[[#This Row],[Columna1]]="Pago inmediato",Clientes[[#This Row],[Columna1]]=""),0,SUBSTITUTE(Clientes[[#This Row],[Columna1]]," días",""))</f>
        <v>0</v>
      </c>
    </row>
    <row r="2006" ht="45" spans="1:4">
      <c r="A2006" s="102" t="s">
        <v>3723</v>
      </c>
      <c r="B2006" s="102" t="s">
        <v>3724</v>
      </c>
      <c r="C2006" s="102" t="s">
        <v>56</v>
      </c>
      <c r="D2006" s="119">
        <f>IF(OR(Clientes[[#This Row],[Columna1]]="Pago inmediato",Clientes[[#This Row],[Columna1]]=""),0,SUBSTITUTE(Clientes[[#This Row],[Columna1]]," días",""))</f>
        <v>0</v>
      </c>
    </row>
    <row r="2007" ht="30" spans="1:4">
      <c r="A2007" s="102" t="s">
        <v>3725</v>
      </c>
      <c r="B2007" s="102" t="s">
        <v>3726</v>
      </c>
      <c r="C2007" s="102" t="s">
        <v>56</v>
      </c>
      <c r="D2007" s="119">
        <f>IF(OR(Clientes[[#This Row],[Columna1]]="Pago inmediato",Clientes[[#This Row],[Columna1]]=""),0,SUBSTITUTE(Clientes[[#This Row],[Columna1]]," días",""))</f>
        <v>0</v>
      </c>
    </row>
    <row r="2008" spans="1:4">
      <c r="A2008" s="102" t="s">
        <v>3727</v>
      </c>
      <c r="B2008" s="102" t="s">
        <v>3728</v>
      </c>
      <c r="C2008" s="102" t="s">
        <v>56</v>
      </c>
      <c r="D2008" s="119">
        <f>IF(OR(Clientes[[#This Row],[Columna1]]="Pago inmediato",Clientes[[#This Row],[Columna1]]=""),0,SUBSTITUTE(Clientes[[#This Row],[Columna1]]," días",""))</f>
        <v>0</v>
      </c>
    </row>
    <row r="2009" ht="30" spans="1:4">
      <c r="A2009" s="102" t="s">
        <v>3729</v>
      </c>
      <c r="B2009" s="102" t="s">
        <v>3730</v>
      </c>
      <c r="C2009" s="102" t="s">
        <v>56</v>
      </c>
      <c r="D2009" s="119">
        <f>IF(OR(Clientes[[#This Row],[Columna1]]="Pago inmediato",Clientes[[#This Row],[Columna1]]=""),0,SUBSTITUTE(Clientes[[#This Row],[Columna1]]," días",""))</f>
        <v>0</v>
      </c>
    </row>
    <row r="2010" ht="45" spans="1:4">
      <c r="A2010" s="102" t="s">
        <v>3729</v>
      </c>
      <c r="B2010" s="102" t="s">
        <v>3731</v>
      </c>
      <c r="C2010" s="102" t="s">
        <v>56</v>
      </c>
      <c r="D2010" s="119">
        <f>IF(OR(Clientes[[#This Row],[Columna1]]="Pago inmediato",Clientes[[#This Row],[Columna1]]=""),0,SUBSTITUTE(Clientes[[#This Row],[Columna1]]," días",""))</f>
        <v>0</v>
      </c>
    </row>
    <row r="2011" ht="30" spans="1:4">
      <c r="A2011" s="102" t="s">
        <v>3732</v>
      </c>
      <c r="B2011" s="102" t="s">
        <v>3733</v>
      </c>
      <c r="C2011" s="102" t="s">
        <v>56</v>
      </c>
      <c r="D2011" s="119">
        <f>IF(OR(Clientes[[#This Row],[Columna1]]="Pago inmediato",Clientes[[#This Row],[Columna1]]=""),0,SUBSTITUTE(Clientes[[#This Row],[Columna1]]," días",""))</f>
        <v>0</v>
      </c>
    </row>
    <row r="2012" spans="1:4">
      <c r="A2012" s="102" t="s">
        <v>3734</v>
      </c>
      <c r="B2012" s="102" t="s">
        <v>3735</v>
      </c>
      <c r="C2012" s="102" t="s">
        <v>56</v>
      </c>
      <c r="D2012" s="119">
        <f>IF(OR(Clientes[[#This Row],[Columna1]]="Pago inmediato",Clientes[[#This Row],[Columna1]]=""),0,SUBSTITUTE(Clientes[[#This Row],[Columna1]]," días",""))</f>
        <v>0</v>
      </c>
    </row>
    <row r="2013" ht="30" spans="1:4">
      <c r="A2013" s="102" t="s">
        <v>3734</v>
      </c>
      <c r="B2013" s="102" t="s">
        <v>3736</v>
      </c>
      <c r="C2013" s="102" t="s">
        <v>56</v>
      </c>
      <c r="D2013" s="119">
        <f>IF(OR(Clientes[[#This Row],[Columna1]]="Pago inmediato",Clientes[[#This Row],[Columna1]]=""),0,SUBSTITUTE(Clientes[[#This Row],[Columna1]]," días",""))</f>
        <v>0</v>
      </c>
    </row>
    <row r="2014" spans="1:4">
      <c r="A2014" s="102" t="s">
        <v>3737</v>
      </c>
      <c r="B2014" s="102" t="s">
        <v>3738</v>
      </c>
      <c r="C2014" s="102" t="s">
        <v>56</v>
      </c>
      <c r="D2014" s="119">
        <f>IF(OR(Clientes[[#This Row],[Columna1]]="Pago inmediato",Clientes[[#This Row],[Columna1]]=""),0,SUBSTITUTE(Clientes[[#This Row],[Columna1]]," días",""))</f>
        <v>0</v>
      </c>
    </row>
    <row r="2015" ht="30" spans="1:4">
      <c r="A2015" s="102" t="s">
        <v>3739</v>
      </c>
      <c r="B2015" s="102" t="s">
        <v>3740</v>
      </c>
      <c r="C2015" s="102" t="s">
        <v>56</v>
      </c>
      <c r="D2015" s="119">
        <f>IF(OR(Clientes[[#This Row],[Columna1]]="Pago inmediato",Clientes[[#This Row],[Columna1]]=""),0,SUBSTITUTE(Clientes[[#This Row],[Columna1]]," días",""))</f>
        <v>0</v>
      </c>
    </row>
    <row r="2016" ht="30" spans="1:4">
      <c r="A2016" s="102" t="s">
        <v>3741</v>
      </c>
      <c r="B2016" s="102" t="s">
        <v>3742</v>
      </c>
      <c r="C2016" s="102" t="s">
        <v>61</v>
      </c>
      <c r="D2016" s="119" t="str">
        <f>IF(OR(Clientes[[#This Row],[Columna1]]="Pago inmediato",Clientes[[#This Row],[Columna1]]=""),0,SUBSTITUTE(Clientes[[#This Row],[Columna1]]," días",""))</f>
        <v>15</v>
      </c>
    </row>
    <row r="2017" ht="30" spans="1:4">
      <c r="A2017" s="102" t="s">
        <v>3743</v>
      </c>
      <c r="B2017" s="102" t="s">
        <v>3744</v>
      </c>
      <c r="C2017" s="102" t="s">
        <v>61</v>
      </c>
      <c r="D2017" s="119" t="str">
        <f>IF(OR(Clientes[[#This Row],[Columna1]]="Pago inmediato",Clientes[[#This Row],[Columna1]]=""),0,SUBSTITUTE(Clientes[[#This Row],[Columna1]]," días",""))</f>
        <v>15</v>
      </c>
    </row>
    <row r="2018" ht="30" spans="1:4">
      <c r="A2018" s="102" t="s">
        <v>3745</v>
      </c>
      <c r="B2018" s="102" t="s">
        <v>3746</v>
      </c>
      <c r="C2018" s="118" t="s">
        <v>56</v>
      </c>
      <c r="D2018" s="119">
        <f>IF(OR(Clientes[[#This Row],[Columna1]]="Pago inmediato",Clientes[[#This Row],[Columna1]]=""),0,SUBSTITUTE(Clientes[[#This Row],[Columna1]]," días",""))</f>
        <v>0</v>
      </c>
    </row>
    <row r="2019" ht="30" spans="1:4">
      <c r="A2019" s="102" t="s">
        <v>3747</v>
      </c>
      <c r="B2019" s="102" t="s">
        <v>3748</v>
      </c>
      <c r="C2019" s="102" t="s">
        <v>454</v>
      </c>
      <c r="D2019" s="119" t="str">
        <f>IF(OR(Clientes[[#This Row],[Columna1]]="Pago inmediato",Clientes[[#This Row],[Columna1]]=""),0,SUBSTITUTE(Clientes[[#This Row],[Columna1]]," días",""))</f>
        <v>21</v>
      </c>
    </row>
    <row r="2020" spans="1:4">
      <c r="A2020" s="102"/>
      <c r="B2020" s="102" t="s">
        <v>3749</v>
      </c>
      <c r="C2020" s="102"/>
      <c r="D2020" s="119">
        <f>IF(OR(Clientes[[#This Row],[Columna1]]="Pago inmediato",Clientes[[#This Row],[Columna1]]=""),0,SUBSTITUTE(Clientes[[#This Row],[Columna1]]," días",""))</f>
        <v>0</v>
      </c>
    </row>
    <row r="2021" ht="45" spans="1:4">
      <c r="A2021" s="102" t="s">
        <v>3750</v>
      </c>
      <c r="B2021" s="102" t="s">
        <v>3751</v>
      </c>
      <c r="C2021" s="102" t="s">
        <v>56</v>
      </c>
      <c r="D2021" s="119">
        <f>IF(OR(Clientes[[#This Row],[Columna1]]="Pago inmediato",Clientes[[#This Row],[Columna1]]=""),0,SUBSTITUTE(Clientes[[#This Row],[Columna1]]," días",""))</f>
        <v>0</v>
      </c>
    </row>
    <row r="2022" ht="30" spans="1:4">
      <c r="A2022" s="102" t="s">
        <v>3752</v>
      </c>
      <c r="B2022" s="102" t="s">
        <v>3753</v>
      </c>
      <c r="C2022" s="102" t="s">
        <v>56</v>
      </c>
      <c r="D2022" s="119">
        <f>IF(OR(Clientes[[#This Row],[Columna1]]="Pago inmediato",Clientes[[#This Row],[Columna1]]=""),0,SUBSTITUTE(Clientes[[#This Row],[Columna1]]," días",""))</f>
        <v>0</v>
      </c>
    </row>
    <row r="2023" ht="45" spans="1:4">
      <c r="A2023" s="102" t="s">
        <v>3754</v>
      </c>
      <c r="B2023" s="102" t="s">
        <v>3755</v>
      </c>
      <c r="C2023" s="102" t="s">
        <v>56</v>
      </c>
      <c r="D2023" s="119">
        <f>IF(OR(Clientes[[#This Row],[Columna1]]="Pago inmediato",Clientes[[#This Row],[Columna1]]=""),0,SUBSTITUTE(Clientes[[#This Row],[Columna1]]," días",""))</f>
        <v>0</v>
      </c>
    </row>
    <row r="2024" spans="1:4">
      <c r="A2024" s="102" t="s">
        <v>3756</v>
      </c>
      <c r="B2024" s="102" t="s">
        <v>3757</v>
      </c>
      <c r="C2024" s="102" t="s">
        <v>56</v>
      </c>
      <c r="D2024" s="119">
        <f>IF(OR(Clientes[[#This Row],[Columna1]]="Pago inmediato",Clientes[[#This Row],[Columna1]]=""),0,SUBSTITUTE(Clientes[[#This Row],[Columna1]]," días",""))</f>
        <v>0</v>
      </c>
    </row>
    <row r="2025" spans="1:4">
      <c r="A2025" s="102" t="s">
        <v>3758</v>
      </c>
      <c r="B2025" s="102" t="s">
        <v>3759</v>
      </c>
      <c r="C2025" s="102" t="s">
        <v>56</v>
      </c>
      <c r="D2025" s="119">
        <f>IF(OR(Clientes[[#This Row],[Columna1]]="Pago inmediato",Clientes[[#This Row],[Columna1]]=""),0,SUBSTITUTE(Clientes[[#This Row],[Columna1]]," días",""))</f>
        <v>0</v>
      </c>
    </row>
    <row r="2026" ht="30" spans="1:4">
      <c r="A2026" s="102" t="s">
        <v>3758</v>
      </c>
      <c r="B2026" s="102" t="s">
        <v>3760</v>
      </c>
      <c r="C2026" s="102" t="s">
        <v>56</v>
      </c>
      <c r="D2026" s="119">
        <f>IF(OR(Clientes[[#This Row],[Columna1]]="Pago inmediato",Clientes[[#This Row],[Columna1]]=""),0,SUBSTITUTE(Clientes[[#This Row],[Columna1]]," días",""))</f>
        <v>0</v>
      </c>
    </row>
    <row r="2027" ht="30" spans="1:4">
      <c r="A2027" s="102" t="s">
        <v>3761</v>
      </c>
      <c r="B2027" s="102" t="s">
        <v>3762</v>
      </c>
      <c r="C2027" s="102" t="s">
        <v>56</v>
      </c>
      <c r="D2027" s="119">
        <f>IF(OR(Clientes[[#This Row],[Columna1]]="Pago inmediato",Clientes[[#This Row],[Columna1]]=""),0,SUBSTITUTE(Clientes[[#This Row],[Columna1]]," días",""))</f>
        <v>0</v>
      </c>
    </row>
    <row r="2028" ht="30" spans="1:4">
      <c r="A2028" s="102" t="s">
        <v>3763</v>
      </c>
      <c r="B2028" s="102" t="s">
        <v>3764</v>
      </c>
      <c r="C2028" s="102" t="s">
        <v>454</v>
      </c>
      <c r="D2028" s="119" t="str">
        <f>IF(OR(Clientes[[#This Row],[Columna1]]="Pago inmediato",Clientes[[#This Row],[Columna1]]=""),0,SUBSTITUTE(Clientes[[#This Row],[Columna1]]," días",""))</f>
        <v>21</v>
      </c>
    </row>
    <row r="2029" spans="1:4">
      <c r="A2029" s="102" t="s">
        <v>3765</v>
      </c>
      <c r="B2029" s="102" t="s">
        <v>3766</v>
      </c>
      <c r="C2029" s="102" t="s">
        <v>56</v>
      </c>
      <c r="D2029" s="119">
        <f>IF(OR(Clientes[[#This Row],[Columna1]]="Pago inmediato",Clientes[[#This Row],[Columna1]]=""),0,SUBSTITUTE(Clientes[[#This Row],[Columna1]]," días",""))</f>
        <v>0</v>
      </c>
    </row>
    <row r="2030" ht="45" spans="1:4">
      <c r="A2030" s="102" t="s">
        <v>3765</v>
      </c>
      <c r="B2030" s="102" t="s">
        <v>3767</v>
      </c>
      <c r="C2030" s="102" t="s">
        <v>56</v>
      </c>
      <c r="D2030" s="119">
        <f>IF(OR(Clientes[[#This Row],[Columna1]]="Pago inmediato",Clientes[[#This Row],[Columna1]]=""),0,SUBSTITUTE(Clientes[[#This Row],[Columna1]]," días",""))</f>
        <v>0</v>
      </c>
    </row>
    <row r="2031" ht="45" spans="1:4">
      <c r="A2031" s="102" t="s">
        <v>3768</v>
      </c>
      <c r="B2031" s="102" t="s">
        <v>3769</v>
      </c>
      <c r="C2031" s="102" t="s">
        <v>61</v>
      </c>
      <c r="D2031" s="119" t="str">
        <f>IF(OR(Clientes[[#This Row],[Columna1]]="Pago inmediato",Clientes[[#This Row],[Columna1]]=""),0,SUBSTITUTE(Clientes[[#This Row],[Columna1]]," días",""))</f>
        <v>15</v>
      </c>
    </row>
    <row r="2032" spans="1:4">
      <c r="A2032" s="102" t="s">
        <v>3770</v>
      </c>
      <c r="B2032" s="102" t="s">
        <v>3771</v>
      </c>
      <c r="C2032" s="102" t="s">
        <v>56</v>
      </c>
      <c r="D2032" s="119">
        <f>IF(OR(Clientes[[#This Row],[Columna1]]="Pago inmediato",Clientes[[#This Row],[Columna1]]=""),0,SUBSTITUTE(Clientes[[#This Row],[Columna1]]," días",""))</f>
        <v>0</v>
      </c>
    </row>
    <row r="2033" spans="1:4">
      <c r="A2033" s="102" t="s">
        <v>3772</v>
      </c>
      <c r="B2033" s="102" t="s">
        <v>3773</v>
      </c>
      <c r="C2033" s="102" t="s">
        <v>56</v>
      </c>
      <c r="D2033" s="119">
        <f>IF(OR(Clientes[[#This Row],[Columna1]]="Pago inmediato",Clientes[[#This Row],[Columna1]]=""),0,SUBSTITUTE(Clientes[[#This Row],[Columna1]]," días",""))</f>
        <v>0</v>
      </c>
    </row>
    <row r="2034" ht="60" spans="1:4">
      <c r="A2034" s="102" t="s">
        <v>3774</v>
      </c>
      <c r="B2034" s="102" t="s">
        <v>3775</v>
      </c>
      <c r="C2034" s="102" t="s">
        <v>56</v>
      </c>
      <c r="D2034" s="119">
        <f>IF(OR(Clientes[[#This Row],[Columna1]]="Pago inmediato",Clientes[[#This Row],[Columna1]]=""),0,SUBSTITUTE(Clientes[[#This Row],[Columna1]]," días",""))</f>
        <v>0</v>
      </c>
    </row>
    <row r="2035" ht="30" spans="1:4">
      <c r="A2035" s="102" t="s">
        <v>3776</v>
      </c>
      <c r="B2035" s="102" t="s">
        <v>3777</v>
      </c>
      <c r="C2035" s="102" t="s">
        <v>56</v>
      </c>
      <c r="D2035" s="119">
        <f>IF(OR(Clientes[[#This Row],[Columna1]]="Pago inmediato",Clientes[[#This Row],[Columna1]]=""),0,SUBSTITUTE(Clientes[[#This Row],[Columna1]]," días",""))</f>
        <v>0</v>
      </c>
    </row>
    <row r="2036" ht="30" spans="1:4">
      <c r="A2036" s="102" t="s">
        <v>3778</v>
      </c>
      <c r="B2036" s="102" t="s">
        <v>3779</v>
      </c>
      <c r="C2036" s="102" t="s">
        <v>56</v>
      </c>
      <c r="D2036" s="119">
        <f>IF(OR(Clientes[[#This Row],[Columna1]]="Pago inmediato",Clientes[[#This Row],[Columna1]]=""),0,SUBSTITUTE(Clientes[[#This Row],[Columna1]]," días",""))</f>
        <v>0</v>
      </c>
    </row>
    <row r="2037" ht="30" spans="1:4">
      <c r="A2037" s="102" t="s">
        <v>3780</v>
      </c>
      <c r="B2037" s="102" t="s">
        <v>3781</v>
      </c>
      <c r="C2037" s="102" t="s">
        <v>56</v>
      </c>
      <c r="D2037" s="119">
        <f>IF(OR(Clientes[[#This Row],[Columna1]]="Pago inmediato",Clientes[[#This Row],[Columna1]]=""),0,SUBSTITUTE(Clientes[[#This Row],[Columna1]]," días",""))</f>
        <v>0</v>
      </c>
    </row>
    <row r="2038" ht="45" spans="1:4">
      <c r="A2038" s="102" t="s">
        <v>3782</v>
      </c>
      <c r="B2038" s="102" t="s">
        <v>3783</v>
      </c>
      <c r="C2038" s="102" t="s">
        <v>56</v>
      </c>
      <c r="D2038" s="119">
        <f>IF(OR(Clientes[[#This Row],[Columna1]]="Pago inmediato",Clientes[[#This Row],[Columna1]]=""),0,SUBSTITUTE(Clientes[[#This Row],[Columna1]]," días",""))</f>
        <v>0</v>
      </c>
    </row>
    <row r="2039" ht="60" spans="1:4">
      <c r="A2039" s="102" t="s">
        <v>3782</v>
      </c>
      <c r="B2039" s="102" t="s">
        <v>3784</v>
      </c>
      <c r="C2039" s="102" t="s">
        <v>56</v>
      </c>
      <c r="D2039" s="119">
        <f>IF(OR(Clientes[[#This Row],[Columna1]]="Pago inmediato",Clientes[[#This Row],[Columna1]]=""),0,SUBSTITUTE(Clientes[[#This Row],[Columna1]]," días",""))</f>
        <v>0</v>
      </c>
    </row>
    <row r="2040" spans="1:4">
      <c r="A2040" s="102" t="s">
        <v>3785</v>
      </c>
      <c r="B2040" s="102" t="s">
        <v>3786</v>
      </c>
      <c r="C2040" s="102" t="s">
        <v>56</v>
      </c>
      <c r="D2040" s="119">
        <f>IF(OR(Clientes[[#This Row],[Columna1]]="Pago inmediato",Clientes[[#This Row],[Columna1]]=""),0,SUBSTITUTE(Clientes[[#This Row],[Columna1]]," días",""))</f>
        <v>0</v>
      </c>
    </row>
    <row r="2041" spans="1:4">
      <c r="A2041" s="102" t="s">
        <v>3787</v>
      </c>
      <c r="B2041" s="102" t="s">
        <v>3788</v>
      </c>
      <c r="C2041" s="102" t="s">
        <v>56</v>
      </c>
      <c r="D2041" s="119">
        <f>IF(OR(Clientes[[#This Row],[Columna1]]="Pago inmediato",Clientes[[#This Row],[Columna1]]=""),0,SUBSTITUTE(Clientes[[#This Row],[Columna1]]," días",""))</f>
        <v>0</v>
      </c>
    </row>
    <row r="2042" spans="1:4">
      <c r="A2042" s="102" t="s">
        <v>3789</v>
      </c>
      <c r="B2042" s="102" t="s">
        <v>3790</v>
      </c>
      <c r="C2042" s="102" t="s">
        <v>56</v>
      </c>
      <c r="D2042" s="119">
        <f>IF(OR(Clientes[[#This Row],[Columna1]]="Pago inmediato",Clientes[[#This Row],[Columna1]]=""),0,SUBSTITUTE(Clientes[[#This Row],[Columna1]]," días",""))</f>
        <v>0</v>
      </c>
    </row>
    <row r="2043" ht="30" spans="1:4">
      <c r="A2043" s="102" t="s">
        <v>3789</v>
      </c>
      <c r="B2043" s="102" t="s">
        <v>3791</v>
      </c>
      <c r="C2043" s="102" t="s">
        <v>56</v>
      </c>
      <c r="D2043" s="119">
        <f>IF(OR(Clientes[[#This Row],[Columna1]]="Pago inmediato",Clientes[[#This Row],[Columna1]]=""),0,SUBSTITUTE(Clientes[[#This Row],[Columna1]]," días",""))</f>
        <v>0</v>
      </c>
    </row>
    <row r="2044" spans="1:4">
      <c r="A2044" s="102" t="s">
        <v>3792</v>
      </c>
      <c r="B2044" s="102" t="s">
        <v>3793</v>
      </c>
      <c r="C2044" s="102" t="s">
        <v>56</v>
      </c>
      <c r="D2044" s="119">
        <f>IF(OR(Clientes[[#This Row],[Columna1]]="Pago inmediato",Clientes[[#This Row],[Columna1]]=""),0,SUBSTITUTE(Clientes[[#This Row],[Columna1]]," días",""))</f>
        <v>0</v>
      </c>
    </row>
    <row r="2045" spans="1:4">
      <c r="A2045" s="102"/>
      <c r="B2045" s="102" t="s">
        <v>3794</v>
      </c>
      <c r="C2045" s="102"/>
      <c r="D2045" s="119">
        <f>IF(OR(Clientes[[#This Row],[Columna1]]="Pago inmediato",Clientes[[#This Row],[Columna1]]=""),0,SUBSTITUTE(Clientes[[#This Row],[Columna1]]," días",""))</f>
        <v>0</v>
      </c>
    </row>
    <row r="2046" spans="1:4">
      <c r="A2046" s="102" t="s">
        <v>3795</v>
      </c>
      <c r="B2046" s="102" t="s">
        <v>3796</v>
      </c>
      <c r="C2046" s="102" t="s">
        <v>56</v>
      </c>
      <c r="D2046" s="119">
        <f>IF(OR(Clientes[[#This Row],[Columna1]]="Pago inmediato",Clientes[[#This Row],[Columna1]]=""),0,SUBSTITUTE(Clientes[[#This Row],[Columna1]]," días",""))</f>
        <v>0</v>
      </c>
    </row>
    <row r="2047" ht="30" spans="1:4">
      <c r="A2047" s="102" t="s">
        <v>3795</v>
      </c>
      <c r="B2047" s="102" t="s">
        <v>3797</v>
      </c>
      <c r="C2047" s="102" t="s">
        <v>56</v>
      </c>
      <c r="D2047" s="119">
        <f>IF(OR(Clientes[[#This Row],[Columna1]]="Pago inmediato",Clientes[[#This Row],[Columna1]]=""),0,SUBSTITUTE(Clientes[[#This Row],[Columna1]]," días",""))</f>
        <v>0</v>
      </c>
    </row>
    <row r="2048" ht="45" spans="1:4">
      <c r="A2048" s="102" t="s">
        <v>3798</v>
      </c>
      <c r="B2048" s="102" t="s">
        <v>3799</v>
      </c>
      <c r="C2048" s="102" t="s">
        <v>56</v>
      </c>
      <c r="D2048" s="119">
        <f>IF(OR(Clientes[[#This Row],[Columna1]]="Pago inmediato",Clientes[[#This Row],[Columna1]]=""),0,SUBSTITUTE(Clientes[[#This Row],[Columna1]]," días",""))</f>
        <v>0</v>
      </c>
    </row>
    <row r="2049" ht="30" spans="1:4">
      <c r="A2049" s="102" t="s">
        <v>3800</v>
      </c>
      <c r="B2049" s="102" t="s">
        <v>3801</v>
      </c>
      <c r="C2049" s="102" t="s">
        <v>56</v>
      </c>
      <c r="D2049" s="119">
        <f>IF(OR(Clientes[[#This Row],[Columna1]]="Pago inmediato",Clientes[[#This Row],[Columna1]]=""),0,SUBSTITUTE(Clientes[[#This Row],[Columna1]]," días",""))</f>
        <v>0</v>
      </c>
    </row>
    <row r="2050" ht="30" spans="1:4">
      <c r="A2050" s="102" t="s">
        <v>3800</v>
      </c>
      <c r="B2050" s="102" t="s">
        <v>3802</v>
      </c>
      <c r="C2050" s="102" t="s">
        <v>56</v>
      </c>
      <c r="D2050" s="119">
        <f>IF(OR(Clientes[[#This Row],[Columna1]]="Pago inmediato",Clientes[[#This Row],[Columna1]]=""),0,SUBSTITUTE(Clientes[[#This Row],[Columna1]]," días",""))</f>
        <v>0</v>
      </c>
    </row>
    <row r="2051" ht="30" spans="1:4">
      <c r="A2051" s="102" t="s">
        <v>3803</v>
      </c>
      <c r="B2051" s="102" t="s">
        <v>3804</v>
      </c>
      <c r="C2051" s="102" t="s">
        <v>56</v>
      </c>
      <c r="D2051" s="119">
        <f>IF(OR(Clientes[[#This Row],[Columna1]]="Pago inmediato",Clientes[[#This Row],[Columna1]]=""),0,SUBSTITUTE(Clientes[[#This Row],[Columna1]]," días",""))</f>
        <v>0</v>
      </c>
    </row>
    <row r="2052" spans="1:4">
      <c r="A2052" s="102"/>
      <c r="B2052" s="102" t="s">
        <v>3805</v>
      </c>
      <c r="C2052" s="102"/>
      <c r="D2052" s="119">
        <f>IF(OR(Clientes[[#This Row],[Columna1]]="Pago inmediato",Clientes[[#This Row],[Columna1]]=""),0,SUBSTITUTE(Clientes[[#This Row],[Columna1]]," días",""))</f>
        <v>0</v>
      </c>
    </row>
    <row r="2053" spans="1:4">
      <c r="A2053" s="102"/>
      <c r="B2053" s="102" t="s">
        <v>3806</v>
      </c>
      <c r="C2053" s="102"/>
      <c r="D2053" s="119">
        <f>IF(OR(Clientes[[#This Row],[Columna1]]="Pago inmediato",Clientes[[#This Row],[Columna1]]=""),0,SUBSTITUTE(Clientes[[#This Row],[Columna1]]," días",""))</f>
        <v>0</v>
      </c>
    </row>
    <row r="2054" spans="1:4">
      <c r="A2054" s="102" t="s">
        <v>3807</v>
      </c>
      <c r="B2054" s="102" t="s">
        <v>3808</v>
      </c>
      <c r="C2054" s="102">
        <v>30</v>
      </c>
      <c r="D2054" s="119" t="str">
        <f>IF(OR(Clientes[[#This Row],[Columna1]]="Pago inmediato",Clientes[[#This Row],[Columna1]]=""),0,SUBSTITUTE(Clientes[[#This Row],[Columna1]]," días",""))</f>
        <v>30</v>
      </c>
    </row>
    <row r="2055" ht="30" spans="1:4">
      <c r="A2055" s="102" t="s">
        <v>3809</v>
      </c>
      <c r="B2055" s="102" t="s">
        <v>3810</v>
      </c>
      <c r="C2055" s="102" t="s">
        <v>56</v>
      </c>
      <c r="D2055" s="119">
        <f>IF(OR(Clientes[[#This Row],[Columna1]]="Pago inmediato",Clientes[[#This Row],[Columna1]]=""),0,SUBSTITUTE(Clientes[[#This Row],[Columna1]]," días",""))</f>
        <v>0</v>
      </c>
    </row>
    <row r="2056" spans="1:4">
      <c r="A2056" s="102"/>
      <c r="B2056" s="102" t="s">
        <v>3811</v>
      </c>
      <c r="C2056" s="102" t="s">
        <v>56</v>
      </c>
      <c r="D2056" s="119">
        <f>IF(OR(Clientes[[#This Row],[Columna1]]="Pago inmediato",Clientes[[#This Row],[Columna1]]=""),0,SUBSTITUTE(Clientes[[#This Row],[Columna1]]," días",""))</f>
        <v>0</v>
      </c>
    </row>
    <row r="2057" spans="1:4">
      <c r="A2057" s="102"/>
      <c r="B2057" s="102" t="s">
        <v>3811</v>
      </c>
      <c r="C2057" s="102" t="s">
        <v>56</v>
      </c>
      <c r="D2057" s="119">
        <f>IF(OR(Clientes[[#This Row],[Columna1]]="Pago inmediato",Clientes[[#This Row],[Columna1]]=""),0,SUBSTITUTE(Clientes[[#This Row],[Columna1]]," días",""))</f>
        <v>0</v>
      </c>
    </row>
    <row r="2058" ht="30" spans="1:4">
      <c r="A2058" s="102" t="s">
        <v>3812</v>
      </c>
      <c r="B2058" s="102" t="s">
        <v>3813</v>
      </c>
      <c r="C2058" s="102" t="s">
        <v>56</v>
      </c>
      <c r="D2058" s="119">
        <f>IF(OR(Clientes[[#This Row],[Columna1]]="Pago inmediato",Clientes[[#This Row],[Columna1]]=""),0,SUBSTITUTE(Clientes[[#This Row],[Columna1]]," días",""))</f>
        <v>0</v>
      </c>
    </row>
    <row r="2059" spans="1:4">
      <c r="A2059" s="102" t="s">
        <v>3814</v>
      </c>
      <c r="B2059" s="102" t="s">
        <v>3815</v>
      </c>
      <c r="C2059" s="102" t="s">
        <v>61</v>
      </c>
      <c r="D2059" s="119" t="str">
        <f>IF(OR(Clientes[[#This Row],[Columna1]]="Pago inmediato",Clientes[[#This Row],[Columna1]]=""),0,SUBSTITUTE(Clientes[[#This Row],[Columna1]]," días",""))</f>
        <v>15</v>
      </c>
    </row>
    <row r="2060" spans="1:4">
      <c r="A2060" s="102" t="s">
        <v>3816</v>
      </c>
      <c r="B2060" s="102" t="s">
        <v>3817</v>
      </c>
      <c r="C2060" s="102" t="s">
        <v>56</v>
      </c>
      <c r="D2060" s="119">
        <f>IF(OR(Clientes[[#This Row],[Columna1]]="Pago inmediato",Clientes[[#This Row],[Columna1]]=""),0,SUBSTITUTE(Clientes[[#This Row],[Columna1]]," días",""))</f>
        <v>0</v>
      </c>
    </row>
    <row r="2061" ht="30" spans="1:4">
      <c r="A2061" s="102" t="s">
        <v>3818</v>
      </c>
      <c r="B2061" s="102" t="s">
        <v>3819</v>
      </c>
      <c r="C2061" s="102" t="s">
        <v>56</v>
      </c>
      <c r="D2061" s="119">
        <f>IF(OR(Clientes[[#This Row],[Columna1]]="Pago inmediato",Clientes[[#This Row],[Columna1]]=""),0,SUBSTITUTE(Clientes[[#This Row],[Columna1]]," días",""))</f>
        <v>0</v>
      </c>
    </row>
    <row r="2062" spans="1:4">
      <c r="A2062" s="102" t="s">
        <v>3820</v>
      </c>
      <c r="B2062" s="102" t="s">
        <v>3821</v>
      </c>
      <c r="C2062" s="102" t="s">
        <v>56</v>
      </c>
      <c r="D2062" s="119">
        <f>IF(OR(Clientes[[#This Row],[Columna1]]="Pago inmediato",Clientes[[#This Row],[Columna1]]=""),0,SUBSTITUTE(Clientes[[#This Row],[Columna1]]," días",""))</f>
        <v>0</v>
      </c>
    </row>
    <row r="2063" ht="30" spans="1:4">
      <c r="A2063" s="102" t="s">
        <v>3822</v>
      </c>
      <c r="B2063" s="102" t="s">
        <v>3823</v>
      </c>
      <c r="C2063" s="102" t="s">
        <v>61</v>
      </c>
      <c r="D2063" s="119" t="str">
        <f>IF(OR(Clientes[[#This Row],[Columna1]]="Pago inmediato",Clientes[[#This Row],[Columna1]]=""),0,SUBSTITUTE(Clientes[[#This Row],[Columna1]]," días",""))</f>
        <v>15</v>
      </c>
    </row>
    <row r="2064" spans="1:4">
      <c r="A2064" s="102" t="s">
        <v>3824</v>
      </c>
      <c r="B2064" s="102" t="s">
        <v>3825</v>
      </c>
      <c r="C2064" s="102" t="s">
        <v>54</v>
      </c>
      <c r="D2064" s="119" t="str">
        <f>IF(OR(Clientes[[#This Row],[Columna1]]="Pago inmediato",Clientes[[#This Row],[Columna1]]=""),0,SUBSTITUTE(Clientes[[#This Row],[Columna1]]," días",""))</f>
        <v>7</v>
      </c>
    </row>
    <row r="2065" spans="1:4">
      <c r="A2065" s="102" t="s">
        <v>3826</v>
      </c>
      <c r="B2065" s="102" t="s">
        <v>3827</v>
      </c>
      <c r="C2065" s="102" t="s">
        <v>486</v>
      </c>
      <c r="D2065" s="119" t="str">
        <f>IF(OR(Clientes[[#This Row],[Columna1]]="Pago inmediato",Clientes[[#This Row],[Columna1]]=""),0,SUBSTITUTE(Clientes[[#This Row],[Columna1]]," días",""))</f>
        <v>30</v>
      </c>
    </row>
    <row r="2066" ht="30" spans="1:4">
      <c r="A2066" s="102" t="s">
        <v>3826</v>
      </c>
      <c r="B2066" s="102" t="s">
        <v>3828</v>
      </c>
      <c r="C2066" s="102" t="s">
        <v>486</v>
      </c>
      <c r="D2066" s="119" t="str">
        <f>IF(OR(Clientes[[#This Row],[Columna1]]="Pago inmediato",Clientes[[#This Row],[Columna1]]=""),0,SUBSTITUTE(Clientes[[#This Row],[Columna1]]," días",""))</f>
        <v>30</v>
      </c>
    </row>
    <row r="2067" ht="30" spans="1:4">
      <c r="A2067" s="102" t="s">
        <v>3829</v>
      </c>
      <c r="B2067" s="102" t="s">
        <v>3830</v>
      </c>
      <c r="C2067" s="102" t="s">
        <v>454</v>
      </c>
      <c r="D2067" s="119" t="str">
        <f>IF(OR(Clientes[[#This Row],[Columna1]]="Pago inmediato",Clientes[[#This Row],[Columna1]]=""),0,SUBSTITUTE(Clientes[[#This Row],[Columna1]]," días",""))</f>
        <v>21</v>
      </c>
    </row>
    <row r="2068" ht="30" spans="1:4">
      <c r="A2068" s="102" t="s">
        <v>3831</v>
      </c>
      <c r="B2068" s="102" t="s">
        <v>3832</v>
      </c>
      <c r="C2068" s="102" t="s">
        <v>56</v>
      </c>
      <c r="D2068" s="119">
        <f>IF(OR(Clientes[[#This Row],[Columna1]]="Pago inmediato",Clientes[[#This Row],[Columna1]]=""),0,SUBSTITUTE(Clientes[[#This Row],[Columna1]]," días",""))</f>
        <v>0</v>
      </c>
    </row>
    <row r="2069" ht="45" spans="1:4">
      <c r="A2069" s="102" t="s">
        <v>3831</v>
      </c>
      <c r="B2069" s="102" t="s">
        <v>3833</v>
      </c>
      <c r="C2069" s="102" t="s">
        <v>56</v>
      </c>
      <c r="D2069" s="119">
        <f>IF(OR(Clientes[[#This Row],[Columna1]]="Pago inmediato",Clientes[[#This Row],[Columna1]]=""),0,SUBSTITUTE(Clientes[[#This Row],[Columna1]]," días",""))</f>
        <v>0</v>
      </c>
    </row>
    <row r="2070" ht="45" spans="1:4">
      <c r="A2070" s="102" t="s">
        <v>3834</v>
      </c>
      <c r="B2070" s="102" t="s">
        <v>3835</v>
      </c>
      <c r="C2070" s="102" t="s">
        <v>56</v>
      </c>
      <c r="D2070" s="119">
        <f>IF(OR(Clientes[[#This Row],[Columna1]]="Pago inmediato",Clientes[[#This Row],[Columna1]]=""),0,SUBSTITUTE(Clientes[[#This Row],[Columna1]]," días",""))</f>
        <v>0</v>
      </c>
    </row>
    <row r="2071" spans="1:4">
      <c r="A2071" s="102" t="s">
        <v>3836</v>
      </c>
      <c r="B2071" s="102" t="s">
        <v>3837</v>
      </c>
      <c r="C2071" s="102" t="s">
        <v>56</v>
      </c>
      <c r="D2071" s="119">
        <f>IF(OR(Clientes[[#This Row],[Columna1]]="Pago inmediato",Clientes[[#This Row],[Columna1]]=""),0,SUBSTITUTE(Clientes[[#This Row],[Columna1]]," días",""))</f>
        <v>0</v>
      </c>
    </row>
  </sheetData>
  <mergeCells count="1">
    <mergeCell ref="B33:C33"/>
  </mergeCells>
  <pageMargins left="0.7" right="0.7" top="0.75" bottom="0.75" header="0.3" footer="0.3"/>
  <headerFooter/>
  <ignoredErrors>
    <ignoredError sqref="G44:G50;G51:G52" calculatedColumn="1"/>
  </ignoredErrors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50"/>
  <sheetViews>
    <sheetView tabSelected="1" topLeftCell="M63" workbookViewId="0">
      <selection activeCell="V69" sqref="V69"/>
    </sheetView>
  </sheetViews>
  <sheetFormatPr defaultColWidth="11" defaultRowHeight="15"/>
  <cols>
    <col min="1" max="1" width="17.8583333333333" style="41" customWidth="1"/>
    <col min="2" max="2" width="20.2833333333333" customWidth="1"/>
    <col min="3" max="3" width="11.8583333333333" style="41" customWidth="1"/>
    <col min="4" max="4" width="35.2833333333333" customWidth="1"/>
    <col min="5" max="5" width="18.5666666666667" style="41" customWidth="1"/>
    <col min="6" max="6" width="17.2833333333333" customWidth="1"/>
    <col min="7" max="7" width="19.425" style="42" customWidth="1"/>
    <col min="8" max="8" width="18.8583333333333" customWidth="1"/>
    <col min="9" max="9" width="11.5666666666667" customWidth="1"/>
    <col min="10" max="10" width="17.1416666666667" style="43" customWidth="1"/>
    <col min="11" max="11" width="21" style="44" customWidth="1"/>
    <col min="12" max="12" width="13.8583333333333" style="44" customWidth="1"/>
    <col min="13" max="13" width="8.28333333333333" customWidth="1"/>
    <col min="14" max="14" width="13.8583333333333" customWidth="1"/>
    <col min="15" max="15" width="13.7083333333333" style="45" customWidth="1"/>
    <col min="16" max="16" width="8.70833333333333" style="45" customWidth="1"/>
    <col min="17" max="17" width="6.70833333333333" style="45" customWidth="1"/>
    <col min="18" max="18" width="7" customWidth="1"/>
    <col min="19" max="19" width="11.1416666666667" style="46" customWidth="1"/>
    <col min="20" max="20" width="11.1416666666667" style="47" customWidth="1"/>
    <col min="21" max="21" width="9.56666666666667" style="46" customWidth="1"/>
    <col min="22" max="22" width="13.425" style="34" customWidth="1"/>
    <col min="23" max="23" width="13.425" style="46" customWidth="1"/>
    <col min="24" max="24" width="13.425" customWidth="1"/>
    <col min="25" max="25" width="77.8583333333333" customWidth="1"/>
  </cols>
  <sheetData>
    <row r="1" ht="24" spans="1:24">
      <c r="A1" s="17" t="s">
        <v>3838</v>
      </c>
      <c r="B1" s="17" t="s">
        <v>3839</v>
      </c>
      <c r="C1" s="48" t="s">
        <v>3840</v>
      </c>
      <c r="D1" s="48" t="s">
        <v>3841</v>
      </c>
      <c r="E1" s="48" t="s">
        <v>3842</v>
      </c>
      <c r="F1" s="50" t="s">
        <v>3843</v>
      </c>
      <c r="G1" s="48" t="s">
        <v>3844</v>
      </c>
      <c r="H1" s="48" t="s">
        <v>3845</v>
      </c>
      <c r="I1" s="52" t="s">
        <v>3846</v>
      </c>
      <c r="J1" s="52" t="s">
        <v>3847</v>
      </c>
      <c r="K1" s="52" t="s">
        <v>3848</v>
      </c>
      <c r="L1" s="53" t="s">
        <v>3849</v>
      </c>
      <c r="M1" s="48" t="s">
        <v>30</v>
      </c>
      <c r="N1" s="56" t="s">
        <v>3850</v>
      </c>
      <c r="O1" s="56" t="s">
        <v>3851</v>
      </c>
      <c r="P1" s="56" t="s">
        <v>3852</v>
      </c>
      <c r="Q1" s="48" t="s">
        <v>3853</v>
      </c>
      <c r="R1" s="48" t="s">
        <v>3854</v>
      </c>
      <c r="S1" s="57" t="s">
        <v>3855</v>
      </c>
      <c r="T1" s="58" t="s">
        <v>3856</v>
      </c>
      <c r="U1" s="59" t="s">
        <v>3857</v>
      </c>
      <c r="V1" s="57" t="s">
        <v>3858</v>
      </c>
      <c r="W1" s="48" t="s">
        <v>3859</v>
      </c>
      <c r="X1" s="17" t="s">
        <v>51</v>
      </c>
    </row>
    <row r="2" spans="1:23">
      <c r="A2" s="49" t="s">
        <v>3860</v>
      </c>
      <c r="B2" s="49" t="s">
        <v>3861</v>
      </c>
      <c r="C2" s="49" t="s">
        <v>1782</v>
      </c>
      <c r="D2" s="49" t="s">
        <v>1783</v>
      </c>
      <c r="E2" s="49" t="s">
        <v>3862</v>
      </c>
      <c r="F2" s="51">
        <v>46196</v>
      </c>
      <c r="G2" s="49">
        <v>401.75</v>
      </c>
      <c r="H2" s="49" t="s">
        <v>16</v>
      </c>
      <c r="I2" s="51">
        <v>46204</v>
      </c>
      <c r="J2" s="54">
        <f>INT(Cobros[[#This Row],[Fecha Cargo]])</f>
        <v>46196</v>
      </c>
      <c r="K2" s="54">
        <f>INT(Cobros[[#This Row],[Fecha Aplicacion]])</f>
        <v>46204</v>
      </c>
      <c r="L2" s="55" t="str">
        <f>INDEX(Clientes[Días Plazo],MATCH(Cobros[[#This Row],[Cod. Cliente]],Clientes[Codigo],0),1)</f>
        <v>15</v>
      </c>
      <c r="M2" s="45" t="str">
        <f>IF(Cobros[[#This Row],[Dias de Credito]]&lt;=0,"Contado","Credito")</f>
        <v>Credito</v>
      </c>
      <c r="N2" s="45">
        <f>Cobros[[#This Row],[Fecha Aplicación S]]-Cobros[[#This Row],[Fecha Cargo S]]</f>
        <v>8</v>
      </c>
      <c r="O2" s="45">
        <f>Cobros[[#This Row],[Dias al pago]]-Cobros[[#This Row],[Dias de Credito]]</f>
        <v>-7</v>
      </c>
      <c r="P2" s="45">
        <f>SUMIFS(TablaDias[Porcentaje],TablaDias[Tipo],Cobros[[#This Row],[Tipo]],TablaDias[Desde ],"&lt;="&amp;MAX(0,Cobros[[#This Row],[Dias pasado]]),TablaDias[Hasta ],"&gt;="&amp;Cobros[[#This Row],[Dias pasado]])</f>
        <v>100</v>
      </c>
      <c r="Q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">
        <v>0</v>
      </c>
      <c r="S2" s="46">
        <f t="array" ref="S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" s="47">
        <v>0.005</v>
      </c>
      <c r="U2" s="34">
        <f>IF(Cobros[[#This Row],[Tipo]]="Credito",IF(60&gt;=Cobros[[#This Row],[Dias al pago]],1,0),IF(Cobros[[#This Row],[Dias al pago]]&lt;=3,1,0))</f>
        <v>1</v>
      </c>
      <c r="V2" s="46">
        <f>Cobros[[#This Row],[Valor Pagado]]*Cobros[[#This Row],[% A pagar Gerente]]</f>
        <v>2.00875</v>
      </c>
      <c r="W2" s="46">
        <f>0.5%*Cobros[[#This Row],[Valor Pagado]]</f>
        <v>2.00875</v>
      </c>
    </row>
    <row r="3" ht="30" spans="1:23">
      <c r="A3" s="49" t="s">
        <v>3860</v>
      </c>
      <c r="B3" s="49" t="s">
        <v>3863</v>
      </c>
      <c r="C3" s="49" t="s">
        <v>2318</v>
      </c>
      <c r="D3" s="49" t="s">
        <v>2319</v>
      </c>
      <c r="E3" s="49" t="s">
        <v>3864</v>
      </c>
      <c r="F3" s="51">
        <v>46181</v>
      </c>
      <c r="G3" s="49">
        <v>2507.18</v>
      </c>
      <c r="H3" s="49" t="s">
        <v>3865</v>
      </c>
      <c r="I3" s="51">
        <v>46204</v>
      </c>
      <c r="J3" s="54">
        <f>INT(Cobros[[#This Row],[Fecha Cargo]])</f>
        <v>46181</v>
      </c>
      <c r="K3" s="54">
        <f>INT(Cobros[[#This Row],[Fecha Aplicacion]])</f>
        <v>46204</v>
      </c>
      <c r="L3" s="55" t="str">
        <f>INDEX(Clientes[Días Plazo],MATCH(Cobros[[#This Row],[Cod. Cliente]],Clientes[Codigo],0),1)</f>
        <v>15</v>
      </c>
      <c r="M3" s="45" t="str">
        <f>IF(Cobros[[#This Row],[Dias de Credito]]&lt;=0,"Contado","Credito")</f>
        <v>Credito</v>
      </c>
      <c r="N3" s="45">
        <f>Cobros[[#This Row],[Fecha Aplicación S]]-Cobros[[#This Row],[Fecha Cargo S]]</f>
        <v>23</v>
      </c>
      <c r="O3" s="45">
        <f>Cobros[[#This Row],[Dias al pago]]-Cobros[[#This Row],[Dias de Credito]]</f>
        <v>8</v>
      </c>
      <c r="P3" s="45">
        <f>SUMIFS(TablaDias[Porcentaje],TablaDias[Tipo],Cobros[[#This Row],[Tipo]],TablaDias[Desde ],"&lt;="&amp;MAX(0,Cobros[[#This Row],[Dias pasado]]),TablaDias[Hasta ],"&gt;="&amp;Cobros[[#This Row],[Dias pasado]])</f>
        <v>100</v>
      </c>
      <c r="Q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">
        <f>IF(COUNTIF(PAPEL[Numero],Cobros[[#This Row],[Doc. Cargo]])&gt;0,1,0)</f>
        <v>0</v>
      </c>
      <c r="S3" s="46">
        <v>1</v>
      </c>
      <c r="T3" s="46">
        <f t="array" ref="T3">INDEX(Ventas[[Unidades]:[2]],MATCH("Gerente de Venta",Ventas[Vendedor %],0),6+Cobros[[#This Row],[Mes]])</f>
        <v>0.005</v>
      </c>
      <c r="U3" s="34">
        <f>IF(Cobros[[#This Row],[Tipo]]="Credito",IF(60&gt;=Cobros[[#This Row],[Dias al pago]],1,0),IF(Cobros[[#This Row],[Dias al pago]]&lt;=3,1,0))</f>
        <v>1</v>
      </c>
      <c r="V3" s="46">
        <f>(Cobros[[#This Row],[% A pagar Vendedor]]/100)*Cobros[[#This Row],[Valor Pagado]]*Cobros[[#This Row],[Vencido]]*(Cobros[[#This Row],[% aplicar]]/100)*IF(Cobros[[#This Row],[% A pagar Vendedor]]&gt;0,1,0)</f>
        <v>25.0718</v>
      </c>
      <c r="W3" s="46">
        <f>0.5%*Cobros[[#This Row],[Valor Pagado]]</f>
        <v>12.5359</v>
      </c>
    </row>
    <row r="4" ht="30" spans="1:23">
      <c r="A4" s="49" t="s">
        <v>3860</v>
      </c>
      <c r="B4" s="49" t="s">
        <v>3863</v>
      </c>
      <c r="C4" s="49" t="s">
        <v>2318</v>
      </c>
      <c r="D4" s="49" t="s">
        <v>2319</v>
      </c>
      <c r="E4" s="49" t="s">
        <v>3866</v>
      </c>
      <c r="F4" s="51">
        <v>46181</v>
      </c>
      <c r="G4" s="49">
        <v>1562.82</v>
      </c>
      <c r="H4" s="49" t="s">
        <v>3865</v>
      </c>
      <c r="I4" s="51">
        <v>46204</v>
      </c>
      <c r="J4" s="54">
        <f>INT(Cobros[[#This Row],[Fecha Cargo]])</f>
        <v>46181</v>
      </c>
      <c r="K4" s="54">
        <f>INT(Cobros[[#This Row],[Fecha Aplicacion]])</f>
        <v>46204</v>
      </c>
      <c r="L4" s="55" t="str">
        <f>INDEX(Clientes[Días Plazo],MATCH(Cobros[[#This Row],[Cod. Cliente]],Clientes[Codigo],0),1)</f>
        <v>15</v>
      </c>
      <c r="M4" s="45" t="str">
        <f>IF(Cobros[[#This Row],[Dias de Credito]]&lt;=0,"Contado","Credito")</f>
        <v>Credito</v>
      </c>
      <c r="N4" s="45">
        <f>Cobros[[#This Row],[Fecha Aplicación S]]-Cobros[[#This Row],[Fecha Cargo S]]</f>
        <v>23</v>
      </c>
      <c r="O4" s="45">
        <f>Cobros[[#This Row],[Dias al pago]]-Cobros[[#This Row],[Dias de Credito]]</f>
        <v>8</v>
      </c>
      <c r="P4" s="45">
        <f>SUMIFS(TablaDias[Porcentaje],TablaDias[Tipo],Cobros[[#This Row],[Tipo]],TablaDias[Desde ],"&lt;="&amp;MAX(0,Cobros[[#This Row],[Dias pasado]]),TablaDias[Hasta ],"&gt;="&amp;Cobros[[#This Row],[Dias pasado]])</f>
        <v>100</v>
      </c>
      <c r="Q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">
        <f>IF(COUNTIF(PAPEL[Numero],Cobros[[#This Row],[Doc. Cargo]])&gt;0,1,0)</f>
        <v>0</v>
      </c>
      <c r="S4" s="46">
        <v>1</v>
      </c>
      <c r="T4" s="46">
        <f t="array" ref="T4">INDEX(Ventas[[Unidades]:[2]],MATCH("Gerente de Venta",Ventas[Vendedor %],0),6+Cobros[[#This Row],[Mes]])</f>
        <v>0.005</v>
      </c>
      <c r="U4" s="34">
        <f>IF(Cobros[[#This Row],[Tipo]]="Credito",IF(60&gt;=Cobros[[#This Row],[Dias al pago]],1,0),IF(Cobros[[#This Row],[Dias al pago]]&lt;=3,1,0))</f>
        <v>1</v>
      </c>
      <c r="V4" s="46">
        <f>(Cobros[[#This Row],[% A pagar Vendedor]]/100)*Cobros[[#This Row],[Valor Pagado]]*Cobros[[#This Row],[Vencido]]*(Cobros[[#This Row],[% aplicar]]/100)*IF(Cobros[[#This Row],[% A pagar Vendedor]]&gt;0,1,0)</f>
        <v>15.6282</v>
      </c>
      <c r="W4" s="46">
        <f>0.5%*Cobros[[#This Row],[Valor Pagado]]</f>
        <v>7.8141</v>
      </c>
    </row>
    <row r="5" spans="1:23">
      <c r="A5" s="49" t="s">
        <v>3860</v>
      </c>
      <c r="B5" s="49" t="s">
        <v>3867</v>
      </c>
      <c r="C5" s="49" t="s">
        <v>1530</v>
      </c>
      <c r="D5" s="49" t="s">
        <v>1531</v>
      </c>
      <c r="E5" s="49" t="s">
        <v>3868</v>
      </c>
      <c r="F5" s="51">
        <v>46191</v>
      </c>
      <c r="G5" s="49">
        <v>3558</v>
      </c>
      <c r="H5" s="49" t="s">
        <v>19</v>
      </c>
      <c r="I5" s="51">
        <v>46204</v>
      </c>
      <c r="J5" s="54">
        <f>INT(Cobros[[#This Row],[Fecha Cargo]])</f>
        <v>46191</v>
      </c>
      <c r="K5" s="54">
        <f>INT(Cobros[[#This Row],[Fecha Aplicacion]])</f>
        <v>46204</v>
      </c>
      <c r="L5" s="55" t="str">
        <f>INDEX(Clientes[Días Plazo],MATCH(Cobros[[#This Row],[Cod. Cliente]],Clientes[Codigo],0),1)</f>
        <v>7</v>
      </c>
      <c r="M5" s="45" t="str">
        <f>IF(Cobros[[#This Row],[Dias de Credito]]&lt;=0,"Contado","Credito")</f>
        <v>Credito</v>
      </c>
      <c r="N5" s="45">
        <f>Cobros[[#This Row],[Fecha Aplicación S]]-Cobros[[#This Row],[Fecha Cargo S]]</f>
        <v>13</v>
      </c>
      <c r="O5" s="45">
        <f>Cobros[[#This Row],[Dias al pago]]-Cobros[[#This Row],[Dias de Credito]]</f>
        <v>6</v>
      </c>
      <c r="P5" s="45">
        <f>SUMIFS(TablaDias[Porcentaje],TablaDias[Tipo],Cobros[[#This Row],[Tipo]],TablaDias[Desde ],"&lt;="&amp;MAX(0,Cobros[[#This Row],[Dias pasado]]),TablaDias[Hasta ],"&gt;="&amp;Cobros[[#This Row],[Dias pasado]])</f>
        <v>100</v>
      </c>
      <c r="Q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">
        <f>IF(COUNTIF(PAPEL[Numero],Cobros[[#This Row],[Doc. Cargo]])&gt;0,1,0)</f>
        <v>0</v>
      </c>
      <c r="S5" s="46">
        <f t="array" ref="S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" s="46">
        <f t="array" ref="T5">INDEX(Ventas[[Unidades]:[2]],MATCH("Gerente de Venta",Ventas[Vendedor %],0),6+Cobros[[#This Row],[Mes]])</f>
        <v>0.005</v>
      </c>
      <c r="U5" s="34">
        <f>IF(Cobros[[#This Row],[Tipo]]="Credito",IF(60&gt;=Cobros[[#This Row],[Dias al pago]],1,0),IF(Cobros[[#This Row],[Dias al pago]]&lt;=3,1,0))</f>
        <v>1</v>
      </c>
      <c r="V5" s="46">
        <f>(Cobros[[#This Row],[% A pagar Vendedor]]/100)*Cobros[[#This Row],[Valor Pagado]]*Cobros[[#This Row],[Vencido]]*(Cobros[[#This Row],[% aplicar]]/100)*IF(Cobros[[#This Row],[% A pagar Vendedor]]&gt;0,1,0)</f>
        <v>44.475</v>
      </c>
      <c r="W5" s="46">
        <f>0.5%*Cobros[[#This Row],[Valor Pagado]]</f>
        <v>17.79</v>
      </c>
    </row>
    <row r="6" ht="30" spans="1:23">
      <c r="A6" s="49" t="s">
        <v>3860</v>
      </c>
      <c r="B6" s="49" t="s">
        <v>3869</v>
      </c>
      <c r="C6" s="49" t="s">
        <v>160</v>
      </c>
      <c r="D6" s="49" t="s">
        <v>161</v>
      </c>
      <c r="E6" s="49" t="s">
        <v>3870</v>
      </c>
      <c r="F6" s="51">
        <v>46204</v>
      </c>
      <c r="G6" s="49">
        <v>1616.7</v>
      </c>
      <c r="H6" s="49" t="s">
        <v>22</v>
      </c>
      <c r="I6" s="51">
        <v>46204</v>
      </c>
      <c r="J6" s="54">
        <f>INT(Cobros[[#This Row],[Fecha Cargo]])</f>
        <v>46204</v>
      </c>
      <c r="K6" s="54">
        <f>INT(Cobros[[#This Row],[Fecha Aplicacion]])</f>
        <v>46204</v>
      </c>
      <c r="L6" s="55">
        <f>INDEX(Clientes[Días Plazo],MATCH(Cobros[[#This Row],[Cod. Cliente]],Clientes[Codigo],0),1)</f>
        <v>0</v>
      </c>
      <c r="M6" s="45" t="str">
        <f>IF(Cobros[[#This Row],[Dias de Credito]]&lt;=0,"Contado","Credito")</f>
        <v>Contado</v>
      </c>
      <c r="N6" s="45">
        <f>Cobros[[#This Row],[Fecha Aplicación S]]-Cobros[[#This Row],[Fecha Cargo S]]</f>
        <v>0</v>
      </c>
      <c r="O6" s="45">
        <f>Cobros[[#This Row],[Dias al pago]]-Cobros[[#This Row],[Dias de Credito]]</f>
        <v>0</v>
      </c>
      <c r="P6" s="45">
        <f>SUMIFS(TablaDias[Porcentaje],TablaDias[Tipo],Cobros[[#This Row],[Tipo]],TablaDias[Desde ],"&lt;="&amp;MAX(0,Cobros[[#This Row],[Dias pasado]]),TablaDias[Hasta ],"&gt;="&amp;Cobros[[#This Row],[Dias pasado]])</f>
        <v>100</v>
      </c>
      <c r="Q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">
        <f>IF(COUNTIF(PAPEL[Numero],Cobros[[#This Row],[Doc. Cargo]])&gt;0,1,0)</f>
        <v>0</v>
      </c>
      <c r="S6" s="46">
        <f t="array" ref="S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" s="46">
        <f t="array" ref="T6">INDEX(Ventas[[Unidades]:[2]],MATCH("Gerente de Venta",Ventas[Vendedor %],0),6+Cobros[[#This Row],[Mes]])</f>
        <v>0.005</v>
      </c>
      <c r="U6" s="34">
        <f>IF(Cobros[[#This Row],[Tipo]]="Credito",IF(60&gt;=Cobros[[#This Row],[Dias al pago]],1,0),IF(Cobros[[#This Row],[Dias al pago]]&lt;=3,1,0))</f>
        <v>1</v>
      </c>
      <c r="V6" s="46">
        <f>(Cobros[[#This Row],[% A pagar Vendedor]]/100)*Cobros[[#This Row],[Valor Pagado]]*Cobros[[#This Row],[Vencido]]*(Cobros[[#This Row],[% aplicar]]/100)*IF(Cobros[[#This Row],[% A pagar Vendedor]]&gt;0,1,0)</f>
        <v>16.167</v>
      </c>
      <c r="W6" s="46">
        <f>0.5%*Cobros[[#This Row],[Valor Pagado]]</f>
        <v>8.0835</v>
      </c>
    </row>
    <row r="7" spans="1:23">
      <c r="A7" s="49" t="s">
        <v>3860</v>
      </c>
      <c r="B7" s="49" t="s">
        <v>3871</v>
      </c>
      <c r="C7" s="49" t="s">
        <v>1220</v>
      </c>
      <c r="D7" s="49" t="s">
        <v>1221</v>
      </c>
      <c r="E7" s="49" t="s">
        <v>3872</v>
      </c>
      <c r="F7" s="51">
        <v>46204</v>
      </c>
      <c r="G7" s="49">
        <v>232.95</v>
      </c>
      <c r="H7" s="49" t="s">
        <v>20</v>
      </c>
      <c r="I7" s="51">
        <v>46204</v>
      </c>
      <c r="J7" s="54">
        <f>INT(Cobros[[#This Row],[Fecha Cargo]])</f>
        <v>46204</v>
      </c>
      <c r="K7" s="54">
        <f>INT(Cobros[[#This Row],[Fecha Aplicacion]])</f>
        <v>46204</v>
      </c>
      <c r="L7" s="55">
        <v>0</v>
      </c>
      <c r="M7" s="45" t="str">
        <f>IF(Cobros[[#This Row],[Dias de Credito]]&lt;=0,"Contado","Credito")</f>
        <v>Contado</v>
      </c>
      <c r="N7" s="45">
        <f>Cobros[[#This Row],[Fecha Aplicación S]]-Cobros[[#This Row],[Fecha Cargo S]]</f>
        <v>0</v>
      </c>
      <c r="O7" s="45">
        <f>Cobros[[#This Row],[Dias al pago]]-Cobros[[#This Row],[Dias de Credito]]</f>
        <v>0</v>
      </c>
      <c r="P7" s="45">
        <f>SUMIFS(TablaDias[Porcentaje],TablaDias[Tipo],Cobros[[#This Row],[Tipo]],TablaDias[Desde ],"&lt;="&amp;MAX(0,Cobros[[#This Row],[Dias pasado]]),TablaDias[Hasta ],"&gt;="&amp;Cobros[[#This Row],[Dias pasado]])</f>
        <v>100</v>
      </c>
      <c r="Q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">
        <f>IF(COUNTIF(PAPEL[Numero],Cobros[[#This Row],[Doc. Cargo]])&gt;0,1,0)</f>
        <v>0</v>
      </c>
      <c r="S7" s="46">
        <f t="array" ref="S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" s="46">
        <f t="array" ref="T7">INDEX(Ventas[[Unidades]:[2]],MATCH("Gerente de Venta",Ventas[Vendedor %],0),6+Cobros[[#This Row],[Mes]])</f>
        <v>0.005</v>
      </c>
      <c r="U7" s="34">
        <f>IF(Cobros[[#This Row],[Tipo]]="Credito",IF(60&gt;=Cobros[[#This Row],[Dias al pago]],1,0),IF(Cobros[[#This Row],[Dias al pago]]&lt;=3,1,0))</f>
        <v>1</v>
      </c>
      <c r="V7" s="46">
        <f>(Cobros[[#This Row],[% A pagar Vendedor]]/100)*Cobros[[#This Row],[Valor Pagado]]*Cobros[[#This Row],[Vencido]]*(Cobros[[#This Row],[% aplicar]]/100)*IF(Cobros[[#This Row],[% A pagar Vendedor]]&gt;0,1,0)</f>
        <v>2.911875</v>
      </c>
      <c r="W7" s="46">
        <f>0.5%*Cobros[[#This Row],[Valor Pagado]]</f>
        <v>1.16475</v>
      </c>
    </row>
    <row r="8" spans="1:23">
      <c r="A8" s="49" t="s">
        <v>3860</v>
      </c>
      <c r="B8" s="49" t="s">
        <v>3873</v>
      </c>
      <c r="C8" s="49" t="s">
        <v>128</v>
      </c>
      <c r="D8" s="49" t="s">
        <v>129</v>
      </c>
      <c r="E8" s="49" t="s">
        <v>3874</v>
      </c>
      <c r="F8" s="51">
        <v>46204</v>
      </c>
      <c r="G8" s="49">
        <v>460</v>
      </c>
      <c r="H8" s="49" t="s">
        <v>16</v>
      </c>
      <c r="I8" s="51">
        <v>46204</v>
      </c>
      <c r="J8" s="54">
        <f>INT(Cobros[[#This Row],[Fecha Cargo]])</f>
        <v>46204</v>
      </c>
      <c r="K8" s="54">
        <f>INT(Cobros[[#This Row],[Fecha Aplicacion]])</f>
        <v>46204</v>
      </c>
      <c r="L8" s="55">
        <f>INDEX(Clientes[Días Plazo],MATCH(Cobros[[#This Row],[Cod. Cliente]],Clientes[Codigo],0),1)</f>
        <v>0</v>
      </c>
      <c r="M8" s="45" t="str">
        <f>IF(Cobros[[#This Row],[Dias de Credito]]&lt;=0,"Contado","Credito")</f>
        <v>Contado</v>
      </c>
      <c r="N8" s="45">
        <f>Cobros[[#This Row],[Fecha Aplicación S]]-Cobros[[#This Row],[Fecha Cargo S]]</f>
        <v>0</v>
      </c>
      <c r="O8" s="45">
        <f>Cobros[[#This Row],[Dias al pago]]-Cobros[[#This Row],[Dias de Credito]]</f>
        <v>0</v>
      </c>
      <c r="P8" s="45">
        <f>SUMIFS(TablaDias[Porcentaje],TablaDias[Tipo],Cobros[[#This Row],[Tipo]],TablaDias[Desde ],"&lt;="&amp;MAX(0,Cobros[[#This Row],[Dias pasado]]),TablaDias[Hasta ],"&gt;="&amp;Cobros[[#This Row],[Dias pasado]])</f>
        <v>100</v>
      </c>
      <c r="Q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">
        <f>IF(COUNTIF(PAPEL[Numero],Cobros[[#This Row],[Doc. Cargo]])&gt;0,1,0)</f>
        <v>0</v>
      </c>
      <c r="S8" s="46">
        <f t="array" ref="S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" s="47">
        <v>0.005</v>
      </c>
      <c r="U8" s="34">
        <f>IF(Cobros[[#This Row],[Tipo]]="Credito",IF(60&gt;=Cobros[[#This Row],[Dias al pago]],1,0),IF(Cobros[[#This Row],[Dias al pago]]&lt;=3,1,0))</f>
        <v>1</v>
      </c>
      <c r="V8" s="46">
        <f>(Cobros[[#This Row],[% A pagar Vendedor]]/100)*Cobros[[#This Row],[Valor Pagado]]*Cobros[[#This Row],[Vencido]]*(Cobros[[#This Row],[% aplicar]]/100)*IF(Cobros[[#This Row],[% A pagar Vendedor]]&gt;0,1,0)</f>
        <v>5.75</v>
      </c>
      <c r="W8" s="46">
        <f>0.5%*Cobros[[#This Row],[Valor Pagado]]</f>
        <v>2.3</v>
      </c>
    </row>
    <row r="9" ht="30" spans="1:24">
      <c r="A9" s="49" t="s">
        <v>3875</v>
      </c>
      <c r="B9" s="49" t="s">
        <v>3876</v>
      </c>
      <c r="C9" s="49" t="s">
        <v>3190</v>
      </c>
      <c r="D9" s="49" t="s">
        <v>3191</v>
      </c>
      <c r="E9" s="49" t="s">
        <v>3877</v>
      </c>
      <c r="F9" s="51">
        <v>46100</v>
      </c>
      <c r="G9" s="49">
        <v>30</v>
      </c>
      <c r="H9" s="49" t="s">
        <v>3865</v>
      </c>
      <c r="I9" s="51">
        <v>46204</v>
      </c>
      <c r="J9" s="54">
        <f>INT(Cobros[[#This Row],[Fecha Cargo]])</f>
        <v>46100</v>
      </c>
      <c r="K9" s="54">
        <f>INT(Cobros[[#This Row],[Fecha Aplicacion]])</f>
        <v>46204</v>
      </c>
      <c r="L9" s="55">
        <f>INDEX(Clientes[Días Plazo],MATCH(Cobros[[#This Row],[Cod. Cliente]],Clientes[Codigo],0),1)</f>
        <v>21</v>
      </c>
      <c r="M9" s="45" t="str">
        <f>IF(Cobros[[#This Row],[Dias de Credito]]&lt;=0,"Contado","Credito")</f>
        <v>Credito</v>
      </c>
      <c r="N9" s="45">
        <f>Cobros[[#This Row],[Fecha Aplicación S]]-Cobros[[#This Row],[Fecha Cargo S]]</f>
        <v>104</v>
      </c>
      <c r="O9" s="45">
        <f>Cobros[[#This Row],[Dias al pago]]-Cobros[[#This Row],[Dias de Credito]]</f>
        <v>83</v>
      </c>
      <c r="P9" s="45">
        <f>SUMIFS(TablaDias[Porcentaje],TablaDias[Tipo],Cobros[[#This Row],[Tipo]],TablaDias[Desde ],"&lt;="&amp;MAX(0,Cobros[[#This Row],[Dias pasado]]),TablaDias[Hasta ],"&gt;="&amp;Cobros[[#This Row],[Dias pasado]])</f>
        <v>0</v>
      </c>
      <c r="Q9">
        <v>0</v>
      </c>
      <c r="R9">
        <f>IF(COUNTIF(PAPEL[Numero],Cobros[[#This Row],[Doc. Cargo]])&gt;0,1,0)</f>
        <v>0</v>
      </c>
      <c r="S9" s="46">
        <v>0</v>
      </c>
      <c r="T9" s="46">
        <f t="array" ref="T9">INDEX(Ventas[[Unidades]:[2]],MATCH("Gerente de Venta",Ventas[Vendedor %],0),6+Cobros[[#This Row],[Mes]])</f>
        <v>0.005</v>
      </c>
      <c r="U9" s="34">
        <f>IF(Cobros[[#This Row],[Tipo]]="Credito",IF(60&gt;=Cobros[[#This Row],[Dias al pago]],1,0),IF(Cobros[[#This Row],[Dias al pago]]&lt;=3,1,0))</f>
        <v>0</v>
      </c>
      <c r="V9" s="46">
        <f>(Cobros[[#This Row],[% A pagar Vendedor]]/100)*Cobros[[#This Row],[Valor Pagado]]*Cobros[[#This Row],[Vencido]]*(Cobros[[#This Row],[% aplicar]]/100)*IF(Cobros[[#This Row],[% A pagar Vendedor]]&gt;0,1,0)</f>
        <v>0</v>
      </c>
      <c r="W9" s="46">
        <f>0.5%*Cobros[[#This Row],[Valor Pagado]]</f>
        <v>0.15</v>
      </c>
      <c r="X9" s="60"/>
    </row>
    <row r="10" spans="1:23">
      <c r="A10" s="49" t="s">
        <v>3860</v>
      </c>
      <c r="B10" s="49" t="s">
        <v>3878</v>
      </c>
      <c r="C10" s="49" t="s">
        <v>3826</v>
      </c>
      <c r="D10" s="49" t="s">
        <v>3827</v>
      </c>
      <c r="E10" s="49" t="s">
        <v>3879</v>
      </c>
      <c r="F10" s="51">
        <v>46164</v>
      </c>
      <c r="G10" s="49">
        <v>18082.5</v>
      </c>
      <c r="H10" s="49" t="s">
        <v>16</v>
      </c>
      <c r="I10" s="51">
        <v>46204</v>
      </c>
      <c r="J10" s="54">
        <f>INT(Cobros[[#This Row],[Fecha Cargo]])</f>
        <v>46164</v>
      </c>
      <c r="K10" s="54">
        <f>INT(Cobros[[#This Row],[Fecha Aplicacion]])</f>
        <v>46204</v>
      </c>
      <c r="L10" s="55" t="str">
        <f>INDEX(Clientes[Días Plazo],MATCH(Cobros[[#This Row],[Cod. Cliente]],Clientes[Codigo],0),1)</f>
        <v>30</v>
      </c>
      <c r="M10" s="45" t="str">
        <f>IF(Cobros[[#This Row],[Dias de Credito]]&lt;=0,"Contado","Credito")</f>
        <v>Credito</v>
      </c>
      <c r="N10" s="45">
        <f>Cobros[[#This Row],[Fecha Aplicación S]]-Cobros[[#This Row],[Fecha Cargo S]]</f>
        <v>40</v>
      </c>
      <c r="O10" s="45">
        <f>Cobros[[#This Row],[Dias al pago]]-Cobros[[#This Row],[Dias de Credito]]</f>
        <v>10</v>
      </c>
      <c r="P10" s="45">
        <f>SUMIFS(TablaDias[Porcentaje],TablaDias[Tipo],Cobros[[#This Row],[Tipo]],TablaDias[Desde ],"&lt;="&amp;MAX(0,Cobros[[#This Row],[Dias pasado]]),TablaDias[Hasta ],"&gt;="&amp;Cobros[[#This Row],[Dias pasado]])</f>
        <v>100</v>
      </c>
      <c r="Q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0">
        <f>IF(COUNTIF(PAPEL[Numero],Cobros[[#This Row],[Doc. Cargo]])&gt;0,1,0)</f>
        <v>0</v>
      </c>
      <c r="S10" s="46">
        <f t="array" ref="S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" s="47">
        <v>0.005</v>
      </c>
      <c r="U10" s="34">
        <f>IF(Cobros[[#This Row],[Tipo]]="Credito",IF(60&gt;=Cobros[[#This Row],[Dias al pago]],1,0),IF(Cobros[[#This Row],[Dias al pago]]&lt;=3,1,0))</f>
        <v>1</v>
      </c>
      <c r="V10" s="46">
        <f>(Cobros[[#This Row],[% A pagar Vendedor]]/100)*Cobros[[#This Row],[Valor Pagado]]*Cobros[[#This Row],[Vencido]]*(Cobros[[#This Row],[% aplicar]]/100)*IF(Cobros[[#This Row],[% A pagar Vendedor]]&gt;0,1,0)</f>
        <v>180.825</v>
      </c>
      <c r="W10" s="46">
        <v>90.4125</v>
      </c>
    </row>
    <row r="11" ht="30" spans="1:23">
      <c r="A11" s="49" t="s">
        <v>3860</v>
      </c>
      <c r="B11" s="49" t="s">
        <v>3880</v>
      </c>
      <c r="C11" s="49" t="s">
        <v>768</v>
      </c>
      <c r="D11" s="49" t="s">
        <v>769</v>
      </c>
      <c r="E11" s="49" t="s">
        <v>3881</v>
      </c>
      <c r="F11" s="51">
        <v>46204</v>
      </c>
      <c r="G11" s="49">
        <v>2500</v>
      </c>
      <c r="H11" s="49" t="s">
        <v>3865</v>
      </c>
      <c r="I11" s="51">
        <v>46204</v>
      </c>
      <c r="J11" s="54">
        <f>INT(Cobros[[#This Row],[Fecha Cargo]])</f>
        <v>46204</v>
      </c>
      <c r="K11" s="54">
        <f>INT(Cobros[[#This Row],[Fecha Aplicacion]])</f>
        <v>46204</v>
      </c>
      <c r="L11" s="55">
        <f>INDEX(Clientes[Días Plazo],MATCH(Cobros[[#This Row],[Cod. Cliente]],Clientes[Codigo],0),1)</f>
        <v>0</v>
      </c>
      <c r="M11" s="45" t="str">
        <f>IF(Cobros[[#This Row],[Dias de Credito]]&lt;=0,"Contado","Credito")</f>
        <v>Contado</v>
      </c>
      <c r="N11" s="45">
        <f>Cobros[[#This Row],[Fecha Aplicación S]]-Cobros[[#This Row],[Fecha Cargo S]]</f>
        <v>0</v>
      </c>
      <c r="O11" s="45">
        <f>Cobros[[#This Row],[Dias al pago]]-Cobros[[#This Row],[Dias de Credito]]</f>
        <v>0</v>
      </c>
      <c r="P11" s="45">
        <f>SUMIFS(TablaDias[Porcentaje],TablaDias[Tipo],Cobros[[#This Row],[Tipo]],TablaDias[Desde ],"&lt;="&amp;MAX(0,Cobros[[#This Row],[Dias pasado]]),TablaDias[Hasta ],"&gt;="&amp;Cobros[[#This Row],[Dias pasado]])</f>
        <v>100</v>
      </c>
      <c r="Q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">
        <f>IF(COUNTIF(PAPEL[Numero],Cobros[[#This Row],[Doc. Cargo]])&gt;0,1,0)</f>
        <v>0</v>
      </c>
      <c r="S11" s="46">
        <v>1</v>
      </c>
      <c r="T11" s="46">
        <f t="array" ref="T11">INDEX(Ventas[[Unidades]:[2]],MATCH("Gerente de Venta",Ventas[Vendedor %],0),6+Cobros[[#This Row],[Mes]])</f>
        <v>0.005</v>
      </c>
      <c r="U11" s="34">
        <f>IF(Cobros[[#This Row],[Tipo]]="Credito",IF(60&gt;=Cobros[[#This Row],[Dias al pago]],1,0),IF(Cobros[[#This Row],[Dias al pago]]&lt;=3,1,0))</f>
        <v>1</v>
      </c>
      <c r="V11" s="46">
        <f>(Cobros[[#This Row],[% A pagar Vendedor]]/100)*Cobros[[#This Row],[Valor Pagado]]*Cobros[[#This Row],[Vencido]]*(Cobros[[#This Row],[% aplicar]]/100)*IF(Cobros[[#This Row],[% A pagar Vendedor]]&gt;0,1,0)</f>
        <v>25</v>
      </c>
      <c r="W11" s="46">
        <f>0.5%*Cobros[[#This Row],[Valor Pagado]]</f>
        <v>12.5</v>
      </c>
    </row>
    <row r="12" spans="1:23">
      <c r="A12" s="49" t="s">
        <v>3875</v>
      </c>
      <c r="B12" s="49" t="s">
        <v>3882</v>
      </c>
      <c r="C12" s="49" t="s">
        <v>633</v>
      </c>
      <c r="D12" s="49" t="s">
        <v>634</v>
      </c>
      <c r="E12" s="49" t="s">
        <v>3883</v>
      </c>
      <c r="F12" s="51">
        <v>46204</v>
      </c>
      <c r="G12" s="49">
        <v>860</v>
      </c>
      <c r="H12" s="49" t="s">
        <v>16</v>
      </c>
      <c r="I12" s="51">
        <v>46204</v>
      </c>
      <c r="J12" s="54">
        <f>INT(Cobros[[#This Row],[Fecha Cargo]])</f>
        <v>46204</v>
      </c>
      <c r="K12" s="54">
        <f>INT(Cobros[[#This Row],[Fecha Aplicacion]])</f>
        <v>46204</v>
      </c>
      <c r="L12" s="55">
        <f>INDEX(Clientes[Días Plazo],MATCH(Cobros[[#This Row],[Cod. Cliente]],Clientes[Codigo],0),1)</f>
        <v>0</v>
      </c>
      <c r="M12" s="45" t="str">
        <f>IF(Cobros[[#This Row],[Dias de Credito]]&lt;=0,"Contado","Credito")</f>
        <v>Contado</v>
      </c>
      <c r="N12" s="45">
        <f>Cobros[[#This Row],[Fecha Aplicación S]]-Cobros[[#This Row],[Fecha Cargo S]]</f>
        <v>0</v>
      </c>
      <c r="O12" s="45">
        <f>Cobros[[#This Row],[Dias al pago]]-Cobros[[#This Row],[Dias de Credito]]</f>
        <v>0</v>
      </c>
      <c r="P12" s="45">
        <f>SUMIFS(TablaDias[Porcentaje],TablaDias[Tipo],Cobros[[#This Row],[Tipo]],TablaDias[Desde ],"&lt;="&amp;MAX(0,Cobros[[#This Row],[Dias pasado]]),TablaDias[Hasta ],"&gt;="&amp;Cobros[[#This Row],[Dias pasado]])</f>
        <v>100</v>
      </c>
      <c r="Q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2">
        <f>IF(COUNTIF(PAPEL[Numero],Cobros[[#This Row],[Doc. Cargo]])&gt;0,1,0)</f>
        <v>0</v>
      </c>
      <c r="S12" s="46">
        <f t="array" ref="S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2" s="47">
        <v>0.005</v>
      </c>
      <c r="U12" s="34">
        <f>IF(Cobros[[#This Row],[Tipo]]="Credito",IF(60&gt;=Cobros[[#This Row],[Dias al pago]],1,0),IF(Cobros[[#This Row],[Dias al pago]]&lt;=3,1,0))</f>
        <v>1</v>
      </c>
      <c r="V12" s="46">
        <f>(Cobros[[#This Row],[% A pagar Vendedor]]/100)*Cobros[[#This Row],[Valor Pagado]]*Cobros[[#This Row],[Vencido]]*(Cobros[[#This Row],[% aplicar]]/100)*IF(Cobros[[#This Row],[% A pagar Vendedor]]&gt;0,1,0)</f>
        <v>10.75</v>
      </c>
      <c r="W12" s="46">
        <f>0.5%*Cobros[[#This Row],[Valor Pagado]]</f>
        <v>4.3</v>
      </c>
    </row>
    <row r="13" spans="1:23">
      <c r="A13" s="49" t="s">
        <v>3884</v>
      </c>
      <c r="B13" s="49" t="s">
        <v>3885</v>
      </c>
      <c r="C13" s="49" t="s">
        <v>633</v>
      </c>
      <c r="D13" s="49" t="s">
        <v>634</v>
      </c>
      <c r="E13" s="49" t="s">
        <v>3883</v>
      </c>
      <c r="F13" s="51">
        <v>46204</v>
      </c>
      <c r="G13" s="49">
        <v>2</v>
      </c>
      <c r="H13" s="49" t="s">
        <v>16</v>
      </c>
      <c r="I13" s="51">
        <v>46204</v>
      </c>
      <c r="J13" s="54">
        <f>INT(Cobros[[#This Row],[Fecha Cargo]])</f>
        <v>46204</v>
      </c>
      <c r="K13" s="54">
        <f>INT(Cobros[[#This Row],[Fecha Aplicacion]])</f>
        <v>46204</v>
      </c>
      <c r="L13" s="55">
        <f>INDEX(Clientes[Días Plazo],MATCH(Cobros[[#This Row],[Cod. Cliente]],Clientes[Codigo],0),1)</f>
        <v>0</v>
      </c>
      <c r="M13" s="45" t="str">
        <f>IF(Cobros[[#This Row],[Dias de Credito]]&lt;=0,"Contado","Credito")</f>
        <v>Contado</v>
      </c>
      <c r="N13" s="45">
        <f>Cobros[[#This Row],[Fecha Aplicación S]]-Cobros[[#This Row],[Fecha Cargo S]]</f>
        <v>0</v>
      </c>
      <c r="O13" s="45">
        <f>Cobros[[#This Row],[Dias al pago]]-Cobros[[#This Row],[Dias de Credito]]</f>
        <v>0</v>
      </c>
      <c r="P13" s="45">
        <f>SUMIFS(TablaDias[Porcentaje],TablaDias[Tipo],Cobros[[#This Row],[Tipo]],TablaDias[Desde ],"&lt;="&amp;MAX(0,Cobros[[#This Row],[Dias pasado]]),TablaDias[Hasta ],"&gt;="&amp;Cobros[[#This Row],[Dias pasado]])</f>
        <v>100</v>
      </c>
      <c r="Q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">
        <f>IF(COUNTIF(PAPEL[Numero],Cobros[[#This Row],[Doc. Cargo]])&gt;0,1,0)</f>
        <v>0</v>
      </c>
      <c r="S13" s="46">
        <f t="array" ref="S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" s="47">
        <v>0.005</v>
      </c>
      <c r="U13" s="34">
        <f>IF(Cobros[[#This Row],[Tipo]]="Credito",IF(60&gt;=Cobros[[#This Row],[Dias al pago]],1,0),IF(Cobros[[#This Row],[Dias al pago]]&lt;=3,1,0))</f>
        <v>1</v>
      </c>
      <c r="V13" s="46">
        <f>(Cobros[[#This Row],[% A pagar Vendedor]]/100)*Cobros[[#This Row],[Valor Pagado]]*Cobros[[#This Row],[Vencido]]*(Cobros[[#This Row],[% aplicar]]/100)*IF(Cobros[[#This Row],[% A pagar Vendedor]]&gt;0,1,0)</f>
        <v>0.025</v>
      </c>
      <c r="W13" s="46">
        <f>0.5%*Cobros[[#This Row],[Valor Pagado]]</f>
        <v>0.01</v>
      </c>
    </row>
    <row r="14" spans="1:23">
      <c r="A14" s="49" t="s">
        <v>3875</v>
      </c>
      <c r="B14" s="49" t="s">
        <v>3886</v>
      </c>
      <c r="C14" s="49" t="s">
        <v>455</v>
      </c>
      <c r="D14" s="49" t="s">
        <v>456</v>
      </c>
      <c r="E14" s="49" t="s">
        <v>3887</v>
      </c>
      <c r="F14" s="51">
        <v>46175</v>
      </c>
      <c r="G14" s="49">
        <v>571.26</v>
      </c>
      <c r="H14" s="49" t="s">
        <v>19</v>
      </c>
      <c r="I14" s="51">
        <v>46204</v>
      </c>
      <c r="J14" s="54">
        <f>INT(Cobros[[#This Row],[Fecha Cargo]])</f>
        <v>46175</v>
      </c>
      <c r="K14" s="54">
        <f>INT(Cobros[[#This Row],[Fecha Aplicacion]])</f>
        <v>46204</v>
      </c>
      <c r="L14" s="55" t="str">
        <f>INDEX(Clientes[Días Plazo],MATCH(Cobros[[#This Row],[Cod. Cliente]],Clientes[Codigo],0),1)</f>
        <v>7</v>
      </c>
      <c r="M14" s="45" t="str">
        <f>IF(Cobros[[#This Row],[Dias de Credito]]&lt;=0,"Contado","Credito")</f>
        <v>Credito</v>
      </c>
      <c r="N14" s="45">
        <f>Cobros[[#This Row],[Fecha Aplicación S]]-Cobros[[#This Row],[Fecha Cargo S]]</f>
        <v>29</v>
      </c>
      <c r="O14" s="45">
        <f>Cobros[[#This Row],[Dias al pago]]-Cobros[[#This Row],[Dias de Credito]]</f>
        <v>22</v>
      </c>
      <c r="P14" s="45">
        <f>SUMIFS(TablaDias[Porcentaje],TablaDias[Tipo],Cobros[[#This Row],[Tipo]],TablaDias[Desde ],"&lt;="&amp;MAX(0,Cobros[[#This Row],[Dias pasado]]),TablaDias[Hasta ],"&gt;="&amp;Cobros[[#This Row],[Dias pasado]])</f>
        <v>50</v>
      </c>
      <c r="Q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4">
        <f>IF(COUNTIF(PAPEL[Numero],Cobros[[#This Row],[Doc. Cargo]])&gt;0,1,0)</f>
        <v>0</v>
      </c>
      <c r="S14" s="46">
        <f t="array" ref="S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4" s="46">
        <f t="array" ref="T14">INDEX(Ventas[[Unidades]:[2]],MATCH("Gerente de Venta",Ventas[Vendedor %],0),6+Cobros[[#This Row],[Mes]])</f>
        <v>0.005</v>
      </c>
      <c r="U14" s="34">
        <f>IF(Cobros[[#This Row],[Tipo]]="Credito",IF(60&gt;=Cobros[[#This Row],[Dias al pago]],1,0),IF(Cobros[[#This Row],[Dias al pago]]&lt;=3,1,0))</f>
        <v>1</v>
      </c>
      <c r="V14" s="46">
        <f>(Cobros[[#This Row],[% A pagar Vendedor]]/100)*Cobros[[#This Row],[Valor Pagado]]*Cobros[[#This Row],[Vencido]]*(Cobros[[#This Row],[% aplicar]]/100)*IF(Cobros[[#This Row],[% A pagar Vendedor]]&gt;0,1,0)</f>
        <v>3.570375</v>
      </c>
      <c r="W14" s="46">
        <f>0.5%*Cobros[[#This Row],[Valor Pagado]]</f>
        <v>2.8563</v>
      </c>
    </row>
    <row r="15" spans="1:24">
      <c r="A15" s="49" t="s">
        <v>3860</v>
      </c>
      <c r="B15" s="49" t="s">
        <v>3888</v>
      </c>
      <c r="C15" s="49" t="s">
        <v>2296</v>
      </c>
      <c r="D15" s="49" t="s">
        <v>3889</v>
      </c>
      <c r="E15" s="49" t="s">
        <v>3890</v>
      </c>
      <c r="F15" s="51">
        <v>46155</v>
      </c>
      <c r="G15" s="49">
        <v>521</v>
      </c>
      <c r="H15" s="49" t="s">
        <v>16</v>
      </c>
      <c r="I15" s="51">
        <v>46204</v>
      </c>
      <c r="J15" s="54">
        <f>INT(Cobros[[#This Row],[Fecha Cargo]])</f>
        <v>46155</v>
      </c>
      <c r="K15" s="54">
        <f>INT(Cobros[[#This Row],[Fecha Aplicacion]])</f>
        <v>46204</v>
      </c>
      <c r="L15" s="55" t="str">
        <f>INDEX(Clientes[Días Plazo],MATCH(Cobros[[#This Row],[Cod. Cliente]],Clientes[Codigo],0),1)</f>
        <v>15</v>
      </c>
      <c r="M15" s="45" t="str">
        <f>IF(Cobros[[#This Row],[Dias de Credito]]&lt;=0,"Contado","Credito")</f>
        <v>Credito</v>
      </c>
      <c r="N15" s="45">
        <f>Cobros[[#This Row],[Fecha Aplicación S]]-Cobros[[#This Row],[Fecha Cargo S]]</f>
        <v>49</v>
      </c>
      <c r="O15" s="45">
        <f>Cobros[[#This Row],[Dias al pago]]-Cobros[[#This Row],[Dias de Credito]]</f>
        <v>34</v>
      </c>
      <c r="P15" s="45">
        <f>SUMIFS(TablaDias[Porcentaje],TablaDias[Tipo],Cobros[[#This Row],[Tipo]],TablaDias[Desde ],"&lt;="&amp;MAX(0,Cobros[[#This Row],[Dias pasado]]),TablaDias[Hasta ],"&gt;="&amp;Cobros[[#This Row],[Dias pasado]])</f>
        <v>30</v>
      </c>
      <c r="Q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5">
        <f>IF(COUNTIF(PAPEL[Numero],Cobros[[#This Row],[Doc. Cargo]])&gt;0,1,0)</f>
        <v>0</v>
      </c>
      <c r="S15" s="46">
        <f t="array" ref="S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" s="47">
        <v>0.005</v>
      </c>
      <c r="U15" s="34">
        <f>IF(Cobros[[#This Row],[Tipo]]="Credito",IF(60&gt;=Cobros[[#This Row],[Dias al pago]],1,0),IF(Cobros[[#This Row],[Dias al pago]]&lt;=3,1,0))</f>
        <v>1</v>
      </c>
      <c r="V15" s="46">
        <f>(Cobros[[#This Row],[% A pagar Vendedor]]/100)*Cobros[[#This Row],[Valor Pagado]]*Cobros[[#This Row],[Vencido]]*(Cobros[[#This Row],[% aplicar]]/100)*IF(Cobros[[#This Row],[% A pagar Vendedor]]&gt;0,1,0)</f>
        <v>1.563</v>
      </c>
      <c r="W15" s="46">
        <f>0.5%*Cobros[[#This Row],[Valor Pagado]]</f>
        <v>2.605</v>
      </c>
      <c r="X15" s="60"/>
    </row>
    <row r="16" spans="1:23">
      <c r="A16" s="49" t="s">
        <v>3860</v>
      </c>
      <c r="B16" s="49" t="s">
        <v>3888</v>
      </c>
      <c r="C16" s="49" t="s">
        <v>2296</v>
      </c>
      <c r="D16" s="49" t="s">
        <v>3889</v>
      </c>
      <c r="E16" s="49" t="s">
        <v>3891</v>
      </c>
      <c r="F16" s="51">
        <v>46156</v>
      </c>
      <c r="G16" s="49">
        <v>2490</v>
      </c>
      <c r="H16" s="49" t="s">
        <v>16</v>
      </c>
      <c r="I16" s="51">
        <v>46204</v>
      </c>
      <c r="J16" s="54">
        <f>INT(Cobros[[#This Row],[Fecha Cargo]])</f>
        <v>46156</v>
      </c>
      <c r="K16" s="54">
        <f>INT(Cobros[[#This Row],[Fecha Aplicacion]])</f>
        <v>46204</v>
      </c>
      <c r="L16" s="55">
        <v>30</v>
      </c>
      <c r="M16" s="45" t="str">
        <f>IF(Cobros[[#This Row],[Dias de Credito]]&lt;=0,"Contado","Credito")</f>
        <v>Credito</v>
      </c>
      <c r="N16" s="45">
        <f>Cobros[[#This Row],[Fecha Aplicación S]]-Cobros[[#This Row],[Fecha Cargo S]]</f>
        <v>48</v>
      </c>
      <c r="O16" s="45">
        <f>Cobros[[#This Row],[Dias al pago]]-Cobros[[#This Row],[Dias de Credito]]</f>
        <v>18</v>
      </c>
      <c r="P16" s="45">
        <f>SUMIFS(TablaDias[Porcentaje],TablaDias[Tipo],Cobros[[#This Row],[Tipo]],TablaDias[Desde ],"&lt;="&amp;MAX(0,Cobros[[#This Row],[Dias pasado]]),TablaDias[Hasta ],"&gt;="&amp;Cobros[[#This Row],[Dias pasado]])</f>
        <v>50</v>
      </c>
      <c r="Q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6">
        <f>IF(COUNTIF(PAPEL[Numero],Cobros[[#This Row],[Doc. Cargo]])&gt;0,1,0)</f>
        <v>0</v>
      </c>
      <c r="S16" s="46">
        <f t="array" ref="S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6" s="47">
        <v>0.005</v>
      </c>
      <c r="U16" s="34">
        <v>1</v>
      </c>
      <c r="V16" s="46">
        <f>(Cobros[[#This Row],[% A pagar Vendedor]]/100)*Cobros[[#This Row],[Valor Pagado]]*Cobros[[#This Row],[Vencido]]*(Cobros[[#This Row],[% aplicar]]/100)*IF(Cobros[[#This Row],[% A pagar Vendedor]]&gt;0,1,0)</f>
        <v>12.45</v>
      </c>
      <c r="W16" s="46">
        <f>0.5%*Cobros[[#This Row],[Valor Pagado]]</f>
        <v>12.45</v>
      </c>
    </row>
    <row r="17" spans="1:23">
      <c r="A17" s="49" t="s">
        <v>3860</v>
      </c>
      <c r="B17" s="49" t="s">
        <v>3888</v>
      </c>
      <c r="C17" s="49" t="s">
        <v>2296</v>
      </c>
      <c r="D17" s="49" t="s">
        <v>3889</v>
      </c>
      <c r="E17" s="49" t="s">
        <v>3892</v>
      </c>
      <c r="F17" s="51">
        <v>46161</v>
      </c>
      <c r="G17" s="49">
        <v>880</v>
      </c>
      <c r="H17" s="49" t="s">
        <v>16</v>
      </c>
      <c r="I17" s="51">
        <v>46204</v>
      </c>
      <c r="J17" s="54">
        <f>INT(Cobros[[#This Row],[Fecha Cargo]])</f>
        <v>46161</v>
      </c>
      <c r="K17" s="54">
        <f>INT(Cobros[[#This Row],[Fecha Aplicacion]])</f>
        <v>46204</v>
      </c>
      <c r="L17" s="55" t="str">
        <f>INDEX(Clientes[Días Plazo],MATCH(Cobros[[#This Row],[Cod. Cliente]],Clientes[Codigo],0),1)</f>
        <v>15</v>
      </c>
      <c r="M17" s="45" t="str">
        <f>IF(Cobros[[#This Row],[Dias de Credito]]&lt;=0,"Contado","Credito")</f>
        <v>Credito</v>
      </c>
      <c r="N17" s="45">
        <f>Cobros[[#This Row],[Fecha Aplicación S]]-Cobros[[#This Row],[Fecha Cargo S]]</f>
        <v>43</v>
      </c>
      <c r="O17" s="45">
        <f>Cobros[[#This Row],[Dias al pago]]-Cobros[[#This Row],[Dias de Credito]]</f>
        <v>28</v>
      </c>
      <c r="P17" s="45">
        <f>SUMIFS(TablaDias[Porcentaje],TablaDias[Tipo],Cobros[[#This Row],[Tipo]],TablaDias[Desde ],"&lt;="&amp;MAX(0,Cobros[[#This Row],[Dias pasado]]),TablaDias[Hasta ],"&gt;="&amp;Cobros[[#This Row],[Dias pasado]])</f>
        <v>50</v>
      </c>
      <c r="Q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7">
        <f>IF(COUNTIF(PAPEL[Numero],Cobros[[#This Row],[Doc. Cargo]])&gt;0,1,0)</f>
        <v>0</v>
      </c>
      <c r="S17" s="46">
        <f t="array" ref="S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" s="47">
        <v>0.005</v>
      </c>
      <c r="U17" s="34">
        <f>IF(Cobros[[#This Row],[Tipo]]="Credito",IF(60&gt;=Cobros[[#This Row],[Dias al pago]],1,0),IF(Cobros[[#This Row],[Dias al pago]]&lt;=3,1,0))</f>
        <v>1</v>
      </c>
      <c r="V17" s="46">
        <f>(Cobros[[#This Row],[% A pagar Vendedor]]/100)*Cobros[[#This Row],[Valor Pagado]]*Cobros[[#This Row],[Vencido]]*(Cobros[[#This Row],[% aplicar]]/100)*IF(Cobros[[#This Row],[% A pagar Vendedor]]&gt;0,1,0)</f>
        <v>4.4</v>
      </c>
      <c r="W17" s="46">
        <f>0.5%*Cobros[[#This Row],[Valor Pagado]]</f>
        <v>4.4</v>
      </c>
    </row>
    <row r="18" spans="1:23">
      <c r="A18" s="49" t="s">
        <v>3860</v>
      </c>
      <c r="B18" s="49" t="s">
        <v>3893</v>
      </c>
      <c r="C18" s="49" t="s">
        <v>3145</v>
      </c>
      <c r="D18" s="49" t="s">
        <v>3146</v>
      </c>
      <c r="E18" s="49" t="s">
        <v>3894</v>
      </c>
      <c r="F18" s="51">
        <v>46163</v>
      </c>
      <c r="G18" s="49">
        <v>258</v>
      </c>
      <c r="H18" s="49" t="s">
        <v>16</v>
      </c>
      <c r="I18" s="51">
        <v>46204</v>
      </c>
      <c r="J18" s="54">
        <f>INT(Cobros[[#This Row],[Fecha Cargo]])</f>
        <v>46163</v>
      </c>
      <c r="K18" s="54">
        <f>INT(Cobros[[#This Row],[Fecha Aplicacion]])</f>
        <v>46204</v>
      </c>
      <c r="L18" s="55" t="str">
        <f>INDEX(Clientes[Días Plazo],MATCH(Cobros[[#This Row],[Cod. Cliente]],Clientes[Codigo],0),1)</f>
        <v>15</v>
      </c>
      <c r="M18" s="45" t="str">
        <f>IF(Cobros[[#This Row],[Dias de Credito]]&lt;=0,"Contado","Credito")</f>
        <v>Credito</v>
      </c>
      <c r="N18" s="45">
        <f>Cobros[[#This Row],[Fecha Aplicación S]]-Cobros[[#This Row],[Fecha Cargo S]]</f>
        <v>41</v>
      </c>
      <c r="O18" s="45">
        <f>Cobros[[#This Row],[Dias al pago]]-Cobros[[#This Row],[Dias de Credito]]</f>
        <v>26</v>
      </c>
      <c r="P18" s="45">
        <f>SUMIFS(TablaDias[Porcentaje],TablaDias[Tipo],Cobros[[#This Row],[Tipo]],TablaDias[Desde ],"&lt;="&amp;MAX(0,Cobros[[#This Row],[Dias pasado]]),TablaDias[Hasta ],"&gt;="&amp;Cobros[[#This Row],[Dias pasado]])</f>
        <v>50</v>
      </c>
      <c r="Q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8">
        <f>IF(COUNTIF(PAPEL[Numero],Cobros[[#This Row],[Doc. Cargo]])&gt;0,1,0)</f>
        <v>0</v>
      </c>
      <c r="S18" s="46">
        <f t="array" ref="S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8" s="47">
        <v>0.005</v>
      </c>
      <c r="U18" s="34">
        <f>IF(Cobros[[#This Row],[Tipo]]="Credito",IF(60&gt;=Cobros[[#This Row],[Dias al pago]],1,0),IF(Cobros[[#This Row],[Dias al pago]]&lt;=3,1,0))</f>
        <v>1</v>
      </c>
      <c r="V18" s="46">
        <f>(Cobros[[#This Row],[% A pagar Vendedor]]/100)*Cobros[[#This Row],[Valor Pagado]]*Cobros[[#This Row],[Vencido]]*(Cobros[[#This Row],[% aplicar]]/100)*IF(Cobros[[#This Row],[% A pagar Vendedor]]&gt;0,1,0)</f>
        <v>1.29</v>
      </c>
      <c r="W18" s="46">
        <f>0.5%*Cobros[[#This Row],[Valor Pagado]]</f>
        <v>1.29</v>
      </c>
    </row>
    <row r="19" spans="1:24">
      <c r="A19" s="49" t="s">
        <v>3860</v>
      </c>
      <c r="B19" s="49" t="s">
        <v>3893</v>
      </c>
      <c r="C19" s="49" t="s">
        <v>3145</v>
      </c>
      <c r="D19" s="49" t="s">
        <v>3146</v>
      </c>
      <c r="E19" s="49" t="s">
        <v>3895</v>
      </c>
      <c r="F19" s="51">
        <v>46170</v>
      </c>
      <c r="G19" s="49">
        <v>997</v>
      </c>
      <c r="H19" s="49" t="s">
        <v>16</v>
      </c>
      <c r="I19" s="51">
        <v>46204</v>
      </c>
      <c r="J19" s="54">
        <f>INT(Cobros[[#This Row],[Fecha Cargo]])</f>
        <v>46170</v>
      </c>
      <c r="K19" s="54">
        <f>INT(Cobros[[#This Row],[Fecha Aplicacion]])</f>
        <v>46204</v>
      </c>
      <c r="L19" s="55" t="str">
        <f>INDEX(Clientes[Días Plazo],MATCH(Cobros[[#This Row],[Cod. Cliente]],Clientes[Codigo],0),1)</f>
        <v>15</v>
      </c>
      <c r="M19" s="45" t="str">
        <f>IF(Cobros[[#This Row],[Dias de Credito]]&lt;=0,"Contado","Credito")</f>
        <v>Credito</v>
      </c>
      <c r="N19" s="45">
        <f>Cobros[[#This Row],[Fecha Aplicación S]]-Cobros[[#This Row],[Fecha Cargo S]]</f>
        <v>34</v>
      </c>
      <c r="O19" s="45">
        <f>Cobros[[#This Row],[Dias al pago]]-Cobros[[#This Row],[Dias de Credito]]</f>
        <v>19</v>
      </c>
      <c r="P19" s="45">
        <f>SUMIFS(TablaDias[Porcentaje],TablaDias[Tipo],Cobros[[#This Row],[Tipo]],TablaDias[Desde ],"&lt;="&amp;MAX(0,Cobros[[#This Row],[Dias pasado]]),TablaDias[Hasta ],"&gt;="&amp;Cobros[[#This Row],[Dias pasado]])</f>
        <v>50</v>
      </c>
      <c r="Q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9">
        <f>IF(COUNTIF(PAPEL[Numero],Cobros[[#This Row],[Doc. Cargo]])&gt;0,1,0)</f>
        <v>0</v>
      </c>
      <c r="S19" s="46">
        <f t="array" ref="S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9" s="47">
        <v>0.005</v>
      </c>
      <c r="U19" s="34">
        <f>IF(Cobros[[#This Row],[Tipo]]="Credito",IF(60&gt;=Cobros[[#This Row],[Dias al pago]],1,0),IF(Cobros[[#This Row],[Dias al pago]]&lt;=3,1,0))</f>
        <v>1</v>
      </c>
      <c r="V19" s="46">
        <f>(Cobros[[#This Row],[% A pagar Vendedor]]/100)*Cobros[[#This Row],[Valor Pagado]]*Cobros[[#This Row],[Vencido]]*(Cobros[[#This Row],[% aplicar]]/100)*IF(Cobros[[#This Row],[% A pagar Vendedor]]&gt;0,1,0)</f>
        <v>4.985</v>
      </c>
      <c r="W19" s="46">
        <f>0.5%*Cobros[[#This Row],[Valor Pagado]]</f>
        <v>4.985</v>
      </c>
      <c r="X19" s="60"/>
    </row>
    <row r="20" spans="1:23">
      <c r="A20" s="49" t="s">
        <v>3860</v>
      </c>
      <c r="B20" s="49" t="s">
        <v>3893</v>
      </c>
      <c r="C20" s="49" t="s">
        <v>3145</v>
      </c>
      <c r="D20" s="49" t="s">
        <v>3146</v>
      </c>
      <c r="E20" s="49" t="s">
        <v>3896</v>
      </c>
      <c r="F20" s="51">
        <v>46176</v>
      </c>
      <c r="G20" s="49">
        <v>199.9</v>
      </c>
      <c r="H20" s="49" t="s">
        <v>16</v>
      </c>
      <c r="I20" s="51">
        <v>46204</v>
      </c>
      <c r="J20" s="54">
        <f>INT(Cobros[[#This Row],[Fecha Cargo]])</f>
        <v>46176</v>
      </c>
      <c r="K20" s="54">
        <f>INT(Cobros[[#This Row],[Fecha Aplicacion]])</f>
        <v>46204</v>
      </c>
      <c r="L20" s="55" t="str">
        <f>INDEX(Clientes[Días Plazo],MATCH(Cobros[[#This Row],[Cod. Cliente]],Clientes[Codigo],0),1)</f>
        <v>15</v>
      </c>
      <c r="M20" s="45" t="str">
        <f>IF(Cobros[[#This Row],[Dias de Credito]]&lt;=0,"Contado","Credito")</f>
        <v>Credito</v>
      </c>
      <c r="N20" s="45">
        <f>Cobros[[#This Row],[Fecha Aplicación S]]-Cobros[[#This Row],[Fecha Cargo S]]</f>
        <v>28</v>
      </c>
      <c r="O20" s="45">
        <f>Cobros[[#This Row],[Dias al pago]]-Cobros[[#This Row],[Dias de Credito]]</f>
        <v>13</v>
      </c>
      <c r="P20" s="45">
        <f>SUMIFS(TablaDias[Porcentaje],TablaDias[Tipo],Cobros[[#This Row],[Tipo]],TablaDias[Desde ],"&lt;="&amp;MAX(0,Cobros[[#This Row],[Dias pasado]]),TablaDias[Hasta ],"&gt;="&amp;Cobros[[#This Row],[Dias pasado]])</f>
        <v>100</v>
      </c>
      <c r="Q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0">
        <f>IF(COUNTIF(PAPEL[Numero],Cobros[[#This Row],[Doc. Cargo]])&gt;0,1,0)</f>
        <v>0</v>
      </c>
      <c r="S20" s="46">
        <f t="array" ref="S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0" s="47">
        <v>0.005</v>
      </c>
      <c r="U20" s="34">
        <f>IF(Cobros[[#This Row],[Tipo]]="Credito",IF(60&gt;=Cobros[[#This Row],[Dias al pago]],1,0),IF(Cobros[[#This Row],[Dias al pago]]&lt;=3,1,0))</f>
        <v>1</v>
      </c>
      <c r="V20" s="46">
        <f>(Cobros[[#This Row],[% A pagar Vendedor]]/100)*Cobros[[#This Row],[Valor Pagado]]*Cobros[[#This Row],[Vencido]]*(Cobros[[#This Row],[% aplicar]]/100)*IF(Cobros[[#This Row],[% A pagar Vendedor]]&gt;0,1,0)</f>
        <v>1.999</v>
      </c>
      <c r="W20" s="46">
        <f>0.5%*Cobros[[#This Row],[Valor Pagado]]</f>
        <v>0.9995</v>
      </c>
    </row>
    <row r="21" spans="1:23">
      <c r="A21" s="49" t="s">
        <v>3860</v>
      </c>
      <c r="B21" s="49" t="s">
        <v>3893</v>
      </c>
      <c r="C21" s="49" t="s">
        <v>3145</v>
      </c>
      <c r="D21" s="49" t="s">
        <v>3146</v>
      </c>
      <c r="E21" s="49" t="s">
        <v>3897</v>
      </c>
      <c r="F21" s="51">
        <v>46176</v>
      </c>
      <c r="G21" s="49">
        <v>174.5</v>
      </c>
      <c r="H21" s="49" t="s">
        <v>16</v>
      </c>
      <c r="I21" s="51">
        <v>46204</v>
      </c>
      <c r="J21" s="54">
        <f>INT(Cobros[[#This Row],[Fecha Cargo]])</f>
        <v>46176</v>
      </c>
      <c r="K21" s="54">
        <f>INT(Cobros[[#This Row],[Fecha Aplicacion]])</f>
        <v>46204</v>
      </c>
      <c r="L21" s="55" t="str">
        <f>INDEX(Clientes[Días Plazo],MATCH(Cobros[[#This Row],[Cod. Cliente]],Clientes[Codigo],0),1)</f>
        <v>15</v>
      </c>
      <c r="M21" s="45" t="str">
        <f>IF(Cobros[[#This Row],[Dias de Credito]]&lt;=0,"Contado","Credito")</f>
        <v>Credito</v>
      </c>
      <c r="N21" s="45">
        <f>Cobros[[#This Row],[Fecha Aplicación S]]-Cobros[[#This Row],[Fecha Cargo S]]</f>
        <v>28</v>
      </c>
      <c r="O21" s="45">
        <f>Cobros[[#This Row],[Dias al pago]]-Cobros[[#This Row],[Dias de Credito]]</f>
        <v>13</v>
      </c>
      <c r="P21" s="45">
        <f>SUMIFS(TablaDias[Porcentaje],TablaDias[Tipo],Cobros[[#This Row],[Tipo]],TablaDias[Desde ],"&lt;="&amp;MAX(0,Cobros[[#This Row],[Dias pasado]]),TablaDias[Hasta ],"&gt;="&amp;Cobros[[#This Row],[Dias pasado]])</f>
        <v>100</v>
      </c>
      <c r="Q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1">
        <f>IF(COUNTIF(PAPEL[Numero],Cobros[[#This Row],[Doc. Cargo]])&gt;0,1,0)</f>
        <v>0</v>
      </c>
      <c r="S21" s="46">
        <f t="array" ref="S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1" s="47">
        <v>0.005</v>
      </c>
      <c r="U21" s="34">
        <f>IF(Cobros[[#This Row],[Tipo]]="Credito",IF(60&gt;=Cobros[[#This Row],[Dias al pago]],1,0),IF(Cobros[[#This Row],[Dias al pago]]&lt;=3,1,0))</f>
        <v>1</v>
      </c>
      <c r="V21" s="46">
        <f>(Cobros[[#This Row],[% A pagar Vendedor]]/100)*Cobros[[#This Row],[Valor Pagado]]*Cobros[[#This Row],[Vencido]]*(Cobros[[#This Row],[% aplicar]]/100)*IF(Cobros[[#This Row],[% A pagar Vendedor]]&gt;0,1,0)</f>
        <v>1.745</v>
      </c>
      <c r="W21" s="46">
        <f>0.5%*Cobros[[#This Row],[Valor Pagado]]</f>
        <v>0.8725</v>
      </c>
    </row>
    <row r="22" ht="30" spans="1:23">
      <c r="A22" s="49" t="s">
        <v>3860</v>
      </c>
      <c r="B22" s="49" t="s">
        <v>3898</v>
      </c>
      <c r="C22" s="49" t="s">
        <v>461</v>
      </c>
      <c r="D22" s="49" t="s">
        <v>462</v>
      </c>
      <c r="E22" s="49" t="s">
        <v>3899</v>
      </c>
      <c r="F22" s="51">
        <v>46204</v>
      </c>
      <c r="G22" s="49">
        <v>805</v>
      </c>
      <c r="H22" s="49" t="s">
        <v>22</v>
      </c>
      <c r="I22" s="51">
        <v>46204</v>
      </c>
      <c r="J22" s="54">
        <f>INT(Cobros[[#This Row],[Fecha Cargo]])</f>
        <v>46204</v>
      </c>
      <c r="K22" s="54">
        <f>INT(Cobros[[#This Row],[Fecha Aplicacion]])</f>
        <v>46204</v>
      </c>
      <c r="L22" s="55">
        <f>INDEX(Clientes[Días Plazo],MATCH(Cobros[[#This Row],[Cod. Cliente]],Clientes[Codigo],0),1)</f>
        <v>0</v>
      </c>
      <c r="M22" s="45" t="str">
        <f>IF(Cobros[[#This Row],[Dias de Credito]]&lt;=0,"Contado","Credito")</f>
        <v>Contado</v>
      </c>
      <c r="N22" s="45">
        <f>Cobros[[#This Row],[Fecha Aplicación S]]-Cobros[[#This Row],[Fecha Cargo S]]</f>
        <v>0</v>
      </c>
      <c r="O22" s="45">
        <f>Cobros[[#This Row],[Dias al pago]]-Cobros[[#This Row],[Dias de Credito]]</f>
        <v>0</v>
      </c>
      <c r="P22" s="45">
        <f>SUMIFS(TablaDias[Porcentaje],TablaDias[Tipo],Cobros[[#This Row],[Tipo]],TablaDias[Desde ],"&lt;="&amp;MAX(0,Cobros[[#This Row],[Dias pasado]]),TablaDias[Hasta ],"&gt;="&amp;Cobros[[#This Row],[Dias pasado]])</f>
        <v>100</v>
      </c>
      <c r="Q2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2">
        <f>IF(COUNTIF(PAPEL[Numero],Cobros[[#This Row],[Doc. Cargo]])&gt;0,1,0)</f>
        <v>0</v>
      </c>
      <c r="S22" s="46">
        <f t="array" ref="S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2" s="46">
        <f t="array" ref="T22">INDEX(Ventas[[Unidades]:[2]],MATCH("Gerente de Venta",Ventas[Vendedor %],0),6+Cobros[[#This Row],[Mes]])</f>
        <v>0.005</v>
      </c>
      <c r="U22" s="34">
        <f>IF(Cobros[[#This Row],[Tipo]]="Credito",IF(60&gt;=Cobros[[#This Row],[Dias al pago]],1,0),IF(Cobros[[#This Row],[Dias al pago]]&lt;=3,1,0))</f>
        <v>1</v>
      </c>
      <c r="V22" s="46">
        <f>(Cobros[[#This Row],[% A pagar Vendedor]]/100)*Cobros[[#This Row],[Valor Pagado]]*Cobros[[#This Row],[Vencido]]*(Cobros[[#This Row],[% aplicar]]/100)*IF(Cobros[[#This Row],[% A pagar Vendedor]]&gt;0,1,0)</f>
        <v>8.05</v>
      </c>
      <c r="W22" s="46">
        <f>0.5%*Cobros[[#This Row],[Valor Pagado]]</f>
        <v>4.025</v>
      </c>
    </row>
    <row r="23" spans="1:23">
      <c r="A23" s="49" t="s">
        <v>3860</v>
      </c>
      <c r="B23" s="49" t="s">
        <v>3900</v>
      </c>
      <c r="C23" s="49" t="s">
        <v>3602</v>
      </c>
      <c r="D23" s="49" t="s">
        <v>3603</v>
      </c>
      <c r="E23" s="49" t="s">
        <v>3901</v>
      </c>
      <c r="F23" s="51">
        <v>46181</v>
      </c>
      <c r="G23" s="49">
        <v>1800</v>
      </c>
      <c r="H23" s="49" t="s">
        <v>18</v>
      </c>
      <c r="I23" s="51">
        <v>46204</v>
      </c>
      <c r="J23" s="54">
        <f>INT(Cobros[[#This Row],[Fecha Cargo]])</f>
        <v>46181</v>
      </c>
      <c r="K23" s="54">
        <f>INT(Cobros[[#This Row],[Fecha Aplicacion]])</f>
        <v>46204</v>
      </c>
      <c r="L23" s="55" t="str">
        <f>INDEX(Clientes[Días Plazo],MATCH(Cobros[[#This Row],[Cod. Cliente]],Clientes[Codigo],0),1)</f>
        <v>15</v>
      </c>
      <c r="M23" s="45" t="str">
        <f>IF(Cobros[[#This Row],[Dias de Credito]]&lt;=0,"Contado","Credito")</f>
        <v>Credito</v>
      </c>
      <c r="N23" s="45">
        <f>Cobros[[#This Row],[Fecha Aplicación S]]-Cobros[[#This Row],[Fecha Cargo S]]</f>
        <v>23</v>
      </c>
      <c r="O23" s="45">
        <f>Cobros[[#This Row],[Dias al pago]]-Cobros[[#This Row],[Dias de Credito]]</f>
        <v>8</v>
      </c>
      <c r="P23" s="45">
        <f>SUMIFS(TablaDias[Porcentaje],TablaDias[Tipo],Cobros[[#This Row],[Tipo]],TablaDias[Desde ],"&lt;="&amp;MAX(0,Cobros[[#This Row],[Dias pasado]]),TablaDias[Hasta ],"&gt;="&amp;Cobros[[#This Row],[Dias pasado]])</f>
        <v>100</v>
      </c>
      <c r="Q2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">
        <f>IF(COUNTIF(PAPEL[Numero],Cobros[[#This Row],[Doc. Cargo]])&gt;0,1,0)</f>
        <v>0</v>
      </c>
      <c r="S23" s="46">
        <f t="array" ref="S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" s="46">
        <f t="array" ref="T23">INDEX(Ventas[[Unidades]:[2]],MATCH("Gerente de Venta",Ventas[Vendedor %],0),6+Cobros[[#This Row],[Mes]])</f>
        <v>0.005</v>
      </c>
      <c r="U23" s="34">
        <f>IF(Cobros[[#This Row],[Tipo]]="Credito",IF(60&gt;=Cobros[[#This Row],[Dias al pago]],1,0),IF(Cobros[[#This Row],[Dias al pago]]&lt;=3,1,0))</f>
        <v>1</v>
      </c>
      <c r="V23" s="46">
        <f>(Cobros[[#This Row],[% A pagar Vendedor]]/100)*Cobros[[#This Row],[Valor Pagado]]*Cobros[[#This Row],[Vencido]]*(Cobros[[#This Row],[% aplicar]]/100)*IF(Cobros[[#This Row],[% A pagar Vendedor]]&gt;0,1,0)</f>
        <v>18</v>
      </c>
      <c r="W23" s="46">
        <f>0.5%*Cobros[[#This Row],[Valor Pagado]]</f>
        <v>9</v>
      </c>
    </row>
    <row r="24" spans="1:23">
      <c r="A24" s="49" t="s">
        <v>3875</v>
      </c>
      <c r="B24" s="49" t="s">
        <v>3902</v>
      </c>
      <c r="C24" s="49" t="s">
        <v>2529</v>
      </c>
      <c r="D24" s="49" t="s">
        <v>2530</v>
      </c>
      <c r="E24" s="49" t="s">
        <v>3903</v>
      </c>
      <c r="F24" s="51">
        <v>46204</v>
      </c>
      <c r="G24" s="49">
        <v>449.61</v>
      </c>
      <c r="H24" s="49" t="s">
        <v>16</v>
      </c>
      <c r="I24" s="51">
        <v>46204</v>
      </c>
      <c r="J24" s="54">
        <f>INT(Cobros[[#This Row],[Fecha Cargo]])</f>
        <v>46204</v>
      </c>
      <c r="K24" s="54">
        <f>INT(Cobros[[#This Row],[Fecha Aplicacion]])</f>
        <v>46204</v>
      </c>
      <c r="L24" s="55">
        <f>INDEX(Clientes[Días Plazo],MATCH(Cobros[[#This Row],[Cod. Cliente]],Clientes[Codigo],0),1)</f>
        <v>0</v>
      </c>
      <c r="M24" s="45" t="str">
        <f>IF(Cobros[[#This Row],[Dias de Credito]]&lt;=0,"Contado","Credito")</f>
        <v>Contado</v>
      </c>
      <c r="N24" s="45">
        <f>Cobros[[#This Row],[Fecha Aplicación S]]-Cobros[[#This Row],[Fecha Cargo S]]</f>
        <v>0</v>
      </c>
      <c r="O24" s="45">
        <f>Cobros[[#This Row],[Dias al pago]]-Cobros[[#This Row],[Dias de Credito]]</f>
        <v>0</v>
      </c>
      <c r="P24" s="45">
        <f>SUMIFS(TablaDias[Porcentaje],TablaDias[Tipo],Cobros[[#This Row],[Tipo]],TablaDias[Desde ],"&lt;="&amp;MAX(0,Cobros[[#This Row],[Dias pasado]]),TablaDias[Hasta ],"&gt;="&amp;Cobros[[#This Row],[Dias pasado]])</f>
        <v>100</v>
      </c>
      <c r="Q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4">
        <f>IF(COUNTIF(PAPEL[Numero],Cobros[[#This Row],[Doc. Cargo]])&gt;0,1,0)</f>
        <v>0</v>
      </c>
      <c r="S24" s="46">
        <f t="array" ref="S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4" s="47">
        <v>0.005</v>
      </c>
      <c r="U24" s="34">
        <f>IF(Cobros[[#This Row],[Tipo]]="Credito",IF(60&gt;=Cobros[[#This Row],[Dias al pago]],1,0),IF(Cobros[[#This Row],[Dias al pago]]&lt;=3,1,0))</f>
        <v>1</v>
      </c>
      <c r="V24" s="46">
        <f>(Cobros[[#This Row],[% A pagar Vendedor]]/100)*Cobros[[#This Row],[Valor Pagado]]*Cobros[[#This Row],[Vencido]]*(Cobros[[#This Row],[% aplicar]]/100)*IF(Cobros[[#This Row],[% A pagar Vendedor]]&gt;0,1,0)</f>
        <v>5.620125</v>
      </c>
      <c r="W24" s="46">
        <f>0.5%*Cobros[[#This Row],[Valor Pagado]]</f>
        <v>2.24805</v>
      </c>
    </row>
    <row r="25" spans="1:23">
      <c r="A25" s="49" t="s">
        <v>3904</v>
      </c>
      <c r="B25" s="49" t="s">
        <v>3905</v>
      </c>
      <c r="C25" s="49" t="s">
        <v>1220</v>
      </c>
      <c r="D25" s="49" t="s">
        <v>1221</v>
      </c>
      <c r="E25" s="49" t="s">
        <v>3906</v>
      </c>
      <c r="F25" s="51">
        <v>46204</v>
      </c>
      <c r="G25" s="49">
        <v>634.25</v>
      </c>
      <c r="H25" s="49" t="s">
        <v>20</v>
      </c>
      <c r="I25" s="51">
        <v>46204</v>
      </c>
      <c r="J25" s="54">
        <f>INT(Cobros[[#This Row],[Fecha Cargo]])</f>
        <v>46204</v>
      </c>
      <c r="K25" s="54">
        <f>INT(Cobros[[#This Row],[Fecha Aplicacion]])</f>
        <v>46204</v>
      </c>
      <c r="L25" s="55">
        <v>30</v>
      </c>
      <c r="M25" s="45" t="str">
        <f>IF(Cobros[[#This Row],[Dias de Credito]]&lt;=0,"Contado","Credito")</f>
        <v>Credito</v>
      </c>
      <c r="N25" s="45">
        <f>Cobros[[#This Row],[Fecha Aplicación S]]-Cobros[[#This Row],[Fecha Cargo S]]</f>
        <v>0</v>
      </c>
      <c r="O25" s="45">
        <f>Cobros[[#This Row],[Dias al pago]]-Cobros[[#This Row],[Dias de Credito]]</f>
        <v>-30</v>
      </c>
      <c r="P25" s="45">
        <f>SUMIFS(TablaDias[Porcentaje],TablaDias[Tipo],Cobros[[#This Row],[Tipo]],TablaDias[Desde ],"&lt;="&amp;MAX(0,Cobros[[#This Row],[Dias pasado]]),TablaDias[Hasta ],"&gt;="&amp;Cobros[[#This Row],[Dias pasado]])</f>
        <v>100</v>
      </c>
      <c r="Q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">
        <f>IF(COUNTIF(PAPEL[Numero],Cobros[[#This Row],[Doc. Cargo]])&gt;0,1,0)</f>
        <v>0</v>
      </c>
      <c r="S25" s="46">
        <f t="array" ref="S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5" s="46">
        <f t="array" ref="T25">INDEX(Ventas[[Unidades]:[2]],MATCH("Gerente de Venta",Ventas[Vendedor %],0),6+Cobros[[#This Row],[Mes]])</f>
        <v>0.005</v>
      </c>
      <c r="U25" s="34">
        <f>IF(Cobros[[#This Row],[Tipo]]="Credito",IF(60&gt;=Cobros[[#This Row],[Dias al pago]],1,0),IF(Cobros[[#This Row],[Dias al pago]]&lt;=3,1,0))</f>
        <v>1</v>
      </c>
      <c r="V25" s="46">
        <f>(Cobros[[#This Row],[% A pagar Vendedor]]/100)*Cobros[[#This Row],[Valor Pagado]]*Cobros[[#This Row],[Vencido]]*(Cobros[[#This Row],[% aplicar]]/100)*IF(Cobros[[#This Row],[% A pagar Vendedor]]&gt;0,1,0)</f>
        <v>7.928125</v>
      </c>
      <c r="W25" s="46">
        <f>0.5%*Cobros[[#This Row],[Valor Pagado]]</f>
        <v>3.17125</v>
      </c>
    </row>
    <row r="26" ht="30" spans="1:23">
      <c r="A26" s="49" t="s">
        <v>3860</v>
      </c>
      <c r="B26" s="49" t="s">
        <v>3907</v>
      </c>
      <c r="C26" s="49" t="s">
        <v>2225</v>
      </c>
      <c r="D26" s="49" t="s">
        <v>2226</v>
      </c>
      <c r="E26" s="49" t="s">
        <v>3908</v>
      </c>
      <c r="F26" s="51">
        <v>46196</v>
      </c>
      <c r="G26" s="49">
        <v>326</v>
      </c>
      <c r="H26" s="49" t="s">
        <v>3865</v>
      </c>
      <c r="I26" s="51">
        <v>46204</v>
      </c>
      <c r="J26" s="54">
        <f>INT(Cobros[[#This Row],[Fecha Cargo]])</f>
        <v>46196</v>
      </c>
      <c r="K26" s="54">
        <f>INT(Cobros[[#This Row],[Fecha Aplicacion]])</f>
        <v>46204</v>
      </c>
      <c r="L26" s="55" t="str">
        <f>INDEX(Clientes[Días Plazo],MATCH(Cobros[[#This Row],[Cod. Cliente]],Clientes[Codigo],0),1)</f>
        <v>15</v>
      </c>
      <c r="M26" s="45" t="str">
        <f>IF(Cobros[[#This Row],[Dias de Credito]]&lt;=0,"Contado","Credito")</f>
        <v>Credito</v>
      </c>
      <c r="N26" s="45">
        <f>Cobros[[#This Row],[Fecha Aplicación S]]-Cobros[[#This Row],[Fecha Cargo S]]</f>
        <v>8</v>
      </c>
      <c r="O26" s="45">
        <f>Cobros[[#This Row],[Dias al pago]]-Cobros[[#This Row],[Dias de Credito]]</f>
        <v>-7</v>
      </c>
      <c r="P26" s="45">
        <f>SUMIFS(TablaDias[Porcentaje],TablaDias[Tipo],Cobros[[#This Row],[Tipo]],TablaDias[Desde ],"&lt;="&amp;MAX(0,Cobros[[#This Row],[Dias pasado]]),TablaDias[Hasta ],"&gt;="&amp;Cobros[[#This Row],[Dias pasado]])</f>
        <v>100</v>
      </c>
      <c r="Q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6">
        <f>IF(COUNTIF(PAPEL[Numero],Cobros[[#This Row],[Doc. Cargo]])&gt;0,1,0)</f>
        <v>0</v>
      </c>
      <c r="S26" s="46">
        <v>1</v>
      </c>
      <c r="T26" s="46">
        <f t="array" ref="T26">INDEX(Ventas[[Unidades]:[2]],MATCH("Gerente de Venta",Ventas[Vendedor %],0),6+Cobros[[#This Row],[Mes]])</f>
        <v>0.005</v>
      </c>
      <c r="U26" s="34">
        <f>IF(Cobros[[#This Row],[Tipo]]="Credito",IF(60&gt;=Cobros[[#This Row],[Dias al pago]],1,0),IF(Cobros[[#This Row],[Dias al pago]]&lt;=3,1,0))</f>
        <v>1</v>
      </c>
      <c r="V26" s="46">
        <f>(Cobros[[#This Row],[% A pagar Vendedor]]/100)*Cobros[[#This Row],[Valor Pagado]]*Cobros[[#This Row],[Vencido]]*(Cobros[[#This Row],[% aplicar]]/100)*IF(Cobros[[#This Row],[% A pagar Vendedor]]&gt;0,1,0)</f>
        <v>3.26</v>
      </c>
      <c r="W26" s="46">
        <f>0.5%*Cobros[[#This Row],[Valor Pagado]]</f>
        <v>1.63</v>
      </c>
    </row>
    <row r="27" ht="30" spans="1:23">
      <c r="A27" s="49" t="s">
        <v>3860</v>
      </c>
      <c r="B27" s="49" t="s">
        <v>3907</v>
      </c>
      <c r="C27" s="49" t="s">
        <v>2225</v>
      </c>
      <c r="D27" s="49" t="s">
        <v>2226</v>
      </c>
      <c r="E27" s="49" t="s">
        <v>3909</v>
      </c>
      <c r="F27" s="51">
        <v>46170</v>
      </c>
      <c r="G27" s="49">
        <v>50.88</v>
      </c>
      <c r="H27" s="49" t="s">
        <v>3865</v>
      </c>
      <c r="I27" s="51">
        <v>46204</v>
      </c>
      <c r="J27" s="54">
        <f>INT(Cobros[[#This Row],[Fecha Cargo]])</f>
        <v>46170</v>
      </c>
      <c r="K27" s="54">
        <f>INT(Cobros[[#This Row],[Fecha Aplicacion]])</f>
        <v>46204</v>
      </c>
      <c r="L27" s="55" t="str">
        <f>INDEX(Clientes[Días Plazo],MATCH(Cobros[[#This Row],[Cod. Cliente]],Clientes[Codigo],0),1)</f>
        <v>15</v>
      </c>
      <c r="M27" s="45" t="str">
        <f>IF(Cobros[[#This Row],[Dias de Credito]]&lt;=0,"Contado","Credito")</f>
        <v>Credito</v>
      </c>
      <c r="N27" s="45">
        <f>Cobros[[#This Row],[Fecha Aplicación S]]-Cobros[[#This Row],[Fecha Cargo S]]</f>
        <v>34</v>
      </c>
      <c r="O27" s="45">
        <f>Cobros[[#This Row],[Dias al pago]]-Cobros[[#This Row],[Dias de Credito]]</f>
        <v>19</v>
      </c>
      <c r="P27" s="45">
        <f>SUMIFS(TablaDias[Porcentaje],TablaDias[Tipo],Cobros[[#This Row],[Tipo]],TablaDias[Desde ],"&lt;="&amp;MAX(0,Cobros[[#This Row],[Dias pasado]]),TablaDias[Hasta ],"&gt;="&amp;Cobros[[#This Row],[Dias pasado]])</f>
        <v>50</v>
      </c>
      <c r="Q27">
        <v>1</v>
      </c>
      <c r="R27">
        <f>IF(COUNTIF(PAPEL[Numero],Cobros[[#This Row],[Doc. Cargo]])&gt;0,1,0)</f>
        <v>0</v>
      </c>
      <c r="S27" s="46">
        <v>1</v>
      </c>
      <c r="T27" s="46">
        <f t="array" ref="T27">INDEX(Ventas[[Unidades]:[2]],MATCH("Gerente de Venta",Ventas[Vendedor %],0),6+Cobros[[#This Row],[Mes]])</f>
        <v>0.005</v>
      </c>
      <c r="U27" s="34">
        <f>IF(Cobros[[#This Row],[Tipo]]="Credito",IF(60&gt;=Cobros[[#This Row],[Dias al pago]],1,0),IF(Cobros[[#This Row],[Dias al pago]]&lt;=3,1,0))</f>
        <v>1</v>
      </c>
      <c r="V27" s="46">
        <f>(Cobros[[#This Row],[% A pagar Vendedor]]/100)*Cobros[[#This Row],[Valor Pagado]]*Cobros[[#This Row],[Vencido]]*(Cobros[[#This Row],[% aplicar]]/100)*IF(Cobros[[#This Row],[% A pagar Vendedor]]&gt;0,1,0)</f>
        <v>0.2544</v>
      </c>
      <c r="W27" s="46">
        <f>0.5%*Cobros[[#This Row],[Valor Pagado]]</f>
        <v>0.2544</v>
      </c>
    </row>
    <row r="28" ht="30" spans="1:23">
      <c r="A28" s="49" t="s">
        <v>3860</v>
      </c>
      <c r="B28" s="49" t="s">
        <v>3910</v>
      </c>
      <c r="C28" s="49" t="s">
        <v>1260</v>
      </c>
      <c r="D28" s="49" t="s">
        <v>1261</v>
      </c>
      <c r="E28" s="49" t="s">
        <v>3911</v>
      </c>
      <c r="F28" s="51">
        <v>46182</v>
      </c>
      <c r="G28" s="49">
        <v>2110.8</v>
      </c>
      <c r="H28" s="49" t="s">
        <v>3865</v>
      </c>
      <c r="I28" s="51">
        <v>46204</v>
      </c>
      <c r="J28" s="54">
        <f>INT(Cobros[[#This Row],[Fecha Cargo]])</f>
        <v>46182</v>
      </c>
      <c r="K28" s="54">
        <f>INT(Cobros[[#This Row],[Fecha Aplicacion]])</f>
        <v>46204</v>
      </c>
      <c r="L28" s="55" t="str">
        <f>INDEX(Clientes[Días Plazo],MATCH(Cobros[[#This Row],[Cod. Cliente]],Clientes[Codigo],0),1)</f>
        <v>21</v>
      </c>
      <c r="M28" s="45" t="str">
        <f>IF(Cobros[[#This Row],[Dias de Credito]]&lt;=0,"Contado","Credito")</f>
        <v>Credito</v>
      </c>
      <c r="N28" s="45">
        <f>Cobros[[#This Row],[Fecha Aplicación S]]-Cobros[[#This Row],[Fecha Cargo S]]</f>
        <v>22</v>
      </c>
      <c r="O28" s="45">
        <f>Cobros[[#This Row],[Dias al pago]]-Cobros[[#This Row],[Dias de Credito]]</f>
        <v>1</v>
      </c>
      <c r="P28" s="45">
        <f>SUMIFS(TablaDias[Porcentaje],TablaDias[Tipo],Cobros[[#This Row],[Tipo]],TablaDias[Desde ],"&lt;="&amp;MAX(0,Cobros[[#This Row],[Dias pasado]]),TablaDias[Hasta ],"&gt;="&amp;Cobros[[#This Row],[Dias pasado]])</f>
        <v>100</v>
      </c>
      <c r="Q2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8">
        <f>IF(COUNTIF(PAPEL[Numero],Cobros[[#This Row],[Doc. Cargo]])&gt;0,1,0)</f>
        <v>0</v>
      </c>
      <c r="S28" s="46">
        <v>1</v>
      </c>
      <c r="T28" s="46">
        <f t="array" ref="T28">INDEX(Ventas[[Unidades]:[2]],MATCH("Gerente de Venta",Ventas[Vendedor %],0),6+Cobros[[#This Row],[Mes]])</f>
        <v>0.005</v>
      </c>
      <c r="U28" s="34">
        <f>IF(Cobros[[#This Row],[Tipo]]="Credito",IF(60&gt;=Cobros[[#This Row],[Dias al pago]],1,0),IF(Cobros[[#This Row],[Dias al pago]]&lt;=3,1,0))</f>
        <v>1</v>
      </c>
      <c r="V28" s="46">
        <f>(Cobros[[#This Row],[% A pagar Vendedor]]/100)*Cobros[[#This Row],[Valor Pagado]]*Cobros[[#This Row],[Vencido]]*(Cobros[[#This Row],[% aplicar]]/100)*IF(Cobros[[#This Row],[% A pagar Vendedor]]&gt;0,1,0)</f>
        <v>21.108</v>
      </c>
      <c r="W28" s="46">
        <f>0.5%*Cobros[[#This Row],[Valor Pagado]]</f>
        <v>10.554</v>
      </c>
    </row>
    <row r="29" ht="30" spans="1:23">
      <c r="A29" s="49" t="s">
        <v>3860</v>
      </c>
      <c r="B29" s="49" t="s">
        <v>3912</v>
      </c>
      <c r="C29" s="49" t="s">
        <v>3190</v>
      </c>
      <c r="D29" s="49" t="s">
        <v>3191</v>
      </c>
      <c r="E29" s="49" t="s">
        <v>3877</v>
      </c>
      <c r="F29" s="51">
        <v>46100</v>
      </c>
      <c r="G29" s="49">
        <v>1000</v>
      </c>
      <c r="H29" s="49" t="s">
        <v>3865</v>
      </c>
      <c r="I29" s="51">
        <v>46205</v>
      </c>
      <c r="J29" s="54">
        <f>INT(Cobros[[#This Row],[Fecha Cargo]])</f>
        <v>46100</v>
      </c>
      <c r="K29" s="54">
        <f>INT(Cobros[[#This Row],[Fecha Aplicacion]])</f>
        <v>46205</v>
      </c>
      <c r="L29" s="55">
        <f>INDEX(Clientes[Días Plazo],MATCH(Cobros[[#This Row],[Cod. Cliente]],Clientes[Codigo],0),1)</f>
        <v>21</v>
      </c>
      <c r="M29" s="45" t="str">
        <f>IF(Cobros[[#This Row],[Dias de Credito]]&lt;=0,"Contado","Credito")</f>
        <v>Credito</v>
      </c>
      <c r="N29" s="45">
        <f>Cobros[[#This Row],[Fecha Aplicación S]]-Cobros[[#This Row],[Fecha Cargo S]]</f>
        <v>105</v>
      </c>
      <c r="O29" s="45">
        <f>Cobros[[#This Row],[Dias al pago]]-Cobros[[#This Row],[Dias de Credito]]</f>
        <v>84</v>
      </c>
      <c r="P29" s="45">
        <f>SUMIFS(TablaDias[Porcentaje],TablaDias[Tipo],Cobros[[#This Row],[Tipo]],TablaDias[Desde ],"&lt;="&amp;MAX(0,Cobros[[#This Row],[Dias pasado]]),TablaDias[Hasta ],"&gt;="&amp;Cobros[[#This Row],[Dias pasado]])</f>
        <v>0</v>
      </c>
      <c r="Q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">
        <f>IF(COUNTIF(PAPEL[Numero],Cobros[[#This Row],[Doc. Cargo]])&gt;0,1,0)</f>
        <v>0</v>
      </c>
      <c r="S29" s="46">
        <v>1</v>
      </c>
      <c r="T29" s="46">
        <f t="array" ref="T29">INDEX(Ventas[[Unidades]:[2]],MATCH("Gerente de Venta",Ventas[Vendedor %],0),6+Cobros[[#This Row],[Mes]])</f>
        <v>0.005</v>
      </c>
      <c r="U29" s="34">
        <f>IF(Cobros[[#This Row],[Tipo]]="Credito",IF(60&gt;=Cobros[[#This Row],[Dias al pago]],1,0),IF(Cobros[[#This Row],[Dias al pago]]&lt;=3,1,0))</f>
        <v>0</v>
      </c>
      <c r="V29" s="46">
        <f>(Cobros[[#This Row],[% A pagar Vendedor]]/100)*Cobros[[#This Row],[Valor Pagado]]*Cobros[[#This Row],[Vencido]]*(Cobros[[#This Row],[% aplicar]]/100)*IF(Cobros[[#This Row],[% A pagar Vendedor]]&gt;0,1,0)</f>
        <v>0</v>
      </c>
      <c r="W29" s="46">
        <f>0.5%*Cobros[[#This Row],[Valor Pagado]]</f>
        <v>5</v>
      </c>
    </row>
    <row r="30" spans="1:23">
      <c r="A30" s="49" t="s">
        <v>3860</v>
      </c>
      <c r="B30" s="49" t="s">
        <v>3913</v>
      </c>
      <c r="C30" s="49" t="s">
        <v>1222</v>
      </c>
      <c r="D30" s="49" t="s">
        <v>1223</v>
      </c>
      <c r="E30" s="49" t="s">
        <v>3914</v>
      </c>
      <c r="F30" s="51">
        <v>46202</v>
      </c>
      <c r="G30" s="49">
        <v>105</v>
      </c>
      <c r="H30" s="49" t="s">
        <v>20</v>
      </c>
      <c r="I30" s="51">
        <v>46205</v>
      </c>
      <c r="J30" s="54">
        <f>INT(Cobros[[#This Row],[Fecha Cargo]])</f>
        <v>46202</v>
      </c>
      <c r="K30" s="54">
        <f>INT(Cobros[[#This Row],[Fecha Aplicacion]])</f>
        <v>46205</v>
      </c>
      <c r="L30" s="55" t="str">
        <f>INDEX(Clientes[Días Plazo],MATCH(Cobros[[#This Row],[Cod. Cliente]],Clientes[Codigo],0),1)</f>
        <v>7</v>
      </c>
      <c r="M30" s="45" t="str">
        <f>IF(Cobros[[#This Row],[Dias de Credito]]&lt;=0,"Contado","Credito")</f>
        <v>Credito</v>
      </c>
      <c r="N30" s="45">
        <f>Cobros[[#This Row],[Fecha Aplicación S]]-Cobros[[#This Row],[Fecha Cargo S]]</f>
        <v>3</v>
      </c>
      <c r="O30" s="45">
        <f>Cobros[[#This Row],[Dias al pago]]-Cobros[[#This Row],[Dias de Credito]]</f>
        <v>-4</v>
      </c>
      <c r="P30" s="45">
        <f>SUMIFS(TablaDias[Porcentaje],TablaDias[Tipo],Cobros[[#This Row],[Tipo]],TablaDias[Desde ],"&lt;="&amp;MAX(0,Cobros[[#This Row],[Dias pasado]]),TablaDias[Hasta ],"&gt;="&amp;Cobros[[#This Row],[Dias pasado]])</f>
        <v>100</v>
      </c>
      <c r="Q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">
        <f>IF(COUNTIF(PAPEL[Numero],Cobros[[#This Row],[Doc. Cargo]])&gt;0,1,0)</f>
        <v>0</v>
      </c>
      <c r="S30" s="46">
        <f t="array" ref="S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0" s="46">
        <f t="array" ref="T30">INDEX(Ventas[[Unidades]:[2]],MATCH("Gerente de Venta",Ventas[Vendedor %],0),6+Cobros[[#This Row],[Mes]])</f>
        <v>0.005</v>
      </c>
      <c r="U30" s="34">
        <f>IF(Cobros[[#This Row],[Tipo]]="Credito",IF(60&gt;=Cobros[[#This Row],[Dias al pago]],1,0),IF(Cobros[[#This Row],[Dias al pago]]&lt;=3,1,0))</f>
        <v>1</v>
      </c>
      <c r="V30" s="46">
        <f>(Cobros[[#This Row],[% A pagar Vendedor]]/100)*Cobros[[#This Row],[Valor Pagado]]*Cobros[[#This Row],[Vencido]]*(Cobros[[#This Row],[% aplicar]]/100)*IF(Cobros[[#This Row],[% A pagar Vendedor]]&gt;0,1,0)</f>
        <v>1.3125</v>
      </c>
      <c r="W30" s="46">
        <f>0.5%*Cobros[[#This Row],[Valor Pagado]]</f>
        <v>0.525</v>
      </c>
    </row>
    <row r="31" spans="1:23">
      <c r="A31" s="49" t="s">
        <v>3860</v>
      </c>
      <c r="B31" s="49" t="s">
        <v>3915</v>
      </c>
      <c r="C31" s="49" t="s">
        <v>3814</v>
      </c>
      <c r="D31" s="49" t="s">
        <v>3815</v>
      </c>
      <c r="E31" s="49" t="s">
        <v>3916</v>
      </c>
      <c r="F31" s="51">
        <v>46183</v>
      </c>
      <c r="G31" s="49">
        <v>1000</v>
      </c>
      <c r="H31" s="49" t="s">
        <v>20</v>
      </c>
      <c r="I31" s="51">
        <v>46205</v>
      </c>
      <c r="J31" s="54">
        <f>INT(Cobros[[#This Row],[Fecha Cargo]])</f>
        <v>46183</v>
      </c>
      <c r="K31" s="54">
        <f>INT(Cobros[[#This Row],[Fecha Aplicacion]])</f>
        <v>46205</v>
      </c>
      <c r="L31" s="55" t="str">
        <f>INDEX(Clientes[Días Plazo],MATCH(Cobros[[#This Row],[Cod. Cliente]],Clientes[Codigo],0),1)</f>
        <v>15</v>
      </c>
      <c r="M31" s="45" t="str">
        <f>IF(Cobros[[#This Row],[Dias de Credito]]&lt;=0,"Contado","Credito")</f>
        <v>Credito</v>
      </c>
      <c r="N31" s="45">
        <f>Cobros[[#This Row],[Fecha Aplicación S]]-Cobros[[#This Row],[Fecha Cargo S]]</f>
        <v>22</v>
      </c>
      <c r="O31" s="45">
        <f>Cobros[[#This Row],[Dias al pago]]-Cobros[[#This Row],[Dias de Credito]]</f>
        <v>7</v>
      </c>
      <c r="P31" s="45">
        <f>SUMIFS(TablaDias[Porcentaje],TablaDias[Tipo],Cobros[[#This Row],[Tipo]],TablaDias[Desde ],"&lt;="&amp;MAX(0,Cobros[[#This Row],[Dias pasado]]),TablaDias[Hasta ],"&gt;="&amp;Cobros[[#This Row],[Dias pasado]])</f>
        <v>100</v>
      </c>
      <c r="Q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1">
        <f>IF(COUNTIF(PAPEL[Numero],Cobros[[#This Row],[Doc. Cargo]])&gt;0,1,0)</f>
        <v>0</v>
      </c>
      <c r="S31" s="46">
        <f t="array" ref="S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1" s="46">
        <f t="array" ref="T31">INDEX(Ventas[[Unidades]:[2]],MATCH("Gerente de Venta",Ventas[Vendedor %],0),6+Cobros[[#This Row],[Mes]])</f>
        <v>0.005</v>
      </c>
      <c r="U31" s="34">
        <f>IF(Cobros[[#This Row],[Tipo]]="Credito",IF(60&gt;=Cobros[[#This Row],[Dias al pago]],1,0),IF(Cobros[[#This Row],[Dias al pago]]&lt;=3,1,0))</f>
        <v>1</v>
      </c>
      <c r="V31" s="46">
        <f>(Cobros[[#This Row],[% A pagar Vendedor]]/100)*Cobros[[#This Row],[Valor Pagado]]*Cobros[[#This Row],[Vencido]]*(Cobros[[#This Row],[% aplicar]]/100)*IF(Cobros[[#This Row],[% A pagar Vendedor]]&gt;0,1,0)</f>
        <v>12.5</v>
      </c>
      <c r="W31" s="46">
        <f>0.5%*Cobros[[#This Row],[Valor Pagado]]</f>
        <v>5</v>
      </c>
    </row>
    <row r="32" spans="1:23">
      <c r="A32" s="49" t="s">
        <v>3875</v>
      </c>
      <c r="B32" s="49" t="s">
        <v>3917</v>
      </c>
      <c r="C32" s="49" t="s">
        <v>1220</v>
      </c>
      <c r="D32" s="49" t="s">
        <v>1221</v>
      </c>
      <c r="E32" s="49" t="s">
        <v>3918</v>
      </c>
      <c r="F32" s="51">
        <v>46205</v>
      </c>
      <c r="G32" s="49">
        <v>132</v>
      </c>
      <c r="H32" s="49" t="s">
        <v>20</v>
      </c>
      <c r="I32" s="51">
        <v>46205</v>
      </c>
      <c r="J32" s="54">
        <f>INT(Cobros[[#This Row],[Fecha Cargo]])</f>
        <v>46205</v>
      </c>
      <c r="K32" s="54">
        <f>INT(Cobros[[#This Row],[Fecha Aplicacion]])</f>
        <v>46205</v>
      </c>
      <c r="L32" s="55">
        <f>INDEX(Clientes[Días Plazo],MATCH(Cobros[[#This Row],[Cod. Cliente]],Clientes[Codigo],0),1)</f>
        <v>0</v>
      </c>
      <c r="M32" s="45" t="str">
        <f>IF(Cobros[[#This Row],[Dias de Credito]]&lt;=0,"Contado","Credito")</f>
        <v>Contado</v>
      </c>
      <c r="N32" s="45">
        <f>Cobros[[#This Row],[Fecha Aplicación S]]-Cobros[[#This Row],[Fecha Cargo S]]</f>
        <v>0</v>
      </c>
      <c r="O32" s="45">
        <f>Cobros[[#This Row],[Dias al pago]]-Cobros[[#This Row],[Dias de Credito]]</f>
        <v>0</v>
      </c>
      <c r="P32" s="45">
        <f>SUMIFS(TablaDias[Porcentaje],TablaDias[Tipo],Cobros[[#This Row],[Tipo]],TablaDias[Desde ],"&lt;="&amp;MAX(0,Cobros[[#This Row],[Dias pasado]]),TablaDias[Hasta ],"&gt;="&amp;Cobros[[#This Row],[Dias pasado]])</f>
        <v>100</v>
      </c>
      <c r="Q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">
        <f>IF(COUNTIF(PAPEL[Numero],Cobros[[#This Row],[Doc. Cargo]])&gt;0,1,0)</f>
        <v>0</v>
      </c>
      <c r="S32" s="46">
        <f t="array" ref="S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2" s="46">
        <f t="array" ref="T32">INDEX(Ventas[[Unidades]:[2]],MATCH("Gerente de Venta",Ventas[Vendedor %],0),6+Cobros[[#This Row],[Mes]])</f>
        <v>0.005</v>
      </c>
      <c r="U32" s="34">
        <f>IF(Cobros[[#This Row],[Tipo]]="Credito",IF(60&gt;=Cobros[[#This Row],[Dias al pago]],1,0),IF(Cobros[[#This Row],[Dias al pago]]&lt;=3,1,0))</f>
        <v>1</v>
      </c>
      <c r="V32" s="46">
        <f>(Cobros[[#This Row],[% A pagar Vendedor]]/100)*Cobros[[#This Row],[Valor Pagado]]*Cobros[[#This Row],[Vencido]]*(Cobros[[#This Row],[% aplicar]]/100)*IF(Cobros[[#This Row],[% A pagar Vendedor]]&gt;0,1,0)</f>
        <v>1.65</v>
      </c>
      <c r="W32" s="46">
        <f>0.5%*Cobros[[#This Row],[Valor Pagado]]</f>
        <v>0.66</v>
      </c>
    </row>
    <row r="33" ht="30" spans="1:23">
      <c r="A33" s="49" t="s">
        <v>3860</v>
      </c>
      <c r="B33" s="49" t="s">
        <v>3919</v>
      </c>
      <c r="C33" s="49" t="s">
        <v>1008</v>
      </c>
      <c r="D33" s="49" t="s">
        <v>1009</v>
      </c>
      <c r="E33" s="49" t="s">
        <v>3920</v>
      </c>
      <c r="F33" s="51">
        <v>46189</v>
      </c>
      <c r="G33" s="49">
        <v>188.75</v>
      </c>
      <c r="H33" s="49" t="s">
        <v>3865</v>
      </c>
      <c r="I33" s="51">
        <v>46205</v>
      </c>
      <c r="J33" s="54">
        <f>INT(Cobros[[#This Row],[Fecha Cargo]])</f>
        <v>46189</v>
      </c>
      <c r="K33" s="54">
        <f>INT(Cobros[[#This Row],[Fecha Aplicacion]])</f>
        <v>46205</v>
      </c>
      <c r="L33" s="55" t="str">
        <f>INDEX(Clientes[Días Plazo],MATCH(Cobros[[#This Row],[Cod. Cliente]],Clientes[Codigo],0),1)</f>
        <v>15</v>
      </c>
      <c r="M33" s="45" t="str">
        <f>IF(Cobros[[#This Row],[Dias de Credito]]&lt;=0,"Contado","Credito")</f>
        <v>Credito</v>
      </c>
      <c r="N33" s="45">
        <f>Cobros[[#This Row],[Fecha Aplicación S]]-Cobros[[#This Row],[Fecha Cargo S]]</f>
        <v>16</v>
      </c>
      <c r="O33" s="45">
        <f>Cobros[[#This Row],[Dias al pago]]-Cobros[[#This Row],[Dias de Credito]]</f>
        <v>1</v>
      </c>
      <c r="P33" s="45">
        <f>SUMIFS(TablaDias[Porcentaje],TablaDias[Tipo],Cobros[[#This Row],[Tipo]],TablaDias[Desde ],"&lt;="&amp;MAX(0,Cobros[[#This Row],[Dias pasado]]),TablaDias[Hasta ],"&gt;="&amp;Cobros[[#This Row],[Dias pasado]])</f>
        <v>100</v>
      </c>
      <c r="Q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3">
        <f>IF(COUNTIF(PAPEL[Numero],Cobros[[#This Row],[Doc. Cargo]])&gt;0,1,0)</f>
        <v>0</v>
      </c>
      <c r="S33" s="46">
        <v>1</v>
      </c>
      <c r="T33" s="46">
        <f t="array" ref="T33">INDEX(Ventas[[Unidades]:[2]],MATCH("Gerente de Venta",Ventas[Vendedor %],0),6+Cobros[[#This Row],[Mes]])</f>
        <v>0.005</v>
      </c>
      <c r="U33" s="34">
        <f>IF(Cobros[[#This Row],[Tipo]]="Credito",IF(60&gt;=Cobros[[#This Row],[Dias al pago]],1,0),IF(Cobros[[#This Row],[Dias al pago]]&lt;=3,1,0))</f>
        <v>1</v>
      </c>
      <c r="V33" s="46">
        <f>(Cobros[[#This Row],[% A pagar Vendedor]]/100)*Cobros[[#This Row],[Valor Pagado]]*Cobros[[#This Row],[Vencido]]*(Cobros[[#This Row],[% aplicar]]/100)*IF(Cobros[[#This Row],[% A pagar Vendedor]]&gt;0,1,0)</f>
        <v>1.8875</v>
      </c>
      <c r="W33" s="46">
        <f>0.5%*Cobros[[#This Row],[Valor Pagado]]</f>
        <v>0.94375</v>
      </c>
    </row>
    <row r="34" ht="30" spans="1:23">
      <c r="A34" s="49" t="s">
        <v>3860</v>
      </c>
      <c r="B34" s="49" t="s">
        <v>3919</v>
      </c>
      <c r="C34" s="49" t="s">
        <v>1008</v>
      </c>
      <c r="D34" s="49" t="s">
        <v>1009</v>
      </c>
      <c r="E34" s="49" t="s">
        <v>3921</v>
      </c>
      <c r="F34" s="51">
        <v>46191</v>
      </c>
      <c r="G34" s="49">
        <v>21.25</v>
      </c>
      <c r="H34" s="49" t="s">
        <v>3865</v>
      </c>
      <c r="I34" s="51">
        <v>46205</v>
      </c>
      <c r="J34" s="54">
        <f>INT(Cobros[[#This Row],[Fecha Cargo]])</f>
        <v>46191</v>
      </c>
      <c r="K34" s="54">
        <f>INT(Cobros[[#This Row],[Fecha Aplicacion]])</f>
        <v>46205</v>
      </c>
      <c r="L34" s="55" t="str">
        <f>INDEX(Clientes[Días Plazo],MATCH(Cobros[[#This Row],[Cod. Cliente]],Clientes[Codigo],0),1)</f>
        <v>15</v>
      </c>
      <c r="M34" s="45" t="str">
        <f>IF(Cobros[[#This Row],[Dias de Credito]]&lt;=0,"Contado","Credito")</f>
        <v>Credito</v>
      </c>
      <c r="N34" s="45">
        <f>Cobros[[#This Row],[Fecha Aplicación S]]-Cobros[[#This Row],[Fecha Cargo S]]</f>
        <v>14</v>
      </c>
      <c r="O34" s="45">
        <f>Cobros[[#This Row],[Dias al pago]]-Cobros[[#This Row],[Dias de Credito]]</f>
        <v>-1</v>
      </c>
      <c r="P34" s="45">
        <f>SUMIFS(TablaDias[Porcentaje],TablaDias[Tipo],Cobros[[#This Row],[Tipo]],TablaDias[Desde ],"&lt;="&amp;MAX(0,Cobros[[#This Row],[Dias pasado]]),TablaDias[Hasta ],"&gt;="&amp;Cobros[[#This Row],[Dias pasado]])</f>
        <v>100</v>
      </c>
      <c r="Q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">
        <f>IF(COUNTIF(PAPEL[Numero],Cobros[[#This Row],[Doc. Cargo]])&gt;0,1,0)</f>
        <v>0</v>
      </c>
      <c r="S34" s="46">
        <v>1</v>
      </c>
      <c r="T34" s="46">
        <f t="array" ref="T34">INDEX(Ventas[[Unidades]:[2]],MATCH("Gerente de Venta",Ventas[Vendedor %],0),6+Cobros[[#This Row],[Mes]])</f>
        <v>0.005</v>
      </c>
      <c r="U34" s="34">
        <v>1</v>
      </c>
      <c r="V34" s="46">
        <f>(Cobros[[#This Row],[% A pagar Vendedor]]/100)*Cobros[[#This Row],[Valor Pagado]]*Cobros[[#This Row],[Vencido]]*(Cobros[[#This Row],[% aplicar]]/100)*IF(Cobros[[#This Row],[% A pagar Vendedor]]&gt;0,1,0)</f>
        <v>0.2125</v>
      </c>
      <c r="W34" s="46">
        <f>0.5%*Cobros[[#This Row],[Valor Pagado]]</f>
        <v>0.10625</v>
      </c>
    </row>
    <row r="35" ht="30" spans="1:23">
      <c r="A35" s="49" t="s">
        <v>3922</v>
      </c>
      <c r="B35" s="49" t="s">
        <v>3923</v>
      </c>
      <c r="C35" s="49" t="s">
        <v>2225</v>
      </c>
      <c r="D35" s="49" t="s">
        <v>2226</v>
      </c>
      <c r="E35" s="49" t="s">
        <v>3924</v>
      </c>
      <c r="F35" s="51">
        <v>46204</v>
      </c>
      <c r="G35" s="49">
        <v>1304</v>
      </c>
      <c r="H35" s="49" t="s">
        <v>3865</v>
      </c>
      <c r="I35" s="51">
        <v>46205</v>
      </c>
      <c r="J35" s="54">
        <f>INT(Cobros[[#This Row],[Fecha Cargo]])</f>
        <v>46204</v>
      </c>
      <c r="K35" s="54">
        <f>INT(Cobros[[#This Row],[Fecha Aplicacion]])</f>
        <v>46205</v>
      </c>
      <c r="L35" s="55" t="str">
        <f>INDEX(Clientes[Días Plazo],MATCH(Cobros[[#This Row],[Cod. Cliente]],Clientes[Codigo],0),1)</f>
        <v>15</v>
      </c>
      <c r="M35" s="45" t="str">
        <f>IF(Cobros[[#This Row],[Dias de Credito]]&lt;=0,"Contado","Credito")</f>
        <v>Credito</v>
      </c>
      <c r="N35" s="45">
        <f>Cobros[[#This Row],[Fecha Aplicación S]]-Cobros[[#This Row],[Fecha Cargo S]]</f>
        <v>1</v>
      </c>
      <c r="O35" s="45">
        <f>Cobros[[#This Row],[Dias al pago]]-Cobros[[#This Row],[Dias de Credito]]</f>
        <v>-14</v>
      </c>
      <c r="P35" s="45">
        <f>SUMIFS(TablaDias[Porcentaje],TablaDias[Tipo],Cobros[[#This Row],[Tipo]],TablaDias[Desde ],"&lt;="&amp;MAX(0,Cobros[[#This Row],[Dias pasado]]),TablaDias[Hasta ],"&gt;="&amp;Cobros[[#This Row],[Dias pasado]])</f>
        <v>100</v>
      </c>
      <c r="Q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">
        <f>IF(COUNTIF(PAPEL[Numero],Cobros[[#This Row],[Doc. Cargo]])&gt;0,1,0)</f>
        <v>0</v>
      </c>
      <c r="S35" s="46">
        <v>1</v>
      </c>
      <c r="T35" s="46">
        <f t="array" ref="T35">INDEX(Ventas[[Unidades]:[2]],MATCH("Gerente de Venta",Ventas[Vendedor %],0),6+Cobros[[#This Row],[Mes]])</f>
        <v>0.005</v>
      </c>
      <c r="U35" s="34">
        <v>1</v>
      </c>
      <c r="V35" s="46">
        <f>(Cobros[[#This Row],[% A pagar Vendedor]]/100)*Cobros[[#This Row],[Valor Pagado]]*Cobros[[#This Row],[Vencido]]*(Cobros[[#This Row],[% aplicar]]/100)*IF(Cobros[[#This Row],[% A pagar Vendedor]]&gt;0,1,0)</f>
        <v>13.04</v>
      </c>
      <c r="W35" s="46">
        <f>0.5%*Cobros[[#This Row],[Valor Pagado]]</f>
        <v>6.52</v>
      </c>
    </row>
    <row r="36" ht="30" spans="1:24">
      <c r="A36" s="49" t="s">
        <v>3875</v>
      </c>
      <c r="B36" s="49" t="s">
        <v>3925</v>
      </c>
      <c r="C36" s="49" t="s">
        <v>2952</v>
      </c>
      <c r="D36" s="49" t="s">
        <v>2953</v>
      </c>
      <c r="E36" s="49" t="s">
        <v>3926</v>
      </c>
      <c r="F36" s="51">
        <v>46205</v>
      </c>
      <c r="G36" s="49">
        <v>56</v>
      </c>
      <c r="H36" s="49" t="s">
        <v>3865</v>
      </c>
      <c r="I36" s="51">
        <v>46205</v>
      </c>
      <c r="J36" s="54">
        <f>INT(Cobros[[#This Row],[Fecha Cargo]])</f>
        <v>46205</v>
      </c>
      <c r="K36" s="54">
        <f>INT(Cobros[[#This Row],[Fecha Aplicacion]])</f>
        <v>46205</v>
      </c>
      <c r="L36" s="55">
        <f>INDEX(Clientes[Días Plazo],MATCH(Cobros[[#This Row],[Cod. Cliente]],Clientes[Codigo],0),1)</f>
        <v>0</v>
      </c>
      <c r="M36" s="45" t="str">
        <f>IF(Cobros[[#This Row],[Dias de Credito]]&lt;=0,"Contado","Credito")</f>
        <v>Contado</v>
      </c>
      <c r="N36" s="45">
        <f>Cobros[[#This Row],[Fecha Aplicación S]]-Cobros[[#This Row],[Fecha Cargo S]]</f>
        <v>0</v>
      </c>
      <c r="O36" s="45">
        <f>Cobros[[#This Row],[Dias al pago]]-Cobros[[#This Row],[Dias de Credito]]</f>
        <v>0</v>
      </c>
      <c r="P36" s="45">
        <f>SUMIFS(TablaDias[Porcentaje],TablaDias[Tipo],Cobros[[#This Row],[Tipo]],TablaDias[Desde ],"&lt;="&amp;MAX(0,Cobros[[#This Row],[Dias pasado]]),TablaDias[Hasta ],"&gt;="&amp;Cobros[[#This Row],[Dias pasado]])</f>
        <v>100</v>
      </c>
      <c r="Q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">
        <f>IF(COUNTIF(PAPEL[Numero],Cobros[[#This Row],[Doc. Cargo]])&gt;0,1,0)</f>
        <v>0</v>
      </c>
      <c r="S36" s="46">
        <v>1</v>
      </c>
      <c r="T36" s="46">
        <f t="array" ref="T36">INDEX(Ventas[[Unidades]:[2]],MATCH("Gerente de Venta",Ventas[Vendedor %],0),6+Cobros[[#This Row],[Mes]])</f>
        <v>0.005</v>
      </c>
      <c r="U36" s="34">
        <v>1</v>
      </c>
      <c r="V36" s="46">
        <f>(Cobros[[#This Row],[% A pagar Vendedor]]/100)*Cobros[[#This Row],[Valor Pagado]]*Cobros[[#This Row],[Vencido]]*(Cobros[[#This Row],[% aplicar]]/100)*IF(Cobros[[#This Row],[% A pagar Vendedor]]&gt;0,1,0)</f>
        <v>0.56</v>
      </c>
      <c r="W36" s="46">
        <f>0.5%*Cobros[[#This Row],[Valor Pagado]]</f>
        <v>0.28</v>
      </c>
      <c r="X36" s="60"/>
    </row>
    <row r="37" spans="1:23">
      <c r="A37" s="49" t="s">
        <v>3875</v>
      </c>
      <c r="B37" s="49" t="s">
        <v>3927</v>
      </c>
      <c r="C37" s="49" t="s">
        <v>3772</v>
      </c>
      <c r="D37" s="49" t="s">
        <v>3773</v>
      </c>
      <c r="E37" s="49" t="s">
        <v>3928</v>
      </c>
      <c r="F37" s="51">
        <v>46205</v>
      </c>
      <c r="G37" s="49">
        <v>102</v>
      </c>
      <c r="H37" s="49" t="s">
        <v>18</v>
      </c>
      <c r="I37" s="51">
        <v>46205</v>
      </c>
      <c r="J37" s="54">
        <f>INT(Cobros[[#This Row],[Fecha Cargo]])</f>
        <v>46205</v>
      </c>
      <c r="K37" s="54">
        <f>INT(Cobros[[#This Row],[Fecha Aplicacion]])</f>
        <v>46205</v>
      </c>
      <c r="L37" s="55">
        <f>INDEX(Clientes[Días Plazo],MATCH(Cobros[[#This Row],[Cod. Cliente]],Clientes[Codigo],0),1)</f>
        <v>0</v>
      </c>
      <c r="M37" s="45" t="str">
        <f>IF(Cobros[[#This Row],[Dias de Credito]]&lt;=0,"Contado","Credito")</f>
        <v>Contado</v>
      </c>
      <c r="N37" s="45">
        <f>Cobros[[#This Row],[Fecha Aplicación S]]-Cobros[[#This Row],[Fecha Cargo S]]</f>
        <v>0</v>
      </c>
      <c r="O37" s="45">
        <f>Cobros[[#This Row],[Dias al pago]]-Cobros[[#This Row],[Dias de Credito]]</f>
        <v>0</v>
      </c>
      <c r="P37" s="45">
        <f>SUMIFS(TablaDias[Porcentaje],TablaDias[Tipo],Cobros[[#This Row],[Tipo]],TablaDias[Desde ],"&lt;="&amp;MAX(0,Cobros[[#This Row],[Dias pasado]]),TablaDias[Hasta ],"&gt;="&amp;Cobros[[#This Row],[Dias pasado]])</f>
        <v>100</v>
      </c>
      <c r="Q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">
        <f>IF(COUNTIF(PAPEL[Numero],Cobros[[#This Row],[Doc. Cargo]])&gt;0,1,0)</f>
        <v>0</v>
      </c>
      <c r="S37" s="46">
        <f t="array" ref="S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" s="46">
        <f t="array" ref="T37">INDEX(Ventas[[Unidades]:[2]],MATCH("Gerente de Venta",Ventas[Vendedor %],0),6+Cobros[[#This Row],[Mes]])</f>
        <v>0.005</v>
      </c>
      <c r="U37" s="34">
        <f>IF(Cobros[[#This Row],[Tipo]]="Credito",IF(60&gt;=Cobros[[#This Row],[Dias al pago]],1,0),IF(Cobros[[#This Row],[Dias al pago]]&lt;=3,1,0))</f>
        <v>1</v>
      </c>
      <c r="V37" s="46">
        <f>(Cobros[[#This Row],[% A pagar Vendedor]]/100)*Cobros[[#This Row],[Valor Pagado]]*Cobros[[#This Row],[Vencido]]*(Cobros[[#This Row],[% aplicar]]/100)*IF(Cobros[[#This Row],[% A pagar Vendedor]]&gt;0,1,0)</f>
        <v>1.275</v>
      </c>
      <c r="W37" s="46">
        <f>0.5%*Cobros[[#This Row],[Valor Pagado]]</f>
        <v>0.51</v>
      </c>
    </row>
    <row r="38" spans="1:24">
      <c r="A38" s="49" t="s">
        <v>3884</v>
      </c>
      <c r="B38" s="49" t="s">
        <v>3929</v>
      </c>
      <c r="C38" s="49" t="s">
        <v>1063</v>
      </c>
      <c r="D38" s="49" t="s">
        <v>1064</v>
      </c>
      <c r="E38" s="49" t="s">
        <v>3930</v>
      </c>
      <c r="F38" s="51">
        <v>46205</v>
      </c>
      <c r="G38" s="49">
        <v>329.64</v>
      </c>
      <c r="H38" s="49" t="s">
        <v>16</v>
      </c>
      <c r="I38" s="51">
        <v>46205</v>
      </c>
      <c r="J38" s="54">
        <f>INT(Cobros[[#This Row],[Fecha Cargo]])</f>
        <v>46205</v>
      </c>
      <c r="K38" s="54">
        <f>INT(Cobros[[#This Row],[Fecha Aplicacion]])</f>
        <v>46205</v>
      </c>
      <c r="L38" s="55">
        <f>INDEX(Clientes[Días Plazo],MATCH(Cobros[[#This Row],[Cod. Cliente]],Clientes[Codigo],0),1)</f>
        <v>0</v>
      </c>
      <c r="M38" s="45" t="str">
        <f>IF(Cobros[[#This Row],[Dias de Credito]]&lt;=0,"Contado","Credito")</f>
        <v>Contado</v>
      </c>
      <c r="N38" s="45">
        <f>Cobros[[#This Row],[Fecha Aplicación S]]-Cobros[[#This Row],[Fecha Cargo S]]</f>
        <v>0</v>
      </c>
      <c r="O38" s="45">
        <f>Cobros[[#This Row],[Dias al pago]]-Cobros[[#This Row],[Dias de Credito]]</f>
        <v>0</v>
      </c>
      <c r="P38" s="45">
        <f>SUMIFS(TablaDias[Porcentaje],TablaDias[Tipo],Cobros[[#This Row],[Tipo]],TablaDias[Desde ],"&lt;="&amp;MAX(0,Cobros[[#This Row],[Dias pasado]]),TablaDias[Hasta ],"&gt;="&amp;Cobros[[#This Row],[Dias pasado]])</f>
        <v>100</v>
      </c>
      <c r="Q38">
        <v>1</v>
      </c>
      <c r="R38">
        <f>IF(COUNTIF(PAPEL[Numero],Cobros[[#This Row],[Doc. Cargo]])&gt;0,1,0)</f>
        <v>0</v>
      </c>
      <c r="S38" s="46">
        <f t="array" ref="S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8" s="47">
        <v>0.005</v>
      </c>
      <c r="U38" s="34">
        <f>IF(Cobros[[#This Row],[Tipo]]="Credito",IF(60&gt;=Cobros[[#This Row],[Dias al pago]],1,0),IF(Cobros[[#This Row],[Dias al pago]]&lt;=3,1,0))</f>
        <v>1</v>
      </c>
      <c r="V38" s="46">
        <f>(Cobros[[#This Row],[% A pagar Vendedor]]/100)*Cobros[[#This Row],[Valor Pagado]]*Cobros[[#This Row],[Vencido]]*(Cobros[[#This Row],[% aplicar]]/100)*IF(Cobros[[#This Row],[% A pagar Vendedor]]&gt;0,1,0)</f>
        <v>3.2964</v>
      </c>
      <c r="W38" s="46">
        <f>0.5%*Cobros[[#This Row],[Valor Pagado]]</f>
        <v>1.6482</v>
      </c>
      <c r="X38" s="34"/>
    </row>
    <row r="39" spans="1:24">
      <c r="A39" s="49" t="s">
        <v>3931</v>
      </c>
      <c r="B39" s="49" t="s">
        <v>3932</v>
      </c>
      <c r="C39" s="49" t="s">
        <v>849</v>
      </c>
      <c r="D39" s="49" t="s">
        <v>850</v>
      </c>
      <c r="E39" s="49" t="s">
        <v>3933</v>
      </c>
      <c r="F39" s="51">
        <v>46126</v>
      </c>
      <c r="G39" s="49">
        <v>2070.6</v>
      </c>
      <c r="H39" s="49" t="s">
        <v>16</v>
      </c>
      <c r="I39" s="51">
        <v>46205</v>
      </c>
      <c r="J39" s="54">
        <f>INT(Cobros[[#This Row],[Fecha Cargo]])</f>
        <v>46126</v>
      </c>
      <c r="K39" s="54">
        <f>INT(Cobros[[#This Row],[Fecha Aplicacion]])</f>
        <v>46205</v>
      </c>
      <c r="L39" s="55" t="str">
        <f>INDEX(Clientes[Días Plazo],MATCH(Cobros[[#This Row],[Cod. Cliente]],Clientes[Codigo],0),1)</f>
        <v>60</v>
      </c>
      <c r="M39" s="45" t="str">
        <f>IF(Cobros[[#This Row],[Dias de Credito]]&lt;=0,"Contado","Credito")</f>
        <v>Credito</v>
      </c>
      <c r="N39" s="45">
        <f>Cobros[[#This Row],[Fecha Aplicación S]]-Cobros[[#This Row],[Fecha Cargo S]]</f>
        <v>79</v>
      </c>
      <c r="O39" s="45">
        <f>Cobros[[#This Row],[Dias al pago]]-Cobros[[#This Row],[Dias de Credito]]</f>
        <v>19</v>
      </c>
      <c r="P39" s="45">
        <v>100</v>
      </c>
      <c r="Q3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9">
        <f>IF(COUNTIF(PAPEL[Numero],Cobros[[#This Row],[Doc. Cargo]])&gt;0,1,0)</f>
        <v>0</v>
      </c>
      <c r="S39" s="46">
        <f t="array" ref="S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9" s="47">
        <v>0.005</v>
      </c>
      <c r="U39" s="34">
        <v>1</v>
      </c>
      <c r="V39" s="46">
        <f>(Cobros[[#This Row],[% A pagar Vendedor]]/100)*Cobros[[#This Row],[Valor Pagado]]*Cobros[[#This Row],[Vencido]]*(Cobros[[#This Row],[% aplicar]]/100)*IF(Cobros[[#This Row],[% A pagar Vendedor]]&gt;0,1,0)</f>
        <v>25.8825</v>
      </c>
      <c r="W39" s="46">
        <f>0.5%*Cobros[[#This Row],[Valor Pagado]]</f>
        <v>10.353</v>
      </c>
      <c r="X39" s="60"/>
    </row>
    <row r="40" spans="1:23">
      <c r="A40" s="49" t="s">
        <v>3931</v>
      </c>
      <c r="B40" s="49" t="s">
        <v>3932</v>
      </c>
      <c r="C40" s="49" t="s">
        <v>849</v>
      </c>
      <c r="D40" s="49" t="s">
        <v>850</v>
      </c>
      <c r="E40" s="49" t="s">
        <v>3934</v>
      </c>
      <c r="F40" s="51">
        <v>46126</v>
      </c>
      <c r="G40" s="49">
        <v>69615</v>
      </c>
      <c r="H40" s="49" t="s">
        <v>16</v>
      </c>
      <c r="I40" s="51">
        <v>46205</v>
      </c>
      <c r="J40" s="54">
        <f>INT(Cobros[[#This Row],[Fecha Cargo]])</f>
        <v>46126</v>
      </c>
      <c r="K40" s="54">
        <f>INT(Cobros[[#This Row],[Fecha Aplicacion]])</f>
        <v>46205</v>
      </c>
      <c r="L40" s="55" t="str">
        <f>INDEX(Clientes[Días Plazo],MATCH(Cobros[[#This Row],[Cod. Cliente]],Clientes[Codigo],0),1)</f>
        <v>60</v>
      </c>
      <c r="M40" s="45" t="str">
        <f>IF(Cobros[[#This Row],[Dias de Credito]]&lt;=0,"Contado","Credito")</f>
        <v>Credito</v>
      </c>
      <c r="N40" s="45">
        <f>Cobros[[#This Row],[Fecha Aplicación S]]-Cobros[[#This Row],[Fecha Cargo S]]</f>
        <v>79</v>
      </c>
      <c r="O40" s="45">
        <f>Cobros[[#This Row],[Dias al pago]]-Cobros[[#This Row],[Dias de Credito]]</f>
        <v>19</v>
      </c>
      <c r="P40" s="45">
        <v>100</v>
      </c>
      <c r="Q4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">
        <f>IF(COUNTIF(PAPEL[Numero],Cobros[[#This Row],[Doc. Cargo]])&gt;0,1,0)</f>
        <v>0</v>
      </c>
      <c r="S40" s="46">
        <f t="array" ref="S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" s="47">
        <v>0.005</v>
      </c>
      <c r="U40" s="34">
        <v>1</v>
      </c>
      <c r="V40" s="46">
        <f>(Cobros[[#This Row],[% A pagar Vendedor]]/100)*Cobros[[#This Row],[Valor Pagado]]*Cobros[[#This Row],[Vencido]]*(Cobros[[#This Row],[% aplicar]]/100)*IF(Cobros[[#This Row],[% A pagar Vendedor]]&gt;0,1,0)</f>
        <v>870.1875</v>
      </c>
      <c r="W40" s="46">
        <f>0.5%*Cobros[[#This Row],[Valor Pagado]]</f>
        <v>348.075</v>
      </c>
    </row>
    <row r="41" spans="1:23">
      <c r="A41" s="49" t="s">
        <v>3931</v>
      </c>
      <c r="B41" s="49" t="s">
        <v>3935</v>
      </c>
      <c r="C41" s="49" t="s">
        <v>829</v>
      </c>
      <c r="D41" s="49" t="s">
        <v>830</v>
      </c>
      <c r="E41" s="49" t="s">
        <v>3936</v>
      </c>
      <c r="F41" s="51">
        <v>46132</v>
      </c>
      <c r="G41" s="49">
        <v>16984.9</v>
      </c>
      <c r="H41" s="49" t="s">
        <v>16</v>
      </c>
      <c r="I41" s="51">
        <v>46205</v>
      </c>
      <c r="J41" s="54">
        <f>INT(Cobros[[#This Row],[Fecha Cargo]])</f>
        <v>46132</v>
      </c>
      <c r="K41" s="54">
        <f>INT(Cobros[[#This Row],[Fecha Aplicacion]])</f>
        <v>46205</v>
      </c>
      <c r="L41" s="55">
        <v>30</v>
      </c>
      <c r="M41" s="45" t="str">
        <f>IF(Cobros[[#This Row],[Dias de Credito]]&lt;=0,"Contado","Credito")</f>
        <v>Credito</v>
      </c>
      <c r="N41" s="45">
        <f>Cobros[[#This Row],[Fecha Aplicación S]]-Cobros[[#This Row],[Fecha Cargo S]]</f>
        <v>73</v>
      </c>
      <c r="O41" s="45">
        <f>Cobros[[#This Row],[Dias al pago]]-Cobros[[#This Row],[Dias de Credito]]</f>
        <v>43</v>
      </c>
      <c r="P41" s="45">
        <f>SUMIFS(TablaDias[Porcentaje],TablaDias[Tipo],Cobros[[#This Row],[Tipo]],TablaDias[Desde ],"&lt;="&amp;MAX(0,Cobros[[#This Row],[Dias pasado]]),TablaDias[Hasta ],"&gt;="&amp;Cobros[[#This Row],[Dias pasado]])</f>
        <v>30</v>
      </c>
      <c r="Q4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">
        <f>IF(COUNTIF(PAPEL[Numero],Cobros[[#This Row],[Doc. Cargo]])&gt;0,1,0)</f>
        <v>0</v>
      </c>
      <c r="S41" s="46">
        <f t="array" ref="S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1" s="47">
        <v>0.005</v>
      </c>
      <c r="U41" s="34">
        <v>1</v>
      </c>
      <c r="V41" s="46">
        <f>(Cobros[[#This Row],[% A pagar Vendedor]]/100)*Cobros[[#This Row],[Valor Pagado]]*Cobros[[#This Row],[Vencido]]*(Cobros[[#This Row],[% aplicar]]/100)*IF(Cobros[[#This Row],[% A pagar Vendedor]]&gt;0,1,0)</f>
        <v>63.693375</v>
      </c>
      <c r="W41" s="46">
        <f>0.5%*Cobros[[#This Row],[Valor Pagado]]</f>
        <v>84.9245</v>
      </c>
    </row>
    <row r="42" spans="1:23">
      <c r="A42" s="49" t="s">
        <v>3931</v>
      </c>
      <c r="B42" s="49" t="s">
        <v>3935</v>
      </c>
      <c r="C42" s="49" t="s">
        <v>829</v>
      </c>
      <c r="D42" s="49" t="s">
        <v>830</v>
      </c>
      <c r="E42" s="49" t="s">
        <v>3937</v>
      </c>
      <c r="F42" s="51">
        <v>46136</v>
      </c>
      <c r="G42" s="49">
        <v>4321</v>
      </c>
      <c r="H42" s="49" t="s">
        <v>16</v>
      </c>
      <c r="I42" s="51">
        <v>46205</v>
      </c>
      <c r="J42" s="54">
        <f>INT(Cobros[[#This Row],[Fecha Cargo]])</f>
        <v>46136</v>
      </c>
      <c r="K42" s="54">
        <f>INT(Cobros[[#This Row],[Fecha Aplicacion]])</f>
        <v>46205</v>
      </c>
      <c r="L42" s="55" t="str">
        <f>INDEX(Clientes[Días Plazo],MATCH(Cobros[[#This Row],[Cod. Cliente]],Clientes[Codigo],0),1)</f>
        <v>60</v>
      </c>
      <c r="M42" s="45" t="str">
        <f>IF(Cobros[[#This Row],[Dias de Credito]]&lt;=0,"Contado","Credito")</f>
        <v>Credito</v>
      </c>
      <c r="N42" s="45">
        <f>Cobros[[#This Row],[Fecha Aplicación S]]-Cobros[[#This Row],[Fecha Cargo S]]</f>
        <v>69</v>
      </c>
      <c r="O42" s="45">
        <f>Cobros[[#This Row],[Dias al pago]]-Cobros[[#This Row],[Dias de Credito]]</f>
        <v>9</v>
      </c>
      <c r="P42" s="45">
        <f>SUMIFS(TablaDias[Porcentaje],TablaDias[Tipo],Cobros[[#This Row],[Tipo]],TablaDias[Desde ],"&lt;="&amp;MAX(0,Cobros[[#This Row],[Dias pasado]]),TablaDias[Hasta ],"&gt;="&amp;Cobros[[#This Row],[Dias pasado]])</f>
        <v>100</v>
      </c>
      <c r="Q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">
        <f>IF(COUNTIF(PAPEL[Numero],Cobros[[#This Row],[Doc. Cargo]])&gt;0,1,0)</f>
        <v>0</v>
      </c>
      <c r="S42" s="46">
        <f t="array" ref="S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" s="47">
        <v>0.005</v>
      </c>
      <c r="U42" s="34">
        <v>1</v>
      </c>
      <c r="V42" s="46">
        <f>(Cobros[[#This Row],[% A pagar Vendedor]]/100)*Cobros[[#This Row],[Valor Pagado]]*Cobros[[#This Row],[Vencido]]*(Cobros[[#This Row],[% aplicar]]/100)*IF(Cobros[[#This Row],[% A pagar Vendedor]]&gt;0,1,0)</f>
        <v>54.0125</v>
      </c>
      <c r="W42" s="46">
        <f>0.5%*Cobros[[#This Row],[Valor Pagado]]</f>
        <v>21.605</v>
      </c>
    </row>
    <row r="43" spans="1:23">
      <c r="A43" s="49" t="s">
        <v>3931</v>
      </c>
      <c r="B43" s="49" t="s">
        <v>3935</v>
      </c>
      <c r="C43" s="49" t="s">
        <v>829</v>
      </c>
      <c r="D43" s="49" t="s">
        <v>830</v>
      </c>
      <c r="E43" s="49" t="s">
        <v>3938</v>
      </c>
      <c r="F43" s="51">
        <v>46136</v>
      </c>
      <c r="G43" s="49">
        <v>98415</v>
      </c>
      <c r="H43" s="49" t="s">
        <v>16</v>
      </c>
      <c r="I43" s="51">
        <v>46205</v>
      </c>
      <c r="J43" s="54">
        <f>INT(Cobros[[#This Row],[Fecha Cargo]])</f>
        <v>46136</v>
      </c>
      <c r="K43" s="54">
        <f>INT(Cobros[[#This Row],[Fecha Aplicacion]])</f>
        <v>46205</v>
      </c>
      <c r="L43" s="55" t="str">
        <f>INDEX(Clientes[Días Plazo],MATCH(Cobros[[#This Row],[Cod. Cliente]],Clientes[Codigo],0),1)</f>
        <v>60</v>
      </c>
      <c r="M43" s="45" t="str">
        <f>IF(Cobros[[#This Row],[Dias de Credito]]&lt;=0,"Contado","Credito")</f>
        <v>Credito</v>
      </c>
      <c r="N43" s="45">
        <f>Cobros[[#This Row],[Fecha Aplicación S]]-Cobros[[#This Row],[Fecha Cargo S]]</f>
        <v>69</v>
      </c>
      <c r="O43" s="45">
        <f>Cobros[[#This Row],[Dias al pago]]-Cobros[[#This Row],[Dias de Credito]]</f>
        <v>9</v>
      </c>
      <c r="P43" s="45">
        <f>SUMIFS(TablaDias[Porcentaje],TablaDias[Tipo],Cobros[[#This Row],[Tipo]],TablaDias[Desde ],"&lt;="&amp;MAX(0,Cobros[[#This Row],[Dias pasado]]),TablaDias[Hasta ],"&gt;="&amp;Cobros[[#This Row],[Dias pasado]])</f>
        <v>100</v>
      </c>
      <c r="Q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3">
        <f>IF(COUNTIF(PAPEL[Numero],Cobros[[#This Row],[Doc. Cargo]])&gt;0,1,0)</f>
        <v>0</v>
      </c>
      <c r="S43" s="46">
        <f t="array" ref="S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3" s="47">
        <v>0.005</v>
      </c>
      <c r="U43" s="34">
        <v>1</v>
      </c>
      <c r="V43" s="46">
        <f>(Cobros[[#This Row],[% A pagar Vendedor]]/100)*Cobros[[#This Row],[Valor Pagado]]*Cobros[[#This Row],[Vencido]]*(Cobros[[#This Row],[% aplicar]]/100)*IF(Cobros[[#This Row],[% A pagar Vendedor]]&gt;0,1,0)</f>
        <v>1230.1875</v>
      </c>
      <c r="W43" s="46">
        <f>0.5%*Cobros[[#This Row],[Valor Pagado]]</f>
        <v>492.075</v>
      </c>
    </row>
    <row r="44" spans="1:23">
      <c r="A44" s="49" t="s">
        <v>3931</v>
      </c>
      <c r="B44" s="49" t="s">
        <v>3935</v>
      </c>
      <c r="C44" s="49" t="s">
        <v>829</v>
      </c>
      <c r="D44" s="49" t="s">
        <v>830</v>
      </c>
      <c r="E44" s="49" t="s">
        <v>3939</v>
      </c>
      <c r="F44" s="51">
        <v>46164</v>
      </c>
      <c r="G44" s="49">
        <v>79.1</v>
      </c>
      <c r="H44" s="49" t="s">
        <v>16</v>
      </c>
      <c r="I44" s="51">
        <v>46205</v>
      </c>
      <c r="J44" s="54">
        <f>INT(Cobros[[#This Row],[Fecha Cargo]])</f>
        <v>46164</v>
      </c>
      <c r="K44" s="54">
        <f>INT(Cobros[[#This Row],[Fecha Aplicacion]])</f>
        <v>46205</v>
      </c>
      <c r="L44" s="55" t="str">
        <f>INDEX(Clientes[Días Plazo],MATCH(Cobros[[#This Row],[Cod. Cliente]],Clientes[Codigo],0),1)</f>
        <v>60</v>
      </c>
      <c r="M44" s="45" t="str">
        <f>IF(Cobros[[#This Row],[Dias de Credito]]&lt;=0,"Contado","Credito")</f>
        <v>Credito</v>
      </c>
      <c r="N44" s="45">
        <f>Cobros[[#This Row],[Fecha Aplicación S]]-Cobros[[#This Row],[Fecha Cargo S]]</f>
        <v>41</v>
      </c>
      <c r="O44" s="45">
        <f>Cobros[[#This Row],[Dias al pago]]-Cobros[[#This Row],[Dias de Credito]]</f>
        <v>-19</v>
      </c>
      <c r="P44" s="45">
        <f>SUMIFS(TablaDias[Porcentaje],TablaDias[Tipo],Cobros[[#This Row],[Tipo]],TablaDias[Desde ],"&lt;="&amp;MAX(0,Cobros[[#This Row],[Dias pasado]]),TablaDias[Hasta ],"&gt;="&amp;Cobros[[#This Row],[Dias pasado]])</f>
        <v>100</v>
      </c>
      <c r="Q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4">
        <f>IF(COUNTIF(PAPEL[Numero],Cobros[[#This Row],[Doc. Cargo]])&gt;0,1,0)</f>
        <v>0</v>
      </c>
      <c r="S44" s="46">
        <f t="array" ref="S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" s="47">
        <v>0.005</v>
      </c>
      <c r="U44" s="34">
        <f>IF(Cobros[[#This Row],[Tipo]]="Credito",IF(60&gt;=Cobros[[#This Row],[Dias al pago]],1,0),IF(Cobros[[#This Row],[Dias al pago]]&lt;=3,1,0))</f>
        <v>1</v>
      </c>
      <c r="V44" s="46">
        <f>(Cobros[[#This Row],[% A pagar Vendedor]]/100)*Cobros[[#This Row],[Valor Pagado]]*Cobros[[#This Row],[Vencido]]*(Cobros[[#This Row],[% aplicar]]/100)*IF(Cobros[[#This Row],[% A pagar Vendedor]]&gt;0,1,0)</f>
        <v>0.791</v>
      </c>
      <c r="W44" s="46">
        <f>0.5%*Cobros[[#This Row],[Valor Pagado]]</f>
        <v>0.3955</v>
      </c>
    </row>
    <row r="45" ht="30" spans="1:23">
      <c r="A45" s="49" t="s">
        <v>3931</v>
      </c>
      <c r="B45" s="49" t="s">
        <v>3940</v>
      </c>
      <c r="C45" s="49" t="s">
        <v>3141</v>
      </c>
      <c r="D45" s="49" t="s">
        <v>3142</v>
      </c>
      <c r="E45" s="49" t="s">
        <v>3941</v>
      </c>
      <c r="F45" s="51">
        <v>46203</v>
      </c>
      <c r="G45" s="49">
        <v>19500</v>
      </c>
      <c r="H45" s="49" t="s">
        <v>22</v>
      </c>
      <c r="I45" s="51">
        <v>46205</v>
      </c>
      <c r="J45" s="54">
        <f>INT(Cobros[[#This Row],[Fecha Cargo]])</f>
        <v>46203</v>
      </c>
      <c r="K45" s="54">
        <f>INT(Cobros[[#This Row],[Fecha Aplicacion]])</f>
        <v>46205</v>
      </c>
      <c r="L45" s="55" t="str">
        <f>INDEX(Clientes[Días Plazo],MATCH(Cobros[[#This Row],[Cod. Cliente]],Clientes[Codigo],0),1)</f>
        <v>3</v>
      </c>
      <c r="M45" s="45" t="str">
        <f>IF(Cobros[[#This Row],[Dias de Credito]]&lt;=0,"Contado","Credito")</f>
        <v>Credito</v>
      </c>
      <c r="N45" s="45">
        <f>Cobros[[#This Row],[Fecha Aplicación S]]-Cobros[[#This Row],[Fecha Cargo S]]</f>
        <v>2</v>
      </c>
      <c r="O45" s="45">
        <f>Cobros[[#This Row],[Dias al pago]]-Cobros[[#This Row],[Dias de Credito]]</f>
        <v>-1</v>
      </c>
      <c r="P45" s="45">
        <f>SUMIFS(TablaDias[Porcentaje],TablaDias[Tipo],Cobros[[#This Row],[Tipo]],TablaDias[Desde ],"&lt;="&amp;MAX(0,Cobros[[#This Row],[Dias pasado]]),TablaDias[Hasta ],"&gt;="&amp;Cobros[[#This Row],[Dias pasado]])</f>
        <v>100</v>
      </c>
      <c r="Q4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5">
        <f>IF(COUNTIF(PAPEL[Numero],Cobros[[#This Row],[Doc. Cargo]])&gt;0,1,0)</f>
        <v>0</v>
      </c>
      <c r="S45" s="46">
        <f t="array" ref="S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5" s="46">
        <f t="array" ref="T45">INDEX(Ventas[[Unidades]:[2]],MATCH("Gerente de Venta",Ventas[Vendedor %],0),6+Cobros[[#This Row],[Mes]])</f>
        <v>0.005</v>
      </c>
      <c r="U45" s="34">
        <f>IF(Cobros[[#This Row],[Tipo]]="Credito",IF(60&gt;=Cobros[[#This Row],[Dias al pago]],1,0),IF(Cobros[[#This Row],[Dias al pago]]&lt;=3,1,0))</f>
        <v>1</v>
      </c>
      <c r="V45" s="46">
        <f>(Cobros[[#This Row],[% A pagar Vendedor]]/100)*Cobros[[#This Row],[Valor Pagado]]*Cobros[[#This Row],[Vencido]]*(Cobros[[#This Row],[% aplicar]]/100)*IF(Cobros[[#This Row],[% A pagar Vendedor]]&gt;0,1,0)</f>
        <v>195</v>
      </c>
      <c r="W45" s="46">
        <f>0.5%*Cobros[[#This Row],[Valor Pagado]]</f>
        <v>97.5</v>
      </c>
    </row>
    <row r="46" ht="30" spans="1:24">
      <c r="A46" s="49" t="s">
        <v>3931</v>
      </c>
      <c r="B46" s="49" t="s">
        <v>3940</v>
      </c>
      <c r="C46" s="49" t="s">
        <v>3141</v>
      </c>
      <c r="D46" s="49" t="s">
        <v>3142</v>
      </c>
      <c r="E46" s="49" t="s">
        <v>3942</v>
      </c>
      <c r="F46" s="51">
        <v>46203</v>
      </c>
      <c r="G46" s="49">
        <v>1950</v>
      </c>
      <c r="H46" s="49" t="s">
        <v>22</v>
      </c>
      <c r="I46" s="51">
        <v>46205</v>
      </c>
      <c r="J46" s="54">
        <f>INT(Cobros[[#This Row],[Fecha Cargo]])</f>
        <v>46203</v>
      </c>
      <c r="K46" s="54">
        <f>INT(Cobros[[#This Row],[Fecha Aplicacion]])</f>
        <v>46205</v>
      </c>
      <c r="L46" s="55" t="str">
        <f>INDEX(Clientes[Días Plazo],MATCH(Cobros[[#This Row],[Cod. Cliente]],Clientes[Codigo],0),1)</f>
        <v>3</v>
      </c>
      <c r="M46" s="45" t="str">
        <f>IF(Cobros[[#This Row],[Dias de Credito]]&lt;=0,"Contado","Credito")</f>
        <v>Credito</v>
      </c>
      <c r="N46" s="45">
        <f>Cobros[[#This Row],[Fecha Aplicación S]]-Cobros[[#This Row],[Fecha Cargo S]]</f>
        <v>2</v>
      </c>
      <c r="O46" s="45">
        <f>Cobros[[#This Row],[Dias al pago]]-Cobros[[#This Row],[Dias de Credito]]</f>
        <v>-1</v>
      </c>
      <c r="P46" s="45">
        <f>SUMIFS(TablaDias[Porcentaje],TablaDias[Tipo],Cobros[[#This Row],[Tipo]],TablaDias[Desde ],"&lt;="&amp;MAX(0,Cobros[[#This Row],[Dias pasado]]),TablaDias[Hasta ],"&gt;="&amp;Cobros[[#This Row],[Dias pasado]])</f>
        <v>100</v>
      </c>
      <c r="Q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">
        <f>IF(COUNTIF(PAPEL[Numero],Cobros[[#This Row],[Doc. Cargo]])&gt;0,1,0)</f>
        <v>0</v>
      </c>
      <c r="S46" s="46">
        <f t="array" ref="S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6" s="46">
        <f t="array" ref="T46">INDEX(Ventas[[Unidades]:[2]],MATCH("Gerente de Venta",Ventas[Vendedor %],0),6+Cobros[[#This Row],[Mes]])</f>
        <v>0.005</v>
      </c>
      <c r="U46" s="34">
        <f>IF(Cobros[[#This Row],[Tipo]]="Credito",IF(60&gt;=Cobros[[#This Row],[Dias al pago]],1,0),IF(Cobros[[#This Row],[Dias al pago]]&lt;=3,1,0))</f>
        <v>1</v>
      </c>
      <c r="V46" s="46">
        <f>(Cobros[[#This Row],[% A pagar Vendedor]]/100)*Cobros[[#This Row],[Valor Pagado]]*Cobros[[#This Row],[Vencido]]*(Cobros[[#This Row],[% aplicar]]/100)*IF(Cobros[[#This Row],[% A pagar Vendedor]]&gt;0,1,0)</f>
        <v>19.5</v>
      </c>
      <c r="W46" s="46">
        <f>0.5%*Cobros[[#This Row],[Valor Pagado]]</f>
        <v>9.75</v>
      </c>
      <c r="X46" s="60"/>
    </row>
    <row r="47" ht="30" spans="1:23">
      <c r="A47" s="49" t="s">
        <v>3860</v>
      </c>
      <c r="B47" s="49" t="s">
        <v>3943</v>
      </c>
      <c r="C47" s="49" t="s">
        <v>2525</v>
      </c>
      <c r="D47" s="49" t="s">
        <v>2526</v>
      </c>
      <c r="E47" s="49" t="s">
        <v>3944</v>
      </c>
      <c r="F47" s="51">
        <v>46205</v>
      </c>
      <c r="G47" s="49">
        <v>78.2</v>
      </c>
      <c r="H47" s="49" t="s">
        <v>22</v>
      </c>
      <c r="I47" s="51">
        <v>46205</v>
      </c>
      <c r="J47" s="54">
        <f>INT(Cobros[[#This Row],[Fecha Cargo]])</f>
        <v>46205</v>
      </c>
      <c r="K47" s="54">
        <f>INT(Cobros[[#This Row],[Fecha Aplicacion]])</f>
        <v>46205</v>
      </c>
      <c r="L47" s="55">
        <f>INDEX(Clientes[Días Plazo],MATCH(Cobros[[#This Row],[Cod. Cliente]],Clientes[Codigo],0),1)</f>
        <v>0</v>
      </c>
      <c r="M47" s="45" t="str">
        <f>IF(Cobros[[#This Row],[Dias de Credito]]&lt;=0,"Contado","Credito")</f>
        <v>Contado</v>
      </c>
      <c r="N47" s="45">
        <f>Cobros[[#This Row],[Fecha Aplicación S]]-Cobros[[#This Row],[Fecha Cargo S]]</f>
        <v>0</v>
      </c>
      <c r="O47" s="45">
        <f>Cobros[[#This Row],[Dias al pago]]-Cobros[[#This Row],[Dias de Credito]]</f>
        <v>0</v>
      </c>
      <c r="P47" s="45">
        <f>SUMIFS(TablaDias[Porcentaje],TablaDias[Tipo],Cobros[[#This Row],[Tipo]],TablaDias[Desde ],"&lt;="&amp;MAX(0,Cobros[[#This Row],[Dias pasado]]),TablaDias[Hasta ],"&gt;="&amp;Cobros[[#This Row],[Dias pasado]])</f>
        <v>100</v>
      </c>
      <c r="Q4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">
        <f>IF(COUNTIF(PAPEL[Numero],Cobros[[#This Row],[Doc. Cargo]])&gt;0,1,0)</f>
        <v>0</v>
      </c>
      <c r="S47" s="46">
        <f t="array" ref="S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7" s="46">
        <f t="array" ref="T47">INDEX(Ventas[[Unidades]:[2]],MATCH("Gerente de Venta",Ventas[Vendedor %],0),6+Cobros[[#This Row],[Mes]])</f>
        <v>0.005</v>
      </c>
      <c r="U47" s="34">
        <f>IF(Cobros[[#This Row],[Tipo]]="Credito",IF(60&gt;=Cobros[[#This Row],[Dias al pago]],1,0),IF(Cobros[[#This Row],[Dias al pago]]&lt;=3,1,0))</f>
        <v>1</v>
      </c>
      <c r="V47" s="46">
        <f>(Cobros[[#This Row],[% A pagar Vendedor]]/100)*Cobros[[#This Row],[Valor Pagado]]*Cobros[[#This Row],[Vencido]]*(Cobros[[#This Row],[% aplicar]]/100)*IF(Cobros[[#This Row],[% A pagar Vendedor]]&gt;0,1,0)</f>
        <v>0.782</v>
      </c>
      <c r="W47" s="46">
        <f>0.5%*Cobros[[#This Row],[Valor Pagado]]</f>
        <v>0.391</v>
      </c>
    </row>
    <row r="48" spans="1:24">
      <c r="A48" s="49" t="s">
        <v>3860</v>
      </c>
      <c r="B48" s="49" t="s">
        <v>3945</v>
      </c>
      <c r="C48" s="49" t="s">
        <v>2719</v>
      </c>
      <c r="D48" s="49" t="s">
        <v>2720</v>
      </c>
      <c r="E48" s="49" t="s">
        <v>3946</v>
      </c>
      <c r="F48" s="51">
        <v>46205</v>
      </c>
      <c r="G48" s="49">
        <v>278.75</v>
      </c>
      <c r="H48" s="49" t="s">
        <v>16</v>
      </c>
      <c r="I48" s="51">
        <v>46205</v>
      </c>
      <c r="J48" s="54">
        <f>INT(Cobros[[#This Row],[Fecha Cargo]])</f>
        <v>46205</v>
      </c>
      <c r="K48" s="54">
        <f>INT(Cobros[[#This Row],[Fecha Aplicacion]])</f>
        <v>46205</v>
      </c>
      <c r="L48" s="55">
        <f>INDEX(Clientes[Días Plazo],MATCH(Cobros[[#This Row],[Cod. Cliente]],Clientes[Codigo],0),1)</f>
        <v>0</v>
      </c>
      <c r="M48" s="45" t="str">
        <f>IF(Cobros[[#This Row],[Dias de Credito]]&lt;=0,"Contado","Credito")</f>
        <v>Contado</v>
      </c>
      <c r="N48" s="45">
        <f>Cobros[[#This Row],[Fecha Aplicación S]]-Cobros[[#This Row],[Fecha Cargo S]]</f>
        <v>0</v>
      </c>
      <c r="O48" s="45">
        <f>Cobros[[#This Row],[Dias al pago]]-Cobros[[#This Row],[Dias de Credito]]</f>
        <v>0</v>
      </c>
      <c r="P48" s="45">
        <f>SUMIFS(TablaDias[Porcentaje],TablaDias[Tipo],Cobros[[#This Row],[Tipo]],TablaDias[Desde ],"&lt;="&amp;MAX(0,Cobros[[#This Row],[Dias pasado]]),TablaDias[Hasta ],"&gt;="&amp;Cobros[[#This Row],[Dias pasado]])</f>
        <v>100</v>
      </c>
      <c r="Q4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">
        <f>IF(COUNTIF(PAPEL[Numero],Cobros[[#This Row],[Doc. Cargo]])&gt;0,1,0)</f>
        <v>0</v>
      </c>
      <c r="S48" s="46">
        <f t="array" ref="S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" s="47">
        <v>0.005</v>
      </c>
      <c r="U48" s="34">
        <f>IF(Cobros[[#This Row],[Tipo]]="Credito",IF(60&gt;=Cobros[[#This Row],[Dias al pago]],1,0),IF(Cobros[[#This Row],[Dias al pago]]&lt;=3,1,0))</f>
        <v>1</v>
      </c>
      <c r="V48" s="46">
        <f>(Cobros[[#This Row],[% A pagar Vendedor]]/100)*Cobros[[#This Row],[Valor Pagado]]*Cobros[[#This Row],[Vencido]]*(Cobros[[#This Row],[% aplicar]]/100)*IF(Cobros[[#This Row],[% A pagar Vendedor]]&gt;0,1,0)</f>
        <v>3.484375</v>
      </c>
      <c r="W48" s="46">
        <f>0.5%*Cobros[[#This Row],[Valor Pagado]]</f>
        <v>1.39375</v>
      </c>
      <c r="X48" s="60"/>
    </row>
    <row r="49" spans="1:23">
      <c r="A49" s="49" t="s">
        <v>3875</v>
      </c>
      <c r="B49" s="49" t="s">
        <v>3947</v>
      </c>
      <c r="C49" s="49" t="s">
        <v>2719</v>
      </c>
      <c r="D49" s="49" t="s">
        <v>2720</v>
      </c>
      <c r="E49" s="49" t="s">
        <v>3946</v>
      </c>
      <c r="F49" s="51">
        <v>46205</v>
      </c>
      <c r="G49" s="49">
        <v>179.6</v>
      </c>
      <c r="H49" s="49" t="s">
        <v>16</v>
      </c>
      <c r="I49" s="51">
        <v>46205</v>
      </c>
      <c r="J49" s="54">
        <f>INT(Cobros[[#This Row],[Fecha Cargo]])</f>
        <v>46205</v>
      </c>
      <c r="K49" s="54">
        <f>INT(Cobros[[#This Row],[Fecha Aplicacion]])</f>
        <v>46205</v>
      </c>
      <c r="L49" s="55">
        <f>INDEX(Clientes[Días Plazo],MATCH(Cobros[[#This Row],[Cod. Cliente]],Clientes[Codigo],0),1)</f>
        <v>0</v>
      </c>
      <c r="M49" s="45" t="str">
        <f>IF(Cobros[[#This Row],[Dias de Credito]]&lt;=0,"Contado","Credito")</f>
        <v>Contado</v>
      </c>
      <c r="N49" s="45">
        <f>Cobros[[#This Row],[Fecha Aplicación S]]-Cobros[[#This Row],[Fecha Cargo S]]</f>
        <v>0</v>
      </c>
      <c r="O49" s="45">
        <f>Cobros[[#This Row],[Dias al pago]]-Cobros[[#This Row],[Dias de Credito]]</f>
        <v>0</v>
      </c>
      <c r="P49" s="45">
        <f>SUMIFS(TablaDias[Porcentaje],TablaDias[Tipo],Cobros[[#This Row],[Tipo]],TablaDias[Desde ],"&lt;="&amp;MAX(0,Cobros[[#This Row],[Dias pasado]]),TablaDias[Hasta ],"&gt;="&amp;Cobros[[#This Row],[Dias pasado]])</f>
        <v>100</v>
      </c>
      <c r="Q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">
        <f>IF(COUNTIF(PAPEL[Numero],Cobros[[#This Row],[Doc. Cargo]])&gt;0,1,0)</f>
        <v>0</v>
      </c>
      <c r="S49" s="46">
        <f t="array" ref="S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" s="47">
        <v>0.005</v>
      </c>
      <c r="U49" s="34">
        <f>IF(Cobros[[#This Row],[Tipo]]="Credito",IF(60&gt;=Cobros[[#This Row],[Dias al pago]],1,0),IF(Cobros[[#This Row],[Dias al pago]]&lt;=3,1,0))</f>
        <v>1</v>
      </c>
      <c r="V49" s="46">
        <f>(Cobros[[#This Row],[% A pagar Vendedor]]/100)*Cobros[[#This Row],[Valor Pagado]]*Cobros[[#This Row],[Vencido]]*(Cobros[[#This Row],[% aplicar]]/100)*IF(Cobros[[#This Row],[% A pagar Vendedor]]&gt;0,1,0)</f>
        <v>2.245</v>
      </c>
      <c r="W49" s="46">
        <f>0.5%*Cobros[[#This Row],[Valor Pagado]]</f>
        <v>0.898</v>
      </c>
    </row>
    <row r="50" spans="1:23">
      <c r="A50" s="49" t="s">
        <v>3860</v>
      </c>
      <c r="B50" s="49" t="s">
        <v>3948</v>
      </c>
      <c r="C50" s="49" t="s">
        <v>1222</v>
      </c>
      <c r="D50" s="49" t="s">
        <v>1223</v>
      </c>
      <c r="E50" s="49" t="s">
        <v>3914</v>
      </c>
      <c r="F50" s="51">
        <v>46202</v>
      </c>
      <c r="G50" s="49">
        <v>200</v>
      </c>
      <c r="H50" s="49" t="s">
        <v>20</v>
      </c>
      <c r="I50" s="51">
        <v>46205</v>
      </c>
      <c r="J50" s="54">
        <f>INT(Cobros[[#This Row],[Fecha Cargo]])</f>
        <v>46202</v>
      </c>
      <c r="K50" s="54">
        <f>INT(Cobros[[#This Row],[Fecha Aplicacion]])</f>
        <v>46205</v>
      </c>
      <c r="L50" s="55" t="str">
        <f>INDEX(Clientes[Días Plazo],MATCH(Cobros[[#This Row],[Cod. Cliente]],Clientes[Codigo],0),1)</f>
        <v>7</v>
      </c>
      <c r="M50" s="45" t="str">
        <f>IF(Cobros[[#This Row],[Dias de Credito]]&lt;=0,"Contado","Credito")</f>
        <v>Credito</v>
      </c>
      <c r="N50" s="45">
        <f>Cobros[[#This Row],[Fecha Aplicación S]]-Cobros[[#This Row],[Fecha Cargo S]]</f>
        <v>3</v>
      </c>
      <c r="O50" s="45">
        <f>Cobros[[#This Row],[Dias al pago]]-Cobros[[#This Row],[Dias de Credito]]</f>
        <v>-4</v>
      </c>
      <c r="P50" s="45">
        <f>SUMIFS(TablaDias[Porcentaje],TablaDias[Tipo],Cobros[[#This Row],[Tipo]],TablaDias[Desde ],"&lt;="&amp;MAX(0,Cobros[[#This Row],[Dias pasado]]),TablaDias[Hasta ],"&gt;="&amp;Cobros[[#This Row],[Dias pasado]])</f>
        <v>100</v>
      </c>
      <c r="Q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0">
        <f>IF(COUNTIF(PAPEL[Numero],Cobros[[#This Row],[Doc. Cargo]])&gt;0,1,0)</f>
        <v>0</v>
      </c>
      <c r="S50" s="46">
        <f t="array" ref="S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" s="46">
        <f t="array" ref="T50">INDEX(Ventas[[Unidades]:[2]],MATCH("Gerente de Venta",Ventas[Vendedor %],0),6+Cobros[[#This Row],[Mes]])</f>
        <v>0.005</v>
      </c>
      <c r="U50" s="34">
        <f>IF(Cobros[[#This Row],[Tipo]]="Credito",IF(60&gt;=Cobros[[#This Row],[Dias al pago]],1,0),IF(Cobros[[#This Row],[Dias al pago]]&lt;=3,1,0))</f>
        <v>1</v>
      </c>
      <c r="V50" s="46">
        <f>(Cobros[[#This Row],[% A pagar Vendedor]]/100)*Cobros[[#This Row],[Valor Pagado]]*Cobros[[#This Row],[Vencido]]*(Cobros[[#This Row],[% aplicar]]/100)*IF(Cobros[[#This Row],[% A pagar Vendedor]]&gt;0,1,0)</f>
        <v>2.5</v>
      </c>
      <c r="W50" s="46">
        <f>0.5%*Cobros[[#This Row],[Valor Pagado]]</f>
        <v>1</v>
      </c>
    </row>
    <row r="51" ht="30" spans="1:24">
      <c r="A51" s="49" t="s">
        <v>3860</v>
      </c>
      <c r="B51" s="49" t="s">
        <v>3949</v>
      </c>
      <c r="C51" s="49" t="s">
        <v>1384</v>
      </c>
      <c r="D51" s="49" t="s">
        <v>1385</v>
      </c>
      <c r="E51" s="49" t="s">
        <v>3950</v>
      </c>
      <c r="F51" s="51">
        <v>46164</v>
      </c>
      <c r="G51" s="49">
        <v>1755</v>
      </c>
      <c r="H51" s="49" t="s">
        <v>22</v>
      </c>
      <c r="I51" s="51">
        <v>46205</v>
      </c>
      <c r="J51" s="54">
        <f>INT(Cobros[[#This Row],[Fecha Cargo]])</f>
        <v>46164</v>
      </c>
      <c r="K51" s="54">
        <f>INT(Cobros[[#This Row],[Fecha Aplicacion]])</f>
        <v>46205</v>
      </c>
      <c r="L51" s="55" t="str">
        <f>INDEX(Clientes[Días Plazo],MATCH(Cobros[[#This Row],[Cod. Cliente]],Clientes[Codigo],0),1)</f>
        <v>21</v>
      </c>
      <c r="M51" s="45" t="str">
        <f>IF(Cobros[[#This Row],[Dias de Credito]]&lt;=0,"Contado","Credito")</f>
        <v>Credito</v>
      </c>
      <c r="N51" s="45">
        <f>Cobros[[#This Row],[Fecha Aplicación S]]-Cobros[[#This Row],[Fecha Cargo S]]</f>
        <v>41</v>
      </c>
      <c r="O51" s="45">
        <f>Cobros[[#This Row],[Dias al pago]]-Cobros[[#This Row],[Dias de Credito]]</f>
        <v>20</v>
      </c>
      <c r="P51" s="45">
        <f>SUMIFS(TablaDias[Porcentaje],TablaDias[Tipo],Cobros[[#This Row],[Tipo]],TablaDias[Desde ],"&lt;="&amp;MAX(0,Cobros[[#This Row],[Dias pasado]]),TablaDias[Hasta ],"&gt;="&amp;Cobros[[#This Row],[Dias pasado]])</f>
        <v>50</v>
      </c>
      <c r="Q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1">
        <f>IF(COUNTIF(PAPEL[Numero],Cobros[[#This Row],[Doc. Cargo]])&gt;0,1,0)</f>
        <v>0</v>
      </c>
      <c r="S51" s="46">
        <f t="array" ref="S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1" s="46">
        <f t="array" ref="T51">INDEX(Ventas[[Unidades]:[2]],MATCH("Gerente de Venta",Ventas[Vendedor %],0),6+Cobros[[#This Row],[Mes]])</f>
        <v>0.005</v>
      </c>
      <c r="U51" s="34">
        <f>IF(Cobros[[#This Row],[Tipo]]="Credito",IF(60&gt;=Cobros[[#This Row],[Dias al pago]],1,0),IF(Cobros[[#This Row],[Dias al pago]]&lt;=3,1,0))</f>
        <v>1</v>
      </c>
      <c r="V51" s="46">
        <f>(Cobros[[#This Row],[% A pagar Vendedor]]/100)*Cobros[[#This Row],[Valor Pagado]]*Cobros[[#This Row],[Vencido]]*(Cobros[[#This Row],[% aplicar]]/100)*IF(Cobros[[#This Row],[% A pagar Vendedor]]&gt;0,1,0)</f>
        <v>8.775</v>
      </c>
      <c r="W51" s="46">
        <f>0.5%*Cobros[[#This Row],[Valor Pagado]]</f>
        <v>8.775</v>
      </c>
      <c r="X51" s="60"/>
    </row>
    <row r="52" ht="30" spans="1:23">
      <c r="A52" s="49" t="s">
        <v>3860</v>
      </c>
      <c r="B52" s="49" t="s">
        <v>3949</v>
      </c>
      <c r="C52" s="49" t="s">
        <v>1384</v>
      </c>
      <c r="D52" s="49" t="s">
        <v>1385</v>
      </c>
      <c r="E52" s="49" t="s">
        <v>3951</v>
      </c>
      <c r="F52" s="51">
        <v>46171</v>
      </c>
      <c r="G52" s="49">
        <v>2253.35</v>
      </c>
      <c r="H52" s="49" t="s">
        <v>22</v>
      </c>
      <c r="I52" s="51">
        <v>46205</v>
      </c>
      <c r="J52" s="54">
        <f>INT(Cobros[[#This Row],[Fecha Cargo]])</f>
        <v>46171</v>
      </c>
      <c r="K52" s="54">
        <f>INT(Cobros[[#This Row],[Fecha Aplicacion]])</f>
        <v>46205</v>
      </c>
      <c r="L52" s="55" t="str">
        <f>INDEX(Clientes[Días Plazo],MATCH(Cobros[[#This Row],[Cod. Cliente]],Clientes[Codigo],0),1)</f>
        <v>21</v>
      </c>
      <c r="M52" s="45" t="str">
        <f>IF(Cobros[[#This Row],[Dias de Credito]]&lt;=0,"Contado","Credito")</f>
        <v>Credito</v>
      </c>
      <c r="N52" s="45">
        <f>Cobros[[#This Row],[Fecha Aplicación S]]-Cobros[[#This Row],[Fecha Cargo S]]</f>
        <v>34</v>
      </c>
      <c r="O52" s="45">
        <f>Cobros[[#This Row],[Dias al pago]]-Cobros[[#This Row],[Dias de Credito]]</f>
        <v>13</v>
      </c>
      <c r="P52" s="45">
        <f>SUMIFS(TablaDias[Porcentaje],TablaDias[Tipo],Cobros[[#This Row],[Tipo]],TablaDias[Desde ],"&lt;="&amp;MAX(0,Cobros[[#This Row],[Dias pasado]]),TablaDias[Hasta ],"&gt;="&amp;Cobros[[#This Row],[Dias pasado]])</f>
        <v>100</v>
      </c>
      <c r="Q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2">
        <f>IF(COUNTIF(PAPEL[Numero],Cobros[[#This Row],[Doc. Cargo]])&gt;0,1,0)</f>
        <v>0</v>
      </c>
      <c r="S52" s="46">
        <f t="array" ref="S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2" s="46">
        <f t="array" ref="T52">INDEX(Ventas[[Unidades]:[2]],MATCH("Gerente de Venta",Ventas[Vendedor %],0),6+Cobros[[#This Row],[Mes]])</f>
        <v>0.005</v>
      </c>
      <c r="U52" s="34">
        <f>IF(Cobros[[#This Row],[Tipo]]="Credito",IF(60&gt;=Cobros[[#This Row],[Dias al pago]],1,0),IF(Cobros[[#This Row],[Dias al pago]]&lt;=3,1,0))</f>
        <v>1</v>
      </c>
      <c r="V52" s="46">
        <f>(Cobros[[#This Row],[% A pagar Vendedor]]/100)*Cobros[[#This Row],[Valor Pagado]]*Cobros[[#This Row],[Vencido]]*(Cobros[[#This Row],[% aplicar]]/100)*IF(Cobros[[#This Row],[% A pagar Vendedor]]&gt;0,1,0)</f>
        <v>22.5335</v>
      </c>
      <c r="W52" s="46">
        <f>0.5%*Cobros[[#This Row],[Valor Pagado]]</f>
        <v>11.26675</v>
      </c>
    </row>
    <row r="53" spans="1:23">
      <c r="A53" s="49" t="s">
        <v>3860</v>
      </c>
      <c r="B53" s="49" t="s">
        <v>3952</v>
      </c>
      <c r="C53" s="49" t="s">
        <v>1234</v>
      </c>
      <c r="D53" s="49" t="s">
        <v>1235</v>
      </c>
      <c r="E53" s="49" t="s">
        <v>3953</v>
      </c>
      <c r="F53" s="51">
        <v>46205</v>
      </c>
      <c r="G53" s="49">
        <v>44.35</v>
      </c>
      <c r="H53" s="49" t="s">
        <v>19</v>
      </c>
      <c r="I53" s="51">
        <v>46205</v>
      </c>
      <c r="J53" s="54">
        <f>INT(Cobros[[#This Row],[Fecha Cargo]])</f>
        <v>46205</v>
      </c>
      <c r="K53" s="54">
        <f>INT(Cobros[[#This Row],[Fecha Aplicacion]])</f>
        <v>46205</v>
      </c>
      <c r="L53" s="55">
        <f>INDEX(Clientes[Días Plazo],MATCH(Cobros[[#This Row],[Cod. Cliente]],Clientes[Codigo],0),1)</f>
        <v>0</v>
      </c>
      <c r="M53" s="45" t="str">
        <f>IF(Cobros[[#This Row],[Dias de Credito]]&lt;=0,"Contado","Credito")</f>
        <v>Contado</v>
      </c>
      <c r="N53" s="45">
        <f>Cobros[[#This Row],[Fecha Aplicación S]]-Cobros[[#This Row],[Fecha Cargo S]]</f>
        <v>0</v>
      </c>
      <c r="O53" s="45">
        <f>Cobros[[#This Row],[Dias al pago]]-Cobros[[#This Row],[Dias de Credito]]</f>
        <v>0</v>
      </c>
      <c r="P53" s="45">
        <f>SUMIFS(TablaDias[Porcentaje],TablaDias[Tipo],Cobros[[#This Row],[Tipo]],TablaDias[Desde ],"&lt;="&amp;MAX(0,Cobros[[#This Row],[Dias pasado]]),TablaDias[Hasta ],"&gt;="&amp;Cobros[[#This Row],[Dias pasado]])</f>
        <v>100</v>
      </c>
      <c r="Q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">
        <f>IF(COUNTIF(PAPEL[Numero],Cobros[[#This Row],[Doc. Cargo]])&gt;0,1,0)</f>
        <v>0</v>
      </c>
      <c r="S53" s="46">
        <f t="array" ref="S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3" s="46">
        <f t="array" ref="T53">INDEX(Ventas[[Unidades]:[2]],MATCH("Gerente de Venta",Ventas[Vendedor %],0),6+Cobros[[#This Row],[Mes]])</f>
        <v>0.005</v>
      </c>
      <c r="U53" s="34">
        <f>IF(Cobros[[#This Row],[Tipo]]="Credito",IF(60&gt;=Cobros[[#This Row],[Dias al pago]],1,0),IF(Cobros[[#This Row],[Dias al pago]]&lt;=3,1,0))</f>
        <v>1</v>
      </c>
      <c r="V53" s="46">
        <f>(Cobros[[#This Row],[% A pagar Vendedor]]/100)*Cobros[[#This Row],[Valor Pagado]]*Cobros[[#This Row],[Vencido]]*(Cobros[[#This Row],[% aplicar]]/100)*IF(Cobros[[#This Row],[% A pagar Vendedor]]&gt;0,1,0)</f>
        <v>0.554375</v>
      </c>
      <c r="W53" s="46">
        <f>0.5%*Cobros[[#This Row],[Valor Pagado]]</f>
        <v>0.22175</v>
      </c>
    </row>
    <row r="54" ht="30" spans="1:23">
      <c r="A54" s="49" t="s">
        <v>3954</v>
      </c>
      <c r="B54" s="49" t="s">
        <v>3955</v>
      </c>
      <c r="C54" s="49" t="s">
        <v>1386</v>
      </c>
      <c r="D54" s="49" t="s">
        <v>1387</v>
      </c>
      <c r="E54" s="49" t="s">
        <v>3956</v>
      </c>
      <c r="F54" s="51">
        <v>46164</v>
      </c>
      <c r="G54" s="49">
        <v>1170</v>
      </c>
      <c r="H54" s="49" t="s">
        <v>22</v>
      </c>
      <c r="I54" s="51">
        <v>46205</v>
      </c>
      <c r="J54" s="54">
        <f>INT(Cobros[[#This Row],[Fecha Cargo]])</f>
        <v>46164</v>
      </c>
      <c r="K54" s="54">
        <f>INT(Cobros[[#This Row],[Fecha Aplicacion]])</f>
        <v>46205</v>
      </c>
      <c r="L54" s="55" t="str">
        <f>INDEX(Clientes[Días Plazo],MATCH(Cobros[[#This Row],[Cod. Cliente]],Clientes[Codigo],0),1)</f>
        <v>21</v>
      </c>
      <c r="M54" s="45" t="str">
        <f>IF(Cobros[[#This Row],[Dias de Credito]]&lt;=0,"Contado","Credito")</f>
        <v>Credito</v>
      </c>
      <c r="N54" s="45">
        <f>Cobros[[#This Row],[Fecha Aplicación S]]-Cobros[[#This Row],[Fecha Cargo S]]</f>
        <v>41</v>
      </c>
      <c r="O54" s="45">
        <f>Cobros[[#This Row],[Dias al pago]]-Cobros[[#This Row],[Dias de Credito]]</f>
        <v>20</v>
      </c>
      <c r="P54" s="45">
        <f>SUMIFS(TablaDias[Porcentaje],TablaDias[Tipo],Cobros[[#This Row],[Tipo]],TablaDias[Desde ],"&lt;="&amp;MAX(0,Cobros[[#This Row],[Dias pasado]]),TablaDias[Hasta ],"&gt;="&amp;Cobros[[#This Row],[Dias pasado]])</f>
        <v>50</v>
      </c>
      <c r="Q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4">
        <f>IF(COUNTIF(PAPEL[Numero],Cobros[[#This Row],[Doc. Cargo]])&gt;0,1,0)</f>
        <v>0</v>
      </c>
      <c r="S54" s="46">
        <f t="array" ref="S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4" s="46">
        <f t="array" ref="T54">INDEX(Ventas[[Unidades]:[2]],MATCH("Gerente de Venta",Ventas[Vendedor %],0),6+Cobros[[#This Row],[Mes]])</f>
        <v>0.005</v>
      </c>
      <c r="U54" s="34">
        <f>IF(Cobros[[#This Row],[Tipo]]="Credito",IF(60&gt;=Cobros[[#This Row],[Dias al pago]],1,0),IF(Cobros[[#This Row],[Dias al pago]]&lt;=3,1,0))</f>
        <v>1</v>
      </c>
      <c r="V54" s="46">
        <f>(Cobros[[#This Row],[% A pagar Vendedor]]/100)*Cobros[[#This Row],[Valor Pagado]]*Cobros[[#This Row],[Vencido]]*(Cobros[[#This Row],[% aplicar]]/100)*IF(Cobros[[#This Row],[% A pagar Vendedor]]&gt;0,1,0)</f>
        <v>5.85</v>
      </c>
      <c r="W54" s="46">
        <f>0.5%*Cobros[[#This Row],[Valor Pagado]]</f>
        <v>5.85</v>
      </c>
    </row>
    <row r="55" ht="30" spans="1:23">
      <c r="A55" s="49" t="s">
        <v>3954</v>
      </c>
      <c r="B55" s="49" t="s">
        <v>3955</v>
      </c>
      <c r="C55" s="49" t="s">
        <v>1386</v>
      </c>
      <c r="D55" s="49" t="s">
        <v>1387</v>
      </c>
      <c r="E55" s="49" t="s">
        <v>3957</v>
      </c>
      <c r="F55" s="51">
        <v>46171</v>
      </c>
      <c r="G55" s="49">
        <v>2030</v>
      </c>
      <c r="H55" s="49" t="s">
        <v>22</v>
      </c>
      <c r="I55" s="51">
        <v>46205</v>
      </c>
      <c r="J55" s="54">
        <f>INT(Cobros[[#This Row],[Fecha Cargo]])</f>
        <v>46171</v>
      </c>
      <c r="K55" s="54">
        <f>INT(Cobros[[#This Row],[Fecha Aplicacion]])</f>
        <v>46205</v>
      </c>
      <c r="L55" s="55" t="str">
        <f>INDEX(Clientes[Días Plazo],MATCH(Cobros[[#This Row],[Cod. Cliente]],Clientes[Codigo],0),1)</f>
        <v>21</v>
      </c>
      <c r="M55" s="45" t="str">
        <f>IF(Cobros[[#This Row],[Dias de Credito]]&lt;=0,"Contado","Credito")</f>
        <v>Credito</v>
      </c>
      <c r="N55" s="45">
        <f>Cobros[[#This Row],[Fecha Aplicación S]]-Cobros[[#This Row],[Fecha Cargo S]]</f>
        <v>34</v>
      </c>
      <c r="O55" s="45">
        <f>Cobros[[#This Row],[Dias al pago]]-Cobros[[#This Row],[Dias de Credito]]</f>
        <v>13</v>
      </c>
      <c r="P55" s="45">
        <f>SUMIFS(TablaDias[Porcentaje],TablaDias[Tipo],Cobros[[#This Row],[Tipo]],TablaDias[Desde ],"&lt;="&amp;MAX(0,Cobros[[#This Row],[Dias pasado]]),TablaDias[Hasta ],"&gt;="&amp;Cobros[[#This Row],[Dias pasado]])</f>
        <v>100</v>
      </c>
      <c r="Q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5">
        <f>IF(COUNTIF(PAPEL[Numero],Cobros[[#This Row],[Doc. Cargo]])&gt;0,1,0)</f>
        <v>0</v>
      </c>
      <c r="S55" s="46">
        <f t="array" ref="S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5" s="46">
        <f t="array" ref="T55">INDEX(Ventas[[Unidades]:[2]],MATCH("Gerente de Venta",Ventas[Vendedor %],0),6+Cobros[[#This Row],[Mes]])</f>
        <v>0.005</v>
      </c>
      <c r="U55" s="34">
        <f>IF(Cobros[[#This Row],[Tipo]]="Credito",IF(60&gt;=Cobros[[#This Row],[Dias al pago]],1,0),IF(Cobros[[#This Row],[Dias al pago]]&lt;=3,1,0))</f>
        <v>1</v>
      </c>
      <c r="V55" s="46">
        <f>(Cobros[[#This Row],[% A pagar Vendedor]]/100)*Cobros[[#This Row],[Valor Pagado]]*Cobros[[#This Row],[Vencido]]*(Cobros[[#This Row],[% aplicar]]/100)*IF(Cobros[[#This Row],[% A pagar Vendedor]]&gt;0,1,0)</f>
        <v>20.3</v>
      </c>
      <c r="W55" s="46">
        <f>0.5%*Cobros[[#This Row],[Valor Pagado]]</f>
        <v>10.15</v>
      </c>
    </row>
    <row r="56" ht="30" spans="1:23">
      <c r="A56" s="49" t="s">
        <v>3860</v>
      </c>
      <c r="B56" s="49" t="s">
        <v>3958</v>
      </c>
      <c r="C56" s="49" t="s">
        <v>1821</v>
      </c>
      <c r="D56" s="49" t="s">
        <v>1822</v>
      </c>
      <c r="E56" s="49" t="s">
        <v>3959</v>
      </c>
      <c r="F56" s="51">
        <v>46205</v>
      </c>
      <c r="G56" s="49">
        <v>278</v>
      </c>
      <c r="H56" s="49" t="s">
        <v>22</v>
      </c>
      <c r="I56" s="51">
        <v>46205</v>
      </c>
      <c r="J56" s="54">
        <f>INT(Cobros[[#This Row],[Fecha Cargo]])</f>
        <v>46205</v>
      </c>
      <c r="K56" s="54">
        <f>INT(Cobros[[#This Row],[Fecha Aplicacion]])</f>
        <v>46205</v>
      </c>
      <c r="L56" s="55">
        <f>INDEX(Clientes[Días Plazo],MATCH(Cobros[[#This Row],[Cod. Cliente]],Clientes[Codigo],0),1)</f>
        <v>0</v>
      </c>
      <c r="M56" s="45" t="str">
        <f>IF(Cobros[[#This Row],[Dias de Credito]]&lt;=0,"Contado","Credito")</f>
        <v>Contado</v>
      </c>
      <c r="N56" s="45">
        <f>Cobros[[#This Row],[Fecha Aplicación S]]-Cobros[[#This Row],[Fecha Cargo S]]</f>
        <v>0</v>
      </c>
      <c r="O56" s="45">
        <f>Cobros[[#This Row],[Dias al pago]]-Cobros[[#This Row],[Dias de Credito]]</f>
        <v>0</v>
      </c>
      <c r="P56" s="45">
        <f>SUMIFS(TablaDias[Porcentaje],TablaDias[Tipo],Cobros[[#This Row],[Tipo]],TablaDias[Desde ],"&lt;="&amp;MAX(0,Cobros[[#This Row],[Dias pasado]]),TablaDias[Hasta ],"&gt;="&amp;Cobros[[#This Row],[Dias pasado]])</f>
        <v>100</v>
      </c>
      <c r="Q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">
        <f>IF(COUNTIF(PAPEL[Numero],Cobros[[#This Row],[Doc. Cargo]])&gt;0,1,0)</f>
        <v>0</v>
      </c>
      <c r="S56" s="46">
        <f t="array" ref="S5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6" s="46">
        <f t="array" ref="T56">INDEX(Ventas[[Unidades]:[2]],MATCH("Gerente de Venta",Ventas[Vendedor %],0),6+Cobros[[#This Row],[Mes]])</f>
        <v>0.005</v>
      </c>
      <c r="U56" s="34">
        <f>IF(Cobros[[#This Row],[Tipo]]="Credito",IF(60&gt;=Cobros[[#This Row],[Dias al pago]],1,0),IF(Cobros[[#This Row],[Dias al pago]]&lt;=3,1,0))</f>
        <v>1</v>
      </c>
      <c r="V56" s="46">
        <f>(Cobros[[#This Row],[% A pagar Vendedor]]/100)*Cobros[[#This Row],[Valor Pagado]]*Cobros[[#This Row],[Vencido]]*(Cobros[[#This Row],[% aplicar]]/100)*IF(Cobros[[#This Row],[% A pagar Vendedor]]&gt;0,1,0)</f>
        <v>2.78</v>
      </c>
      <c r="W56" s="46">
        <f>0.5%*Cobros[[#This Row],[Valor Pagado]]</f>
        <v>1.39</v>
      </c>
    </row>
    <row r="57" ht="30" spans="1:23">
      <c r="A57" s="49" t="s">
        <v>3860</v>
      </c>
      <c r="B57" s="49" t="s">
        <v>3960</v>
      </c>
      <c r="C57" s="49" t="s">
        <v>1386</v>
      </c>
      <c r="D57" s="49" t="s">
        <v>1387</v>
      </c>
      <c r="E57" s="49" t="s">
        <v>3957</v>
      </c>
      <c r="F57" s="51">
        <v>46171</v>
      </c>
      <c r="G57" s="49">
        <v>223.35</v>
      </c>
      <c r="H57" s="49" t="s">
        <v>22</v>
      </c>
      <c r="I57" s="51">
        <v>46205</v>
      </c>
      <c r="J57" s="54">
        <f>INT(Cobros[[#This Row],[Fecha Cargo]])</f>
        <v>46171</v>
      </c>
      <c r="K57" s="54">
        <f>INT(Cobros[[#This Row],[Fecha Aplicacion]])</f>
        <v>46205</v>
      </c>
      <c r="L57" s="55" t="str">
        <f>INDEX(Clientes[Días Plazo],MATCH(Cobros[[#This Row],[Cod. Cliente]],Clientes[Codigo],0),1)</f>
        <v>21</v>
      </c>
      <c r="M57" s="45" t="str">
        <f>IF(Cobros[[#This Row],[Dias de Credito]]&lt;=0,"Contado","Credito")</f>
        <v>Credito</v>
      </c>
      <c r="N57" s="45">
        <f>Cobros[[#This Row],[Fecha Aplicación S]]-Cobros[[#This Row],[Fecha Cargo S]]</f>
        <v>34</v>
      </c>
      <c r="O57" s="45">
        <f>Cobros[[#This Row],[Dias al pago]]-Cobros[[#This Row],[Dias de Credito]]</f>
        <v>13</v>
      </c>
      <c r="P57" s="45">
        <f>SUMIFS(TablaDias[Porcentaje],TablaDias[Tipo],Cobros[[#This Row],[Tipo]],TablaDias[Desde ],"&lt;="&amp;MAX(0,Cobros[[#This Row],[Dias pasado]]),TablaDias[Hasta ],"&gt;="&amp;Cobros[[#This Row],[Dias pasado]])</f>
        <v>100</v>
      </c>
      <c r="Q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7">
        <f>IF(COUNTIF(PAPEL[Numero],Cobros[[#This Row],[Doc. Cargo]])&gt;0,1,0)</f>
        <v>0</v>
      </c>
      <c r="S57" s="46">
        <f t="array" ref="S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7" s="46">
        <f t="array" ref="T57">INDEX(Ventas[[Unidades]:[2]],MATCH("Gerente de Venta",Ventas[Vendedor %],0),6+Cobros[[#This Row],[Mes]])</f>
        <v>0.005</v>
      </c>
      <c r="U57" s="34">
        <f>IF(Cobros[[#This Row],[Tipo]]="Credito",IF(60&gt;=Cobros[[#This Row],[Dias al pago]],1,0),IF(Cobros[[#This Row],[Dias al pago]]&lt;=3,1,0))</f>
        <v>1</v>
      </c>
      <c r="V57" s="46">
        <f>(Cobros[[#This Row],[% A pagar Vendedor]]/100)*Cobros[[#This Row],[Valor Pagado]]*Cobros[[#This Row],[Vencido]]*(Cobros[[#This Row],[% aplicar]]/100)*IF(Cobros[[#This Row],[% A pagar Vendedor]]&gt;0,1,0)</f>
        <v>2.2335</v>
      </c>
      <c r="W57" s="46">
        <v>1.11675</v>
      </c>
    </row>
    <row r="58" ht="30" spans="1:23">
      <c r="A58" s="49" t="s">
        <v>3961</v>
      </c>
      <c r="B58" s="49" t="s">
        <v>3962</v>
      </c>
      <c r="C58" s="49" t="s">
        <v>74</v>
      </c>
      <c r="D58" s="49" t="s">
        <v>75</v>
      </c>
      <c r="E58" s="49" t="s">
        <v>3963</v>
      </c>
      <c r="F58" s="51">
        <v>46157</v>
      </c>
      <c r="G58" s="49">
        <v>1205.45</v>
      </c>
      <c r="H58" s="49" t="s">
        <v>22</v>
      </c>
      <c r="I58" s="51">
        <v>46205</v>
      </c>
      <c r="J58" s="54">
        <f>INT(Cobros[[#This Row],[Fecha Cargo]])</f>
        <v>46157</v>
      </c>
      <c r="K58" s="54">
        <f>INT(Cobros[[#This Row],[Fecha Aplicacion]])</f>
        <v>46205</v>
      </c>
      <c r="L58" s="55" t="str">
        <f>INDEX(Clientes[Días Plazo],MATCH(Cobros[[#This Row],[Cod. Cliente]],Clientes[Codigo],0),1)</f>
        <v>15</v>
      </c>
      <c r="M58" s="45" t="str">
        <f>IF(Cobros[[#This Row],[Dias de Credito]]&lt;=0,"Contado","Credito")</f>
        <v>Credito</v>
      </c>
      <c r="N58" s="45">
        <f>Cobros[[#This Row],[Fecha Aplicación S]]-Cobros[[#This Row],[Fecha Cargo S]]</f>
        <v>48</v>
      </c>
      <c r="O58" s="45">
        <f>Cobros[[#This Row],[Dias al pago]]-Cobros[[#This Row],[Dias de Credito]]</f>
        <v>33</v>
      </c>
      <c r="P58" s="45">
        <f>SUMIFS(TablaDias[Porcentaje],TablaDias[Tipo],Cobros[[#This Row],[Tipo]],TablaDias[Desde ],"&lt;="&amp;MAX(0,Cobros[[#This Row],[Dias pasado]]),TablaDias[Hasta ],"&gt;="&amp;Cobros[[#This Row],[Dias pasado]])</f>
        <v>30</v>
      </c>
      <c r="Q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8">
        <f>IF(COUNTIF(PAPEL[Numero],Cobros[[#This Row],[Doc. Cargo]])&gt;0,1,0)</f>
        <v>0</v>
      </c>
      <c r="S58" s="46">
        <f t="array" ref="S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8" s="46">
        <f t="array" ref="T58">INDEX(Ventas[[Unidades]:[2]],MATCH("Gerente de Venta",Ventas[Vendedor %],0),6+Cobros[[#This Row],[Mes]])</f>
        <v>0.005</v>
      </c>
      <c r="U58" s="34">
        <f>IF(Cobros[[#This Row],[Tipo]]="Credito",IF(60&gt;=Cobros[[#This Row],[Dias al pago]],1,0),IF(Cobros[[#This Row],[Dias al pago]]&lt;=3,1,0))</f>
        <v>1</v>
      </c>
      <c r="V58" s="46">
        <f>(Cobros[[#This Row],[% A pagar Vendedor]]/100)*Cobros[[#This Row],[Valor Pagado]]*Cobros[[#This Row],[Vencido]]*(Cobros[[#This Row],[% aplicar]]/100)*IF(Cobros[[#This Row],[% A pagar Vendedor]]&gt;0,1,0)</f>
        <v>3.61635</v>
      </c>
      <c r="W58" s="46">
        <f>0.5%*Cobros[[#This Row],[Valor Pagado]]</f>
        <v>6.02725</v>
      </c>
    </row>
    <row r="59" ht="30" spans="1:23">
      <c r="A59" s="49" t="s">
        <v>3961</v>
      </c>
      <c r="B59" s="49" t="s">
        <v>3962</v>
      </c>
      <c r="C59" s="49" t="s">
        <v>74</v>
      </c>
      <c r="D59" s="49" t="s">
        <v>75</v>
      </c>
      <c r="E59" s="49" t="s">
        <v>3964</v>
      </c>
      <c r="F59" s="51">
        <v>46164</v>
      </c>
      <c r="G59" s="49">
        <v>794.55</v>
      </c>
      <c r="H59" s="49" t="s">
        <v>22</v>
      </c>
      <c r="I59" s="51">
        <v>46205</v>
      </c>
      <c r="J59" s="54">
        <f>INT(Cobros[[#This Row],[Fecha Cargo]])</f>
        <v>46164</v>
      </c>
      <c r="K59" s="54">
        <f>INT(Cobros[[#This Row],[Fecha Aplicacion]])</f>
        <v>46205</v>
      </c>
      <c r="L59" s="55" t="str">
        <f>INDEX(Clientes[Días Plazo],MATCH(Cobros[[#This Row],[Cod. Cliente]],Clientes[Codigo],0),1)</f>
        <v>15</v>
      </c>
      <c r="M59" s="45" t="str">
        <f>IF(Cobros[[#This Row],[Dias de Credito]]&lt;=0,"Contado","Credito")</f>
        <v>Credito</v>
      </c>
      <c r="N59" s="45">
        <f>Cobros[[#This Row],[Fecha Aplicación S]]-Cobros[[#This Row],[Fecha Cargo S]]</f>
        <v>41</v>
      </c>
      <c r="O59" s="45">
        <f>Cobros[[#This Row],[Dias al pago]]-Cobros[[#This Row],[Dias de Credito]]</f>
        <v>26</v>
      </c>
      <c r="P59" s="45">
        <f>SUMIFS(TablaDias[Porcentaje],TablaDias[Tipo],Cobros[[#This Row],[Tipo]],TablaDias[Desde ],"&lt;="&amp;MAX(0,Cobros[[#This Row],[Dias pasado]]),TablaDias[Hasta ],"&gt;="&amp;Cobros[[#This Row],[Dias pasado]])</f>
        <v>50</v>
      </c>
      <c r="Q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9">
        <f>IF(COUNTIF(PAPEL[Numero],Cobros[[#This Row],[Doc. Cargo]])&gt;0,1,0)</f>
        <v>0</v>
      </c>
      <c r="S59" s="46">
        <f t="array" ref="S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9" s="46">
        <f t="array" ref="T59">INDEX(Ventas[[Unidades]:[2]],MATCH("Gerente de Venta",Ventas[Vendedor %],0),6+Cobros[[#This Row],[Mes]])</f>
        <v>0.005</v>
      </c>
      <c r="U59" s="34">
        <f>IF(Cobros[[#This Row],[Tipo]]="Credito",IF(60&gt;=Cobros[[#This Row],[Dias al pago]],1,0),IF(Cobros[[#This Row],[Dias al pago]]&lt;=3,1,0))</f>
        <v>1</v>
      </c>
      <c r="V59" s="46">
        <f>(Cobros[[#This Row],[% A pagar Vendedor]]/100)*Cobros[[#This Row],[Valor Pagado]]*Cobros[[#This Row],[Vencido]]*(Cobros[[#This Row],[% aplicar]]/100)*IF(Cobros[[#This Row],[% A pagar Vendedor]]&gt;0,1,0)</f>
        <v>3.97275</v>
      </c>
      <c r="W59" s="46">
        <f>0.5%*Cobros[[#This Row],[Valor Pagado]]</f>
        <v>3.97275</v>
      </c>
    </row>
    <row r="60" spans="1:23">
      <c r="A60" s="49" t="s">
        <v>3875</v>
      </c>
      <c r="B60" s="49" t="s">
        <v>3965</v>
      </c>
      <c r="C60" s="49" t="s">
        <v>3452</v>
      </c>
      <c r="D60" s="49" t="s">
        <v>3453</v>
      </c>
      <c r="E60" s="49" t="s">
        <v>3966</v>
      </c>
      <c r="F60" s="51">
        <v>46184</v>
      </c>
      <c r="G60" s="49">
        <v>47.75</v>
      </c>
      <c r="H60" s="49" t="s">
        <v>18</v>
      </c>
      <c r="I60" s="51">
        <v>46206</v>
      </c>
      <c r="J60" s="54">
        <f>INT(Cobros[[#This Row],[Fecha Cargo]])</f>
        <v>46184</v>
      </c>
      <c r="K60" s="54">
        <f>INT(Cobros[[#This Row],[Fecha Aplicacion]])</f>
        <v>46206</v>
      </c>
      <c r="L60" s="55" t="str">
        <f>INDEX(Clientes[Días Plazo],MATCH(Cobros[[#This Row],[Cod. Cliente]],Clientes[Codigo],0),1)</f>
        <v>15</v>
      </c>
      <c r="M60" s="45" t="str">
        <f>IF(Cobros[[#This Row],[Dias de Credito]]&lt;=0,"Contado","Credito")</f>
        <v>Credito</v>
      </c>
      <c r="N60" s="45">
        <f>Cobros[[#This Row],[Fecha Aplicación S]]-Cobros[[#This Row],[Fecha Cargo S]]</f>
        <v>22</v>
      </c>
      <c r="O60" s="45">
        <f>Cobros[[#This Row],[Dias al pago]]-Cobros[[#This Row],[Dias de Credito]]</f>
        <v>7</v>
      </c>
      <c r="P60" s="45">
        <f>SUMIFS(TablaDias[Porcentaje],TablaDias[Tipo],Cobros[[#This Row],[Tipo]],TablaDias[Desde ],"&lt;="&amp;MAX(0,Cobros[[#This Row],[Dias pasado]]),TablaDias[Hasta ],"&gt;="&amp;Cobros[[#This Row],[Dias pasado]])</f>
        <v>100</v>
      </c>
      <c r="Q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0">
        <f>IF(COUNTIF(PAPEL[Numero],Cobros[[#This Row],[Doc. Cargo]])&gt;0,1,0)</f>
        <v>0</v>
      </c>
      <c r="S60" s="46">
        <f t="array" ref="S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0" s="46">
        <f t="array" ref="T60">INDEX(Ventas[[Unidades]:[2]],MATCH("Gerente de Venta",Ventas[Vendedor %],0),6+Cobros[[#This Row],[Mes]])</f>
        <v>0.005</v>
      </c>
      <c r="U60" s="34">
        <f>IF(Cobros[[#This Row],[Tipo]]="Credito",IF(60&gt;=Cobros[[#This Row],[Dias al pago]],1,0),IF(Cobros[[#This Row],[Dias al pago]]&lt;=3,1,0))</f>
        <v>1</v>
      </c>
      <c r="V60" s="46">
        <f>(Cobros[[#This Row],[% A pagar Vendedor]]/100)*Cobros[[#This Row],[Valor Pagado]]*Cobros[[#This Row],[Vencido]]*(Cobros[[#This Row],[% aplicar]]/100)*IF(Cobros[[#This Row],[% A pagar Vendedor]]&gt;0,1,0)</f>
        <v>0.4775</v>
      </c>
      <c r="W60" s="46">
        <f>0.5%*Cobros[[#This Row],[Valor Pagado]]</f>
        <v>0.23875</v>
      </c>
    </row>
    <row r="61" spans="1:24">
      <c r="A61" s="49" t="s">
        <v>3875</v>
      </c>
      <c r="B61" s="49" t="s">
        <v>3965</v>
      </c>
      <c r="C61" s="49" t="s">
        <v>3452</v>
      </c>
      <c r="D61" s="49" t="s">
        <v>3453</v>
      </c>
      <c r="E61" s="49" t="s">
        <v>3967</v>
      </c>
      <c r="F61" s="51">
        <v>46189</v>
      </c>
      <c r="G61" s="49">
        <v>3726.25</v>
      </c>
      <c r="H61" s="49" t="s">
        <v>18</v>
      </c>
      <c r="I61" s="51">
        <v>46206</v>
      </c>
      <c r="J61" s="54">
        <f>INT(Cobros[[#This Row],[Fecha Cargo]])</f>
        <v>46189</v>
      </c>
      <c r="K61" s="54">
        <f>INT(Cobros[[#This Row],[Fecha Aplicacion]])</f>
        <v>46206</v>
      </c>
      <c r="L61" s="55" t="str">
        <f>INDEX(Clientes[Días Plazo],MATCH(Cobros[[#This Row],[Cod. Cliente]],Clientes[Codigo],0),1)</f>
        <v>15</v>
      </c>
      <c r="M61" s="45" t="str">
        <f>IF(Cobros[[#This Row],[Dias de Credito]]&lt;=0,"Contado","Credito")</f>
        <v>Credito</v>
      </c>
      <c r="N61" s="45">
        <f>Cobros[[#This Row],[Fecha Aplicación S]]-Cobros[[#This Row],[Fecha Cargo S]]</f>
        <v>17</v>
      </c>
      <c r="O61" s="45">
        <f>Cobros[[#This Row],[Dias al pago]]-Cobros[[#This Row],[Dias de Credito]]</f>
        <v>2</v>
      </c>
      <c r="P61" s="45">
        <f>SUMIFS(TablaDias[Porcentaje],TablaDias[Tipo],Cobros[[#This Row],[Tipo]],TablaDias[Desde ],"&lt;="&amp;MAX(0,Cobros[[#This Row],[Dias pasado]]),TablaDias[Hasta ],"&gt;="&amp;Cobros[[#This Row],[Dias pasado]])</f>
        <v>100</v>
      </c>
      <c r="Q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1">
        <f>IF(COUNTIF(PAPEL[Numero],Cobros[[#This Row],[Doc. Cargo]])&gt;0,1,0)</f>
        <v>0</v>
      </c>
      <c r="S61" s="46">
        <f t="array" ref="S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1" s="46">
        <f t="array" ref="T61">INDEX(Ventas[[Unidades]:[2]],MATCH("Gerente de Venta",Ventas[Vendedor %],0),6+Cobros[[#This Row],[Mes]])</f>
        <v>0.005</v>
      </c>
      <c r="U61" s="34">
        <f>IF(Cobros[[#This Row],[Tipo]]="Credito",IF(60&gt;=Cobros[[#This Row],[Dias al pago]],1,0),IF(Cobros[[#This Row],[Dias al pago]]&lt;=3,1,0))</f>
        <v>1</v>
      </c>
      <c r="V61" s="46">
        <f>(Cobros[[#This Row],[% A pagar Vendedor]]/100)*Cobros[[#This Row],[Valor Pagado]]*Cobros[[#This Row],[Vencido]]*(Cobros[[#This Row],[% aplicar]]/100)*IF(Cobros[[#This Row],[% A pagar Vendedor]]&gt;0,1,0)</f>
        <v>37.2625</v>
      </c>
      <c r="W61" s="46">
        <f>0.5%*Cobros[[#This Row],[Valor Pagado]]</f>
        <v>18.63125</v>
      </c>
      <c r="X61" s="60"/>
    </row>
    <row r="62" spans="1:23">
      <c r="A62" s="49" t="s">
        <v>3860</v>
      </c>
      <c r="B62" s="49" t="s">
        <v>3968</v>
      </c>
      <c r="C62" s="49" t="s">
        <v>929</v>
      </c>
      <c r="D62" s="49" t="s">
        <v>930</v>
      </c>
      <c r="E62" s="49" t="s">
        <v>3969</v>
      </c>
      <c r="F62" s="51">
        <v>46205</v>
      </c>
      <c r="G62" s="49">
        <v>351</v>
      </c>
      <c r="H62" s="49" t="s">
        <v>16</v>
      </c>
      <c r="I62" s="51">
        <v>46205</v>
      </c>
      <c r="J62" s="54">
        <f>INT(Cobros[[#This Row],[Fecha Cargo]])</f>
        <v>46205</v>
      </c>
      <c r="K62" s="54">
        <f>INT(Cobros[[#This Row],[Fecha Aplicacion]])</f>
        <v>46205</v>
      </c>
      <c r="L62" s="55">
        <f>INDEX(Clientes[Días Plazo],MATCH(Cobros[[#This Row],[Cod. Cliente]],Clientes[Codigo],0),1)</f>
        <v>0</v>
      </c>
      <c r="M62" s="45" t="str">
        <f>IF(Cobros[[#This Row],[Dias de Credito]]&lt;=0,"Contado","Credito")</f>
        <v>Contado</v>
      </c>
      <c r="N62" s="45">
        <v>-3</v>
      </c>
      <c r="O62" s="45">
        <f>Cobros[[#This Row],[Dias al pago]]-Cobros[[#This Row],[Dias de Credito]]</f>
        <v>-3</v>
      </c>
      <c r="P62" s="45">
        <f>SUMIFS(TablaDias[Porcentaje],TablaDias[Tipo],Cobros[[#This Row],[Tipo]],TablaDias[Desde ],"&lt;="&amp;MAX(0,Cobros[[#This Row],[Dias pasado]]),TablaDias[Hasta ],"&gt;="&amp;Cobros[[#This Row],[Dias pasado]])</f>
        <v>100</v>
      </c>
      <c r="Q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">
        <f>IF(COUNTIF(PAPEL[Numero],Cobros[[#This Row],[Doc. Cargo]])&gt;0,1,0)</f>
        <v>0</v>
      </c>
      <c r="S62" s="46">
        <f t="array" ref="S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" s="47">
        <v>0.005</v>
      </c>
      <c r="U62" s="34">
        <f>IF(Cobros[[#This Row],[Tipo]]="Credito",IF(60&gt;=Cobros[[#This Row],[Dias al pago]],1,0),IF(Cobros[[#This Row],[Dias al pago]]&lt;=3,1,0))</f>
        <v>1</v>
      </c>
      <c r="V62" s="46">
        <f>(Cobros[[#This Row],[% A pagar Vendedor]]/100)*Cobros[[#This Row],[Valor Pagado]]*Cobros[[#This Row],[Vencido]]*(Cobros[[#This Row],[% aplicar]]/100)*IF(Cobros[[#This Row],[% A pagar Vendedor]]&gt;0,1,0)</f>
        <v>4.3875</v>
      </c>
      <c r="W62" s="46">
        <f>0.5%*Cobros[[#This Row],[Valor Pagado]]</f>
        <v>1.755</v>
      </c>
    </row>
    <row r="63" spans="1:23">
      <c r="A63" s="49" t="s">
        <v>3884</v>
      </c>
      <c r="B63" s="49" t="s">
        <v>3970</v>
      </c>
      <c r="C63" s="49" t="s">
        <v>929</v>
      </c>
      <c r="D63" s="49" t="s">
        <v>930</v>
      </c>
      <c r="E63" s="49" t="s">
        <v>3969</v>
      </c>
      <c r="F63" s="51">
        <v>46205</v>
      </c>
      <c r="G63" s="49">
        <v>326</v>
      </c>
      <c r="H63" s="49" t="s">
        <v>16</v>
      </c>
      <c r="I63" s="51">
        <v>46205</v>
      </c>
      <c r="J63" s="54">
        <f>INT(Cobros[[#This Row],[Fecha Cargo]])</f>
        <v>46205</v>
      </c>
      <c r="K63" s="54">
        <f>INT(Cobros[[#This Row],[Fecha Aplicacion]])</f>
        <v>46205</v>
      </c>
      <c r="L63" s="55">
        <f>INDEX(Clientes[Días Plazo],MATCH(Cobros[[#This Row],[Cod. Cliente]],Clientes[Codigo],0),1)</f>
        <v>0</v>
      </c>
      <c r="M63" s="45" t="str">
        <f>IF(Cobros[[#This Row],[Dias de Credito]]&lt;=0,"Contado","Credito")</f>
        <v>Contado</v>
      </c>
      <c r="N63" s="45">
        <f>Cobros[[#This Row],[Fecha Aplicación S]]-Cobros[[#This Row],[Fecha Cargo S]]</f>
        <v>0</v>
      </c>
      <c r="O63" s="45">
        <f>Cobros[[#This Row],[Dias al pago]]-Cobros[[#This Row],[Dias de Credito]]</f>
        <v>0</v>
      </c>
      <c r="P63" s="45">
        <f>SUMIFS(TablaDias[Porcentaje],TablaDias[Tipo],Cobros[[#This Row],[Tipo]],TablaDias[Desde ],"&lt;="&amp;MAX(0,Cobros[[#This Row],[Dias pasado]]),TablaDias[Hasta ],"&gt;="&amp;Cobros[[#This Row],[Dias pasado]])</f>
        <v>100</v>
      </c>
      <c r="Q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3">
        <f>IF(COUNTIF(PAPEL[Numero],Cobros[[#This Row],[Doc. Cargo]])&gt;0,1,0)</f>
        <v>0</v>
      </c>
      <c r="S63" s="46">
        <f t="array" ref="S63">1.25</f>
        <v>1.25</v>
      </c>
      <c r="T63" s="47">
        <v>0.005</v>
      </c>
      <c r="U63" s="34">
        <f>IF(Cobros[[#This Row],[Tipo]]="Credito",IF(60&gt;=Cobros[[#This Row],[Dias al pago]],1,0),IF(Cobros[[#This Row],[Dias al pago]]&lt;=3,1,0))</f>
        <v>1</v>
      </c>
      <c r="V63" s="46">
        <f>(Cobros[[#This Row],[% A pagar Vendedor]]/100)*Cobros[[#This Row],[Valor Pagado]]*Cobros[[#This Row],[Vencido]]*(Cobros[[#This Row],[% aplicar]]/100)*IF(Cobros[[#This Row],[% A pagar Vendedor]]&gt;0,1,0)</f>
        <v>4.075</v>
      </c>
      <c r="W63" s="46">
        <f>0.5%*Cobros[[#This Row],[Valor Pagado]]</f>
        <v>1.63</v>
      </c>
    </row>
    <row r="64" ht="30" spans="1:23">
      <c r="A64" s="49" t="s">
        <v>3860</v>
      </c>
      <c r="B64" s="49" t="s">
        <v>3971</v>
      </c>
      <c r="C64" s="49" t="s">
        <v>3190</v>
      </c>
      <c r="D64" s="49" t="s">
        <v>3191</v>
      </c>
      <c r="E64" s="49" t="s">
        <v>3877</v>
      </c>
      <c r="F64" s="51">
        <v>46100</v>
      </c>
      <c r="G64" s="49">
        <v>599.9</v>
      </c>
      <c r="H64" s="49" t="s">
        <v>3865</v>
      </c>
      <c r="I64" s="51">
        <v>46206</v>
      </c>
      <c r="J64" s="54">
        <f>INT(Cobros[[#This Row],[Fecha Cargo]])</f>
        <v>46100</v>
      </c>
      <c r="K64" s="54">
        <f>INT(Cobros[[#This Row],[Fecha Aplicacion]])</f>
        <v>46206</v>
      </c>
      <c r="L64" s="55">
        <f>INDEX(Clientes[Días Plazo],MATCH(Cobros[[#This Row],[Cod. Cliente]],Clientes[Codigo],0),1)</f>
        <v>21</v>
      </c>
      <c r="M64" s="45" t="str">
        <f>IF(Cobros[[#This Row],[Dias de Credito]]&lt;=0,"Contado","Credito")</f>
        <v>Credito</v>
      </c>
      <c r="N64" s="45">
        <f>Cobros[[#This Row],[Fecha Aplicación S]]-Cobros[[#This Row],[Fecha Cargo S]]</f>
        <v>106</v>
      </c>
      <c r="O64" s="45">
        <f>Cobros[[#This Row],[Dias al pago]]-Cobros[[#This Row],[Dias de Credito]]</f>
        <v>85</v>
      </c>
      <c r="P64" s="45">
        <f>SUMIFS(TablaDias[Porcentaje],TablaDias[Tipo],Cobros[[#This Row],[Tipo]],TablaDias[Desde ],"&lt;="&amp;MAX(0,Cobros[[#This Row],[Dias pasado]]),TablaDias[Hasta ],"&gt;="&amp;Cobros[[#This Row],[Dias pasado]])</f>
        <v>0</v>
      </c>
      <c r="Q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">
        <f>IF(COUNTIF(PAPEL[Numero],Cobros[[#This Row],[Doc. Cargo]])&gt;0,1,0)</f>
        <v>0</v>
      </c>
      <c r="S64" s="46">
        <v>1</v>
      </c>
      <c r="T64" s="46">
        <f t="array" ref="T64">INDEX(Ventas[[Unidades]:[2]],MATCH("Gerente de Venta",Ventas[Vendedor %],0),6+Cobros[[#This Row],[Mes]])</f>
        <v>0.005</v>
      </c>
      <c r="U64" s="34">
        <f>IF(Cobros[[#This Row],[Tipo]]="Credito",IF(60&gt;=Cobros[[#This Row],[Dias al pago]],1,0),IF(Cobros[[#This Row],[Dias al pago]]&lt;=3,1,0))</f>
        <v>0</v>
      </c>
      <c r="V64" s="46">
        <f>(Cobros[[#This Row],[% A pagar Vendedor]]/100)*Cobros[[#This Row],[Valor Pagado]]*Cobros[[#This Row],[Vencido]]*(Cobros[[#This Row],[% aplicar]]/100)*IF(Cobros[[#This Row],[% A pagar Vendedor]]&gt;0,1,0)</f>
        <v>0</v>
      </c>
      <c r="W64" s="46">
        <f>0.5%*Cobros[[#This Row],[Valor Pagado]]</f>
        <v>2.9995</v>
      </c>
    </row>
    <row r="65" ht="30" spans="1:23">
      <c r="A65" s="49" t="s">
        <v>3860</v>
      </c>
      <c r="B65" s="49" t="s">
        <v>3971</v>
      </c>
      <c r="C65" s="49" t="s">
        <v>3190</v>
      </c>
      <c r="D65" s="49" t="s">
        <v>3191</v>
      </c>
      <c r="E65" s="49" t="s">
        <v>3972</v>
      </c>
      <c r="F65" s="51">
        <v>46112</v>
      </c>
      <c r="G65" s="49">
        <v>400.1</v>
      </c>
      <c r="H65" s="49" t="s">
        <v>3865</v>
      </c>
      <c r="I65" s="51">
        <v>46206</v>
      </c>
      <c r="J65" s="54">
        <f>INT(Cobros[[#This Row],[Fecha Cargo]])</f>
        <v>46112</v>
      </c>
      <c r="K65" s="54">
        <f>INT(Cobros[[#This Row],[Fecha Aplicacion]])</f>
        <v>46206</v>
      </c>
      <c r="L65" s="55">
        <f>INDEX(Clientes[Días Plazo],MATCH(Cobros[[#This Row],[Cod. Cliente]],Clientes[Codigo],0),1)</f>
        <v>21</v>
      </c>
      <c r="M65" s="45" t="str">
        <f>IF(Cobros[[#This Row],[Dias de Credito]]&lt;=0,"Contado","Credito")</f>
        <v>Credito</v>
      </c>
      <c r="N65" s="45">
        <f>Cobros[[#This Row],[Fecha Aplicación S]]-Cobros[[#This Row],[Fecha Cargo S]]</f>
        <v>94</v>
      </c>
      <c r="O65" s="45">
        <f>Cobros[[#This Row],[Dias al pago]]-Cobros[[#This Row],[Dias de Credito]]</f>
        <v>73</v>
      </c>
      <c r="P65" s="45">
        <f>SUMIFS(TablaDias[Porcentaje],TablaDias[Tipo],Cobros[[#This Row],[Tipo]],TablaDias[Desde ],"&lt;="&amp;MAX(0,Cobros[[#This Row],[Dias pasado]]),TablaDias[Hasta ],"&gt;="&amp;Cobros[[#This Row],[Dias pasado]])</f>
        <v>0</v>
      </c>
      <c r="Q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">
        <v>0</v>
      </c>
      <c r="S65" s="46">
        <v>1</v>
      </c>
      <c r="T65" s="46">
        <f t="array" ref="T65">INDEX(Ventas[[Unidades]:[2]],MATCH("Gerente de Venta",Ventas[Vendedor %],0),6+Cobros[[#This Row],[Mes]])</f>
        <v>0.005</v>
      </c>
      <c r="U65" s="34">
        <v>0</v>
      </c>
      <c r="V65" s="46">
        <f>(Cobros[[#This Row],[% A pagar Vendedor]]/100)*Cobros[[#This Row],[Valor Pagado]]*Cobros[[#This Row],[Vencido]]*(Cobros[[#This Row],[% aplicar]]/100)*IF(Cobros[[#This Row],[% A pagar Vendedor]]&gt;0,1,0)</f>
        <v>0</v>
      </c>
      <c r="W65" s="46">
        <f>0.5%*Cobros[[#This Row],[Valor Pagado]]</f>
        <v>2.0005</v>
      </c>
    </row>
    <row r="66" spans="1:23">
      <c r="A66" s="49" t="s">
        <v>3860</v>
      </c>
      <c r="B66" s="49" t="s">
        <v>3973</v>
      </c>
      <c r="C66" s="49" t="s">
        <v>3715</v>
      </c>
      <c r="D66" s="49" t="s">
        <v>3716</v>
      </c>
      <c r="E66" s="49" t="s">
        <v>3974</v>
      </c>
      <c r="F66" s="51">
        <v>46188</v>
      </c>
      <c r="G66" s="49">
        <v>744.54</v>
      </c>
      <c r="H66" s="49" t="s">
        <v>16</v>
      </c>
      <c r="I66" s="51">
        <v>46206</v>
      </c>
      <c r="J66" s="54">
        <f>INT(Cobros[[#This Row],[Fecha Cargo]])</f>
        <v>46188</v>
      </c>
      <c r="K66" s="54">
        <f>INT(Cobros[[#This Row],[Fecha Aplicacion]])</f>
        <v>46206</v>
      </c>
      <c r="L66" s="55" t="str">
        <f>INDEX(Clientes[Días Plazo],MATCH(Cobros[[#This Row],[Cod. Cliente]],Clientes[Codigo],0),1)</f>
        <v>7</v>
      </c>
      <c r="M66" s="45" t="str">
        <f>IF(Cobros[[#This Row],[Dias de Credito]]&lt;=0,"Contado","Credito")</f>
        <v>Credito</v>
      </c>
      <c r="N66" s="45">
        <f>Cobros[[#This Row],[Fecha Aplicación S]]-Cobros[[#This Row],[Fecha Cargo S]]</f>
        <v>18</v>
      </c>
      <c r="O66" s="45">
        <f>Cobros[[#This Row],[Dias al pago]]-Cobros[[#This Row],[Dias de Credito]]</f>
        <v>11</v>
      </c>
      <c r="P66" s="45">
        <f>SUMIFS(TablaDias[Porcentaje],TablaDias[Tipo],Cobros[[#This Row],[Tipo]],TablaDias[Desde ],"&lt;="&amp;MAX(0,Cobros[[#This Row],[Dias pasado]]),TablaDias[Hasta ],"&gt;="&amp;Cobros[[#This Row],[Dias pasado]])</f>
        <v>100</v>
      </c>
      <c r="Q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6">
        <f>IF(COUNTIF(PAPEL[Numero],Cobros[[#This Row],[Doc. Cargo]])&gt;0,1,0)</f>
        <v>0</v>
      </c>
      <c r="S66" s="46">
        <f t="array" ref="S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6" s="47">
        <v>0.005</v>
      </c>
      <c r="U66" s="34">
        <f>IF(Cobros[[#This Row],[Tipo]]="Credito",IF(60&gt;=Cobros[[#This Row],[Dias al pago]],1,0),IF(Cobros[[#This Row],[Dias al pago]]&lt;=3,1,0))</f>
        <v>1</v>
      </c>
      <c r="V66" s="46">
        <f>(Cobros[[#This Row],[% A pagar Vendedor]]/100)*Cobros[[#This Row],[Valor Pagado]]*Cobros[[#This Row],[Vencido]]*(Cobros[[#This Row],[% aplicar]]/100)*IF(Cobros[[#This Row],[% A pagar Vendedor]]&gt;0,1,0)</f>
        <v>7.4454</v>
      </c>
      <c r="W66" s="46">
        <f>0.5%*Cobros[[#This Row],[Valor Pagado]]</f>
        <v>3.7227</v>
      </c>
    </row>
    <row r="67" ht="30" spans="1:23">
      <c r="A67" s="49" t="s">
        <v>3904</v>
      </c>
      <c r="B67" s="49" t="s">
        <v>3975</v>
      </c>
      <c r="C67" s="49" t="s">
        <v>2667</v>
      </c>
      <c r="D67" s="49" t="s">
        <v>2668</v>
      </c>
      <c r="E67" s="49" t="s">
        <v>3976</v>
      </c>
      <c r="F67" s="51">
        <v>46206</v>
      </c>
      <c r="G67" s="49">
        <v>1378.32</v>
      </c>
      <c r="H67" s="49" t="s">
        <v>22</v>
      </c>
      <c r="I67" s="51">
        <v>46206</v>
      </c>
      <c r="J67" s="54">
        <f>INT(Cobros[[#This Row],[Fecha Cargo]])</f>
        <v>46206</v>
      </c>
      <c r="K67" s="54">
        <f>INT(Cobros[[#This Row],[Fecha Aplicacion]])</f>
        <v>46206</v>
      </c>
      <c r="L67" s="55">
        <f>INDEX(Clientes[Días Plazo],MATCH(Cobros[[#This Row],[Cod. Cliente]],Clientes[Codigo],0),1)</f>
        <v>0</v>
      </c>
      <c r="M67" s="45" t="str">
        <f>IF(Cobros[[#This Row],[Dias de Credito]]&lt;=0,"Contado","Credito")</f>
        <v>Contado</v>
      </c>
      <c r="N67" s="45">
        <f>Cobros[[#This Row],[Fecha Aplicación S]]-Cobros[[#This Row],[Fecha Cargo S]]</f>
        <v>0</v>
      </c>
      <c r="O67" s="45">
        <f>Cobros[[#This Row],[Dias al pago]]-Cobros[[#This Row],[Dias de Credito]]</f>
        <v>0</v>
      </c>
      <c r="P67" s="45">
        <f>SUMIFS(TablaDias[Porcentaje],TablaDias[Tipo],Cobros[[#This Row],[Tipo]],TablaDias[Desde ],"&lt;="&amp;MAX(0,Cobros[[#This Row],[Dias pasado]]),TablaDias[Hasta ],"&gt;="&amp;Cobros[[#This Row],[Dias pasado]])</f>
        <v>100</v>
      </c>
      <c r="Q67">
        <v>1</v>
      </c>
      <c r="R67">
        <f>IF(COUNTIF(PAPEL[Numero],Cobros[[#This Row],[Doc. Cargo]])&gt;0,1,0)</f>
        <v>0</v>
      </c>
      <c r="S67" s="46">
        <f t="array" ref="S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" s="46">
        <f t="array" ref="T67">INDEX(Ventas[[Unidades]:[2]],MATCH("Gerente de Venta",Ventas[Vendedor %],0),6+Cobros[[#This Row],[Mes]])</f>
        <v>0.005</v>
      </c>
      <c r="U67" s="34">
        <f>IF(Cobros[[#This Row],[Tipo]]="Credito",IF(60&gt;=Cobros[[#This Row],[Dias al pago]],1,0),IF(Cobros[[#This Row],[Dias al pago]]&lt;=3,1,0))</f>
        <v>1</v>
      </c>
      <c r="V67" s="46">
        <f>(Cobros[[#This Row],[% A pagar Vendedor]]/100)*Cobros[[#This Row],[Valor Pagado]]*Cobros[[#This Row],[Vencido]]*(Cobros[[#This Row],[% aplicar]]/100)*IF(Cobros[[#This Row],[% A pagar Vendedor]]&gt;0,1,0)</f>
        <v>13.7832</v>
      </c>
      <c r="W67" s="46">
        <f>0.5%*Cobros[[#This Row],[Valor Pagado]]</f>
        <v>6.8916</v>
      </c>
    </row>
    <row r="68" ht="30" spans="1:24">
      <c r="A68" s="49" t="s">
        <v>3904</v>
      </c>
      <c r="B68" s="49" t="s">
        <v>3977</v>
      </c>
      <c r="C68" s="49" t="s">
        <v>2667</v>
      </c>
      <c r="D68" s="49" t="s">
        <v>2668</v>
      </c>
      <c r="E68" s="49" t="s">
        <v>3976</v>
      </c>
      <c r="F68" s="51">
        <v>46206</v>
      </c>
      <c r="G68" s="49">
        <v>1273.68</v>
      </c>
      <c r="H68" s="49" t="s">
        <v>22</v>
      </c>
      <c r="I68" s="51">
        <v>46206</v>
      </c>
      <c r="J68" s="54">
        <f>INT(Cobros[[#This Row],[Fecha Cargo]])</f>
        <v>46206</v>
      </c>
      <c r="K68" s="54">
        <f>INT(Cobros[[#This Row],[Fecha Aplicacion]])</f>
        <v>46206</v>
      </c>
      <c r="L68" s="55">
        <f>INDEX(Clientes[Días Plazo],MATCH(Cobros[[#This Row],[Cod. Cliente]],Clientes[Codigo],0),1)</f>
        <v>0</v>
      </c>
      <c r="M68" s="45" t="str">
        <f>IF(Cobros[[#This Row],[Dias de Credito]]&lt;=0,"Contado","Credito")</f>
        <v>Contado</v>
      </c>
      <c r="N68" s="45">
        <f>Cobros[[#This Row],[Fecha Aplicación S]]-Cobros[[#This Row],[Fecha Cargo S]]</f>
        <v>0</v>
      </c>
      <c r="O68" s="45">
        <f>Cobros[[#This Row],[Dias al pago]]-Cobros[[#This Row],[Dias de Credito]]</f>
        <v>0</v>
      </c>
      <c r="P68" s="45">
        <f>SUMIFS(TablaDias[Porcentaje],TablaDias[Tipo],Cobros[[#This Row],[Tipo]],TablaDias[Desde ],"&lt;="&amp;MAX(0,Cobros[[#This Row],[Dias pasado]]),TablaDias[Hasta ],"&gt;="&amp;Cobros[[#This Row],[Dias pasado]])</f>
        <v>100</v>
      </c>
      <c r="Q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">
        <f>IF(COUNTIF(PAPEL[Numero],Cobros[[#This Row],[Doc. Cargo]])&gt;0,1,0)</f>
        <v>0</v>
      </c>
      <c r="S68" s="46">
        <f t="array" ref="S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" s="46">
        <f t="array" ref="T68">INDEX(Ventas[[Unidades]:[2]],MATCH("Gerente de Venta",Ventas[Vendedor %],0),6+Cobros[[#This Row],[Mes]])</f>
        <v>0.005</v>
      </c>
      <c r="U68" s="34">
        <f>IF(Cobros[[#This Row],[Tipo]]="Credito",IF(60&gt;=Cobros[[#This Row],[Dias al pago]],1,0),IF(Cobros[[#This Row],[Dias al pago]]&lt;=3,1,0))</f>
        <v>1</v>
      </c>
      <c r="V68" s="46">
        <f>(Cobros[[#This Row],[% A pagar Vendedor]]/100)*Cobros[[#This Row],[Valor Pagado]]*Cobros[[#This Row],[Vencido]]*(Cobros[[#This Row],[% aplicar]]/100)*IF(Cobros[[#This Row],[% A pagar Vendedor]]&gt;0,1,0)</f>
        <v>12.7368</v>
      </c>
      <c r="W68" s="46">
        <f>0.5%*Cobros[[#This Row],[Valor Pagado]]</f>
        <v>6.3684</v>
      </c>
      <c r="X68" s="34"/>
    </row>
    <row r="69" ht="30" spans="1:23">
      <c r="A69" s="49" t="s">
        <v>3860</v>
      </c>
      <c r="B69" s="49" t="s">
        <v>3978</v>
      </c>
      <c r="C69" s="49" t="s">
        <v>853</v>
      </c>
      <c r="D69" s="49" t="s">
        <v>854</v>
      </c>
      <c r="E69" s="49" t="s">
        <v>3979</v>
      </c>
      <c r="F69" s="51">
        <v>46171</v>
      </c>
      <c r="G69" s="49">
        <v>3123.6</v>
      </c>
      <c r="H69" s="49" t="s">
        <v>1355</v>
      </c>
      <c r="I69" s="51">
        <v>46205</v>
      </c>
      <c r="J69" s="54">
        <f>INT(Cobros[[#This Row],[Fecha Cargo]])</f>
        <v>46171</v>
      </c>
      <c r="K69" s="54">
        <f>INT(Cobros[[#This Row],[Fecha Aplicacion]])</f>
        <v>46205</v>
      </c>
      <c r="L69" s="55" t="str">
        <f>INDEX(Clientes[Días Plazo],MATCH(Cobros[[#This Row],[Cod. Cliente]],Clientes[Codigo],0),1)</f>
        <v>30</v>
      </c>
      <c r="M69" s="45" t="str">
        <f>IF(Cobros[[#This Row],[Dias de Credito]]&lt;=0,"Contado","Credito")</f>
        <v>Credito</v>
      </c>
      <c r="N69" s="45">
        <f>Cobros[[#This Row],[Fecha Aplicación S]]-Cobros[[#This Row],[Fecha Cargo S]]</f>
        <v>34</v>
      </c>
      <c r="O69" s="45">
        <f>Cobros[[#This Row],[Dias al pago]]-Cobros[[#This Row],[Dias de Credito]]</f>
        <v>4</v>
      </c>
      <c r="P69" s="45">
        <f>SUMIFS(TablaDias[Porcentaje],TablaDias[Tipo],Cobros[[#This Row],[Tipo]],TablaDias[Desde ],"&lt;="&amp;MAX(0,Cobros[[#This Row],[Dias pasado]]),TablaDias[Hasta ],"&gt;="&amp;Cobros[[#This Row],[Dias pasado]])</f>
        <v>100</v>
      </c>
      <c r="Q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69">
        <f>IF(COUNTIF(PAPEL[Numero],Cobros[[#This Row],[Doc. Cargo]])&gt;0,1,0)</f>
        <v>0</v>
      </c>
      <c r="S69" s="46">
        <v>1</v>
      </c>
      <c r="T69" s="46">
        <f t="array" ref="T69">INDEX(Ventas[[Unidades]:[2]],MATCH("Gerente de Venta",Ventas[Vendedor %],0),6+Cobros[[#This Row],[Mes]])</f>
        <v>0.005</v>
      </c>
      <c r="U69" s="34">
        <f>IF(Cobros[[#This Row],[Tipo]]="Credito",IF(60&gt;=Cobros[[#This Row],[Dias al pago]],1,0),IF(Cobros[[#This Row],[Dias al pago]]&lt;=3,1,0))</f>
        <v>1</v>
      </c>
      <c r="V69" s="46">
        <f>(Cobros[[#This Row],[% A pagar Vendedor]]/100)*Cobros[[#This Row],[Valor Pagado]]*Cobros[[#This Row],[Vencido]]*(Cobros[[#This Row],[% aplicar]]/100)*IF(Cobros[[#This Row],[% A pagar Vendedor]]&gt;0,1,0)</f>
        <v>31.236</v>
      </c>
      <c r="W69" s="46">
        <f>0.5%*Cobros[[#This Row],[Valor Pagado]]</f>
        <v>15.618</v>
      </c>
    </row>
    <row r="70" spans="1:23">
      <c r="A70" s="49" t="s">
        <v>3904</v>
      </c>
      <c r="B70" s="49" t="s">
        <v>3980</v>
      </c>
      <c r="C70" s="49" t="s">
        <v>2147</v>
      </c>
      <c r="D70" s="49" t="s">
        <v>3981</v>
      </c>
      <c r="E70" s="49" t="s">
        <v>3982</v>
      </c>
      <c r="F70" s="51">
        <v>46177</v>
      </c>
      <c r="G70" s="49">
        <v>259</v>
      </c>
      <c r="H70" s="49" t="s">
        <v>19</v>
      </c>
      <c r="I70" s="51">
        <v>46206</v>
      </c>
      <c r="J70" s="54">
        <f>INT(Cobros[[#This Row],[Fecha Cargo]])</f>
        <v>46177</v>
      </c>
      <c r="K70" s="54">
        <f>INT(Cobros[[#This Row],[Fecha Aplicacion]])</f>
        <v>46206</v>
      </c>
      <c r="L70" s="55">
        <v>30</v>
      </c>
      <c r="M70" s="45" t="str">
        <f>IF(Cobros[[#This Row],[Dias de Credito]]&lt;=0,"Contado","Credito")</f>
        <v>Credito</v>
      </c>
      <c r="N70" s="45">
        <f>Cobros[[#This Row],[Fecha Aplicación S]]-Cobros[[#This Row],[Fecha Cargo S]]</f>
        <v>29</v>
      </c>
      <c r="O70" s="45">
        <f>Cobros[[#This Row],[Dias al pago]]-Cobros[[#This Row],[Dias de Credito]]</f>
        <v>-1</v>
      </c>
      <c r="P70" s="45">
        <f>SUMIFS(TablaDias[Porcentaje],TablaDias[Tipo],Cobros[[#This Row],[Tipo]],TablaDias[Desde ],"&lt;="&amp;MAX(0,Cobros[[#This Row],[Dias pasado]]),TablaDias[Hasta ],"&gt;="&amp;Cobros[[#This Row],[Dias pasado]])</f>
        <v>100</v>
      </c>
      <c r="Q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0">
        <f>IF(COUNTIF(PAPEL[Numero],Cobros[[#This Row],[Doc. Cargo]])&gt;0,1,0)</f>
        <v>0</v>
      </c>
      <c r="S70" s="46">
        <f t="array" ref="S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" s="46">
        <f t="array" ref="T70">INDEX(Ventas[[Unidades]:[2]],MATCH("Gerente de Venta",Ventas[Vendedor %],0),6+Cobros[[#This Row],[Mes]])</f>
        <v>0.005</v>
      </c>
      <c r="U70" s="34">
        <f>IF(Cobros[[#This Row],[Tipo]]="Credito",IF(60&gt;=Cobros[[#This Row],[Dias al pago]],1,0),IF(Cobros[[#This Row],[Dias al pago]]&lt;=3,1,0))</f>
        <v>1</v>
      </c>
      <c r="V70" s="46">
        <f>(Cobros[[#This Row],[% A pagar Vendedor]]/100)*Cobros[[#This Row],[Valor Pagado]]*Cobros[[#This Row],[Vencido]]*(Cobros[[#This Row],[% aplicar]]/100)*IF(Cobros[[#This Row],[% A pagar Vendedor]]&gt;0,1,0)</f>
        <v>3.2375</v>
      </c>
      <c r="W70" s="46">
        <f>0.5%*Cobros[[#This Row],[Valor Pagado]]</f>
        <v>1.295</v>
      </c>
    </row>
    <row r="71" ht="30" spans="1:23">
      <c r="A71" s="49" t="s">
        <v>3904</v>
      </c>
      <c r="B71" s="49" t="s">
        <v>3983</v>
      </c>
      <c r="C71" s="49" t="s">
        <v>566</v>
      </c>
      <c r="D71" s="49" t="s">
        <v>567</v>
      </c>
      <c r="E71" s="49" t="s">
        <v>3984</v>
      </c>
      <c r="F71" s="51">
        <v>46206</v>
      </c>
      <c r="G71" s="49">
        <v>250</v>
      </c>
      <c r="H71" s="49" t="s">
        <v>16</v>
      </c>
      <c r="I71" s="51">
        <v>46206</v>
      </c>
      <c r="J71" s="54">
        <f>INT(Cobros[[#This Row],[Fecha Cargo]])</f>
        <v>46206</v>
      </c>
      <c r="K71" s="54">
        <f>INT(Cobros[[#This Row],[Fecha Aplicacion]])</f>
        <v>46206</v>
      </c>
      <c r="L71" s="55">
        <f>INDEX(Clientes[Días Plazo],MATCH(Cobros[[#This Row],[Cod. Cliente]],Clientes[Codigo],0),1)</f>
        <v>0</v>
      </c>
      <c r="M71" s="45" t="str">
        <f>IF(Cobros[[#This Row],[Dias de Credito]]&lt;=0,"Contado","Credito")</f>
        <v>Contado</v>
      </c>
      <c r="N71" s="45">
        <f>Cobros[[#This Row],[Fecha Aplicación S]]-Cobros[[#This Row],[Fecha Cargo S]]</f>
        <v>0</v>
      </c>
      <c r="O71" s="45">
        <f>Cobros[[#This Row],[Dias al pago]]-Cobros[[#This Row],[Dias de Credito]]</f>
        <v>0</v>
      </c>
      <c r="P71" s="45">
        <f>SUMIFS(TablaDias[Porcentaje],TablaDias[Tipo],Cobros[[#This Row],[Tipo]],TablaDias[Desde ],"&lt;="&amp;MAX(0,Cobros[[#This Row],[Dias pasado]]),TablaDias[Hasta ],"&gt;="&amp;Cobros[[#This Row],[Dias pasado]])</f>
        <v>100</v>
      </c>
      <c r="Q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">
        <f>IF(COUNTIF(PAPEL[Numero],Cobros[[#This Row],[Doc. Cargo]])&gt;0,1,0)</f>
        <v>0</v>
      </c>
      <c r="S71" s="46">
        <f t="array" ref="S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1" s="47">
        <v>0.005</v>
      </c>
      <c r="U71" s="34">
        <f>IF(Cobros[[#This Row],[Tipo]]="Credito",IF(60&gt;=Cobros[[#This Row],[Dias al pago]],1,0),IF(Cobros[[#This Row],[Dias al pago]]&lt;=3,1,0))</f>
        <v>1</v>
      </c>
      <c r="V71" s="46">
        <f>(Cobros[[#This Row],[% A pagar Vendedor]]/100)*Cobros[[#This Row],[Valor Pagado]]*Cobros[[#This Row],[Vencido]]*(Cobros[[#This Row],[% aplicar]]/100)*IF(Cobros[[#This Row],[% A pagar Vendedor]]&gt;0,1,0)</f>
        <v>3.125</v>
      </c>
      <c r="W71" s="46">
        <f>0.5%*Cobros[[#This Row],[Valor Pagado]]</f>
        <v>1.25</v>
      </c>
    </row>
    <row r="72" spans="1:23">
      <c r="A72" s="49" t="s">
        <v>3875</v>
      </c>
      <c r="B72" s="49" t="s">
        <v>3985</v>
      </c>
      <c r="C72" s="49" t="s">
        <v>731</v>
      </c>
      <c r="D72" s="49" t="s">
        <v>732</v>
      </c>
      <c r="E72" s="49" t="s">
        <v>3986</v>
      </c>
      <c r="F72" s="51">
        <v>46178</v>
      </c>
      <c r="G72" s="49">
        <v>770</v>
      </c>
      <c r="H72" s="49" t="s">
        <v>20</v>
      </c>
      <c r="I72" s="51">
        <v>46206</v>
      </c>
      <c r="J72" s="54">
        <f>INT(Cobros[[#This Row],[Fecha Cargo]])</f>
        <v>46178</v>
      </c>
      <c r="K72" s="54">
        <f>INT(Cobros[[#This Row],[Fecha Aplicacion]])</f>
        <v>46206</v>
      </c>
      <c r="L72" s="55" t="str">
        <f>INDEX(Clientes[Días Plazo],MATCH(Cobros[[#This Row],[Cod. Cliente]],Clientes[Codigo],0),1)</f>
        <v>21</v>
      </c>
      <c r="M72" s="45" t="str">
        <f>IF(Cobros[[#This Row],[Dias de Credito]]&lt;=0,"Contado","Credito")</f>
        <v>Credito</v>
      </c>
      <c r="N72" s="45">
        <f>Cobros[[#This Row],[Fecha Aplicación S]]-Cobros[[#This Row],[Fecha Cargo S]]</f>
        <v>28</v>
      </c>
      <c r="O72" s="45">
        <f>Cobros[[#This Row],[Dias al pago]]-Cobros[[#This Row],[Dias de Credito]]</f>
        <v>7</v>
      </c>
      <c r="P72" s="45">
        <f>SUMIFS(TablaDias[Porcentaje],TablaDias[Tipo],Cobros[[#This Row],[Tipo]],TablaDias[Desde ],"&lt;="&amp;MAX(0,Cobros[[#This Row],[Dias pasado]]),TablaDias[Hasta ],"&gt;="&amp;Cobros[[#This Row],[Dias pasado]])</f>
        <v>100</v>
      </c>
      <c r="Q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">
        <f>IF(COUNTIF(PAPEL[Numero],Cobros[[#This Row],[Doc. Cargo]])&gt;0,1,0)</f>
        <v>0</v>
      </c>
      <c r="S72" s="46">
        <f t="array" ref="S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" s="46">
        <f t="array" ref="T72">INDEX(Ventas[[Unidades]:[2]],MATCH("Gerente de Venta",Ventas[Vendedor %],0),6+Cobros[[#This Row],[Mes]])</f>
        <v>0.005</v>
      </c>
      <c r="U72" s="34">
        <f>IF(Cobros[[#This Row],[Tipo]]="Credito",IF(60&gt;=Cobros[[#This Row],[Dias al pago]],1,0),IF(Cobros[[#This Row],[Dias al pago]]&lt;=3,1,0))</f>
        <v>1</v>
      </c>
      <c r="V72" s="46">
        <f>(Cobros[[#This Row],[% A pagar Vendedor]]/100)*Cobros[[#This Row],[Valor Pagado]]*Cobros[[#This Row],[Vencido]]*(Cobros[[#This Row],[% aplicar]]/100)*IF(Cobros[[#This Row],[% A pagar Vendedor]]&gt;0,1,0)</f>
        <v>9.625</v>
      </c>
      <c r="W72" s="46">
        <f>0.5%*Cobros[[#This Row],[Valor Pagado]]</f>
        <v>3.85</v>
      </c>
    </row>
    <row r="73" ht="30" spans="1:23">
      <c r="A73" s="49" t="s">
        <v>3875</v>
      </c>
      <c r="B73" s="49" t="s">
        <v>3987</v>
      </c>
      <c r="C73" s="49" t="s">
        <v>2853</v>
      </c>
      <c r="D73" s="49" t="s">
        <v>2854</v>
      </c>
      <c r="E73" s="49" t="s">
        <v>3988</v>
      </c>
      <c r="F73" s="51">
        <v>46206</v>
      </c>
      <c r="G73" s="49">
        <v>60</v>
      </c>
      <c r="H73" s="49" t="s">
        <v>20</v>
      </c>
      <c r="I73" s="51">
        <v>46206</v>
      </c>
      <c r="J73" s="54">
        <f>INT(Cobros[[#This Row],[Fecha Cargo]])</f>
        <v>46206</v>
      </c>
      <c r="K73" s="54">
        <f>INT(Cobros[[#This Row],[Fecha Aplicacion]])</f>
        <v>46206</v>
      </c>
      <c r="L73" s="55">
        <f>INDEX(Clientes[Días Plazo],MATCH(Cobros[[#This Row],[Cod. Cliente]],Clientes[Codigo],0),1)</f>
        <v>0</v>
      </c>
      <c r="M73" s="45" t="str">
        <f>IF(Cobros[[#This Row],[Dias de Credito]]&lt;=0,"Contado","Credito")</f>
        <v>Contado</v>
      </c>
      <c r="N73" s="45">
        <f>Cobros[[#This Row],[Fecha Aplicación S]]-Cobros[[#This Row],[Fecha Cargo S]]</f>
        <v>0</v>
      </c>
      <c r="O73" s="45">
        <f>Cobros[[#This Row],[Dias al pago]]-Cobros[[#This Row],[Dias de Credito]]</f>
        <v>0</v>
      </c>
      <c r="P73" s="45">
        <f>SUMIFS(TablaDias[Porcentaje],TablaDias[Tipo],Cobros[[#This Row],[Tipo]],TablaDias[Desde ],"&lt;="&amp;MAX(0,Cobros[[#This Row],[Dias pasado]]),TablaDias[Hasta ],"&gt;="&amp;Cobros[[#This Row],[Dias pasado]])</f>
        <v>100</v>
      </c>
      <c r="Q73">
        <v>1</v>
      </c>
      <c r="R73">
        <f>IF(COUNTIF(PAPEL[Numero],Cobros[[#This Row],[Doc. Cargo]])&gt;0,1,0)</f>
        <v>0</v>
      </c>
      <c r="S73" s="46">
        <f t="array" ref="S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3" s="46">
        <f t="array" ref="T73">INDEX(Ventas[[Unidades]:[2]],MATCH("Gerente de Venta",Ventas[Vendedor %],0),6+Cobros[[#This Row],[Mes]])</f>
        <v>0.005</v>
      </c>
      <c r="U73" s="34">
        <f>IF(Cobros[[#This Row],[Tipo]]="Credito",IF(60&gt;=Cobros[[#This Row],[Dias al pago]],1,0),IF(Cobros[[#This Row],[Dias al pago]]&lt;=3,1,0))</f>
        <v>1</v>
      </c>
      <c r="V73" s="46">
        <f>(Cobros[[#This Row],[% A pagar Vendedor]]/100)*Cobros[[#This Row],[Valor Pagado]]*Cobros[[#This Row],[Vencido]]*(Cobros[[#This Row],[% aplicar]]/100)*IF(Cobros[[#This Row],[% A pagar Vendedor]]&gt;0,1,0)</f>
        <v>0.75</v>
      </c>
      <c r="W73" s="46">
        <f>0.5%*Cobros[[#This Row],[Valor Pagado]]</f>
        <v>0.3</v>
      </c>
    </row>
    <row r="74" spans="1:24">
      <c r="A74" s="49" t="s">
        <v>3875</v>
      </c>
      <c r="B74" s="49" t="s">
        <v>3989</v>
      </c>
      <c r="C74" s="49" t="s">
        <v>1190</v>
      </c>
      <c r="D74" s="49" t="s">
        <v>1191</v>
      </c>
      <c r="E74" s="49" t="s">
        <v>3990</v>
      </c>
      <c r="F74" s="51">
        <v>46206</v>
      </c>
      <c r="G74" s="49">
        <v>34.5</v>
      </c>
      <c r="H74" s="49" t="s">
        <v>19</v>
      </c>
      <c r="I74" s="51">
        <v>46206</v>
      </c>
      <c r="J74" s="54">
        <f>INT(Cobros[[#This Row],[Fecha Cargo]])</f>
        <v>46206</v>
      </c>
      <c r="K74" s="54">
        <f>INT(Cobros[[#This Row],[Fecha Aplicacion]])</f>
        <v>46206</v>
      </c>
      <c r="L74" s="55">
        <f>INDEX(Clientes[Días Plazo],MATCH(Cobros[[#This Row],[Cod. Cliente]],Clientes[Codigo],0),1)</f>
        <v>0</v>
      </c>
      <c r="M74" s="45" t="str">
        <f>IF(Cobros[[#This Row],[Dias de Credito]]&lt;=0,"Contado","Credito")</f>
        <v>Contado</v>
      </c>
      <c r="N74" s="45">
        <f>Cobros[[#This Row],[Fecha Aplicación S]]-Cobros[[#This Row],[Fecha Cargo S]]</f>
        <v>0</v>
      </c>
      <c r="O74" s="45">
        <f>Cobros[[#This Row],[Dias al pago]]-Cobros[[#This Row],[Dias de Credito]]</f>
        <v>0</v>
      </c>
      <c r="P74" s="45">
        <f>SUMIFS(TablaDias[Porcentaje],TablaDias[Tipo],Cobros[[#This Row],[Tipo]],TablaDias[Desde ],"&lt;="&amp;MAX(0,Cobros[[#This Row],[Dias pasado]]),TablaDias[Hasta ],"&gt;="&amp;Cobros[[#This Row],[Dias pasado]])</f>
        <v>100</v>
      </c>
      <c r="Q7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">
        <f>IF(COUNTIF(PAPEL[Numero],Cobros[[#This Row],[Doc. Cargo]])&gt;0,1,0)</f>
        <v>0</v>
      </c>
      <c r="S74" s="46">
        <f t="array" ref="S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4" s="46">
        <f t="array" ref="T74">INDEX(Ventas[[Unidades]:[2]],MATCH("Gerente de Venta",Ventas[Vendedor %],0),6+Cobros[[#This Row],[Mes]])</f>
        <v>0.005</v>
      </c>
      <c r="U74" s="34">
        <f>IF(Cobros[[#This Row],[Tipo]]="Credito",IF(60&gt;=Cobros[[#This Row],[Dias al pago]],1,0),IF(Cobros[[#This Row],[Dias al pago]]&lt;=3,1,0))</f>
        <v>1</v>
      </c>
      <c r="V74" s="46">
        <f>(Cobros[[#This Row],[% A pagar Vendedor]]/100)*Cobros[[#This Row],[Valor Pagado]]*Cobros[[#This Row],[Vencido]]*(Cobros[[#This Row],[% aplicar]]/100)*IF(Cobros[[#This Row],[% A pagar Vendedor]]&gt;0,1,0)</f>
        <v>0.43125</v>
      </c>
      <c r="W74" s="46">
        <f>0.5%*Cobros[[#This Row],[Valor Pagado]]</f>
        <v>0.1725</v>
      </c>
      <c r="X74" s="60"/>
    </row>
    <row r="75" spans="1:23">
      <c r="A75" s="49" t="s">
        <v>3860</v>
      </c>
      <c r="B75" s="49" t="s">
        <v>3991</v>
      </c>
      <c r="C75" s="49" t="s">
        <v>2060</v>
      </c>
      <c r="D75" s="49" t="s">
        <v>2061</v>
      </c>
      <c r="E75" s="49" t="s">
        <v>3992</v>
      </c>
      <c r="F75" s="51">
        <v>46181</v>
      </c>
      <c r="G75" s="49">
        <v>144</v>
      </c>
      <c r="H75" s="49" t="s">
        <v>18</v>
      </c>
      <c r="I75" s="51">
        <v>46206</v>
      </c>
      <c r="J75" s="54">
        <f>INT(Cobros[[#This Row],[Fecha Cargo]])</f>
        <v>46181</v>
      </c>
      <c r="K75" s="54">
        <f>INT(Cobros[[#This Row],[Fecha Aplicacion]])</f>
        <v>46206</v>
      </c>
      <c r="L75" s="55" t="str">
        <f>INDEX(Clientes[Días Plazo],MATCH(Cobros[[#This Row],[Cod. Cliente]],Clientes[Codigo],0),1)</f>
        <v>15</v>
      </c>
      <c r="M75" s="45" t="str">
        <f>IF(Cobros[[#This Row],[Dias de Credito]]&lt;=0,"Contado","Credito")</f>
        <v>Credito</v>
      </c>
      <c r="N75" s="45">
        <f>Cobros[[#This Row],[Fecha Aplicación S]]-Cobros[[#This Row],[Fecha Cargo S]]</f>
        <v>25</v>
      </c>
      <c r="O75" s="45">
        <f>Cobros[[#This Row],[Dias al pago]]-Cobros[[#This Row],[Dias de Credito]]</f>
        <v>10</v>
      </c>
      <c r="P75" s="45">
        <f>SUMIFS(TablaDias[Porcentaje],TablaDias[Tipo],Cobros[[#This Row],[Tipo]],TablaDias[Desde ],"&lt;="&amp;MAX(0,Cobros[[#This Row],[Dias pasado]]),TablaDias[Hasta ],"&gt;="&amp;Cobros[[#This Row],[Dias pasado]])</f>
        <v>100</v>
      </c>
      <c r="Q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">
        <f>IF(COUNTIF(PAPEL[Numero],Cobros[[#This Row],[Doc. Cargo]])&gt;0,1,0)</f>
        <v>0</v>
      </c>
      <c r="S75" s="46">
        <f t="array" ref="S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5" s="46">
        <f t="array" ref="T75">INDEX(Ventas[[Unidades]:[2]],MATCH("Gerente de Venta",Ventas[Vendedor %],0),6+Cobros[[#This Row],[Mes]])</f>
        <v>0.005</v>
      </c>
      <c r="U75" s="34">
        <f>IF(Cobros[[#This Row],[Tipo]]="Credito",IF(60&gt;=Cobros[[#This Row],[Dias al pago]],1,0),IF(Cobros[[#This Row],[Dias al pago]]&lt;=3,1,0))</f>
        <v>1</v>
      </c>
      <c r="V75" s="46">
        <f>(Cobros[[#This Row],[% A pagar Vendedor]]/100)*Cobros[[#This Row],[Valor Pagado]]*Cobros[[#This Row],[Vencido]]*(Cobros[[#This Row],[% aplicar]]/100)*IF(Cobros[[#This Row],[% A pagar Vendedor]]&gt;0,1,0)</f>
        <v>1.44</v>
      </c>
      <c r="W75" s="46">
        <f>0.5%*Cobros[[#This Row],[Valor Pagado]]</f>
        <v>0.72</v>
      </c>
    </row>
    <row r="76" spans="1:23">
      <c r="A76" s="49" t="s">
        <v>3860</v>
      </c>
      <c r="B76" s="49" t="s">
        <v>3993</v>
      </c>
      <c r="C76" s="49" t="s">
        <v>731</v>
      </c>
      <c r="D76" s="49" t="s">
        <v>732</v>
      </c>
      <c r="E76" s="49" t="s">
        <v>3986</v>
      </c>
      <c r="F76" s="51">
        <v>46178</v>
      </c>
      <c r="G76" s="49">
        <v>670</v>
      </c>
      <c r="H76" s="49" t="s">
        <v>20</v>
      </c>
      <c r="I76" s="51">
        <v>46206</v>
      </c>
      <c r="J76" s="54">
        <f>INT(Cobros[[#This Row],[Fecha Cargo]])</f>
        <v>46178</v>
      </c>
      <c r="K76" s="54">
        <f>INT(Cobros[[#This Row],[Fecha Aplicacion]])</f>
        <v>46206</v>
      </c>
      <c r="L76" s="55" t="str">
        <f>INDEX(Clientes[Días Plazo],MATCH(Cobros[[#This Row],[Cod. Cliente]],Clientes[Codigo],0),1)</f>
        <v>21</v>
      </c>
      <c r="M76" s="45" t="str">
        <f>IF(Cobros[[#This Row],[Dias de Credito]]&lt;=0,"Contado","Credito")</f>
        <v>Credito</v>
      </c>
      <c r="N76" s="45">
        <f>Cobros[[#This Row],[Fecha Aplicación S]]-Cobros[[#This Row],[Fecha Cargo S]]</f>
        <v>28</v>
      </c>
      <c r="O76" s="45">
        <f>Cobros[[#This Row],[Dias al pago]]-Cobros[[#This Row],[Dias de Credito]]</f>
        <v>7</v>
      </c>
      <c r="P76" s="45">
        <f>SUMIFS(TablaDias[Porcentaje],TablaDias[Tipo],Cobros[[#This Row],[Tipo]],TablaDias[Desde ],"&lt;="&amp;MAX(0,Cobros[[#This Row],[Dias pasado]]),TablaDias[Hasta ],"&gt;="&amp;Cobros[[#This Row],[Dias pasado]])</f>
        <v>100</v>
      </c>
      <c r="Q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6">
        <f>IF(COUNTIF(PAPEL[Numero],Cobros[[#This Row],[Doc. Cargo]])&gt;0,1,0)</f>
        <v>0</v>
      </c>
      <c r="S76" s="46">
        <f t="array" ref="S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" s="46">
        <f t="array" ref="T76">INDEX(Ventas[[Unidades]:[2]],MATCH("Gerente de Venta",Ventas[Vendedor %],0),6+Cobros[[#This Row],[Mes]])</f>
        <v>0.005</v>
      </c>
      <c r="U76" s="34">
        <f>IF(Cobros[[#This Row],[Tipo]]="Credito",IF(60&gt;=Cobros[[#This Row],[Dias al pago]],1,0),IF(Cobros[[#This Row],[Dias al pago]]&lt;=3,1,0))</f>
        <v>1</v>
      </c>
      <c r="V76" s="46">
        <f>(Cobros[[#This Row],[% A pagar Vendedor]]/100)*Cobros[[#This Row],[Valor Pagado]]*Cobros[[#This Row],[Vencido]]*(Cobros[[#This Row],[% aplicar]]/100)*IF(Cobros[[#This Row],[% A pagar Vendedor]]&gt;0,1,0)</f>
        <v>8.375</v>
      </c>
      <c r="W76" s="46">
        <f>0.5%*Cobros[[#This Row],[Valor Pagado]]</f>
        <v>3.35</v>
      </c>
    </row>
    <row r="77" spans="1:24">
      <c r="A77" s="49" t="s">
        <v>3860</v>
      </c>
      <c r="B77" s="49" t="s">
        <v>3993</v>
      </c>
      <c r="C77" s="49" t="s">
        <v>731</v>
      </c>
      <c r="D77" s="49" t="s">
        <v>732</v>
      </c>
      <c r="E77" s="49" t="s">
        <v>3994</v>
      </c>
      <c r="F77" s="51">
        <v>46181</v>
      </c>
      <c r="G77" s="49">
        <v>129.5</v>
      </c>
      <c r="H77" s="49" t="s">
        <v>20</v>
      </c>
      <c r="I77" s="51">
        <v>46206</v>
      </c>
      <c r="J77" s="54">
        <f>INT(Cobros[[#This Row],[Fecha Cargo]])</f>
        <v>46181</v>
      </c>
      <c r="K77" s="54">
        <f>INT(Cobros[[#This Row],[Fecha Aplicacion]])</f>
        <v>46206</v>
      </c>
      <c r="L77" s="55" t="str">
        <f>INDEX(Clientes[Días Plazo],MATCH(Cobros[[#This Row],[Cod. Cliente]],Clientes[Codigo],0),1)</f>
        <v>21</v>
      </c>
      <c r="M77" s="45" t="str">
        <f>IF(Cobros[[#This Row],[Dias de Credito]]&lt;=0,"Contado","Credito")</f>
        <v>Credito</v>
      </c>
      <c r="N77" s="45">
        <f>Cobros[[#This Row],[Fecha Aplicación S]]-Cobros[[#This Row],[Fecha Cargo S]]</f>
        <v>25</v>
      </c>
      <c r="O77" s="45">
        <f>Cobros[[#This Row],[Dias al pago]]-Cobros[[#This Row],[Dias de Credito]]</f>
        <v>4</v>
      </c>
      <c r="P77" s="45">
        <f>SUMIFS(TablaDias[Porcentaje],TablaDias[Tipo],Cobros[[#This Row],[Tipo]],TablaDias[Desde ],"&lt;="&amp;MAX(0,Cobros[[#This Row],[Dias pasado]]),TablaDias[Hasta ],"&gt;="&amp;Cobros[[#This Row],[Dias pasado]])</f>
        <v>100</v>
      </c>
      <c r="Q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7">
        <f>IF(COUNTIF(PAPEL[Numero],Cobros[[#This Row],[Doc. Cargo]])&gt;0,1,0)</f>
        <v>0</v>
      </c>
      <c r="S77" s="46">
        <f t="array" ref="S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" s="46">
        <f t="array" ref="T77">INDEX(Ventas[[Unidades]:[2]],MATCH("Gerente de Venta",Ventas[Vendedor %],0),6+Cobros[[#This Row],[Mes]])</f>
        <v>0.005</v>
      </c>
      <c r="U77" s="34">
        <f>IF(Cobros[[#This Row],[Tipo]]="Credito",IF(60&gt;=Cobros[[#This Row],[Dias al pago]],1,0),IF(Cobros[[#This Row],[Dias al pago]]&lt;=3,1,0))</f>
        <v>1</v>
      </c>
      <c r="V77" s="46">
        <f>(Cobros[[#This Row],[% A pagar Vendedor]]/100)*Cobros[[#This Row],[Valor Pagado]]*Cobros[[#This Row],[Vencido]]*(Cobros[[#This Row],[% aplicar]]/100)*IF(Cobros[[#This Row],[% A pagar Vendedor]]&gt;0,1,0)</f>
        <v>1.61875</v>
      </c>
      <c r="W77" s="46">
        <f>0.5%*Cobros[[#This Row],[Valor Pagado]]</f>
        <v>0.6475</v>
      </c>
      <c r="X77" s="34"/>
    </row>
    <row r="78" spans="1:23">
      <c r="A78" s="49" t="s">
        <v>3860</v>
      </c>
      <c r="B78" s="49" t="s">
        <v>3995</v>
      </c>
      <c r="C78" s="49" t="s">
        <v>1756</v>
      </c>
      <c r="D78" s="49" t="s">
        <v>1757</v>
      </c>
      <c r="E78" s="49" t="s">
        <v>3996</v>
      </c>
      <c r="F78" s="51">
        <v>46192</v>
      </c>
      <c r="G78" s="49">
        <v>8.97</v>
      </c>
      <c r="H78" s="49" t="s">
        <v>19</v>
      </c>
      <c r="I78" s="51">
        <v>46206</v>
      </c>
      <c r="J78" s="54">
        <f>INT(Cobros[[#This Row],[Fecha Cargo]])</f>
        <v>46192</v>
      </c>
      <c r="K78" s="54">
        <f>INT(Cobros[[#This Row],[Fecha Aplicacion]])</f>
        <v>46206</v>
      </c>
      <c r="L78" s="55" t="str">
        <f>INDEX(Clientes[Días Plazo],MATCH(Cobros[[#This Row],[Cod. Cliente]],Clientes[Codigo],0),1)</f>
        <v>7</v>
      </c>
      <c r="M78" s="45" t="str">
        <f>IF(Cobros[[#This Row],[Dias de Credito]]&lt;=0,"Contado","Credito")</f>
        <v>Credito</v>
      </c>
      <c r="N78" s="45">
        <f>Cobros[[#This Row],[Fecha Aplicación S]]-Cobros[[#This Row],[Fecha Cargo S]]</f>
        <v>14</v>
      </c>
      <c r="O78" s="45">
        <f>Cobros[[#This Row],[Dias al pago]]-Cobros[[#This Row],[Dias de Credito]]</f>
        <v>7</v>
      </c>
      <c r="P78" s="45">
        <f>SUMIFS(TablaDias[Porcentaje],TablaDias[Tipo],Cobros[[#This Row],[Tipo]],TablaDias[Desde ],"&lt;="&amp;MAX(0,Cobros[[#This Row],[Dias pasado]]),TablaDias[Hasta ],"&gt;="&amp;Cobros[[#This Row],[Dias pasado]])</f>
        <v>100</v>
      </c>
      <c r="Q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8">
        <f>IF(COUNTIF(PAPEL[Numero],Cobros[[#This Row],[Doc. Cargo]])&gt;0,1,0)</f>
        <v>0</v>
      </c>
      <c r="S78" s="46">
        <f t="array" ref="S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8" s="46">
        <f t="array" ref="T78">INDEX(Ventas[[Unidades]:[2]],MATCH("Gerente de Venta",Ventas[Vendedor %],0),6+Cobros[[#This Row],[Mes]])</f>
        <v>0.005</v>
      </c>
      <c r="U78" s="34">
        <f>IF(Cobros[[#This Row],[Tipo]]="Credito",IF(60&gt;=Cobros[[#This Row],[Dias al pago]],1,0),IF(Cobros[[#This Row],[Dias al pago]]&lt;=3,1,0))</f>
        <v>1</v>
      </c>
      <c r="V78" s="46">
        <f>(Cobros[[#This Row],[% A pagar Vendedor]]/100)*Cobros[[#This Row],[Valor Pagado]]*Cobros[[#This Row],[Vencido]]*(Cobros[[#This Row],[% aplicar]]/100)*IF(Cobros[[#This Row],[% A pagar Vendedor]]&gt;0,1,0)</f>
        <v>0.112125</v>
      </c>
      <c r="W78" s="46">
        <f>0.5%*Cobros[[#This Row],[Valor Pagado]]</f>
        <v>0.04485</v>
      </c>
    </row>
    <row r="79" spans="1:23">
      <c r="A79" s="49" t="s">
        <v>3860</v>
      </c>
      <c r="B79" s="49" t="s">
        <v>3995</v>
      </c>
      <c r="C79" s="49" t="s">
        <v>1756</v>
      </c>
      <c r="D79" s="49" t="s">
        <v>1757</v>
      </c>
      <c r="E79" s="49" t="s">
        <v>3997</v>
      </c>
      <c r="F79" s="51">
        <v>46192</v>
      </c>
      <c r="G79" s="49">
        <v>191.03</v>
      </c>
      <c r="H79" s="49" t="s">
        <v>19</v>
      </c>
      <c r="I79" s="51">
        <v>46206</v>
      </c>
      <c r="J79" s="54">
        <f>INT(Cobros[[#This Row],[Fecha Cargo]])</f>
        <v>46192</v>
      </c>
      <c r="K79" s="54">
        <f>INT(Cobros[[#This Row],[Fecha Aplicacion]])</f>
        <v>46206</v>
      </c>
      <c r="L79" s="55" t="str">
        <f>INDEX(Clientes[Días Plazo],MATCH(Cobros[[#This Row],[Cod. Cliente]],Clientes[Codigo],0),1)</f>
        <v>7</v>
      </c>
      <c r="M79" s="45" t="str">
        <f>IF(Cobros[[#This Row],[Dias de Credito]]&lt;=0,"Contado","Credito")</f>
        <v>Credito</v>
      </c>
      <c r="N79" s="45">
        <f>Cobros[[#This Row],[Fecha Aplicación S]]-Cobros[[#This Row],[Fecha Cargo S]]</f>
        <v>14</v>
      </c>
      <c r="O79" s="45">
        <f>Cobros[[#This Row],[Dias al pago]]-Cobros[[#This Row],[Dias de Credito]]</f>
        <v>7</v>
      </c>
      <c r="P79" s="45">
        <f>SUMIFS(TablaDias[Porcentaje],TablaDias[Tipo],Cobros[[#This Row],[Tipo]],TablaDias[Desde ],"&lt;="&amp;MAX(0,Cobros[[#This Row],[Dias pasado]]),TablaDias[Hasta ],"&gt;="&amp;Cobros[[#This Row],[Dias pasado]])</f>
        <v>100</v>
      </c>
      <c r="Q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9">
        <f>IF(COUNTIF(PAPEL[Numero],Cobros[[#This Row],[Doc. Cargo]])&gt;0,1,0)</f>
        <v>0</v>
      </c>
      <c r="S79" s="46">
        <f t="array" ref="S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9" s="46">
        <f t="array" ref="T79">INDEX(Ventas[[Unidades]:[2]],MATCH("Gerente de Venta",Ventas[Vendedor %],0),6+Cobros[[#This Row],[Mes]])</f>
        <v>0.005</v>
      </c>
      <c r="U79" s="34">
        <f>IF(Cobros[[#This Row],[Tipo]]="Credito",IF(60&gt;=Cobros[[#This Row],[Dias al pago]],1,0),IF(Cobros[[#This Row],[Dias al pago]]&lt;=3,1,0))</f>
        <v>1</v>
      </c>
      <c r="V79" s="61">
        <f>(Cobros[[#This Row],[% A pagar Vendedor]]/100)*Cobros[[#This Row],[Valor Pagado]]*Cobros[[#This Row],[Vencido]]*(Cobros[[#This Row],[% aplicar]]/100)*IF(Cobros[[#This Row],[% A pagar Vendedor]]&gt;0,1,0)</f>
        <v>2.387875</v>
      </c>
      <c r="W79" s="46">
        <f>0.5%*Cobros[[#This Row],[Valor Pagado]]</f>
        <v>0.95515</v>
      </c>
    </row>
    <row r="80" spans="1:23">
      <c r="A80" s="49" t="s">
        <v>3860</v>
      </c>
      <c r="B80" s="49" t="s">
        <v>3998</v>
      </c>
      <c r="C80" s="49" t="s">
        <v>1222</v>
      </c>
      <c r="D80" s="49" t="s">
        <v>1223</v>
      </c>
      <c r="E80" s="49" t="s">
        <v>3999</v>
      </c>
      <c r="F80" s="51">
        <v>46206</v>
      </c>
      <c r="G80" s="49">
        <v>300</v>
      </c>
      <c r="H80" s="49" t="s">
        <v>20</v>
      </c>
      <c r="I80" s="51">
        <v>46206</v>
      </c>
      <c r="J80" s="54">
        <f>INT(Cobros[[#This Row],[Fecha Cargo]])</f>
        <v>46206</v>
      </c>
      <c r="K80" s="54">
        <f>INT(Cobros[[#This Row],[Fecha Aplicacion]])</f>
        <v>46206</v>
      </c>
      <c r="L80" s="55" t="str">
        <f>INDEX(Clientes[Días Plazo],MATCH(Cobros[[#This Row],[Cod. Cliente]],Clientes[Codigo],0),1)</f>
        <v>7</v>
      </c>
      <c r="M80" s="45" t="str">
        <f>IF(Cobros[[#This Row],[Dias de Credito]]&lt;=0,"Contado","Credito")</f>
        <v>Credito</v>
      </c>
      <c r="N80" s="45">
        <f>Cobros[[#This Row],[Fecha Aplicación S]]-Cobros[[#This Row],[Fecha Cargo S]]</f>
        <v>0</v>
      </c>
      <c r="O80" s="45">
        <f>Cobros[[#This Row],[Dias al pago]]-Cobros[[#This Row],[Dias de Credito]]</f>
        <v>-7</v>
      </c>
      <c r="P80" s="45">
        <f>SUMIFS(TablaDias[Porcentaje],TablaDias[Tipo],Cobros[[#This Row],[Tipo]],TablaDias[Desde ],"&lt;="&amp;MAX(0,Cobros[[#This Row],[Dias pasado]]),TablaDias[Hasta ],"&gt;="&amp;Cobros[[#This Row],[Dias pasado]])</f>
        <v>100</v>
      </c>
      <c r="Q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">
        <f>IF(COUNTIF(PAPEL[Numero],Cobros[[#This Row],[Doc. Cargo]])&gt;0,1,0)</f>
        <v>0</v>
      </c>
      <c r="S80" s="46">
        <f t="array" ref="S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" s="46">
        <f t="array" ref="T80">INDEX(Ventas[[Unidades]:[2]],MATCH("Gerente de Venta",Ventas[Vendedor %],0),6+Cobros[[#This Row],[Mes]])</f>
        <v>0.005</v>
      </c>
      <c r="U80" s="34">
        <f>IF(Cobros[[#This Row],[Tipo]]="Credito",IF(60&gt;=Cobros[[#This Row],[Dias al pago]],1,0),IF(Cobros[[#This Row],[Dias al pago]]&lt;=3,1,0))</f>
        <v>1</v>
      </c>
      <c r="V80" s="46">
        <f>(Cobros[[#This Row],[% A pagar Vendedor]]/100)*Cobros[[#This Row],[Valor Pagado]]*Cobros[[#This Row],[Vencido]]*(Cobros[[#This Row],[% aplicar]]/100)*IF(Cobros[[#This Row],[% A pagar Vendedor]]&gt;0,1,0)</f>
        <v>3.75</v>
      </c>
      <c r="W80" s="46">
        <f>0.5%*Cobros[[#This Row],[Valor Pagado]]</f>
        <v>1.5</v>
      </c>
    </row>
    <row r="81" ht="31.5" customHeight="1" spans="1:24">
      <c r="A81" s="49" t="s">
        <v>3860</v>
      </c>
      <c r="B81" s="49" t="s">
        <v>4000</v>
      </c>
      <c r="C81" s="49" t="s">
        <v>1756</v>
      </c>
      <c r="D81" s="49" t="s">
        <v>1757</v>
      </c>
      <c r="E81" s="49" t="s">
        <v>3997</v>
      </c>
      <c r="F81" s="51">
        <v>46192</v>
      </c>
      <c r="G81" s="49">
        <v>261.67</v>
      </c>
      <c r="H81" s="49" t="s">
        <v>19</v>
      </c>
      <c r="I81" s="51">
        <v>46206</v>
      </c>
      <c r="J81" s="54">
        <f>INT(Cobros[[#This Row],[Fecha Cargo]])</f>
        <v>46192</v>
      </c>
      <c r="K81" s="54">
        <f>INT(Cobros[[#This Row],[Fecha Aplicacion]])</f>
        <v>46206</v>
      </c>
      <c r="L81" s="55" t="str">
        <f>INDEX(Clientes[Días Plazo],MATCH(Cobros[[#This Row],[Cod. Cliente]],Clientes[Codigo],0),1)</f>
        <v>7</v>
      </c>
      <c r="M81" s="45" t="str">
        <f>IF(Cobros[[#This Row],[Dias de Credito]]&lt;=0,"Contado","Credito")</f>
        <v>Credito</v>
      </c>
      <c r="N81" s="45">
        <f>Cobros[[#This Row],[Fecha Aplicación S]]-Cobros[[#This Row],[Fecha Cargo S]]</f>
        <v>14</v>
      </c>
      <c r="O81" s="45">
        <f>Cobros[[#This Row],[Dias al pago]]-Cobros[[#This Row],[Dias de Credito]]</f>
        <v>7</v>
      </c>
      <c r="P81" s="45">
        <f>SUMIFS(TablaDias[Porcentaje],TablaDias[Tipo],Cobros[[#This Row],[Tipo]],TablaDias[Desde ],"&lt;="&amp;MAX(0,Cobros[[#This Row],[Dias pasado]]),TablaDias[Hasta ],"&gt;="&amp;Cobros[[#This Row],[Dias pasado]])</f>
        <v>100</v>
      </c>
      <c r="Q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">
        <f>IF(COUNTIF(PAPEL[Numero],Cobros[[#This Row],[Doc. Cargo]])&gt;0,1,0)</f>
        <v>0</v>
      </c>
      <c r="S81" s="46">
        <f t="array" ref="S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" s="46">
        <f t="array" ref="T81">INDEX(Ventas[[Unidades]:[2]],MATCH("Gerente de Venta",Ventas[Vendedor %],0),6+Cobros[[#This Row],[Mes]])</f>
        <v>0.005</v>
      </c>
      <c r="U81" s="34">
        <f>IF(Cobros[[#This Row],[Tipo]]="Credito",IF(60&gt;=Cobros[[#This Row],[Dias al pago]],1,0),IF(Cobros[[#This Row],[Dias al pago]]&lt;=3,1,0))</f>
        <v>1</v>
      </c>
      <c r="V81" s="46">
        <f>(Cobros[[#This Row],[% A pagar Vendedor]]/100)*Cobros[[#This Row],[Valor Pagado]]*Cobros[[#This Row],[Vencido]]*(Cobros[[#This Row],[% aplicar]]/100)*IF(Cobros[[#This Row],[% A pagar Vendedor]]&gt;0,1,0)</f>
        <v>3.270875</v>
      </c>
      <c r="W81" s="46">
        <f>0.5%*Cobros[[#This Row],[Valor Pagado]]</f>
        <v>1.30835</v>
      </c>
      <c r="X81" s="34"/>
    </row>
    <row r="82" spans="1:24">
      <c r="A82" s="49" t="s">
        <v>3860</v>
      </c>
      <c r="B82" s="49" t="s">
        <v>4000</v>
      </c>
      <c r="C82" s="49" t="s">
        <v>1756</v>
      </c>
      <c r="D82" s="49" t="s">
        <v>1757</v>
      </c>
      <c r="E82" s="49" t="s">
        <v>4001</v>
      </c>
      <c r="F82" s="51">
        <v>46195</v>
      </c>
      <c r="G82" s="49">
        <v>128.33</v>
      </c>
      <c r="H82" s="49" t="s">
        <v>19</v>
      </c>
      <c r="I82" s="51">
        <v>46206</v>
      </c>
      <c r="J82" s="54">
        <f>INT(Cobros[[#This Row],[Fecha Cargo]])</f>
        <v>46195</v>
      </c>
      <c r="K82" s="54">
        <f>INT(Cobros[[#This Row],[Fecha Aplicacion]])</f>
        <v>46206</v>
      </c>
      <c r="L82" s="55" t="str">
        <f>INDEX(Clientes[Días Plazo],MATCH(Cobros[[#This Row],[Cod. Cliente]],Clientes[Codigo],0),1)</f>
        <v>7</v>
      </c>
      <c r="M82" s="45" t="str">
        <f>IF(Cobros[[#This Row],[Dias de Credito]]&lt;=0,"Contado","Credito")</f>
        <v>Credito</v>
      </c>
      <c r="N82" s="45">
        <v>-3</v>
      </c>
      <c r="O82" s="45">
        <f>Cobros[[#This Row],[Dias al pago]]-Cobros[[#This Row],[Dias de Credito]]</f>
        <v>-10</v>
      </c>
      <c r="P82" s="45">
        <f>SUMIFS(TablaDias[Porcentaje],TablaDias[Tipo],Cobros[[#This Row],[Tipo]],TablaDias[Desde ],"&lt;="&amp;MAX(0,Cobros[[#This Row],[Dias pasado]]),TablaDias[Hasta ],"&gt;="&amp;Cobros[[#This Row],[Dias pasado]])</f>
        <v>100</v>
      </c>
      <c r="Q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2">
        <f>IF(COUNTIF(PAPEL[Numero],Cobros[[#This Row],[Doc. Cargo]])&gt;0,1,0)</f>
        <v>0</v>
      </c>
      <c r="S82" s="46">
        <f t="array" ref="S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2" s="46">
        <f t="array" ref="T82">INDEX(Ventas[[Unidades]:[2]],MATCH("Gerente de Venta",Ventas[Vendedor %],0),6+Cobros[[#This Row],[Mes]])</f>
        <v>0.005</v>
      </c>
      <c r="U82" s="34">
        <f>IF(Cobros[[#This Row],[Tipo]]="Credito",IF(60&gt;=Cobros[[#This Row],[Dias al pago]],1,0),IF(Cobros[[#This Row],[Dias al pago]]&lt;=3,1,0))</f>
        <v>1</v>
      </c>
      <c r="V82" s="46">
        <f>(Cobros[[#This Row],[% A pagar Vendedor]]/100)*Cobros[[#This Row],[Valor Pagado]]*Cobros[[#This Row],[Vencido]]*(Cobros[[#This Row],[% aplicar]]/100)*IF(Cobros[[#This Row],[% A pagar Vendedor]]&gt;0,1,0)</f>
        <v>1.604125</v>
      </c>
      <c r="W82" s="46">
        <f>0.5%*Cobros[[#This Row],[Valor Pagado]]</f>
        <v>0.64165</v>
      </c>
      <c r="X82" s="60"/>
    </row>
    <row r="83" ht="30" spans="1:24">
      <c r="A83" s="49" t="s">
        <v>3931</v>
      </c>
      <c r="B83" s="49" t="s">
        <v>4002</v>
      </c>
      <c r="C83" s="49" t="s">
        <v>3182</v>
      </c>
      <c r="D83" s="49" t="s">
        <v>4003</v>
      </c>
      <c r="E83" s="49" t="s">
        <v>4004</v>
      </c>
      <c r="F83" s="51">
        <v>46157</v>
      </c>
      <c r="G83" s="49">
        <v>1500</v>
      </c>
      <c r="H83" s="49" t="s">
        <v>1355</v>
      </c>
      <c r="I83" s="51">
        <v>46206</v>
      </c>
      <c r="J83" s="54">
        <f>INT(Cobros[[#This Row],[Fecha Cargo]])</f>
        <v>46157</v>
      </c>
      <c r="K83" s="54">
        <f>INT(Cobros[[#This Row],[Fecha Aplicacion]])</f>
        <v>46206</v>
      </c>
      <c r="L83" s="55">
        <f>INDEX(Clientes[Días Plazo],MATCH(Cobros[[#This Row],[Cod. Cliente]],Clientes[Codigo],0),1)</f>
        <v>30</v>
      </c>
      <c r="M83" s="45" t="str">
        <f>IF(Cobros[[#This Row],[Dias de Credito]]&lt;=0,"Contado","Credito")</f>
        <v>Credito</v>
      </c>
      <c r="N83" s="45">
        <f>Cobros[[#This Row],[Fecha Aplicación S]]-Cobros[[#This Row],[Fecha Cargo S]]</f>
        <v>49</v>
      </c>
      <c r="O83" s="45">
        <f>Cobros[[#This Row],[Dias al pago]]-Cobros[[#This Row],[Dias de Credito]]</f>
        <v>19</v>
      </c>
      <c r="P83" s="45">
        <f>SUMIFS(TablaDias[Porcentaje],TablaDias[Tipo],Cobros[[#This Row],[Tipo]],TablaDias[Desde ],"&lt;="&amp;MAX(0,Cobros[[#This Row],[Dias pasado]]),TablaDias[Hasta ],"&gt;="&amp;Cobros[[#This Row],[Dias pasado]])</f>
        <v>50</v>
      </c>
      <c r="Q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83">
        <f>IF(COUNTIF(PAPEL[Numero],Cobros[[#This Row],[Doc. Cargo]])&gt;0,1,0)</f>
        <v>0</v>
      </c>
      <c r="S83" s="46">
        <v>1</v>
      </c>
      <c r="T83" s="46">
        <f t="array" ref="T83">INDEX(Ventas[[Unidades]:[2]],MATCH("Gerente de Venta",Ventas[Vendedor %],0),6+Cobros[[#This Row],[Mes]])</f>
        <v>0.005</v>
      </c>
      <c r="U83" s="34">
        <f>IF(Cobros[[#This Row],[Tipo]]="Credito",IF(60&gt;=Cobros[[#This Row],[Dias al pago]],1,0),IF(Cobros[[#This Row],[Dias al pago]]&lt;=3,1,0))</f>
        <v>1</v>
      </c>
      <c r="V83" s="46">
        <f>(Cobros[[#This Row],[% A pagar Vendedor]]/100)*Cobros[[#This Row],[Valor Pagado]]*Cobros[[#This Row],[Vencido]]*(Cobros[[#This Row],[% aplicar]]/100)*IF(Cobros[[#This Row],[% A pagar Vendedor]]&gt;0,1,0)</f>
        <v>7.5</v>
      </c>
      <c r="W83" s="46">
        <f>0.5%*Cobros[[#This Row],[Valor Pagado]]</f>
        <v>7.5</v>
      </c>
      <c r="X83" s="60"/>
    </row>
    <row r="84" ht="30" spans="1:24">
      <c r="A84" s="49" t="s">
        <v>3931</v>
      </c>
      <c r="B84" s="49" t="s">
        <v>4002</v>
      </c>
      <c r="C84" s="49" t="s">
        <v>3182</v>
      </c>
      <c r="D84" s="49" t="s">
        <v>4003</v>
      </c>
      <c r="E84" s="49" t="s">
        <v>4005</v>
      </c>
      <c r="F84" s="51">
        <v>46157</v>
      </c>
      <c r="G84" s="49">
        <v>5806.98</v>
      </c>
      <c r="H84" s="49" t="s">
        <v>1355</v>
      </c>
      <c r="I84" s="51">
        <v>46206</v>
      </c>
      <c r="J84" s="54">
        <f>INT(Cobros[[#This Row],[Fecha Cargo]])</f>
        <v>46157</v>
      </c>
      <c r="K84" s="54">
        <f>INT(Cobros[[#This Row],[Fecha Aplicacion]])</f>
        <v>46206</v>
      </c>
      <c r="L84" s="55">
        <f>INDEX(Clientes[Días Plazo],MATCH(Cobros[[#This Row],[Cod. Cliente]],Clientes[Codigo],0),1)</f>
        <v>30</v>
      </c>
      <c r="M84" s="45" t="str">
        <f>IF(Cobros[[#This Row],[Dias de Credito]]&lt;=0,"Contado","Credito")</f>
        <v>Credito</v>
      </c>
      <c r="N84" s="45">
        <f>Cobros[[#This Row],[Fecha Aplicación S]]-Cobros[[#This Row],[Fecha Cargo S]]</f>
        <v>49</v>
      </c>
      <c r="O84" s="45">
        <f>Cobros[[#This Row],[Dias al pago]]-Cobros[[#This Row],[Dias de Credito]]</f>
        <v>19</v>
      </c>
      <c r="P84" s="45">
        <f>SUMIFS(TablaDias[Porcentaje],TablaDias[Tipo],Cobros[[#This Row],[Tipo]],TablaDias[Desde ],"&lt;="&amp;MAX(0,Cobros[[#This Row],[Dias pasado]]),TablaDias[Hasta ],"&gt;="&amp;Cobros[[#This Row],[Dias pasado]])</f>
        <v>50</v>
      </c>
      <c r="Q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84">
        <f>IF(COUNTIF(PAPEL[Numero],Cobros[[#This Row],[Doc. Cargo]])&gt;0,1,0)</f>
        <v>0</v>
      </c>
      <c r="S84" s="46">
        <v>1</v>
      </c>
      <c r="T84" s="46">
        <f t="array" ref="T84">INDEX(Ventas[[Unidades]:[2]],MATCH("Gerente de Venta",Ventas[Vendedor %],0),6+Cobros[[#This Row],[Mes]])</f>
        <v>0.005</v>
      </c>
      <c r="U84" s="34">
        <f>IF(Cobros[[#This Row],[Tipo]]="Credito",IF(60&gt;=Cobros[[#This Row],[Dias al pago]],1,0),IF(Cobros[[#This Row],[Dias al pago]]&lt;=3,1,0))</f>
        <v>1</v>
      </c>
      <c r="V84" s="46">
        <f>(Cobros[[#This Row],[% A pagar Vendedor]]/100)*Cobros[[#This Row],[Valor Pagado]]*Cobros[[#This Row],[Vencido]]*(Cobros[[#This Row],[% aplicar]]/100)*IF(Cobros[[#This Row],[% A pagar Vendedor]]&gt;0,1,0)</f>
        <v>29.0349</v>
      </c>
      <c r="W84" s="46">
        <f>0.5%*Cobros[[#This Row],[Valor Pagado]]</f>
        <v>29.0349</v>
      </c>
      <c r="X84" s="60"/>
    </row>
    <row r="85" spans="1:24">
      <c r="A85" s="49" t="s">
        <v>3931</v>
      </c>
      <c r="B85" s="49" t="s">
        <v>4006</v>
      </c>
      <c r="C85" s="49" t="s">
        <v>1055</v>
      </c>
      <c r="D85" s="49" t="s">
        <v>1056</v>
      </c>
      <c r="E85" s="49" t="s">
        <v>4007</v>
      </c>
      <c r="F85" s="51">
        <v>46205</v>
      </c>
      <c r="G85" s="49">
        <v>349</v>
      </c>
      <c r="H85" s="49" t="s">
        <v>20</v>
      </c>
      <c r="I85" s="51">
        <v>46206</v>
      </c>
      <c r="J85" s="54">
        <f>INT(Cobros[[#This Row],[Fecha Cargo]])</f>
        <v>46205</v>
      </c>
      <c r="K85" s="54">
        <f>INT(Cobros[[#This Row],[Fecha Aplicacion]])</f>
        <v>46206</v>
      </c>
      <c r="L85" s="55" t="str">
        <f>INDEX(Clientes[Días Plazo],MATCH(Cobros[[#This Row],[Cod. Cliente]],Clientes[Codigo],0),1)</f>
        <v>3</v>
      </c>
      <c r="M85" s="45" t="str">
        <f>IF(Cobros[[#This Row],[Dias de Credito]]&lt;=0,"Contado","Credito")</f>
        <v>Credito</v>
      </c>
      <c r="N85" s="45">
        <f>Cobros[[#This Row],[Fecha Aplicación S]]-Cobros[[#This Row],[Fecha Cargo S]]</f>
        <v>1</v>
      </c>
      <c r="O85" s="45">
        <f>Cobros[[#This Row],[Dias al pago]]-Cobros[[#This Row],[Dias de Credito]]</f>
        <v>-2</v>
      </c>
      <c r="P85" s="45">
        <f>SUMIFS(TablaDias[Porcentaje],TablaDias[Tipo],Cobros[[#This Row],[Tipo]],TablaDias[Desde ],"&lt;="&amp;MAX(0,Cobros[[#This Row],[Dias pasado]]),TablaDias[Hasta ],"&gt;="&amp;Cobros[[#This Row],[Dias pasado]])</f>
        <v>100</v>
      </c>
      <c r="Q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">
        <f>IF(COUNTIF(PAPEL[Numero],Cobros[[#This Row],[Doc. Cargo]])&gt;0,1,0)</f>
        <v>0</v>
      </c>
      <c r="S85" s="46">
        <f t="array" ref="S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5" s="46">
        <f t="array" ref="T85">INDEX(Ventas[[Unidades]:[2]],MATCH("Gerente de Venta",Ventas[Vendedor %],0),6+Cobros[[#This Row],[Mes]])</f>
        <v>0.005</v>
      </c>
      <c r="U85" s="34">
        <f>IF(Cobros[[#This Row],[Tipo]]="Credito",IF(60&gt;=Cobros[[#This Row],[Dias al pago]],1,0),IF(Cobros[[#This Row],[Dias al pago]]&lt;=3,1,0))</f>
        <v>1</v>
      </c>
      <c r="V85" s="46">
        <f>(Cobros[[#This Row],[% A pagar Vendedor]]/100)*Cobros[[#This Row],[Valor Pagado]]*Cobros[[#This Row],[Vencido]]*(Cobros[[#This Row],[% aplicar]]/100)*IF(Cobros[[#This Row],[% A pagar Vendedor]]&gt;0,1,0)</f>
        <v>4.3625</v>
      </c>
      <c r="W85" s="46">
        <f>0.5%*Cobros[[#This Row],[Valor Pagado]]</f>
        <v>1.745</v>
      </c>
      <c r="X85" s="34"/>
    </row>
    <row r="86" ht="30" spans="1:23">
      <c r="A86" s="49" t="s">
        <v>3931</v>
      </c>
      <c r="B86" s="49" t="s">
        <v>4008</v>
      </c>
      <c r="C86" s="49" t="s">
        <v>2318</v>
      </c>
      <c r="D86" s="49" t="s">
        <v>2319</v>
      </c>
      <c r="E86" s="49" t="s">
        <v>3866</v>
      </c>
      <c r="F86" s="51">
        <v>46181</v>
      </c>
      <c r="G86" s="49">
        <v>3000</v>
      </c>
      <c r="H86" s="49" t="s">
        <v>3865</v>
      </c>
      <c r="I86" s="51">
        <v>46206</v>
      </c>
      <c r="J86" s="54">
        <f>INT(Cobros[[#This Row],[Fecha Cargo]])</f>
        <v>46181</v>
      </c>
      <c r="K86" s="54">
        <f>INT(Cobros[[#This Row],[Fecha Aplicacion]])</f>
        <v>46206</v>
      </c>
      <c r="L86" s="55" t="str">
        <f>INDEX(Clientes[Días Plazo],MATCH(Cobros[[#This Row],[Cod. Cliente]],Clientes[Codigo],0),1)</f>
        <v>15</v>
      </c>
      <c r="M86" s="45" t="str">
        <f>IF(Cobros[[#This Row],[Dias de Credito]]&lt;=0,"Contado","Credito")</f>
        <v>Credito</v>
      </c>
      <c r="N86" s="45">
        <f>Cobros[[#This Row],[Fecha Aplicación S]]-Cobros[[#This Row],[Fecha Cargo S]]</f>
        <v>25</v>
      </c>
      <c r="O86" s="45">
        <f>Cobros[[#This Row],[Dias al pago]]-Cobros[[#This Row],[Dias de Credito]]</f>
        <v>10</v>
      </c>
      <c r="P86" s="45">
        <f>SUMIFS(TablaDias[Porcentaje],TablaDias[Tipo],Cobros[[#This Row],[Tipo]],TablaDias[Desde ],"&lt;="&amp;MAX(0,Cobros[[#This Row],[Dias pasado]]),TablaDias[Hasta ],"&gt;="&amp;Cobros[[#This Row],[Dias pasado]])</f>
        <v>100</v>
      </c>
      <c r="Q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6">
        <f>IF(COUNTIF(PAPEL[Numero],Cobros[[#This Row],[Doc. Cargo]])&gt;0,1,0)</f>
        <v>0</v>
      </c>
      <c r="S86" s="46">
        <v>1</v>
      </c>
      <c r="T86" s="46">
        <f t="array" ref="T86">INDEX(Ventas[[Unidades]:[2]],MATCH("Gerente de Venta",Ventas[Vendedor %],0),6+Cobros[[#This Row],[Mes]])</f>
        <v>0.005</v>
      </c>
      <c r="U86" s="34">
        <f>IF(Cobros[[#This Row],[Tipo]]="Credito",IF(60&gt;=Cobros[[#This Row],[Dias al pago]],1,0),IF(Cobros[[#This Row],[Dias al pago]]&lt;=3,1,0))</f>
        <v>1</v>
      </c>
      <c r="V86" s="46">
        <f>(Cobros[[#This Row],[% A pagar Vendedor]]/100)*Cobros[[#This Row],[Valor Pagado]]*Cobros[[#This Row],[Vencido]]*(Cobros[[#This Row],[% aplicar]]/100)*IF(Cobros[[#This Row],[% A pagar Vendedor]]&gt;0,1,0)</f>
        <v>30</v>
      </c>
      <c r="W86" s="46">
        <f>0.5%*Cobros[[#This Row],[Valor Pagado]]</f>
        <v>15</v>
      </c>
    </row>
    <row r="87" ht="30" spans="1:24">
      <c r="A87" s="49" t="s">
        <v>3860</v>
      </c>
      <c r="B87" s="49" t="s">
        <v>4009</v>
      </c>
      <c r="C87" s="49" t="s">
        <v>2525</v>
      </c>
      <c r="D87" s="49" t="s">
        <v>2526</v>
      </c>
      <c r="E87" s="49" t="s">
        <v>4010</v>
      </c>
      <c r="F87" s="51">
        <v>46206</v>
      </c>
      <c r="G87" s="49">
        <v>118.3</v>
      </c>
      <c r="H87" s="49" t="s">
        <v>22</v>
      </c>
      <c r="I87" s="51">
        <v>46206</v>
      </c>
      <c r="J87" s="54">
        <f>INT(Cobros[[#This Row],[Fecha Cargo]])</f>
        <v>46206</v>
      </c>
      <c r="K87" s="54">
        <f>INT(Cobros[[#This Row],[Fecha Aplicacion]])</f>
        <v>46206</v>
      </c>
      <c r="L87" s="55">
        <f>INDEX(Clientes[Días Plazo],MATCH(Cobros[[#This Row],[Cod. Cliente]],Clientes[Codigo],0),1)</f>
        <v>0</v>
      </c>
      <c r="M87" s="45" t="str">
        <f>IF(Cobros[[#This Row],[Dias de Credito]]&lt;=0,"Contado","Credito")</f>
        <v>Contado</v>
      </c>
      <c r="N87" s="45">
        <f>Cobros[[#This Row],[Fecha Aplicación S]]-Cobros[[#This Row],[Fecha Cargo S]]</f>
        <v>0</v>
      </c>
      <c r="O87" s="45">
        <f>Cobros[[#This Row],[Dias al pago]]-Cobros[[#This Row],[Dias de Credito]]</f>
        <v>0</v>
      </c>
      <c r="P87" s="45">
        <f>SUMIFS(TablaDias[Porcentaje],TablaDias[Tipo],Cobros[[#This Row],[Tipo]],TablaDias[Desde ],"&lt;="&amp;MAX(0,Cobros[[#This Row],[Dias pasado]]),TablaDias[Hasta ],"&gt;="&amp;Cobros[[#This Row],[Dias pasado]])</f>
        <v>100</v>
      </c>
      <c r="Q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">
        <f>IF(COUNTIF(PAPEL[Numero],Cobros[[#This Row],[Doc. Cargo]])&gt;0,1,0)</f>
        <v>0</v>
      </c>
      <c r="S87" s="46">
        <f t="array" ref="S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7" s="46">
        <f t="array" ref="T87">INDEX(Ventas[[Unidades]:[2]],MATCH("Gerente de Venta",Ventas[Vendedor %],0),6+Cobros[[#This Row],[Mes]])</f>
        <v>0.005</v>
      </c>
      <c r="U87" s="34">
        <f>IF(Cobros[[#This Row],[Tipo]]="Credito",IF(60&gt;=Cobros[[#This Row],[Dias al pago]],1,0),IF(Cobros[[#This Row],[Dias al pago]]&lt;=3,1,0))</f>
        <v>1</v>
      </c>
      <c r="V87" s="46">
        <f>(Cobros[[#This Row],[% A pagar Vendedor]]/100)*Cobros[[#This Row],[Valor Pagado]]*Cobros[[#This Row],[Vencido]]*(Cobros[[#This Row],[% aplicar]]/100)*IF(Cobros[[#This Row],[% A pagar Vendedor]]&gt;0,1,0)</f>
        <v>1.183</v>
      </c>
      <c r="W87" s="46">
        <f>0.5%*Cobros[[#This Row],[Valor Pagado]]</f>
        <v>0.5915</v>
      </c>
      <c r="X87" s="34"/>
    </row>
    <row r="88" spans="1:24">
      <c r="A88" s="49" t="s">
        <v>3860</v>
      </c>
      <c r="B88" s="49" t="s">
        <v>4011</v>
      </c>
      <c r="C88" s="49" t="s">
        <v>3602</v>
      </c>
      <c r="D88" s="49" t="s">
        <v>3603</v>
      </c>
      <c r="E88" s="49" t="s">
        <v>3901</v>
      </c>
      <c r="F88" s="51">
        <v>46181</v>
      </c>
      <c r="G88" s="49">
        <v>1182.82</v>
      </c>
      <c r="H88" s="49" t="s">
        <v>18</v>
      </c>
      <c r="I88" s="51">
        <v>46206</v>
      </c>
      <c r="J88" s="54">
        <f>INT(Cobros[[#This Row],[Fecha Cargo]])</f>
        <v>46181</v>
      </c>
      <c r="K88" s="54">
        <f>INT(Cobros[[#This Row],[Fecha Aplicacion]])</f>
        <v>46206</v>
      </c>
      <c r="L88" s="55" t="str">
        <f>INDEX(Clientes[Días Plazo],MATCH(Cobros[[#This Row],[Cod. Cliente]],Clientes[Codigo],0),1)</f>
        <v>15</v>
      </c>
      <c r="M88" s="45" t="str">
        <f>IF(Cobros[[#This Row],[Dias de Credito]]&lt;=0,"Contado","Credito")</f>
        <v>Credito</v>
      </c>
      <c r="N88" s="45">
        <f>Cobros[[#This Row],[Fecha Aplicación S]]-Cobros[[#This Row],[Fecha Cargo S]]</f>
        <v>25</v>
      </c>
      <c r="O88" s="45">
        <f>Cobros[[#This Row],[Dias al pago]]-Cobros[[#This Row],[Dias de Credito]]</f>
        <v>10</v>
      </c>
      <c r="P88" s="45">
        <f>SUMIFS(TablaDias[Porcentaje],TablaDias[Tipo],Cobros[[#This Row],[Tipo]],TablaDias[Desde ],"&lt;="&amp;MAX(0,Cobros[[#This Row],[Dias pasado]]),TablaDias[Hasta ],"&gt;="&amp;Cobros[[#This Row],[Dias pasado]])</f>
        <v>100</v>
      </c>
      <c r="Q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">
        <f>IF(COUNTIF(PAPEL[Numero],Cobros[[#This Row],[Doc. Cargo]])&gt;0,1,0)</f>
        <v>0</v>
      </c>
      <c r="S88" s="46">
        <f t="array" ref="S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" s="46">
        <f t="array" ref="T88">INDEX(Ventas[[Unidades]:[2]],MATCH("Gerente de Venta",Ventas[Vendedor %],0),6+Cobros[[#This Row],[Mes]])</f>
        <v>0.005</v>
      </c>
      <c r="U88" s="34">
        <f>IF(Cobros[[#This Row],[Tipo]]="Credito",IF(60&gt;=Cobros[[#This Row],[Dias al pago]],1,0),IF(Cobros[[#This Row],[Dias al pago]]&lt;=3,1,0))</f>
        <v>1</v>
      </c>
      <c r="V88" s="46">
        <f>(Cobros[[#This Row],[% A pagar Vendedor]]/100)*Cobros[[#This Row],[Valor Pagado]]*Cobros[[#This Row],[Vencido]]*(Cobros[[#This Row],[% aplicar]]/100)*IF(Cobros[[#This Row],[% A pagar Vendedor]]&gt;0,1,0)</f>
        <v>11.8282</v>
      </c>
      <c r="W88" s="46">
        <f>0.5%*Cobros[[#This Row],[Valor Pagado]]</f>
        <v>5.9141</v>
      </c>
      <c r="X88" s="34"/>
    </row>
    <row r="89" spans="1:24">
      <c r="A89" s="49" t="s">
        <v>3875</v>
      </c>
      <c r="B89" s="49" t="s">
        <v>4012</v>
      </c>
      <c r="C89" s="49" t="s">
        <v>2097</v>
      </c>
      <c r="D89" s="49" t="s">
        <v>2098</v>
      </c>
      <c r="E89" s="49" t="s">
        <v>4013</v>
      </c>
      <c r="F89" s="51">
        <v>46206</v>
      </c>
      <c r="G89" s="49">
        <v>110</v>
      </c>
      <c r="H89" s="49" t="s">
        <v>18</v>
      </c>
      <c r="I89" s="51">
        <v>46206</v>
      </c>
      <c r="J89" s="54">
        <f>INT(Cobros[[#This Row],[Fecha Cargo]])</f>
        <v>46206</v>
      </c>
      <c r="K89" s="54">
        <f>INT(Cobros[[#This Row],[Fecha Aplicacion]])</f>
        <v>46206</v>
      </c>
      <c r="L89" s="55">
        <f>INDEX(Clientes[Días Plazo],MATCH(Cobros[[#This Row],[Cod. Cliente]],Clientes[Codigo],0),1)</f>
        <v>0</v>
      </c>
      <c r="M89" s="45" t="str">
        <f>IF(Cobros[[#This Row],[Dias de Credito]]&lt;=0,"Contado","Credito")</f>
        <v>Contado</v>
      </c>
      <c r="N89" s="45">
        <f>Cobros[[#This Row],[Fecha Aplicación S]]-Cobros[[#This Row],[Fecha Cargo S]]</f>
        <v>0</v>
      </c>
      <c r="O89" s="45">
        <f>Cobros[[#This Row],[Dias al pago]]-Cobros[[#This Row],[Dias de Credito]]</f>
        <v>0</v>
      </c>
      <c r="P89" s="45">
        <f>SUMIFS(TablaDias[Porcentaje],TablaDias[Tipo],Cobros[[#This Row],[Tipo]],TablaDias[Desde ],"&lt;="&amp;MAX(0,Cobros[[#This Row],[Dias pasado]]),TablaDias[Hasta ],"&gt;="&amp;Cobros[[#This Row],[Dias pasado]])</f>
        <v>100</v>
      </c>
      <c r="Q89">
        <v>1</v>
      </c>
      <c r="R89">
        <f>IF(COUNTIF(PAPEL[Numero],Cobros[[#This Row],[Doc. Cargo]])&gt;0,1,0)</f>
        <v>0</v>
      </c>
      <c r="S89" s="46">
        <f t="array" ref="S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9" s="46">
        <f t="array" ref="T89">INDEX(Ventas[[Unidades]:[2]],MATCH("Gerente de Venta",Ventas[Vendedor %],0),6+Cobros[[#This Row],[Mes]])</f>
        <v>0.005</v>
      </c>
      <c r="U89" s="34">
        <f>IF(Cobros[[#This Row],[Tipo]]="Credito",IF(60&gt;=Cobros[[#This Row],[Dias al pago]],1,0),IF(Cobros[[#This Row],[Dias al pago]]&lt;=3,1,0))</f>
        <v>1</v>
      </c>
      <c r="V89" s="46">
        <f>(Cobros[[#This Row],[% A pagar Vendedor]]/100)*Cobros[[#This Row],[Valor Pagado]]*Cobros[[#This Row],[Vencido]]*(Cobros[[#This Row],[% aplicar]]/100)*IF(Cobros[[#This Row],[% A pagar Vendedor]]&gt;0,1,0)</f>
        <v>1.1</v>
      </c>
      <c r="W89" s="46">
        <f>0.5%*Cobros[[#This Row],[Valor Pagado]]</f>
        <v>0.55</v>
      </c>
      <c r="X89" s="34"/>
    </row>
    <row r="90" spans="1:23">
      <c r="A90" s="49" t="s">
        <v>3860</v>
      </c>
      <c r="B90" s="49" t="s">
        <v>4014</v>
      </c>
      <c r="C90" s="49" t="s">
        <v>2097</v>
      </c>
      <c r="D90" s="49" t="s">
        <v>2098</v>
      </c>
      <c r="E90" s="49" t="s">
        <v>4013</v>
      </c>
      <c r="F90" s="51">
        <v>46206</v>
      </c>
      <c r="G90" s="49">
        <v>105.75</v>
      </c>
      <c r="H90" s="49" t="s">
        <v>18</v>
      </c>
      <c r="I90" s="51">
        <v>46206</v>
      </c>
      <c r="J90" s="54">
        <f>INT(Cobros[[#This Row],[Fecha Cargo]])</f>
        <v>46206</v>
      </c>
      <c r="K90" s="54">
        <f>INT(Cobros[[#This Row],[Fecha Aplicacion]])</f>
        <v>46206</v>
      </c>
      <c r="L90" s="55">
        <f>INDEX(Clientes[Días Plazo],MATCH(Cobros[[#This Row],[Cod. Cliente]],Clientes[Codigo],0),1)</f>
        <v>0</v>
      </c>
      <c r="M90" s="45" t="str">
        <f>IF(Cobros[[#This Row],[Dias de Credito]]&lt;=0,"Contado","Credito")</f>
        <v>Contado</v>
      </c>
      <c r="N90" s="45">
        <f>Cobros[[#This Row],[Fecha Aplicación S]]-Cobros[[#This Row],[Fecha Cargo S]]</f>
        <v>0</v>
      </c>
      <c r="O90" s="45">
        <f>Cobros[[#This Row],[Dias al pago]]-Cobros[[#This Row],[Dias de Credito]]</f>
        <v>0</v>
      </c>
      <c r="P90" s="45">
        <f>SUMIFS(TablaDias[Porcentaje],TablaDias[Tipo],Cobros[[#This Row],[Tipo]],TablaDias[Desde ],"&lt;="&amp;MAX(0,Cobros[[#This Row],[Dias pasado]]),TablaDias[Hasta ],"&gt;="&amp;Cobros[[#This Row],[Dias pasado]])</f>
        <v>100</v>
      </c>
      <c r="Q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">
        <f>IF(COUNTIF(PAPEL[Numero],Cobros[[#This Row],[Doc. Cargo]])&gt;0,1,0)</f>
        <v>0</v>
      </c>
      <c r="S90" s="46">
        <f t="array" ref="S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" s="46">
        <f t="array" ref="T90">INDEX(Ventas[[Unidades]:[2]],MATCH("Gerente de Venta",Ventas[Vendedor %],0),6+Cobros[[#This Row],[Mes]])</f>
        <v>0.005</v>
      </c>
      <c r="U90" s="34">
        <f>IF(Cobros[[#This Row],[Tipo]]="Credito",IF(60&gt;=Cobros[[#This Row],[Dias al pago]],1,0),IF(Cobros[[#This Row],[Dias al pago]]&lt;=3,1,0))</f>
        <v>1</v>
      </c>
      <c r="V90" s="46">
        <f>(Cobros[[#This Row],[% A pagar Vendedor]]/100)*Cobros[[#This Row],[Valor Pagado]]*Cobros[[#This Row],[Vencido]]*(Cobros[[#This Row],[% aplicar]]/100)*IF(Cobros[[#This Row],[% A pagar Vendedor]]&gt;0,1,0)</f>
        <v>1.321875</v>
      </c>
      <c r="W90" s="46">
        <f>0.5%*Cobros[[#This Row],[Valor Pagado]]</f>
        <v>0.52875</v>
      </c>
    </row>
    <row r="91" spans="1:24">
      <c r="A91" s="49" t="s">
        <v>3860</v>
      </c>
      <c r="B91" s="49" t="s">
        <v>4015</v>
      </c>
      <c r="C91" s="49" t="s">
        <v>1940</v>
      </c>
      <c r="D91" s="49" t="s">
        <v>1941</v>
      </c>
      <c r="E91" s="49" t="s">
        <v>4016</v>
      </c>
      <c r="F91" s="51">
        <v>46206</v>
      </c>
      <c r="G91" s="49">
        <v>59.7</v>
      </c>
      <c r="H91" s="49" t="s">
        <v>18</v>
      </c>
      <c r="I91" s="51">
        <v>46206</v>
      </c>
      <c r="J91" s="54">
        <f>INT(Cobros[[#This Row],[Fecha Cargo]])</f>
        <v>46206</v>
      </c>
      <c r="K91" s="54">
        <f>INT(Cobros[[#This Row],[Fecha Aplicacion]])</f>
        <v>46206</v>
      </c>
      <c r="L91" s="55">
        <f>INDEX(Clientes[Días Plazo],MATCH(Cobros[[#This Row],[Cod. Cliente]],Clientes[Codigo],0),1)</f>
        <v>0</v>
      </c>
      <c r="M91" s="45" t="str">
        <f>IF(Cobros[[#This Row],[Dias de Credito]]&lt;=0,"Contado","Credito")</f>
        <v>Contado</v>
      </c>
      <c r="N91" s="45">
        <f>Cobros[[#This Row],[Fecha Aplicación S]]-Cobros[[#This Row],[Fecha Cargo S]]</f>
        <v>0</v>
      </c>
      <c r="O91" s="45">
        <f>Cobros[[#This Row],[Dias al pago]]-Cobros[[#This Row],[Dias de Credito]]</f>
        <v>0</v>
      </c>
      <c r="P91" s="45">
        <f>SUMIFS(TablaDias[Porcentaje],TablaDias[Tipo],Cobros[[#This Row],[Tipo]],TablaDias[Desde ],"&lt;="&amp;MAX(0,Cobros[[#This Row],[Dias pasado]]),TablaDias[Hasta ],"&gt;="&amp;Cobros[[#This Row],[Dias pasado]])</f>
        <v>100</v>
      </c>
      <c r="Q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">
        <f>IF(COUNTIF(PAPEL[Numero],Cobros[[#This Row],[Doc. Cargo]])&gt;0,1,0)</f>
        <v>0</v>
      </c>
      <c r="S91" s="46">
        <f t="array" ref="S9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" s="46">
        <f t="array" ref="T91">INDEX(Ventas[[Unidades]:[2]],MATCH("Gerente de Venta",Ventas[Vendedor %],0),6+Cobros[[#This Row],[Mes]])</f>
        <v>0.005</v>
      </c>
      <c r="U91" s="34">
        <f>IF(Cobros[[#This Row],[Tipo]]="Credito",IF(60&gt;=Cobros[[#This Row],[Dias al pago]],1,0),IF(Cobros[[#This Row],[Dias al pago]]&lt;=3,1,0))</f>
        <v>1</v>
      </c>
      <c r="V91" s="46">
        <f>(Cobros[[#This Row],[% A pagar Vendedor]]/100)*Cobros[[#This Row],[Valor Pagado]]*Cobros[[#This Row],[Vencido]]*(Cobros[[#This Row],[% aplicar]]/100)*IF(Cobros[[#This Row],[% A pagar Vendedor]]&gt;0,1,0)</f>
        <v>0.74625</v>
      </c>
      <c r="W91" s="46">
        <f>0.5%*Cobros[[#This Row],[Valor Pagado]]</f>
        <v>0.2985</v>
      </c>
      <c r="X91" s="34"/>
    </row>
    <row r="92" ht="30" spans="1:24">
      <c r="A92" s="49" t="s">
        <v>3884</v>
      </c>
      <c r="B92" s="49" t="s">
        <v>4017</v>
      </c>
      <c r="C92" s="49" t="s">
        <v>1008</v>
      </c>
      <c r="D92" s="49" t="s">
        <v>1009</v>
      </c>
      <c r="E92" s="49" t="s">
        <v>3921</v>
      </c>
      <c r="F92" s="51">
        <v>46191</v>
      </c>
      <c r="G92" s="49">
        <v>64.7</v>
      </c>
      <c r="H92" s="49" t="s">
        <v>3865</v>
      </c>
      <c r="I92" s="51">
        <v>46206</v>
      </c>
      <c r="J92" s="54">
        <f>INT(Cobros[[#This Row],[Fecha Cargo]])</f>
        <v>46191</v>
      </c>
      <c r="K92" s="54">
        <f>INT(Cobros[[#This Row],[Fecha Aplicacion]])</f>
        <v>46206</v>
      </c>
      <c r="L92" s="55" t="str">
        <f>INDEX(Clientes[Días Plazo],MATCH(Cobros[[#This Row],[Cod. Cliente]],Clientes[Codigo],0),1)</f>
        <v>15</v>
      </c>
      <c r="M92" s="45" t="str">
        <f>IF(Cobros[[#This Row],[Dias de Credito]]&lt;=0,"Contado","Credito")</f>
        <v>Credito</v>
      </c>
      <c r="N92" s="45">
        <f>Cobros[[#This Row],[Fecha Aplicación S]]-Cobros[[#This Row],[Fecha Cargo S]]</f>
        <v>15</v>
      </c>
      <c r="O92" s="45">
        <f>Cobros[[#This Row],[Dias al pago]]-Cobros[[#This Row],[Dias de Credito]]</f>
        <v>0</v>
      </c>
      <c r="P92" s="45">
        <f>SUMIFS(TablaDias[Porcentaje],TablaDias[Tipo],Cobros[[#This Row],[Tipo]],TablaDias[Desde ],"&lt;="&amp;MAX(0,Cobros[[#This Row],[Dias pasado]]),TablaDias[Hasta ],"&gt;="&amp;Cobros[[#This Row],[Dias pasado]])</f>
        <v>100</v>
      </c>
      <c r="Q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2">
        <f>IF(COUNTIF(PAPEL[Numero],Cobros[[#This Row],[Doc. Cargo]])&gt;0,1,0)</f>
        <v>0</v>
      </c>
      <c r="S92" s="46">
        <v>1</v>
      </c>
      <c r="T92" s="46">
        <f t="array" ref="T92">INDEX(Ventas[[Unidades]:[2]],MATCH("Gerente de Venta",Ventas[Vendedor %],0),6+Cobros[[#This Row],[Mes]])</f>
        <v>0.005</v>
      </c>
      <c r="U92" s="34">
        <f>IF(Cobros[[#This Row],[Tipo]]="Credito",IF(60&gt;=Cobros[[#This Row],[Dias al pago]],1,0),IF(Cobros[[#This Row],[Dias al pago]]&lt;=3,1,0))</f>
        <v>1</v>
      </c>
      <c r="V92" s="46">
        <f>(Cobros[[#This Row],[% A pagar Vendedor]]/100)*Cobros[[#This Row],[Valor Pagado]]*Cobros[[#This Row],[Vencido]]*(Cobros[[#This Row],[% aplicar]]/100)*IF(Cobros[[#This Row],[% A pagar Vendedor]]&gt;0,1,0)</f>
        <v>0.647</v>
      </c>
      <c r="W92" s="46">
        <f>0.5%*Cobros[[#This Row],[Valor Pagado]]</f>
        <v>0.3235</v>
      </c>
      <c r="X92" s="34"/>
    </row>
    <row r="93" ht="30" spans="1:24">
      <c r="A93" s="49" t="s">
        <v>3884</v>
      </c>
      <c r="B93" s="49" t="s">
        <v>4017</v>
      </c>
      <c r="C93" s="49" t="s">
        <v>1008</v>
      </c>
      <c r="D93" s="49" t="s">
        <v>1009</v>
      </c>
      <c r="E93" s="49" t="s">
        <v>4018</v>
      </c>
      <c r="F93" s="51">
        <v>46196</v>
      </c>
      <c r="G93" s="49">
        <v>21.25</v>
      </c>
      <c r="H93" s="49" t="s">
        <v>3865</v>
      </c>
      <c r="I93" s="51">
        <v>46206</v>
      </c>
      <c r="J93" s="54">
        <f>INT(Cobros[[#This Row],[Fecha Cargo]])</f>
        <v>46196</v>
      </c>
      <c r="K93" s="54">
        <f>INT(Cobros[[#This Row],[Fecha Aplicacion]])</f>
        <v>46206</v>
      </c>
      <c r="L93" s="55" t="str">
        <f>INDEX(Clientes[Días Plazo],MATCH(Cobros[[#This Row],[Cod. Cliente]],Clientes[Codigo],0),1)</f>
        <v>15</v>
      </c>
      <c r="M93" s="45" t="str">
        <f>IF(Cobros[[#This Row],[Dias de Credito]]&lt;=0,"Contado","Credito")</f>
        <v>Credito</v>
      </c>
      <c r="N93" s="45">
        <f>Cobros[[#This Row],[Fecha Aplicación S]]-Cobros[[#This Row],[Fecha Cargo S]]</f>
        <v>10</v>
      </c>
      <c r="O93" s="45">
        <f>Cobros[[#This Row],[Dias al pago]]-Cobros[[#This Row],[Dias de Credito]]</f>
        <v>-5</v>
      </c>
      <c r="P93" s="45">
        <f>SUMIFS(TablaDias[Porcentaje],TablaDias[Tipo],Cobros[[#This Row],[Tipo]],TablaDias[Desde ],"&lt;="&amp;MAX(0,Cobros[[#This Row],[Dias pasado]]),TablaDias[Hasta ],"&gt;="&amp;Cobros[[#This Row],[Dias pasado]])</f>
        <v>100</v>
      </c>
      <c r="Q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3">
        <f>IF(COUNTIF(PAPEL[Numero],Cobros[[#This Row],[Doc. Cargo]])&gt;0,1,0)</f>
        <v>0</v>
      </c>
      <c r="S93" s="46">
        <v>1</v>
      </c>
      <c r="T93" s="46">
        <f t="array" ref="T93">INDEX(Ventas[[Unidades]:[2]],MATCH("Gerente de Venta",Ventas[Vendedor %],0),6+Cobros[[#This Row],[Mes]])</f>
        <v>0.005</v>
      </c>
      <c r="U93" s="34">
        <f>IF(Cobros[[#This Row],[Tipo]]="Credito",IF(60&gt;=Cobros[[#This Row],[Dias al pago]],1,0),IF(Cobros[[#This Row],[Dias al pago]]&lt;=3,1,0))</f>
        <v>1</v>
      </c>
      <c r="V93" s="46">
        <f>(Cobros[[#This Row],[% A pagar Vendedor]]/100)*Cobros[[#This Row],[Valor Pagado]]*Cobros[[#This Row],[Vencido]]*(Cobros[[#This Row],[% aplicar]]/100)*IF(Cobros[[#This Row],[% A pagar Vendedor]]&gt;0,1,0)</f>
        <v>0.2125</v>
      </c>
      <c r="W93" s="46">
        <f>0.5%*Cobros[[#This Row],[Valor Pagado]]</f>
        <v>0.10625</v>
      </c>
      <c r="X93" s="34"/>
    </row>
    <row r="94" spans="1:24">
      <c r="A94" s="49" t="s">
        <v>3860</v>
      </c>
      <c r="B94" s="49" t="s">
        <v>4019</v>
      </c>
      <c r="C94" s="49" t="s">
        <v>367</v>
      </c>
      <c r="D94" s="49" t="s">
        <v>368</v>
      </c>
      <c r="E94" s="49" t="s">
        <v>4020</v>
      </c>
      <c r="F94" s="51">
        <v>46206</v>
      </c>
      <c r="G94" s="49">
        <v>50.45</v>
      </c>
      <c r="H94" s="49" t="s">
        <v>20</v>
      </c>
      <c r="I94" s="51">
        <v>46206</v>
      </c>
      <c r="J94" s="54">
        <f>INT(Cobros[[#This Row],[Fecha Cargo]])</f>
        <v>46206</v>
      </c>
      <c r="K94" s="54">
        <f>INT(Cobros[[#This Row],[Fecha Aplicacion]])</f>
        <v>46206</v>
      </c>
      <c r="L94" s="55">
        <f>INDEX(Clientes[Días Plazo],MATCH(Cobros[[#This Row],[Cod. Cliente]],Clientes[Codigo],0),1)</f>
        <v>0</v>
      </c>
      <c r="M94" s="45" t="str">
        <f>IF(Cobros[[#This Row],[Dias de Credito]]&lt;=0,"Contado","Credito")</f>
        <v>Contado</v>
      </c>
      <c r="N94" s="45">
        <f>Cobros[[#This Row],[Fecha Aplicación S]]-Cobros[[#This Row],[Fecha Cargo S]]</f>
        <v>0</v>
      </c>
      <c r="O94" s="45">
        <f>Cobros[[#This Row],[Dias al pago]]-Cobros[[#This Row],[Dias de Credito]]</f>
        <v>0</v>
      </c>
      <c r="P94" s="45">
        <f>SUMIFS(TablaDias[Porcentaje],TablaDias[Tipo],Cobros[[#This Row],[Tipo]],TablaDias[Desde ],"&lt;="&amp;MAX(0,Cobros[[#This Row],[Dias pasado]]),TablaDias[Hasta ],"&gt;="&amp;Cobros[[#This Row],[Dias pasado]])</f>
        <v>100</v>
      </c>
      <c r="Q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">
        <f>IF(COUNTIF(PAPEL[Numero],Cobros[[#This Row],[Doc. Cargo]])&gt;0,1,0)</f>
        <v>0</v>
      </c>
      <c r="S94" s="46">
        <f t="array" ref="S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" s="46">
        <f t="array" ref="T94">INDEX(Ventas[[Unidades]:[2]],MATCH("Gerente de Venta",Ventas[Vendedor %],0),6+Cobros[[#This Row],[Mes]])</f>
        <v>0.005</v>
      </c>
      <c r="U94" s="34">
        <f>IF(Cobros[[#This Row],[Tipo]]="Credito",IF(60&gt;=Cobros[[#This Row],[Dias al pago]],1,0),IF(Cobros[[#This Row],[Dias al pago]]&lt;=3,1,0))</f>
        <v>1</v>
      </c>
      <c r="V94" s="46">
        <f>(Cobros[[#This Row],[% A pagar Vendedor]]/100)*Cobros[[#This Row],[Valor Pagado]]*Cobros[[#This Row],[Vencido]]*(Cobros[[#This Row],[% aplicar]]/100)*IF(Cobros[[#This Row],[% A pagar Vendedor]]&gt;0,1,0)</f>
        <v>0.630625</v>
      </c>
      <c r="W94" s="46">
        <f>0.5%*Cobros[[#This Row],[Valor Pagado]]</f>
        <v>0.25225</v>
      </c>
      <c r="X94" s="34"/>
    </row>
    <row r="95" ht="30" spans="1:24">
      <c r="A95" s="49" t="s">
        <v>3860</v>
      </c>
      <c r="B95" s="49" t="s">
        <v>4021</v>
      </c>
      <c r="C95" s="49" t="s">
        <v>59</v>
      </c>
      <c r="D95" s="49" t="s">
        <v>60</v>
      </c>
      <c r="E95" s="49" t="s">
        <v>4022</v>
      </c>
      <c r="F95" s="51">
        <v>46178</v>
      </c>
      <c r="G95" s="49">
        <v>1942.5</v>
      </c>
      <c r="H95" s="49" t="s">
        <v>22</v>
      </c>
      <c r="I95" s="51">
        <v>46206</v>
      </c>
      <c r="J95" s="54">
        <f>INT(Cobros[[#This Row],[Fecha Cargo]])</f>
        <v>46178</v>
      </c>
      <c r="K95" s="54">
        <f>INT(Cobros[[#This Row],[Fecha Aplicacion]])</f>
        <v>46206</v>
      </c>
      <c r="L95" s="55" t="str">
        <f>INDEX(Clientes[Días Plazo],MATCH(Cobros[[#This Row],[Cod. Cliente]],Clientes[Codigo],0),1)</f>
        <v>15</v>
      </c>
      <c r="M95" s="45" t="str">
        <f>IF(Cobros[[#This Row],[Dias de Credito]]&lt;=0,"Contado","Credito")</f>
        <v>Credito</v>
      </c>
      <c r="N95" s="45">
        <f>Cobros[[#This Row],[Fecha Aplicación S]]-Cobros[[#This Row],[Fecha Cargo S]]</f>
        <v>28</v>
      </c>
      <c r="O95" s="45">
        <f>Cobros[[#This Row],[Dias al pago]]-Cobros[[#This Row],[Dias de Credito]]</f>
        <v>13</v>
      </c>
      <c r="P95" s="45">
        <f>SUMIFS(TablaDias[Porcentaje],TablaDias[Tipo],Cobros[[#This Row],[Tipo]],TablaDias[Desde ],"&lt;="&amp;MAX(0,Cobros[[#This Row],[Dias pasado]]),TablaDias[Hasta ],"&gt;="&amp;Cobros[[#This Row],[Dias pasado]])</f>
        <v>100</v>
      </c>
      <c r="Q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">
        <f>IF(COUNTIF(PAPEL[Numero],Cobros[[#This Row],[Doc. Cargo]])&gt;0,1,0)</f>
        <v>0</v>
      </c>
      <c r="S95" s="46">
        <f t="array" ref="S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5" s="46">
        <f t="array" ref="T95">INDEX(Ventas[[Unidades]:[2]],MATCH("Gerente de Venta",Ventas[Vendedor %],0),6+Cobros[[#This Row],[Mes]])</f>
        <v>0.005</v>
      </c>
      <c r="U95" s="34">
        <f>IF(Cobros[[#This Row],[Tipo]]="Credito",IF(60&gt;=Cobros[[#This Row],[Dias al pago]],1,0),IF(Cobros[[#This Row],[Dias al pago]]&lt;=3,1,0))</f>
        <v>1</v>
      </c>
      <c r="V95" s="46">
        <f>(Cobros[[#This Row],[% A pagar Vendedor]]/100)*Cobros[[#This Row],[Valor Pagado]]*Cobros[[#This Row],[Vencido]]*(Cobros[[#This Row],[% aplicar]]/100)*IF(Cobros[[#This Row],[% A pagar Vendedor]]&gt;0,1,0)</f>
        <v>19.425</v>
      </c>
      <c r="W95" s="46">
        <f>0.5%*Cobros[[#This Row],[Valor Pagado]]</f>
        <v>9.7125</v>
      </c>
      <c r="X95" s="34"/>
    </row>
    <row r="96" spans="1:24">
      <c r="A96" s="49" t="s">
        <v>3875</v>
      </c>
      <c r="B96" s="49" t="s">
        <v>4023</v>
      </c>
      <c r="C96" s="49" t="s">
        <v>2761</v>
      </c>
      <c r="D96" s="49" t="s">
        <v>2762</v>
      </c>
      <c r="E96" s="49" t="s">
        <v>4024</v>
      </c>
      <c r="F96" s="51">
        <v>46206</v>
      </c>
      <c r="G96" s="49">
        <v>168.5</v>
      </c>
      <c r="H96" s="49" t="s">
        <v>16</v>
      </c>
      <c r="I96" s="51">
        <v>46206</v>
      </c>
      <c r="J96" s="54">
        <f>INT(Cobros[[#This Row],[Fecha Cargo]])</f>
        <v>46206</v>
      </c>
      <c r="K96" s="54">
        <f>INT(Cobros[[#This Row],[Fecha Aplicacion]])</f>
        <v>46206</v>
      </c>
      <c r="L96" s="55">
        <f>INDEX(Clientes[Días Plazo],MATCH(Cobros[[#This Row],[Cod. Cliente]],Clientes[Codigo],0),1)</f>
        <v>0</v>
      </c>
      <c r="M96" s="45" t="str">
        <f>IF(Cobros[[#This Row],[Dias de Credito]]&lt;=0,"Contado","Credito")</f>
        <v>Contado</v>
      </c>
      <c r="N96" s="45">
        <f>Cobros[[#This Row],[Fecha Aplicación S]]-Cobros[[#This Row],[Fecha Cargo S]]</f>
        <v>0</v>
      </c>
      <c r="O96" s="45">
        <f>Cobros[[#This Row],[Dias al pago]]-Cobros[[#This Row],[Dias de Credito]]</f>
        <v>0</v>
      </c>
      <c r="P96" s="45">
        <f>SUMIFS(TablaDias[Porcentaje],TablaDias[Tipo],Cobros[[#This Row],[Tipo]],TablaDias[Desde ],"&lt;="&amp;MAX(0,Cobros[[#This Row],[Dias pasado]]),TablaDias[Hasta ],"&gt;="&amp;Cobros[[#This Row],[Dias pasado]])</f>
        <v>100</v>
      </c>
      <c r="Q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">
        <f>IF(COUNTIF(PAPEL[Numero],Cobros[[#This Row],[Doc. Cargo]])&gt;0,1,0)</f>
        <v>0</v>
      </c>
      <c r="S96" s="46">
        <f t="array" ref="S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" s="47">
        <v>0.005</v>
      </c>
      <c r="U96" s="34">
        <f>IF(Cobros[[#This Row],[Tipo]]="Credito",IF(60&gt;=Cobros[[#This Row],[Dias al pago]],1,0),IF(Cobros[[#This Row],[Dias al pago]]&lt;=3,1,0))</f>
        <v>1</v>
      </c>
      <c r="V96" s="46">
        <f>(Cobros[[#This Row],[% A pagar Vendedor]]/100)*Cobros[[#This Row],[Valor Pagado]]*Cobros[[#This Row],[Vencido]]*(Cobros[[#This Row],[% aplicar]]/100)*IF(Cobros[[#This Row],[% A pagar Vendedor]]&gt;0,1,0)</f>
        <v>2.10625</v>
      </c>
      <c r="W96" s="46">
        <f>0.5%*Cobros[[#This Row],[Valor Pagado]]</f>
        <v>0.8425</v>
      </c>
      <c r="X96" s="62"/>
    </row>
    <row r="97" ht="30" spans="1:23">
      <c r="A97" s="49" t="s">
        <v>3875</v>
      </c>
      <c r="B97" s="49" t="s">
        <v>4025</v>
      </c>
      <c r="C97" s="49" t="s">
        <v>62</v>
      </c>
      <c r="D97" s="49" t="s">
        <v>63</v>
      </c>
      <c r="E97" s="49" t="s">
        <v>4026</v>
      </c>
      <c r="F97" s="51">
        <v>46206</v>
      </c>
      <c r="G97" s="49">
        <v>679</v>
      </c>
      <c r="H97" s="49" t="s">
        <v>3865</v>
      </c>
      <c r="I97" s="51">
        <v>46206</v>
      </c>
      <c r="J97" s="54">
        <f>INT(Cobros[[#This Row],[Fecha Cargo]])</f>
        <v>46206</v>
      </c>
      <c r="K97" s="54">
        <f>INT(Cobros[[#This Row],[Fecha Aplicacion]])</f>
        <v>46206</v>
      </c>
      <c r="L97" s="55">
        <f>INDEX(Clientes[Días Plazo],MATCH(Cobros[[#This Row],[Cod. Cliente]],Clientes[Codigo],0),1)</f>
        <v>0</v>
      </c>
      <c r="M97" s="45" t="str">
        <f>IF(Cobros[[#This Row],[Dias de Credito]]&lt;=0,"Contado","Credito")</f>
        <v>Contado</v>
      </c>
      <c r="N97" s="45">
        <f>Cobros[[#This Row],[Fecha Aplicación S]]-Cobros[[#This Row],[Fecha Cargo S]]</f>
        <v>0</v>
      </c>
      <c r="O97" s="45">
        <f>Cobros[[#This Row],[Dias al pago]]-Cobros[[#This Row],[Dias de Credito]]</f>
        <v>0</v>
      </c>
      <c r="P97" s="45">
        <f>SUMIFS(TablaDias[Porcentaje],TablaDias[Tipo],Cobros[[#This Row],[Tipo]],TablaDias[Desde ],"&lt;="&amp;MAX(0,Cobros[[#This Row],[Dias pasado]]),TablaDias[Hasta ],"&gt;="&amp;Cobros[[#This Row],[Dias pasado]])</f>
        <v>100</v>
      </c>
      <c r="Q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">
        <f>IF(COUNTIF(PAPEL[Numero],Cobros[[#This Row],[Doc. Cargo]])&gt;0,1,0)</f>
        <v>0</v>
      </c>
      <c r="S97" s="46">
        <v>1</v>
      </c>
      <c r="T97" s="46">
        <f t="array" ref="T97">INDEX(Ventas[[Unidades]:[2]],MATCH("Gerente de Venta",Ventas[Vendedor %],0),6+Cobros[[#This Row],[Mes]])</f>
        <v>0.005</v>
      </c>
      <c r="U97" s="34">
        <f>IF(Cobros[[#This Row],[Tipo]]="Credito",IF(60&gt;=Cobros[[#This Row],[Dias al pago]],1,0),IF(Cobros[[#This Row],[Dias al pago]]&lt;=3,1,0))</f>
        <v>1</v>
      </c>
      <c r="V97" s="46">
        <f>(Cobros[[#This Row],[% A pagar Vendedor]]/100)*Cobros[[#This Row],[Valor Pagado]]*Cobros[[#This Row],[Vencido]]*(Cobros[[#This Row],[% aplicar]]/100)*IF(Cobros[[#This Row],[% A pagar Vendedor]]&gt;0,1,0)</f>
        <v>6.79</v>
      </c>
      <c r="W97" s="46">
        <f>0.5%*Cobros[[#This Row],[Valor Pagado]]</f>
        <v>3.395</v>
      </c>
    </row>
    <row r="98" ht="30" spans="1:23">
      <c r="A98" s="49" t="s">
        <v>3884</v>
      </c>
      <c r="B98" s="49" t="s">
        <v>4027</v>
      </c>
      <c r="C98" s="49" t="s">
        <v>3258</v>
      </c>
      <c r="D98" s="49" t="s">
        <v>3259</v>
      </c>
      <c r="E98" s="49" t="s">
        <v>4028</v>
      </c>
      <c r="F98" s="51">
        <v>46206</v>
      </c>
      <c r="G98" s="49">
        <v>406</v>
      </c>
      <c r="H98" s="49" t="s">
        <v>22</v>
      </c>
      <c r="I98" s="51">
        <v>46206</v>
      </c>
      <c r="J98" s="54">
        <f>INT(Cobros[[#This Row],[Fecha Cargo]])</f>
        <v>46206</v>
      </c>
      <c r="K98" s="54">
        <f>INT(Cobros[[#This Row],[Fecha Aplicacion]])</f>
        <v>46206</v>
      </c>
      <c r="L98" s="55">
        <f>INDEX(Clientes[Días Plazo],MATCH(Cobros[[#This Row],[Cod. Cliente]],Clientes[Codigo],0),1)</f>
        <v>0</v>
      </c>
      <c r="M98" s="45" t="str">
        <f>IF(Cobros[[#This Row],[Dias de Credito]]&lt;=0,"Contado","Credito")</f>
        <v>Contado</v>
      </c>
      <c r="N98" s="45">
        <f>Cobros[[#This Row],[Fecha Aplicación S]]-Cobros[[#This Row],[Fecha Cargo S]]</f>
        <v>0</v>
      </c>
      <c r="O98" s="45">
        <f>Cobros[[#This Row],[Dias al pago]]-Cobros[[#This Row],[Dias de Credito]]</f>
        <v>0</v>
      </c>
      <c r="P98" s="45">
        <f>SUMIFS(TablaDias[Porcentaje],TablaDias[Tipo],Cobros[[#This Row],[Tipo]],TablaDias[Desde ],"&lt;="&amp;MAX(0,Cobros[[#This Row],[Dias pasado]]),TablaDias[Hasta ],"&gt;="&amp;Cobros[[#This Row],[Dias pasado]])</f>
        <v>100</v>
      </c>
      <c r="Q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">
        <f>IF(COUNTIF(PAPEL[Numero],Cobros[[#This Row],[Doc. Cargo]])&gt;0,1,0)</f>
        <v>0</v>
      </c>
      <c r="S98" s="46">
        <f t="array" ref="S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8" s="46">
        <f t="array" ref="T98">INDEX(Ventas[[Unidades]:[2]],MATCH("Gerente de Venta",Ventas[Vendedor %],0),6+Cobros[[#This Row],[Mes]])</f>
        <v>0.005</v>
      </c>
      <c r="U98" s="34">
        <f>IF(Cobros[[#This Row],[Tipo]]="Credito",IF(60&gt;=Cobros[[#This Row],[Dias al pago]],1,0),IF(Cobros[[#This Row],[Dias al pago]]&lt;=3,1,0))</f>
        <v>1</v>
      </c>
      <c r="V98" s="46">
        <f>(Cobros[[#This Row],[% A pagar Vendedor]]/100)*Cobros[[#This Row],[Valor Pagado]]*Cobros[[#This Row],[Vencido]]*(Cobros[[#This Row],[% aplicar]]/100)*IF(Cobros[[#This Row],[% A pagar Vendedor]]&gt;0,1,0)</f>
        <v>4.06</v>
      </c>
      <c r="W98" s="46">
        <f>0.5%*Cobros[[#This Row],[Valor Pagado]]</f>
        <v>2.03</v>
      </c>
    </row>
    <row r="99" spans="1:23">
      <c r="A99" s="49" t="s">
        <v>3875</v>
      </c>
      <c r="B99" s="49" t="s">
        <v>4029</v>
      </c>
      <c r="C99" s="49" t="s">
        <v>1220</v>
      </c>
      <c r="D99" s="49" t="s">
        <v>1221</v>
      </c>
      <c r="E99" s="49" t="s">
        <v>4030</v>
      </c>
      <c r="F99" s="51">
        <v>46206</v>
      </c>
      <c r="G99" s="49">
        <v>200</v>
      </c>
      <c r="H99" s="49" t="s">
        <v>20</v>
      </c>
      <c r="I99" s="51">
        <v>46206</v>
      </c>
      <c r="J99" s="54">
        <f>INT(Cobros[[#This Row],[Fecha Cargo]])</f>
        <v>46206</v>
      </c>
      <c r="K99" s="54">
        <f>INT(Cobros[[#This Row],[Fecha Aplicacion]])</f>
        <v>46206</v>
      </c>
      <c r="L99" s="55">
        <f>INDEX(Clientes[Días Plazo],MATCH(Cobros[[#This Row],[Cod. Cliente]],Clientes[Codigo],0),1)</f>
        <v>0</v>
      </c>
      <c r="M99" s="45" t="str">
        <f>IF(Cobros[[#This Row],[Dias de Credito]]&lt;=0,"Contado","Credito")</f>
        <v>Contado</v>
      </c>
      <c r="N99" s="45">
        <f>Cobros[[#This Row],[Fecha Aplicación S]]-Cobros[[#This Row],[Fecha Cargo S]]</f>
        <v>0</v>
      </c>
      <c r="O99" s="45">
        <f>Cobros[[#This Row],[Dias al pago]]-Cobros[[#This Row],[Dias de Credito]]</f>
        <v>0</v>
      </c>
      <c r="P99" s="45">
        <f>SUMIFS(TablaDias[Porcentaje],TablaDias[Tipo],Cobros[[#This Row],[Tipo]],TablaDias[Desde ],"&lt;="&amp;MAX(0,Cobros[[#This Row],[Dias pasado]]),TablaDias[Hasta ],"&gt;="&amp;Cobros[[#This Row],[Dias pasado]])</f>
        <v>100</v>
      </c>
      <c r="Q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">
        <f>IF(COUNTIF(PAPEL[Numero],Cobros[[#This Row],[Doc. Cargo]])&gt;0,1,0)</f>
        <v>0</v>
      </c>
      <c r="S99" s="46">
        <f t="array" ref="S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" s="46">
        <f t="array" ref="T99">INDEX(Ventas[[Unidades]:[2]],MATCH("Gerente de Venta",Ventas[Vendedor %],0),6+Cobros[[#This Row],[Mes]])</f>
        <v>0.005</v>
      </c>
      <c r="U99" s="34">
        <f>IF(Cobros[[#This Row],[Tipo]]="Credito",IF(60&gt;=Cobros[[#This Row],[Dias al pago]],1,0),IF(Cobros[[#This Row],[Dias al pago]]&lt;=3,1,0))</f>
        <v>1</v>
      </c>
      <c r="V99" s="46">
        <f>(Cobros[[#This Row],[% A pagar Vendedor]]/100)*Cobros[[#This Row],[Valor Pagado]]*Cobros[[#This Row],[Vencido]]*(Cobros[[#This Row],[% aplicar]]/100)*IF(Cobros[[#This Row],[% A pagar Vendedor]]&gt;0,1,0)</f>
        <v>2.5</v>
      </c>
      <c r="W99" s="46">
        <f>0.5%*Cobros[[#This Row],[Valor Pagado]]</f>
        <v>1</v>
      </c>
    </row>
    <row r="100" spans="1:23">
      <c r="A100" s="49" t="s">
        <v>3875</v>
      </c>
      <c r="B100" s="49" t="s">
        <v>4031</v>
      </c>
      <c r="C100" s="49" t="s">
        <v>1222</v>
      </c>
      <c r="D100" s="49" t="s">
        <v>1223</v>
      </c>
      <c r="E100" s="49" t="s">
        <v>3999</v>
      </c>
      <c r="F100" s="51">
        <v>46206</v>
      </c>
      <c r="G100" s="49">
        <v>150</v>
      </c>
      <c r="H100" s="49" t="s">
        <v>20</v>
      </c>
      <c r="I100" s="51">
        <v>46206</v>
      </c>
      <c r="J100" s="54">
        <f>INT(Cobros[[#This Row],[Fecha Cargo]])</f>
        <v>46206</v>
      </c>
      <c r="K100" s="54">
        <f>INT(Cobros[[#This Row],[Fecha Aplicacion]])</f>
        <v>46206</v>
      </c>
      <c r="L100" s="55" t="str">
        <f>INDEX(Clientes[Días Plazo],MATCH(Cobros[[#This Row],[Cod. Cliente]],Clientes[Codigo],0),1)</f>
        <v>7</v>
      </c>
      <c r="M100" s="45" t="str">
        <f>IF(Cobros[[#This Row],[Dias de Credito]]&lt;=0,"Contado","Credito")</f>
        <v>Credito</v>
      </c>
      <c r="N100" s="45">
        <f>Cobros[[#This Row],[Fecha Aplicación S]]-Cobros[[#This Row],[Fecha Cargo S]]</f>
        <v>0</v>
      </c>
      <c r="O100" s="45">
        <f>Cobros[[#This Row],[Dias al pago]]-Cobros[[#This Row],[Dias de Credito]]</f>
        <v>-7</v>
      </c>
      <c r="P100" s="45">
        <f>SUMIFS(TablaDias[Porcentaje],TablaDias[Tipo],Cobros[[#This Row],[Tipo]],TablaDias[Desde ],"&lt;="&amp;MAX(0,Cobros[[#This Row],[Dias pasado]]),TablaDias[Hasta ],"&gt;="&amp;Cobros[[#This Row],[Dias pasado]])</f>
        <v>100</v>
      </c>
      <c r="Q1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">
        <f>IF(COUNTIF(PAPEL[Numero],Cobros[[#This Row],[Doc. Cargo]])&gt;0,1,0)</f>
        <v>0</v>
      </c>
      <c r="S100" s="46">
        <f t="array" ref="S1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0" s="46">
        <f t="array" ref="T100">INDEX(Ventas[[Unidades]:[2]],MATCH("Gerente de Venta",Ventas[Vendedor %],0),6+Cobros[[#This Row],[Mes]])</f>
        <v>0.005</v>
      </c>
      <c r="U100" s="34">
        <f>IF(Cobros[[#This Row],[Tipo]]="Credito",IF(60&gt;=Cobros[[#This Row],[Dias al pago]],1,0),IF(Cobros[[#This Row],[Dias al pago]]&lt;=3,1,0))</f>
        <v>1</v>
      </c>
      <c r="V100" s="46">
        <f>(Cobros[[#This Row],[% A pagar Vendedor]]/100)*Cobros[[#This Row],[Valor Pagado]]*Cobros[[#This Row],[Vencido]]*(Cobros[[#This Row],[% aplicar]]/100)*IF(Cobros[[#This Row],[% A pagar Vendedor]]&gt;0,1,0)</f>
        <v>1.875</v>
      </c>
      <c r="W100" s="46">
        <f>0.5%*Cobros[[#This Row],[Valor Pagado]]</f>
        <v>0.75</v>
      </c>
    </row>
    <row r="101" spans="1:23">
      <c r="A101" s="49" t="s">
        <v>3875</v>
      </c>
      <c r="B101" s="49" t="s">
        <v>4032</v>
      </c>
      <c r="C101" s="49" t="s">
        <v>3703</v>
      </c>
      <c r="D101" s="49" t="s">
        <v>3704</v>
      </c>
      <c r="E101" s="49" t="s">
        <v>4033</v>
      </c>
      <c r="F101" s="51">
        <v>46195</v>
      </c>
      <c r="G101" s="49">
        <v>197.09</v>
      </c>
      <c r="H101" s="49" t="s">
        <v>18</v>
      </c>
      <c r="I101" s="51">
        <v>46209</v>
      </c>
      <c r="J101" s="54">
        <f>INT(Cobros[[#This Row],[Fecha Cargo]])</f>
        <v>46195</v>
      </c>
      <c r="K101" s="54">
        <f>INT(Cobros[[#This Row],[Fecha Aplicacion]])</f>
        <v>46209</v>
      </c>
      <c r="L101" s="55" t="str">
        <f>INDEX(Clientes[Días Plazo],MATCH(Cobros[[#This Row],[Cod. Cliente]],Clientes[Codigo],0),1)</f>
        <v>7</v>
      </c>
      <c r="M101" s="45" t="str">
        <f>IF(Cobros[[#This Row],[Dias de Credito]]&lt;=0,"Contado","Credito")</f>
        <v>Credito</v>
      </c>
      <c r="N101" s="45">
        <f>Cobros[[#This Row],[Fecha Aplicación S]]-Cobros[[#This Row],[Fecha Cargo S]]</f>
        <v>14</v>
      </c>
      <c r="O101" s="45">
        <f>Cobros[[#This Row],[Dias al pago]]-Cobros[[#This Row],[Dias de Credito]]</f>
        <v>7</v>
      </c>
      <c r="P101" s="45">
        <f>SUMIFS(TablaDias[Porcentaje],TablaDias[Tipo],Cobros[[#This Row],[Tipo]],TablaDias[Desde ],"&lt;="&amp;MAX(0,Cobros[[#This Row],[Dias pasado]]),TablaDias[Hasta ],"&gt;="&amp;Cobros[[#This Row],[Dias pasado]])</f>
        <v>100</v>
      </c>
      <c r="Q10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1">
        <f>IF(COUNTIF(PAPEL[Numero],Cobros[[#This Row],[Doc. Cargo]])&gt;0,1,0)</f>
        <v>0</v>
      </c>
      <c r="S101" s="46">
        <f t="array" ref="S1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" s="46">
        <f t="array" ref="T101">INDEX(Ventas[[Unidades]:[2]],MATCH("Gerente de Venta",Ventas[Vendedor %],0),6+Cobros[[#This Row],[Mes]])</f>
        <v>0.005</v>
      </c>
      <c r="U101" s="34">
        <f>IF(Cobros[[#This Row],[Tipo]]="Credito",IF(60&gt;=Cobros[[#This Row],[Dias al pago]],1,0),IF(Cobros[[#This Row],[Dias al pago]]&lt;=3,1,0))</f>
        <v>1</v>
      </c>
      <c r="V101" s="46">
        <f>(Cobros[[#This Row],[% A pagar Vendedor]]/100)*Cobros[[#This Row],[Valor Pagado]]*Cobros[[#This Row],[Vencido]]*(Cobros[[#This Row],[% aplicar]]/100)*IF(Cobros[[#This Row],[% A pagar Vendedor]]&gt;0,1,0)</f>
        <v>1.9709</v>
      </c>
      <c r="W101" s="46">
        <f>0.5%*Cobros[[#This Row],[Valor Pagado]]</f>
        <v>0.98545</v>
      </c>
    </row>
    <row r="102" spans="1:23">
      <c r="A102" s="49" t="s">
        <v>3875</v>
      </c>
      <c r="B102" s="49" t="s">
        <v>4032</v>
      </c>
      <c r="C102" s="49" t="s">
        <v>3703</v>
      </c>
      <c r="D102" s="49" t="s">
        <v>3704</v>
      </c>
      <c r="E102" s="49" t="s">
        <v>4034</v>
      </c>
      <c r="F102" s="51">
        <v>46196</v>
      </c>
      <c r="G102" s="49">
        <v>129.5</v>
      </c>
      <c r="H102" s="49" t="s">
        <v>18</v>
      </c>
      <c r="I102" s="51">
        <v>46209</v>
      </c>
      <c r="J102" s="54">
        <f>INT(Cobros[[#This Row],[Fecha Cargo]])</f>
        <v>46196</v>
      </c>
      <c r="K102" s="54">
        <f>INT(Cobros[[#This Row],[Fecha Aplicacion]])</f>
        <v>46209</v>
      </c>
      <c r="L102" s="55" t="str">
        <f>INDEX(Clientes[Días Plazo],MATCH(Cobros[[#This Row],[Cod. Cliente]],Clientes[Codigo],0),1)</f>
        <v>7</v>
      </c>
      <c r="M102" s="45" t="str">
        <f>IF(Cobros[[#This Row],[Dias de Credito]]&lt;=0,"Contado","Credito")</f>
        <v>Credito</v>
      </c>
      <c r="N102" s="45">
        <f>Cobros[[#This Row],[Fecha Aplicación S]]-Cobros[[#This Row],[Fecha Cargo S]]</f>
        <v>13</v>
      </c>
      <c r="O102" s="45">
        <f>Cobros[[#This Row],[Dias al pago]]-Cobros[[#This Row],[Dias de Credito]]</f>
        <v>6</v>
      </c>
      <c r="P102" s="45">
        <f>SUMIFS(TablaDias[Porcentaje],TablaDias[Tipo],Cobros[[#This Row],[Tipo]],TablaDias[Desde ],"&lt;="&amp;MAX(0,Cobros[[#This Row],[Dias pasado]]),TablaDias[Hasta ],"&gt;="&amp;Cobros[[#This Row],[Dias pasado]])</f>
        <v>100</v>
      </c>
      <c r="Q1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2">
        <f>IF(COUNTIF(PAPEL[Numero],Cobros[[#This Row],[Doc. Cargo]])&gt;0,1,0)</f>
        <v>0</v>
      </c>
      <c r="S102" s="46">
        <f t="array" ref="S1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2" s="46">
        <f t="array" ref="T102">INDEX(Ventas[[Unidades]:[2]],MATCH("Gerente de Venta",Ventas[Vendedor %],0),6+Cobros[[#This Row],[Mes]])</f>
        <v>0.005</v>
      </c>
      <c r="U102" s="34">
        <f>IF(Cobros[[#This Row],[Tipo]]="Credito",IF(60&gt;=Cobros[[#This Row],[Dias al pago]],1,0),IF(Cobros[[#This Row],[Dias al pago]]&lt;=3,1,0))</f>
        <v>1</v>
      </c>
      <c r="V102" s="46">
        <f>(Cobros[[#This Row],[% A pagar Vendedor]]/100)*Cobros[[#This Row],[Valor Pagado]]*Cobros[[#This Row],[Vencido]]*(Cobros[[#This Row],[% aplicar]]/100)*IF(Cobros[[#This Row],[% A pagar Vendedor]]&gt;0,1,0)</f>
        <v>1.295</v>
      </c>
      <c r="W102" s="46">
        <f>0.5%*Cobros[[#This Row],[Valor Pagado]]</f>
        <v>0.6475</v>
      </c>
    </row>
    <row r="103" spans="1:24">
      <c r="A103" s="49" t="s">
        <v>3875</v>
      </c>
      <c r="B103" s="49" t="s">
        <v>4035</v>
      </c>
      <c r="C103" s="49" t="s">
        <v>471</v>
      </c>
      <c r="D103" s="49" t="s">
        <v>4036</v>
      </c>
      <c r="E103" s="49" t="s">
        <v>4037</v>
      </c>
      <c r="F103" s="51">
        <v>46209</v>
      </c>
      <c r="G103" s="49">
        <v>69</v>
      </c>
      <c r="H103" s="49" t="s">
        <v>16</v>
      </c>
      <c r="I103" s="51">
        <v>46209</v>
      </c>
      <c r="J103" s="54">
        <f>INT(Cobros[[#This Row],[Fecha Cargo]])</f>
        <v>46209</v>
      </c>
      <c r="K103" s="54">
        <f>INT(Cobros[[#This Row],[Fecha Aplicacion]])</f>
        <v>46209</v>
      </c>
      <c r="L103" s="55">
        <f>INDEX(Clientes[Días Plazo],MATCH(Cobros[[#This Row],[Cod. Cliente]],Clientes[Codigo],0),1)</f>
        <v>0</v>
      </c>
      <c r="M103" s="45" t="str">
        <f>IF(Cobros[[#This Row],[Dias de Credito]]&lt;=0,"Contado","Credito")</f>
        <v>Contado</v>
      </c>
      <c r="N103" s="45">
        <f>Cobros[[#This Row],[Fecha Aplicación S]]-Cobros[[#This Row],[Fecha Cargo S]]</f>
        <v>0</v>
      </c>
      <c r="O103" s="45">
        <f>Cobros[[#This Row],[Dias al pago]]-Cobros[[#This Row],[Dias de Credito]]</f>
        <v>0</v>
      </c>
      <c r="P103" s="45">
        <f>SUMIFS(TablaDias[Porcentaje],TablaDias[Tipo],Cobros[[#This Row],[Tipo]],TablaDias[Desde ],"&lt;="&amp;MAX(0,Cobros[[#This Row],[Dias pasado]]),TablaDias[Hasta ],"&gt;="&amp;Cobros[[#This Row],[Dias pasado]])</f>
        <v>100</v>
      </c>
      <c r="Q1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">
        <f>IF(COUNTIF(PAPEL[Numero],Cobros[[#This Row],[Doc. Cargo]])&gt;0,1,0)</f>
        <v>0</v>
      </c>
      <c r="S103" s="46">
        <f t="array" ref="S1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" s="47">
        <v>0.005</v>
      </c>
      <c r="U103" s="34">
        <f>IF(Cobros[[#This Row],[Tipo]]="Credito",IF(60&gt;=Cobros[[#This Row],[Dias al pago]],1,0),IF(Cobros[[#This Row],[Dias al pago]]&lt;=3,1,0))</f>
        <v>1</v>
      </c>
      <c r="V103" s="46">
        <f>(Cobros[[#This Row],[% A pagar Vendedor]]/100)*Cobros[[#This Row],[Valor Pagado]]*Cobros[[#This Row],[Vencido]]*(Cobros[[#This Row],[% aplicar]]/100)*IF(Cobros[[#This Row],[% A pagar Vendedor]]&gt;0,1,0)</f>
        <v>0.8625</v>
      </c>
      <c r="W103" s="46">
        <f>0.5%*Cobros[[#This Row],[Valor Pagado]]</f>
        <v>0.345</v>
      </c>
      <c r="X103" s="60"/>
    </row>
    <row r="104" spans="1:23">
      <c r="A104" s="49" t="s">
        <v>3875</v>
      </c>
      <c r="B104" s="49" t="s">
        <v>4038</v>
      </c>
      <c r="C104" s="49" t="s">
        <v>3354</v>
      </c>
      <c r="D104" s="49" t="s">
        <v>3355</v>
      </c>
      <c r="E104" s="49" t="s">
        <v>4039</v>
      </c>
      <c r="F104" s="51">
        <v>46209</v>
      </c>
      <c r="G104" s="49">
        <v>65</v>
      </c>
      <c r="H104" s="49" t="s">
        <v>16</v>
      </c>
      <c r="I104" s="51">
        <v>46209</v>
      </c>
      <c r="J104" s="54">
        <f>INT(Cobros[[#This Row],[Fecha Cargo]])</f>
        <v>46209</v>
      </c>
      <c r="K104" s="54">
        <f>INT(Cobros[[#This Row],[Fecha Aplicacion]])</f>
        <v>46209</v>
      </c>
      <c r="L104" s="55">
        <f>INDEX(Clientes[Días Plazo],MATCH(Cobros[[#This Row],[Cod. Cliente]],Clientes[Codigo],0),1)</f>
        <v>0</v>
      </c>
      <c r="M104" s="45" t="str">
        <f>IF(Cobros[[#This Row],[Dias de Credito]]&lt;=0,"Contado","Credito")</f>
        <v>Contado</v>
      </c>
      <c r="N104" s="45">
        <f>Cobros[[#This Row],[Fecha Aplicación S]]-Cobros[[#This Row],[Fecha Cargo S]]</f>
        <v>0</v>
      </c>
      <c r="O104" s="45">
        <f>Cobros[[#This Row],[Dias al pago]]-Cobros[[#This Row],[Dias de Credito]]</f>
        <v>0</v>
      </c>
      <c r="P104" s="45">
        <f>SUMIFS(TablaDias[Porcentaje],TablaDias[Tipo],Cobros[[#This Row],[Tipo]],TablaDias[Desde ],"&lt;="&amp;MAX(0,Cobros[[#This Row],[Dias pasado]]),TablaDias[Hasta ],"&gt;="&amp;Cobros[[#This Row],[Dias pasado]])</f>
        <v>100</v>
      </c>
      <c r="Q1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">
        <f>IF(COUNTIF(PAPEL[Numero],Cobros[[#This Row],[Doc. Cargo]])&gt;0,1,0)</f>
        <v>0</v>
      </c>
      <c r="S104" s="46">
        <f t="array" ref="S1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" s="47">
        <v>0.005</v>
      </c>
      <c r="U104" s="34">
        <f>IF(Cobros[[#This Row],[Tipo]]="Credito",IF(60&gt;=Cobros[[#This Row],[Dias al pago]],1,0),IF(Cobros[[#This Row],[Dias al pago]]&lt;=3,1,0))</f>
        <v>1</v>
      </c>
      <c r="V104" s="46">
        <f>(Cobros[[#This Row],[% A pagar Vendedor]]/100)*Cobros[[#This Row],[Valor Pagado]]*Cobros[[#This Row],[Vencido]]*(Cobros[[#This Row],[% aplicar]]/100)*IF(Cobros[[#This Row],[% A pagar Vendedor]]&gt;0,1,0)</f>
        <v>0.8125</v>
      </c>
      <c r="W104" s="46">
        <f>0.5%*Cobros[[#This Row],[Valor Pagado]]</f>
        <v>0.325</v>
      </c>
    </row>
    <row r="105" spans="1:23">
      <c r="A105" s="49" t="s">
        <v>3875</v>
      </c>
      <c r="B105" s="49" t="s">
        <v>4040</v>
      </c>
      <c r="C105" s="49" t="s">
        <v>2227</v>
      </c>
      <c r="D105" s="49" t="s">
        <v>2228</v>
      </c>
      <c r="E105" s="49" t="s">
        <v>4041</v>
      </c>
      <c r="F105" s="51">
        <v>46209</v>
      </c>
      <c r="G105" s="49">
        <v>340</v>
      </c>
      <c r="H105" s="49" t="s">
        <v>16</v>
      </c>
      <c r="I105" s="51">
        <v>46209</v>
      </c>
      <c r="J105" s="54">
        <f>INT(Cobros[[#This Row],[Fecha Cargo]])</f>
        <v>46209</v>
      </c>
      <c r="K105" s="54">
        <f>INT(Cobros[[#This Row],[Fecha Aplicacion]])</f>
        <v>46209</v>
      </c>
      <c r="L105" s="55">
        <f>INDEX(Clientes[Días Plazo],MATCH(Cobros[[#This Row],[Cod. Cliente]],Clientes[Codigo],0),1)</f>
        <v>0</v>
      </c>
      <c r="M105" s="45" t="str">
        <f>IF(Cobros[[#This Row],[Dias de Credito]]&lt;=0,"Contado","Credito")</f>
        <v>Contado</v>
      </c>
      <c r="N105" s="45">
        <f>Cobros[[#This Row],[Fecha Aplicación S]]-Cobros[[#This Row],[Fecha Cargo S]]</f>
        <v>0</v>
      </c>
      <c r="O105" s="45">
        <f>Cobros[[#This Row],[Dias al pago]]-Cobros[[#This Row],[Dias de Credito]]</f>
        <v>0</v>
      </c>
      <c r="P105" s="45">
        <f>SUMIFS(TablaDias[Porcentaje],TablaDias[Tipo],Cobros[[#This Row],[Tipo]],TablaDias[Desde ],"&lt;="&amp;MAX(0,Cobros[[#This Row],[Dias pasado]]),TablaDias[Hasta ],"&gt;="&amp;Cobros[[#This Row],[Dias pasado]])</f>
        <v>100</v>
      </c>
      <c r="Q1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5">
        <f>IF(COUNTIF(PAPEL[Numero],Cobros[[#This Row],[Doc. Cargo]])&gt;0,1,0)</f>
        <v>0</v>
      </c>
      <c r="S105" s="46">
        <f t="array" ref="S1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5" s="47">
        <v>0.005</v>
      </c>
      <c r="U105" s="34">
        <f>IF(Cobros[[#This Row],[Tipo]]="Credito",IF(60&gt;=Cobros[[#This Row],[Dias al pago]],1,0),IF(Cobros[[#This Row],[Dias al pago]]&lt;=3,1,0))</f>
        <v>1</v>
      </c>
      <c r="V105" s="46">
        <f>(Cobros[[#This Row],[% A pagar Vendedor]]/100)*Cobros[[#This Row],[Valor Pagado]]*Cobros[[#This Row],[Vencido]]*(Cobros[[#This Row],[% aplicar]]/100)*IF(Cobros[[#This Row],[% A pagar Vendedor]]&gt;0,1,0)</f>
        <v>4.25</v>
      </c>
      <c r="W105" s="46">
        <f>0.5%*Cobros[[#This Row],[Valor Pagado]]</f>
        <v>1.7</v>
      </c>
    </row>
    <row r="106" ht="30" spans="1:23">
      <c r="A106" s="49" t="s">
        <v>3860</v>
      </c>
      <c r="B106" s="49" t="s">
        <v>4042</v>
      </c>
      <c r="C106" s="49" t="s">
        <v>2826</v>
      </c>
      <c r="D106" s="49" t="s">
        <v>2827</v>
      </c>
      <c r="E106" s="49" t="s">
        <v>4043</v>
      </c>
      <c r="F106" s="51">
        <v>46195</v>
      </c>
      <c r="G106" s="49">
        <v>1057</v>
      </c>
      <c r="H106" s="49" t="s">
        <v>1355</v>
      </c>
      <c r="I106" s="51">
        <v>46209</v>
      </c>
      <c r="J106" s="54">
        <f>INT(Cobros[[#This Row],[Fecha Cargo]])</f>
        <v>46195</v>
      </c>
      <c r="K106" s="54">
        <f>INT(Cobros[[#This Row],[Fecha Aplicacion]])</f>
        <v>46209</v>
      </c>
      <c r="L106" s="55" t="str">
        <f>INDEX(Clientes[Días Plazo],MATCH(Cobros[[#This Row],[Cod. Cliente]],Clientes[Codigo],0),1)</f>
        <v>7</v>
      </c>
      <c r="M106" s="45" t="str">
        <f>IF(Cobros[[#This Row],[Dias de Credito]]&lt;=0,"Contado","Credito")</f>
        <v>Credito</v>
      </c>
      <c r="N106" s="45">
        <f>Cobros[[#This Row],[Fecha Aplicación S]]-Cobros[[#This Row],[Fecha Cargo S]]</f>
        <v>14</v>
      </c>
      <c r="O106" s="45">
        <f>Cobros[[#This Row],[Dias al pago]]-Cobros[[#This Row],[Dias de Credito]]</f>
        <v>7</v>
      </c>
      <c r="P106" s="45">
        <f>SUMIFS(TablaDias[Porcentaje],TablaDias[Tipo],Cobros[[#This Row],[Tipo]],TablaDias[Desde ],"&lt;="&amp;MAX(0,Cobros[[#This Row],[Dias pasado]]),TablaDias[Hasta ],"&gt;="&amp;Cobros[[#This Row],[Dias pasado]])</f>
        <v>100</v>
      </c>
      <c r="Q1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6">
        <f>IF(COUNTIF(PAPEL[Numero],Cobros[[#This Row],[Doc. Cargo]])&gt;0,1,0)</f>
        <v>0</v>
      </c>
      <c r="S106" s="46">
        <v>1</v>
      </c>
      <c r="T106" s="46">
        <f t="array" ref="T106">INDEX(Ventas[[Unidades]:[2]],MATCH("Gerente de Venta",Ventas[Vendedor %],0),6+Cobros[[#This Row],[Mes]])</f>
        <v>0.005</v>
      </c>
      <c r="U106" s="34">
        <f>IF(Cobros[[#This Row],[Tipo]]="Credito",IF(60&gt;=Cobros[[#This Row],[Dias al pago]],1,0),IF(Cobros[[#This Row],[Dias al pago]]&lt;=3,1,0))</f>
        <v>1</v>
      </c>
      <c r="V106" s="46">
        <f>(Cobros[[#This Row],[% A pagar Vendedor]]/100)*Cobros[[#This Row],[Valor Pagado]]*Cobros[[#This Row],[Vencido]]*(Cobros[[#This Row],[% aplicar]]/100)*IF(Cobros[[#This Row],[% A pagar Vendedor]]&gt;0,1,0)</f>
        <v>10.57</v>
      </c>
      <c r="W106" s="46">
        <f>0.5%*Cobros[[#This Row],[Valor Pagado]]</f>
        <v>5.285</v>
      </c>
    </row>
    <row r="107" ht="30" spans="1:23">
      <c r="A107" s="49" t="s">
        <v>3860</v>
      </c>
      <c r="B107" s="49" t="s">
        <v>4044</v>
      </c>
      <c r="C107" s="49" t="s">
        <v>2726</v>
      </c>
      <c r="D107" s="49" t="s">
        <v>2727</v>
      </c>
      <c r="E107" s="49" t="s">
        <v>4045</v>
      </c>
      <c r="F107" s="51">
        <v>46184</v>
      </c>
      <c r="G107" s="49">
        <v>11041.55</v>
      </c>
      <c r="H107" s="49" t="s">
        <v>1355</v>
      </c>
      <c r="I107" s="51">
        <v>46209</v>
      </c>
      <c r="J107" s="54">
        <f>INT(Cobros[[#This Row],[Fecha Cargo]])</f>
        <v>46184</v>
      </c>
      <c r="K107" s="54">
        <v>46209</v>
      </c>
      <c r="L107" s="55" t="str">
        <f>INDEX(Clientes[Días Plazo],MATCH(Cobros[[#This Row],[Cod. Cliente]],Clientes[Codigo],0),1)</f>
        <v>15</v>
      </c>
      <c r="M107" s="45" t="str">
        <f>IF(Cobros[[#This Row],[Dias de Credito]]&lt;=0,"Contado","Credito")</f>
        <v>Credito</v>
      </c>
      <c r="N107" s="45">
        <f>Cobros[[#This Row],[Fecha Aplicación S]]-Cobros[[#This Row],[Fecha Cargo S]]</f>
        <v>25</v>
      </c>
      <c r="O107" s="45">
        <f>Cobros[[#This Row],[Dias al pago]]-Cobros[[#This Row],[Dias de Credito]]</f>
        <v>10</v>
      </c>
      <c r="P107" s="45">
        <f>SUMIFS(TablaDias[Porcentaje],TablaDias[Tipo],Cobros[[#This Row],[Tipo]],TablaDias[Desde ],"&lt;="&amp;MAX(0,Cobros[[#This Row],[Dias pasado]]),TablaDias[Hasta ],"&gt;="&amp;Cobros[[#This Row],[Dias pasado]])</f>
        <v>100</v>
      </c>
      <c r="Q1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7">
        <f>IF(COUNTIF(PAPEL[Numero],Cobros[[#This Row],[Doc. Cargo]])&gt;0,1,0)</f>
        <v>0</v>
      </c>
      <c r="S107" s="46">
        <v>1</v>
      </c>
      <c r="T107" s="46">
        <f t="array" ref="T107">INDEX(Ventas[[Unidades]:[2]],MATCH("Gerente de Venta",Ventas[Vendedor %],0),6+Cobros[[#This Row],[Mes]])</f>
        <v>0.005</v>
      </c>
      <c r="U107" s="34">
        <f>IF(Cobros[[#This Row],[Tipo]]="Credito",IF(60&gt;=Cobros[[#This Row],[Dias al pago]],1,0),IF(Cobros[[#This Row],[Dias al pago]]&lt;=3,1,0))</f>
        <v>1</v>
      </c>
      <c r="V107" s="46">
        <f>(Cobros[[#This Row],[% A pagar Vendedor]]/100)*Cobros[[#This Row],[Valor Pagado]]*Cobros[[#This Row],[Vencido]]*(Cobros[[#This Row],[% aplicar]]/100)*IF(Cobros[[#This Row],[% A pagar Vendedor]]&gt;0,1,0)</f>
        <v>110.4155</v>
      </c>
      <c r="W107" s="46">
        <f>0.5%*Cobros[[#This Row],[Valor Pagado]]</f>
        <v>55.20775</v>
      </c>
    </row>
    <row r="108" spans="1:23">
      <c r="A108" s="49" t="s">
        <v>3860</v>
      </c>
      <c r="B108" s="49" t="s">
        <v>4046</v>
      </c>
      <c r="C108" s="49" t="s">
        <v>1222</v>
      </c>
      <c r="D108" s="49" t="s">
        <v>1223</v>
      </c>
      <c r="E108" s="49" t="s">
        <v>3914</v>
      </c>
      <c r="F108" s="51">
        <v>46202</v>
      </c>
      <c r="G108" s="49">
        <v>300</v>
      </c>
      <c r="H108" s="49" t="s">
        <v>20</v>
      </c>
      <c r="I108" s="51">
        <v>46209</v>
      </c>
      <c r="J108" s="54">
        <f>INT(Cobros[[#This Row],[Fecha Cargo]])</f>
        <v>46202</v>
      </c>
      <c r="K108" s="54">
        <f>INT(Cobros[[#This Row],[Fecha Aplicacion]])</f>
        <v>46209</v>
      </c>
      <c r="L108" s="55" t="str">
        <f>INDEX(Clientes[Días Plazo],MATCH(Cobros[[#This Row],[Cod. Cliente]],Clientes[Codigo],0),1)</f>
        <v>7</v>
      </c>
      <c r="M108" s="45" t="str">
        <f>IF(Cobros[[#This Row],[Dias de Credito]]&lt;=0,"Contado","Credito")</f>
        <v>Credito</v>
      </c>
      <c r="N108" s="45">
        <f>Cobros[[#This Row],[Fecha Aplicación S]]-Cobros[[#This Row],[Fecha Cargo S]]</f>
        <v>7</v>
      </c>
      <c r="O108" s="45">
        <f>Cobros[[#This Row],[Dias al pago]]-Cobros[[#This Row],[Dias de Credito]]</f>
        <v>0</v>
      </c>
      <c r="P108" s="45">
        <f>SUMIFS(TablaDias[Porcentaje],TablaDias[Tipo],Cobros[[#This Row],[Tipo]],TablaDias[Desde ],"&lt;="&amp;MAX(0,Cobros[[#This Row],[Dias pasado]]),TablaDias[Hasta ],"&gt;="&amp;Cobros[[#This Row],[Dias pasado]])</f>
        <v>100</v>
      </c>
      <c r="Q1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8">
        <f>IF(COUNTIF(PAPEL[Numero],Cobros[[#This Row],[Doc. Cargo]])&gt;0,1,0)</f>
        <v>0</v>
      </c>
      <c r="S108" s="46">
        <f t="array" ref="S1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8" s="46">
        <f t="array" ref="T108">INDEX(Ventas[[Unidades]:[2]],MATCH("Gerente de Venta",Ventas[Vendedor %],0),6+Cobros[[#This Row],[Mes]])</f>
        <v>0.005</v>
      </c>
      <c r="U108" s="34">
        <f>IF(Cobros[[#This Row],[Tipo]]="Credito",IF(60&gt;=Cobros[[#This Row],[Dias al pago]],1,0),IF(Cobros[[#This Row],[Dias al pago]]&lt;=3,1,0))</f>
        <v>1</v>
      </c>
      <c r="V108" s="46">
        <f>(Cobros[[#This Row],[% A pagar Vendedor]]/100)*Cobros[[#This Row],[Valor Pagado]]*Cobros[[#This Row],[Vencido]]*(Cobros[[#This Row],[% aplicar]]/100)*IF(Cobros[[#This Row],[% A pagar Vendedor]]&gt;0,1,0)</f>
        <v>3.75</v>
      </c>
      <c r="W108" s="46">
        <f>0.5%*Cobros[[#This Row],[Valor Pagado]]</f>
        <v>1.5</v>
      </c>
    </row>
    <row r="109" spans="1:23">
      <c r="A109" s="49" t="s">
        <v>3860</v>
      </c>
      <c r="B109" s="49" t="s">
        <v>4047</v>
      </c>
      <c r="C109" s="49" t="s">
        <v>255</v>
      </c>
      <c r="D109" s="49" t="s">
        <v>256</v>
      </c>
      <c r="E109" s="49" t="s">
        <v>4048</v>
      </c>
      <c r="F109" s="51">
        <v>46190</v>
      </c>
      <c r="G109" s="49">
        <v>100</v>
      </c>
      <c r="H109" s="49" t="s">
        <v>16</v>
      </c>
      <c r="I109" s="51">
        <v>46209</v>
      </c>
      <c r="J109" s="54">
        <f>INT(Cobros[[#This Row],[Fecha Cargo]])</f>
        <v>46190</v>
      </c>
      <c r="K109" s="54">
        <f>INT(Cobros[[#This Row],[Fecha Aplicacion]])</f>
        <v>46209</v>
      </c>
      <c r="L109" s="55" t="str">
        <f>INDEX(Clientes[Días Plazo],MATCH(Cobros[[#This Row],[Cod. Cliente]],Clientes[Codigo],0),1)</f>
        <v>15</v>
      </c>
      <c r="M109" s="45" t="str">
        <f>IF(Cobros[[#This Row],[Dias de Credito]]&lt;=0,"Contado","Credito")</f>
        <v>Credito</v>
      </c>
      <c r="N109" s="45">
        <f>Cobros[[#This Row],[Fecha Aplicación S]]-Cobros[[#This Row],[Fecha Cargo S]]</f>
        <v>19</v>
      </c>
      <c r="O109" s="45">
        <f>Cobros[[#This Row],[Dias al pago]]-Cobros[[#This Row],[Dias de Credito]]</f>
        <v>4</v>
      </c>
      <c r="P109" s="45">
        <f>SUMIFS(TablaDias[Porcentaje],TablaDias[Tipo],Cobros[[#This Row],[Tipo]],TablaDias[Desde ],"&lt;="&amp;MAX(0,Cobros[[#This Row],[Dias pasado]]),TablaDias[Hasta ],"&gt;="&amp;Cobros[[#This Row],[Dias pasado]])</f>
        <v>100</v>
      </c>
      <c r="Q1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9">
        <f>IF(COUNTIF(PAPEL[Numero],Cobros[[#This Row],[Doc. Cargo]])&gt;0,1,0)</f>
        <v>0</v>
      </c>
      <c r="S109" s="46">
        <f t="array" ref="S1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9" s="47">
        <v>0.005</v>
      </c>
      <c r="U109" s="34">
        <f>IF(Cobros[[#This Row],[Tipo]]="Credito",IF(60&gt;=Cobros[[#This Row],[Dias al pago]],1,0),IF(Cobros[[#This Row],[Dias al pago]]&lt;=3,1,0))</f>
        <v>1</v>
      </c>
      <c r="V109" s="46">
        <f>(Cobros[[#This Row],[% A pagar Vendedor]]/100)*Cobros[[#This Row],[Valor Pagado]]*Cobros[[#This Row],[Vencido]]*(Cobros[[#This Row],[% aplicar]]/100)*IF(Cobros[[#This Row],[% A pagar Vendedor]]&gt;0,1,0)</f>
        <v>1</v>
      </c>
      <c r="W109" s="46">
        <f>0.5%*Cobros[[#This Row],[Valor Pagado]]</f>
        <v>0.5</v>
      </c>
    </row>
    <row r="110" spans="1:23">
      <c r="A110" s="49" t="s">
        <v>3860</v>
      </c>
      <c r="B110" s="49" t="s">
        <v>3973</v>
      </c>
      <c r="C110" s="49" t="s">
        <v>3715</v>
      </c>
      <c r="D110" s="49" t="s">
        <v>3716</v>
      </c>
      <c r="E110" s="49" t="s">
        <v>4049</v>
      </c>
      <c r="F110" s="51">
        <v>46206</v>
      </c>
      <c r="G110" s="49">
        <v>3.11</v>
      </c>
      <c r="H110" s="49" t="s">
        <v>16</v>
      </c>
      <c r="I110" s="51">
        <v>46206</v>
      </c>
      <c r="J110" s="54">
        <f>INT(Cobros[[#This Row],[Fecha Cargo]])</f>
        <v>46206</v>
      </c>
      <c r="K110" s="54">
        <f>INT(Cobros[[#This Row],[Fecha Aplicacion]])</f>
        <v>46206</v>
      </c>
      <c r="L110" s="55" t="str">
        <f>INDEX(Clientes[Días Plazo],MATCH(Cobros[[#This Row],[Cod. Cliente]],Clientes[Codigo],0),1)</f>
        <v>7</v>
      </c>
      <c r="M110" s="45" t="str">
        <f>IF(Cobros[[#This Row],[Dias de Credito]]&lt;=0,"Contado","Credito")</f>
        <v>Credito</v>
      </c>
      <c r="N110" s="45">
        <f>Cobros[[#This Row],[Fecha Aplicación S]]-Cobros[[#This Row],[Fecha Cargo S]]</f>
        <v>0</v>
      </c>
      <c r="O110" s="45">
        <f>Cobros[[#This Row],[Dias al pago]]-Cobros[[#This Row],[Dias de Credito]]</f>
        <v>-7</v>
      </c>
      <c r="P110" s="45">
        <f>SUMIFS(TablaDias[Porcentaje],TablaDias[Tipo],Cobros[[#This Row],[Tipo]],TablaDias[Desde ],"&lt;="&amp;MAX(0,Cobros[[#This Row],[Dias pasado]]),TablaDias[Hasta ],"&gt;="&amp;Cobros[[#This Row],[Dias pasado]])</f>
        <v>100</v>
      </c>
      <c r="Q1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0">
        <f>IF(COUNTIF(PAPEL[Numero],Cobros[[#This Row],[Doc. Cargo]])&gt;0,1,0)</f>
        <v>0</v>
      </c>
      <c r="S110" s="46">
        <f t="array" ref="S1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0" s="47">
        <v>0.005</v>
      </c>
      <c r="U110" s="34">
        <f>IF(Cobros[[#This Row],[Tipo]]="Credito",IF(60&gt;=Cobros[[#This Row],[Dias al pago]],1,0),IF(Cobros[[#This Row],[Dias al pago]]&lt;=3,1,0))</f>
        <v>1</v>
      </c>
      <c r="V110" s="46">
        <f>(Cobros[[#This Row],[% A pagar Vendedor]]/100)*Cobros[[#This Row],[Valor Pagado]]*Cobros[[#This Row],[Vencido]]*(Cobros[[#This Row],[% aplicar]]/100)*IF(Cobros[[#This Row],[% A pagar Vendedor]]&gt;0,1,0)</f>
        <v>0.038875</v>
      </c>
      <c r="W110" s="46">
        <f>0.5%*Cobros[[#This Row],[Valor Pagado]]</f>
        <v>0.01555</v>
      </c>
    </row>
    <row r="111" spans="1:23">
      <c r="A111" s="49" t="s">
        <v>3860</v>
      </c>
      <c r="B111" s="49" t="s">
        <v>4050</v>
      </c>
      <c r="C111" s="49" t="s">
        <v>3715</v>
      </c>
      <c r="D111" s="49" t="s">
        <v>3716</v>
      </c>
      <c r="E111" s="49" t="s">
        <v>4049</v>
      </c>
      <c r="F111" s="51">
        <v>46206</v>
      </c>
      <c r="G111" s="49">
        <v>202.75</v>
      </c>
      <c r="H111" s="49" t="s">
        <v>16</v>
      </c>
      <c r="I111" s="51">
        <v>46209</v>
      </c>
      <c r="J111" s="54">
        <f>INT(Cobros[[#This Row],[Fecha Cargo]])</f>
        <v>46206</v>
      </c>
      <c r="K111" s="54">
        <f>INT(Cobros[[#This Row],[Fecha Aplicacion]])</f>
        <v>46209</v>
      </c>
      <c r="L111" s="55" t="str">
        <f>INDEX(Clientes[Días Plazo],MATCH(Cobros[[#This Row],[Cod. Cliente]],Clientes[Codigo],0),1)</f>
        <v>7</v>
      </c>
      <c r="M111" s="45" t="str">
        <f>IF(Cobros[[#This Row],[Dias de Credito]]&lt;=0,"Contado","Credito")</f>
        <v>Credito</v>
      </c>
      <c r="N111" s="45">
        <f>Cobros[[#This Row],[Fecha Aplicación S]]-Cobros[[#This Row],[Fecha Cargo S]]</f>
        <v>3</v>
      </c>
      <c r="O111" s="45">
        <v>-4</v>
      </c>
      <c r="P111" s="45">
        <f>SUMIFS(TablaDias[Porcentaje],TablaDias[Tipo],Cobros[[#This Row],[Tipo]],TablaDias[Desde ],"&lt;="&amp;MAX(0,Cobros[[#This Row],[Dias pasado]]),TablaDias[Hasta ],"&gt;="&amp;Cobros[[#This Row],[Dias pasado]])</f>
        <v>100</v>
      </c>
      <c r="Q1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1">
        <f>IF(COUNTIF(PAPEL[Numero],Cobros[[#This Row],[Doc. Cargo]])&gt;0,1,0)</f>
        <v>0</v>
      </c>
      <c r="S111" s="46">
        <f t="array" ref="S1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1" s="47">
        <v>0.005</v>
      </c>
      <c r="U111" s="34">
        <f>IF(Cobros[[#This Row],[Tipo]]="Credito",IF(60&gt;=Cobros[[#This Row],[Dias al pago]],1,0),IF(Cobros[[#This Row],[Dias al pago]]&lt;=3,1,0))</f>
        <v>1</v>
      </c>
      <c r="V111" s="46">
        <f>(Cobros[[#This Row],[% A pagar Vendedor]]/100)*Cobros[[#This Row],[Valor Pagado]]*Cobros[[#This Row],[Vencido]]*(Cobros[[#This Row],[% aplicar]]/100)*IF(Cobros[[#This Row],[% A pagar Vendedor]]&gt;0,1,0)</f>
        <v>2.534375</v>
      </c>
      <c r="W111" s="46">
        <f>0.5%*Cobros[[#This Row],[Valor Pagado]]</f>
        <v>1.01375</v>
      </c>
    </row>
    <row r="112" spans="1:24">
      <c r="A112" s="49" t="s">
        <v>3875</v>
      </c>
      <c r="B112" s="49" t="s">
        <v>4051</v>
      </c>
      <c r="C112" s="49" t="s">
        <v>1222</v>
      </c>
      <c r="D112" s="49" t="s">
        <v>1223</v>
      </c>
      <c r="E112" s="49" t="s">
        <v>3914</v>
      </c>
      <c r="F112" s="51">
        <v>46202</v>
      </c>
      <c r="G112" s="49">
        <v>269.1</v>
      </c>
      <c r="H112" s="49" t="s">
        <v>20</v>
      </c>
      <c r="I112" s="51">
        <v>46209</v>
      </c>
      <c r="J112" s="54">
        <f>INT(Cobros[[#This Row],[Fecha Cargo]])</f>
        <v>46202</v>
      </c>
      <c r="K112" s="54">
        <f>INT(Cobros[[#This Row],[Fecha Aplicacion]])</f>
        <v>46209</v>
      </c>
      <c r="L112" s="55" t="str">
        <f>INDEX(Clientes[Días Plazo],MATCH(Cobros[[#This Row],[Cod. Cliente]],Clientes[Codigo],0),1)</f>
        <v>7</v>
      </c>
      <c r="M112" s="45" t="str">
        <f>IF(Cobros[[#This Row],[Dias de Credito]]&lt;=0,"Contado","Credito")</f>
        <v>Credito</v>
      </c>
      <c r="N112" s="45">
        <f>Cobros[[#This Row],[Fecha Aplicación S]]-Cobros[[#This Row],[Fecha Cargo S]]</f>
        <v>7</v>
      </c>
      <c r="O112" s="45">
        <f>Cobros[[#This Row],[Dias al pago]]-Cobros[[#This Row],[Dias de Credito]]</f>
        <v>0</v>
      </c>
      <c r="P112" s="45">
        <f>SUMIFS(TablaDias[Porcentaje],TablaDias[Tipo],Cobros[[#This Row],[Tipo]],TablaDias[Desde ],"&lt;="&amp;MAX(0,Cobros[[#This Row],[Dias pasado]]),TablaDias[Hasta ],"&gt;="&amp;Cobros[[#This Row],[Dias pasado]])</f>
        <v>100</v>
      </c>
      <c r="Q1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12">
        <f>IF(COUNTIF(PAPEL[Numero],Cobros[[#This Row],[Doc. Cargo]])&gt;0,1,0)</f>
        <v>0</v>
      </c>
      <c r="S112" s="46">
        <f t="array" ref="S1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2" s="46">
        <f t="array" ref="T112">INDEX(Ventas[[Unidades]:[2]],MATCH("Gerente de Venta",Ventas[Vendedor %],0),6+Cobros[[#This Row],[Mes]])</f>
        <v>0.005</v>
      </c>
      <c r="U112" s="34">
        <f>IF(Cobros[[#This Row],[Tipo]]="Credito",IF(60&gt;=Cobros[[#This Row],[Dias al pago]],1,0),IF(Cobros[[#This Row],[Dias al pago]]&lt;=3,1,0))</f>
        <v>1</v>
      </c>
      <c r="V112" s="46">
        <f>(Cobros[[#This Row],[% A pagar Vendedor]]/100)*Cobros[[#This Row],[Valor Pagado]]*Cobros[[#This Row],[Vencido]]*(Cobros[[#This Row],[% aplicar]]/100)*IF(Cobros[[#This Row],[% A pagar Vendedor]]&gt;0,1,0)</f>
        <v>3.36375</v>
      </c>
      <c r="W112" s="46">
        <f>0.5%*Cobros[[#This Row],[Valor Pagado]]</f>
        <v>1.3455</v>
      </c>
      <c r="X112" s="63"/>
    </row>
    <row r="113" spans="1:23">
      <c r="A113" s="49" t="s">
        <v>3860</v>
      </c>
      <c r="B113" s="49" t="s">
        <v>4052</v>
      </c>
      <c r="C113" s="49" t="s">
        <v>1220</v>
      </c>
      <c r="D113" s="49" t="s">
        <v>1221</v>
      </c>
      <c r="E113" s="49" t="s">
        <v>4053</v>
      </c>
      <c r="F113" s="51">
        <v>46209</v>
      </c>
      <c r="G113" s="49">
        <v>232.95</v>
      </c>
      <c r="H113" s="49" t="s">
        <v>20</v>
      </c>
      <c r="I113" s="51">
        <v>46209</v>
      </c>
      <c r="J113" s="54">
        <f>INT(Cobros[[#This Row],[Fecha Cargo]])</f>
        <v>46209</v>
      </c>
      <c r="K113" s="54">
        <f>INT(Cobros[[#This Row],[Fecha Aplicacion]])</f>
        <v>46209</v>
      </c>
      <c r="L113" s="55">
        <f>INDEX(Clientes[Días Plazo],MATCH(Cobros[[#This Row],[Cod. Cliente]],Clientes[Codigo],0),1)</f>
        <v>0</v>
      </c>
      <c r="M113" s="45" t="str">
        <f>IF(Cobros[[#This Row],[Dias de Credito]]&lt;=0,"Contado","Credito")</f>
        <v>Contado</v>
      </c>
      <c r="N113" s="45">
        <f>Cobros[[#This Row],[Fecha Aplicación S]]-Cobros[[#This Row],[Fecha Cargo S]]</f>
        <v>0</v>
      </c>
      <c r="O113" s="45">
        <f>Cobros[[#This Row],[Dias al pago]]-Cobros[[#This Row],[Dias de Credito]]</f>
        <v>0</v>
      </c>
      <c r="P113" s="45">
        <f>SUMIFS(TablaDias[Porcentaje],TablaDias[Tipo],Cobros[[#This Row],[Tipo]],TablaDias[Desde ],"&lt;="&amp;MAX(0,Cobros[[#This Row],[Dias pasado]]),TablaDias[Hasta ],"&gt;="&amp;Cobros[[#This Row],[Dias pasado]])</f>
        <v>100</v>
      </c>
      <c r="Q1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3">
        <f>IF(COUNTIF(PAPEL[Numero],Cobros[[#This Row],[Doc. Cargo]])&gt;0,1,0)</f>
        <v>0</v>
      </c>
      <c r="S113" s="46">
        <f t="array" ref="S1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3" s="46">
        <f t="array" ref="T113">INDEX(Ventas[[Unidades]:[2]],MATCH("Gerente de Venta",Ventas[Vendedor %],0),6+Cobros[[#This Row],[Mes]])</f>
        <v>0.005</v>
      </c>
      <c r="U113" s="34">
        <f>IF(Cobros[[#This Row],[Tipo]]="Credito",IF(60&gt;=Cobros[[#This Row],[Dias al pago]],1,0),IF(Cobros[[#This Row],[Dias al pago]]&lt;=3,1,0))</f>
        <v>1</v>
      </c>
      <c r="V113" s="46">
        <f>(Cobros[[#This Row],[% A pagar Vendedor]]/100)*Cobros[[#This Row],[Valor Pagado]]*Cobros[[#This Row],[Vencido]]*(Cobros[[#This Row],[% aplicar]]/100)*IF(Cobros[[#This Row],[% A pagar Vendedor]]&gt;0,1,0)</f>
        <v>2.911875</v>
      </c>
      <c r="W113" s="46">
        <v>1.16475</v>
      </c>
    </row>
    <row r="114" spans="1:23">
      <c r="A114" s="49" t="s">
        <v>3860</v>
      </c>
      <c r="B114" s="49" t="s">
        <v>4054</v>
      </c>
      <c r="C114" s="49" t="s">
        <v>3354</v>
      </c>
      <c r="D114" s="49" t="s">
        <v>3355</v>
      </c>
      <c r="E114" s="49" t="s">
        <v>4039</v>
      </c>
      <c r="F114" s="51">
        <v>46209</v>
      </c>
      <c r="G114" s="49">
        <v>155.16</v>
      </c>
      <c r="H114" s="49" t="s">
        <v>16</v>
      </c>
      <c r="I114" s="51">
        <v>46209</v>
      </c>
      <c r="J114" s="54">
        <f>INT(Cobros[[#This Row],[Fecha Cargo]])</f>
        <v>46209</v>
      </c>
      <c r="K114" s="54">
        <f>INT(Cobros[[#This Row],[Fecha Aplicacion]])</f>
        <v>46209</v>
      </c>
      <c r="L114" s="55">
        <f>INDEX(Clientes[Días Plazo],MATCH(Cobros[[#This Row],[Cod. Cliente]],Clientes[Codigo],0),1)</f>
        <v>0</v>
      </c>
      <c r="M114" s="45" t="str">
        <f>IF(Cobros[[#This Row],[Dias de Credito]]&lt;=0,"Contado","Credito")</f>
        <v>Contado</v>
      </c>
      <c r="N114" s="45">
        <f>Cobros[[#This Row],[Fecha Aplicación S]]-Cobros[[#This Row],[Fecha Cargo S]]</f>
        <v>0</v>
      </c>
      <c r="O114" s="45">
        <f>Cobros[[#This Row],[Dias al pago]]-Cobros[[#This Row],[Dias de Credito]]</f>
        <v>0</v>
      </c>
      <c r="P114" s="45">
        <f>SUMIFS(TablaDias[Porcentaje],TablaDias[Tipo],Cobros[[#This Row],[Tipo]],TablaDias[Desde ],"&lt;="&amp;MAX(0,Cobros[[#This Row],[Dias pasado]]),TablaDias[Hasta ],"&gt;="&amp;Cobros[[#This Row],[Dias pasado]])</f>
        <v>100</v>
      </c>
      <c r="Q1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4">
        <f>IF(COUNTIF(PAPEL[Numero],Cobros[[#This Row],[Doc. Cargo]])&gt;0,1,0)</f>
        <v>0</v>
      </c>
      <c r="S114" s="46">
        <f t="array" ref="S1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4" s="47">
        <v>0.005</v>
      </c>
      <c r="U114" s="34">
        <f>IF(Cobros[[#This Row],[Tipo]]="Credito",IF(60&gt;=Cobros[[#This Row],[Dias al pago]],1,0),IF(Cobros[[#This Row],[Dias al pago]]&lt;=3,1,0))</f>
        <v>1</v>
      </c>
      <c r="V114" s="46">
        <f>(Cobros[[#This Row],[% A pagar Vendedor]]/100)*Cobros[[#This Row],[Valor Pagado]]*Cobros[[#This Row],[Vencido]]*(Cobros[[#This Row],[% aplicar]]/100)*IF(Cobros[[#This Row],[% A pagar Vendedor]]&gt;0,1,0)</f>
        <v>1.9395</v>
      </c>
      <c r="W114" s="46">
        <v>0.7758</v>
      </c>
    </row>
    <row r="115" spans="1:23">
      <c r="A115" s="49" t="s">
        <v>3860</v>
      </c>
      <c r="B115" s="49" t="s">
        <v>4055</v>
      </c>
      <c r="C115" s="49" t="s">
        <v>3584</v>
      </c>
      <c r="D115" s="49" t="s">
        <v>3585</v>
      </c>
      <c r="E115" s="49" t="s">
        <v>4056</v>
      </c>
      <c r="F115" s="51">
        <v>46209</v>
      </c>
      <c r="G115" s="49">
        <v>732</v>
      </c>
      <c r="H115" s="49" t="s">
        <v>20</v>
      </c>
      <c r="I115" s="51">
        <v>46209</v>
      </c>
      <c r="J115" s="54">
        <f>INT(Cobros[[#This Row],[Fecha Cargo]])</f>
        <v>46209</v>
      </c>
      <c r="K115" s="54">
        <f>INT(Cobros[[#This Row],[Fecha Aplicacion]])</f>
        <v>46209</v>
      </c>
      <c r="L115" s="55">
        <f>INDEX(Clientes[Días Plazo],MATCH(Cobros[[#This Row],[Cod. Cliente]],Clientes[Codigo],0),1)</f>
        <v>0</v>
      </c>
      <c r="M115" s="45" t="str">
        <f>IF(Cobros[[#This Row],[Dias de Credito]]&lt;=0,"Contado","Credito")</f>
        <v>Contado</v>
      </c>
      <c r="N115" s="45">
        <f>Cobros[[#This Row],[Fecha Aplicación S]]-Cobros[[#This Row],[Fecha Cargo S]]</f>
        <v>0</v>
      </c>
      <c r="O115" s="45">
        <f>Cobros[[#This Row],[Dias al pago]]-Cobros[[#This Row],[Dias de Credito]]</f>
        <v>0</v>
      </c>
      <c r="P115" s="45">
        <f>SUMIFS(TablaDias[Porcentaje],TablaDias[Tipo],Cobros[[#This Row],[Tipo]],TablaDias[Desde ],"&lt;="&amp;MAX(0,Cobros[[#This Row],[Dias pasado]]),TablaDias[Hasta ],"&gt;="&amp;Cobros[[#This Row],[Dias pasado]])</f>
        <v>100</v>
      </c>
      <c r="Q1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5">
        <f>IF(COUNTIF(PAPEL[Numero],Cobros[[#This Row],[Doc. Cargo]])&gt;0,1,0)</f>
        <v>0</v>
      </c>
      <c r="S115" s="46">
        <f t="array" ref="S1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5" s="46">
        <f t="array" ref="T115">INDEX(Ventas[[Unidades]:[2]],MATCH("Gerente de Venta",Ventas[Vendedor %],0),6+Cobros[[#This Row],[Mes]])</f>
        <v>0.005</v>
      </c>
      <c r="U115" s="34">
        <f>IF(Cobros[[#This Row],[Tipo]]="Credito",IF(60&gt;=Cobros[[#This Row],[Dias al pago]],1,0),IF(Cobros[[#This Row],[Dias al pago]]&lt;=3,1,0))</f>
        <v>1</v>
      </c>
      <c r="V115" s="46">
        <f>(Cobros[[#This Row],[% A pagar Vendedor]]/100)*Cobros[[#This Row],[Valor Pagado]]*Cobros[[#This Row],[Vencido]]*(Cobros[[#This Row],[% aplicar]]/100)*IF(Cobros[[#This Row],[% A pagar Vendedor]]&gt;0,1,0)</f>
        <v>9.15</v>
      </c>
      <c r="W115" s="46">
        <v>3.66</v>
      </c>
    </row>
    <row r="116" spans="1:23">
      <c r="A116" s="49" t="s">
        <v>3860</v>
      </c>
      <c r="B116" s="49" t="s">
        <v>4057</v>
      </c>
      <c r="C116" s="49" t="s">
        <v>2576</v>
      </c>
      <c r="D116" s="49" t="s">
        <v>2577</v>
      </c>
      <c r="E116" s="49" t="s">
        <v>4058</v>
      </c>
      <c r="F116" s="51">
        <v>46199</v>
      </c>
      <c r="G116" s="49">
        <v>3000</v>
      </c>
      <c r="H116" s="49" t="s">
        <v>20</v>
      </c>
      <c r="I116" s="51">
        <v>46209</v>
      </c>
      <c r="J116" s="54">
        <f>INT(Cobros[[#This Row],[Fecha Cargo]])</f>
        <v>46199</v>
      </c>
      <c r="K116" s="54">
        <f>INT(Cobros[[#This Row],[Fecha Aplicacion]])</f>
        <v>46209</v>
      </c>
      <c r="L116" s="55" t="str">
        <f>INDEX(Clientes[Días Plazo],MATCH(Cobros[[#This Row],[Cod. Cliente]],Clientes[Codigo],0),1)</f>
        <v>7</v>
      </c>
      <c r="M116" s="45" t="str">
        <f>IF(Cobros[[#This Row],[Dias de Credito]]&lt;=0,"Contado","Credito")</f>
        <v>Credito</v>
      </c>
      <c r="N116" s="45">
        <f>Cobros[[#This Row],[Fecha Aplicación S]]-Cobros[[#This Row],[Fecha Cargo S]]</f>
        <v>10</v>
      </c>
      <c r="O116" s="45">
        <f>Cobros[[#This Row],[Dias al pago]]-Cobros[[#This Row],[Dias de Credito]]</f>
        <v>3</v>
      </c>
      <c r="P116" s="45">
        <f>SUMIFS(TablaDias[Porcentaje],TablaDias[Tipo],Cobros[[#This Row],[Tipo]],TablaDias[Desde ],"&lt;="&amp;MAX(0,Cobros[[#This Row],[Dias pasado]]),TablaDias[Hasta ],"&gt;="&amp;Cobros[[#This Row],[Dias pasado]])</f>
        <v>100</v>
      </c>
      <c r="Q1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16">
        <f>IF(COUNTIF(PAPEL[Numero],Cobros[[#This Row],[Doc. Cargo]])&gt;0,1,0)</f>
        <v>0</v>
      </c>
      <c r="S116" s="46">
        <f t="array" ref="S1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6" s="46">
        <f t="array" ref="T116">INDEX(Ventas[[Unidades]:[2]],MATCH("Gerente de Venta",Ventas[Vendedor %],0),6+Cobros[[#This Row],[Mes]])</f>
        <v>0.005</v>
      </c>
      <c r="U116" s="34">
        <f>IF(Cobros[[#This Row],[Tipo]]="Credito",IF(60&gt;=Cobros[[#This Row],[Dias al pago]],1,0),IF(Cobros[[#This Row],[Dias al pago]]&lt;=3,1,0))</f>
        <v>1</v>
      </c>
      <c r="V116" s="46">
        <f>(Cobros[[#This Row],[% A pagar Vendedor]]/100)*Cobros[[#This Row],[Valor Pagado]]*Cobros[[#This Row],[Vencido]]*(Cobros[[#This Row],[% aplicar]]/100)*IF(Cobros[[#This Row],[% A pagar Vendedor]]&gt;0,1,0)</f>
        <v>37.5</v>
      </c>
      <c r="W116" s="46">
        <f>0.5%*Cobros[[#This Row],[Valor Pagado]]</f>
        <v>15</v>
      </c>
    </row>
    <row r="117" ht="30" spans="1:24">
      <c r="A117" s="49" t="s">
        <v>3860</v>
      </c>
      <c r="B117" s="49" t="s">
        <v>4059</v>
      </c>
      <c r="C117" s="49" t="s">
        <v>3047</v>
      </c>
      <c r="D117" s="49" t="s">
        <v>3048</v>
      </c>
      <c r="E117" s="49" t="s">
        <v>4060</v>
      </c>
      <c r="F117" s="51">
        <v>46209</v>
      </c>
      <c r="G117" s="49">
        <v>754</v>
      </c>
      <c r="H117" s="49" t="s">
        <v>3865</v>
      </c>
      <c r="I117" s="51">
        <v>46209</v>
      </c>
      <c r="J117" s="54">
        <f>INT(Cobros[[#This Row],[Fecha Cargo]])</f>
        <v>46209</v>
      </c>
      <c r="K117" s="54">
        <f>INT(Cobros[[#This Row],[Fecha Aplicacion]])</f>
        <v>46209</v>
      </c>
      <c r="L117" s="55">
        <f>INDEX(Clientes[Días Plazo],MATCH(Cobros[[#This Row],[Cod. Cliente]],Clientes[Codigo],0),1)</f>
        <v>0</v>
      </c>
      <c r="M117" s="45" t="str">
        <f>IF(Cobros[[#This Row],[Dias de Credito]]&lt;=0,"Contado","Credito")</f>
        <v>Contado</v>
      </c>
      <c r="N117" s="45">
        <f>Cobros[[#This Row],[Fecha Aplicación S]]-Cobros[[#This Row],[Fecha Cargo S]]</f>
        <v>0</v>
      </c>
      <c r="O117" s="45">
        <f>Cobros[[#This Row],[Dias al pago]]-Cobros[[#This Row],[Dias de Credito]]</f>
        <v>0</v>
      </c>
      <c r="P117" s="45">
        <f>SUMIFS(TablaDias[Porcentaje],TablaDias[Tipo],Cobros[[#This Row],[Tipo]],TablaDias[Desde ],"&lt;="&amp;MAX(0,Cobros[[#This Row],[Dias pasado]]),TablaDias[Hasta ],"&gt;="&amp;Cobros[[#This Row],[Dias pasado]])</f>
        <v>100</v>
      </c>
      <c r="Q1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17">
        <f>IF(COUNTIF(PAPEL[Numero],Cobros[[#This Row],[Doc. Cargo]])&gt;0,1,0)</f>
        <v>0</v>
      </c>
      <c r="S117" s="46">
        <v>1</v>
      </c>
      <c r="T117" s="46">
        <f t="array" ref="T117">INDEX(Ventas[[Unidades]:[2]],MATCH("Gerente de Venta",Ventas[Vendedor %],0),6+Cobros[[#This Row],[Mes]])</f>
        <v>0.005</v>
      </c>
      <c r="U117" s="34">
        <f>IF(Cobros[[#This Row],[Tipo]]="Credito",IF(60&gt;=Cobros[[#This Row],[Dias al pago]],1,0),IF(Cobros[[#This Row],[Dias al pago]]&lt;=3,1,0))</f>
        <v>1</v>
      </c>
      <c r="V117" s="46">
        <f>(Cobros[[#This Row],[% A pagar Vendedor]]/100)*Cobros[[#This Row],[Valor Pagado]]*Cobros[[#This Row],[Vencido]]*(Cobros[[#This Row],[% aplicar]]/100)*IF(Cobros[[#This Row],[% A pagar Vendedor]]&gt;0,1,0)</f>
        <v>7.54</v>
      </c>
      <c r="W117" s="46">
        <f>0.5%*Cobros[[#This Row],[Valor Pagado]]</f>
        <v>3.77</v>
      </c>
      <c r="X117" s="60"/>
    </row>
    <row r="118" ht="30" spans="1:23">
      <c r="A118" s="49" t="s">
        <v>3860</v>
      </c>
      <c r="B118" s="49" t="s">
        <v>4061</v>
      </c>
      <c r="C118" s="49" t="s">
        <v>2318</v>
      </c>
      <c r="D118" s="49" t="s">
        <v>2319</v>
      </c>
      <c r="E118" s="49" t="s">
        <v>3866</v>
      </c>
      <c r="F118" s="51">
        <v>46181</v>
      </c>
      <c r="G118" s="49">
        <v>4300</v>
      </c>
      <c r="H118" s="49" t="s">
        <v>3865</v>
      </c>
      <c r="I118" s="51">
        <v>46209</v>
      </c>
      <c r="J118" s="54">
        <f>INT(Cobros[[#This Row],[Fecha Cargo]])</f>
        <v>46181</v>
      </c>
      <c r="K118" s="54">
        <f>INT(Cobros[[#This Row],[Fecha Aplicacion]])</f>
        <v>46209</v>
      </c>
      <c r="L118" s="55" t="str">
        <f>INDEX(Clientes[Días Plazo],MATCH(Cobros[[#This Row],[Cod. Cliente]],Clientes[Codigo],0),1)</f>
        <v>15</v>
      </c>
      <c r="M118" s="45" t="str">
        <f>IF(Cobros[[#This Row],[Dias de Credito]]&lt;=0,"Contado","Credito")</f>
        <v>Credito</v>
      </c>
      <c r="N118" s="45">
        <f>Cobros[[#This Row],[Fecha Aplicación S]]-Cobros[[#This Row],[Fecha Cargo S]]</f>
        <v>28</v>
      </c>
      <c r="O118" s="45">
        <f>Cobros[[#This Row],[Dias al pago]]-Cobros[[#This Row],[Dias de Credito]]</f>
        <v>13</v>
      </c>
      <c r="P118" s="45">
        <f>SUMIFS(TablaDias[Porcentaje],TablaDias[Tipo],Cobros[[#This Row],[Tipo]],TablaDias[Desde ],"&lt;="&amp;MAX(0,Cobros[[#This Row],[Dias pasado]]),TablaDias[Hasta ],"&gt;="&amp;Cobros[[#This Row],[Dias pasado]])</f>
        <v>100</v>
      </c>
      <c r="Q1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18">
        <f>IF(COUNTIF(PAPEL[Numero],Cobros[[#This Row],[Doc. Cargo]])&gt;0,1,0)</f>
        <v>0</v>
      </c>
      <c r="S118" s="46">
        <v>1</v>
      </c>
      <c r="T118" s="46">
        <f t="array" ref="T118">INDEX(Ventas[[Unidades]:[2]],MATCH("Gerente de Venta",Ventas[Vendedor %],0),6+Cobros[[#This Row],[Mes]])</f>
        <v>0.005</v>
      </c>
      <c r="U118" s="34">
        <f>IF(Cobros[[#This Row],[Tipo]]="Credito",IF(60&gt;=Cobros[[#This Row],[Dias al pago]],1,0),IF(Cobros[[#This Row],[Dias al pago]]&lt;=3,1,0))</f>
        <v>1</v>
      </c>
      <c r="V118" s="46">
        <f>(Cobros[[#This Row],[% A pagar Vendedor]]/100)*Cobros[[#This Row],[Valor Pagado]]*Cobros[[#This Row],[Vencido]]*(Cobros[[#This Row],[% aplicar]]/100)*IF(Cobros[[#This Row],[% A pagar Vendedor]]&gt;0,1,0)</f>
        <v>43</v>
      </c>
      <c r="W118" s="46">
        <v>21.5</v>
      </c>
    </row>
    <row r="119" spans="1:24">
      <c r="A119" s="49" t="s">
        <v>3860</v>
      </c>
      <c r="B119" s="49" t="s">
        <v>4062</v>
      </c>
      <c r="C119" s="49" t="s">
        <v>1432</v>
      </c>
      <c r="D119" s="49" t="s">
        <v>1433</v>
      </c>
      <c r="E119" s="49" t="s">
        <v>4063</v>
      </c>
      <c r="F119" s="51">
        <v>46178</v>
      </c>
      <c r="G119" s="49">
        <v>2480</v>
      </c>
      <c r="H119" s="49" t="s">
        <v>19</v>
      </c>
      <c r="I119" s="51">
        <v>46209</v>
      </c>
      <c r="J119" s="54">
        <f>INT(Cobros[[#This Row],[Fecha Cargo]])</f>
        <v>46178</v>
      </c>
      <c r="K119" s="54">
        <f>INT(Cobros[[#This Row],[Fecha Aplicacion]])</f>
        <v>46209</v>
      </c>
      <c r="L119" s="55" t="str">
        <f>INDEX(Clientes[Días Plazo],MATCH(Cobros[[#This Row],[Cod. Cliente]],Clientes[Codigo],0),1)</f>
        <v>21</v>
      </c>
      <c r="M119" s="45" t="str">
        <f>IF(Cobros[[#This Row],[Dias de Credito]]&lt;=0,"Contado","Credito")</f>
        <v>Credito</v>
      </c>
      <c r="N119" s="45">
        <f>Cobros[[#This Row],[Fecha Aplicación S]]-Cobros[[#This Row],[Fecha Cargo S]]</f>
        <v>31</v>
      </c>
      <c r="O119" s="45">
        <f>Cobros[[#This Row],[Dias al pago]]-Cobros[[#This Row],[Dias de Credito]]</f>
        <v>10</v>
      </c>
      <c r="P119" s="45">
        <f>SUMIFS(TablaDias[Porcentaje],TablaDias[Tipo],Cobros[[#This Row],[Tipo]],TablaDias[Desde ],"&lt;="&amp;MAX(0,Cobros[[#This Row],[Dias pasado]]),TablaDias[Hasta ],"&gt;="&amp;Cobros[[#This Row],[Dias pasado]])</f>
        <v>100</v>
      </c>
      <c r="Q1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19">
        <f>IF(COUNTIF(PAPEL[Numero],Cobros[[#This Row],[Doc. Cargo]])&gt;0,1,0)</f>
        <v>0</v>
      </c>
      <c r="S119" s="46">
        <f t="array" ref="S1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19" s="46">
        <f t="array" ref="T119">INDEX(Ventas[[Unidades]:[2]],MATCH("Gerente de Venta",Ventas[Vendedor %],0),6+Cobros[[#This Row],[Mes]])</f>
        <v>0.005</v>
      </c>
      <c r="U119" s="34">
        <f>IF(Cobros[[#This Row],[Tipo]]="Credito",IF(60&gt;=Cobros[[#This Row],[Dias al pago]],1,0),IF(Cobros[[#This Row],[Dias al pago]]&lt;=3,1,0))</f>
        <v>1</v>
      </c>
      <c r="V119" s="46">
        <f>(Cobros[[#This Row],[% A pagar Vendedor]]/100)*Cobros[[#This Row],[Valor Pagado]]*Cobros[[#This Row],[Vencido]]*(Cobros[[#This Row],[% aplicar]]/100)*IF(Cobros[[#This Row],[% A pagar Vendedor]]&gt;0,1,0)</f>
        <v>31</v>
      </c>
      <c r="W119" s="46">
        <f>0.5%*Cobros[[#This Row],[Valor Pagado]]</f>
        <v>12.4</v>
      </c>
      <c r="X119" s="60"/>
    </row>
    <row r="120" spans="1:24">
      <c r="A120" s="49" t="s">
        <v>3860</v>
      </c>
      <c r="B120" s="49" t="s">
        <v>4064</v>
      </c>
      <c r="C120" s="49" t="s">
        <v>1756</v>
      </c>
      <c r="D120" s="49" t="s">
        <v>1757</v>
      </c>
      <c r="E120" s="49" t="s">
        <v>4001</v>
      </c>
      <c r="F120" s="51">
        <v>46195</v>
      </c>
      <c r="G120" s="49">
        <v>1.17</v>
      </c>
      <c r="H120" s="49" t="s">
        <v>19</v>
      </c>
      <c r="I120" s="51">
        <v>46209</v>
      </c>
      <c r="J120" s="54">
        <f>INT(Cobros[[#This Row],[Fecha Cargo]])</f>
        <v>46195</v>
      </c>
      <c r="K120" s="54">
        <f>INT(Cobros[[#This Row],[Fecha Aplicacion]])</f>
        <v>46209</v>
      </c>
      <c r="L120" s="55" t="str">
        <f>INDEX(Clientes[Días Plazo],MATCH(Cobros[[#This Row],[Cod. Cliente]],Clientes[Codigo],0),1)</f>
        <v>7</v>
      </c>
      <c r="M120" s="45" t="str">
        <f>IF(Cobros[[#This Row],[Dias de Credito]]&lt;=0,"Contado","Credito")</f>
        <v>Credito</v>
      </c>
      <c r="N120" s="45">
        <f>Cobros[[#This Row],[Fecha Aplicación S]]-Cobros[[#This Row],[Fecha Cargo S]]</f>
        <v>14</v>
      </c>
      <c r="O120" s="45">
        <f>Cobros[[#This Row],[Dias al pago]]-Cobros[[#This Row],[Dias de Credito]]</f>
        <v>7</v>
      </c>
      <c r="P120" s="45">
        <f>SUMIFS(TablaDias[Porcentaje],TablaDias[Tipo],Cobros[[#This Row],[Tipo]],TablaDias[Desde ],"&lt;="&amp;MAX(0,Cobros[[#This Row],[Dias pasado]]),TablaDias[Hasta ],"&gt;="&amp;Cobros[[#This Row],[Dias pasado]])</f>
        <v>100</v>
      </c>
      <c r="Q1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20">
        <f>IF(COUNTIF(PAPEL[Numero],Cobros[[#This Row],[Doc. Cargo]])&gt;0,1,0)</f>
        <v>0</v>
      </c>
      <c r="S120" s="46">
        <f t="array" ref="S1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20" s="46">
        <f t="array" ref="T120">INDEX(Ventas[[Unidades]:[2]],MATCH("Gerente de Venta",Ventas[Vendedor %],0),6+Cobros[[#This Row],[Mes]])</f>
        <v>0.005</v>
      </c>
      <c r="U120" s="34">
        <f>IF(Cobros[[#This Row],[Tipo]]="Credito",IF(60&gt;=Cobros[[#This Row],[Dias al pago]],1,0),IF(Cobros[[#This Row],[Dias al pago]]&lt;=3,1,0))</f>
        <v>1</v>
      </c>
      <c r="V120" s="46">
        <f>(Cobros[[#This Row],[% A pagar Vendedor]]/100)*Cobros[[#This Row],[Valor Pagado]]*Cobros[[#This Row],[Vencido]]*(Cobros[[#This Row],[% aplicar]]/100)*IF(Cobros[[#This Row],[% A pagar Vendedor]]&gt;0,1,0)</f>
        <v>0.014625</v>
      </c>
      <c r="W120" s="46">
        <f>0.5%*Cobros[[#This Row],[Valor Pagado]]</f>
        <v>0.00585</v>
      </c>
      <c r="X120" s="34"/>
    </row>
    <row r="121" spans="1:24">
      <c r="A121" s="49" t="s">
        <v>3860</v>
      </c>
      <c r="B121" s="49" t="s">
        <v>4064</v>
      </c>
      <c r="C121" s="49" t="s">
        <v>1756</v>
      </c>
      <c r="D121" s="49" t="s">
        <v>1757</v>
      </c>
      <c r="E121" s="49" t="s">
        <v>4065</v>
      </c>
      <c r="F121" s="51">
        <v>46206</v>
      </c>
      <c r="G121" s="49">
        <v>188.83</v>
      </c>
      <c r="H121" s="49" t="s">
        <v>19</v>
      </c>
      <c r="I121" s="51">
        <v>46209</v>
      </c>
      <c r="J121" s="54">
        <f>INT(Cobros[[#This Row],[Fecha Cargo]])</f>
        <v>46206</v>
      </c>
      <c r="K121" s="54">
        <f>INT(Cobros[[#This Row],[Fecha Aplicacion]])</f>
        <v>46209</v>
      </c>
      <c r="L121" s="55" t="str">
        <f>INDEX(Clientes[Días Plazo],MATCH(Cobros[[#This Row],[Cod. Cliente]],Clientes[Codigo],0),1)</f>
        <v>7</v>
      </c>
      <c r="M121" s="45" t="str">
        <f>IF(Cobros[[#This Row],[Dias de Credito]]&lt;=0,"Contado","Credito")</f>
        <v>Credito</v>
      </c>
      <c r="N121" s="45">
        <f>Cobros[[#This Row],[Fecha Aplicación S]]-Cobros[[#This Row],[Fecha Cargo S]]</f>
        <v>3</v>
      </c>
      <c r="O121" s="45">
        <f>Cobros[[#This Row],[Dias al pago]]-Cobros[[#This Row],[Dias de Credito]]</f>
        <v>-4</v>
      </c>
      <c r="P121" s="45">
        <f>SUMIFS(TablaDias[Porcentaje],TablaDias[Tipo],Cobros[[#This Row],[Tipo]],TablaDias[Desde ],"&lt;="&amp;MAX(0,Cobros[[#This Row],[Dias pasado]]),TablaDias[Hasta ],"&gt;="&amp;Cobros[[#This Row],[Dias pasado]])</f>
        <v>100</v>
      </c>
      <c r="Q1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21">
        <f>IF(COUNTIF(PAPEL[Numero],Cobros[[#This Row],[Doc. Cargo]])&gt;0,1,0)</f>
        <v>0</v>
      </c>
      <c r="S121" s="46">
        <f t="array" ref="S1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21" s="46">
        <f t="array" ref="T121">INDEX(Ventas[[Unidades]:[2]],MATCH("Gerente de Venta",Ventas[Vendedor %],0),6+Cobros[[#This Row],[Mes]])</f>
        <v>0.005</v>
      </c>
      <c r="U121" s="34">
        <f>IF(Cobros[[#This Row],[Tipo]]="Credito",IF(60&gt;=Cobros[[#This Row],[Dias al pago]],1,0),IF(Cobros[[#This Row],[Dias al pago]]&lt;=3,1,0))</f>
        <v>1</v>
      </c>
      <c r="V121" s="46">
        <f>(Cobros[[#This Row],[% A pagar Vendedor]]/100)*Cobros[[#This Row],[Valor Pagado]]*Cobros[[#This Row],[Vencido]]*(Cobros[[#This Row],[% aplicar]]/100)*IF(Cobros[[#This Row],[% A pagar Vendedor]]&gt;0,1,0)</f>
        <v>2.360375</v>
      </c>
      <c r="W121" s="46">
        <f>0.5%*Cobros[[#This Row],[Valor Pagado]]</f>
        <v>0.94415</v>
      </c>
      <c r="X121" s="34"/>
    </row>
    <row r="122" spans="1:24">
      <c r="A122" s="49" t="s">
        <v>3860</v>
      </c>
      <c r="B122" s="49" t="s">
        <v>4066</v>
      </c>
      <c r="C122" s="49" t="s">
        <v>1222</v>
      </c>
      <c r="D122" s="49" t="s">
        <v>1223</v>
      </c>
      <c r="E122" s="49" t="s">
        <v>3999</v>
      </c>
      <c r="F122" s="51">
        <v>46206</v>
      </c>
      <c r="G122" s="49">
        <v>200</v>
      </c>
      <c r="H122" s="49" t="s">
        <v>20</v>
      </c>
      <c r="I122" s="51">
        <v>46209</v>
      </c>
      <c r="J122" s="54">
        <f>INT(Cobros[[#This Row],[Fecha Cargo]])</f>
        <v>46206</v>
      </c>
      <c r="K122" s="54">
        <f>INT(Cobros[[#This Row],[Fecha Aplicacion]])</f>
        <v>46209</v>
      </c>
      <c r="L122" s="55" t="str">
        <f>INDEX(Clientes[Días Plazo],MATCH(Cobros[[#This Row],[Cod. Cliente]],Clientes[Codigo],0),1)</f>
        <v>7</v>
      </c>
      <c r="M122" s="45" t="str">
        <f>IF(Cobros[[#This Row],[Dias de Credito]]&lt;=0,"Contado","Credito")</f>
        <v>Credito</v>
      </c>
      <c r="N122" s="45">
        <f>Cobros[[#This Row],[Fecha Aplicación S]]-Cobros[[#This Row],[Fecha Cargo S]]</f>
        <v>3</v>
      </c>
      <c r="O122" s="45">
        <f>Cobros[[#This Row],[Dias al pago]]-Cobros[[#This Row],[Dias de Credito]]</f>
        <v>-4</v>
      </c>
      <c r="P122" s="45">
        <f>SUMIFS(TablaDias[Porcentaje],TablaDias[Tipo],Cobros[[#This Row],[Tipo]],TablaDias[Desde ],"&lt;="&amp;MAX(0,Cobros[[#This Row],[Dias pasado]]),TablaDias[Hasta ],"&gt;="&amp;Cobros[[#This Row],[Dias pasado]])</f>
        <v>100</v>
      </c>
      <c r="Q122">
        <v>1</v>
      </c>
      <c r="R122">
        <f>IF(COUNTIF(PAPEL[Numero],Cobros[[#This Row],[Doc. Cargo]])&gt;0,1,0)</f>
        <v>0</v>
      </c>
      <c r="S122" s="46">
        <f t="array" ref="S1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22" s="46">
        <f t="array" ref="T122">INDEX(Ventas[[Unidades]:[2]],MATCH("Gerente de Venta",Ventas[Vendedor %],0),6+Cobros[[#This Row],[Mes]])</f>
        <v>0.005</v>
      </c>
      <c r="U122" s="34">
        <f>IF(Cobros[[#This Row],[Tipo]]="Credito",IF(60&gt;=Cobros[[#This Row],[Dias al pago]],1,0),IF(Cobros[[#This Row],[Dias al pago]]&lt;=3,1,0))</f>
        <v>1</v>
      </c>
      <c r="V122" s="46">
        <f>(Cobros[[#This Row],[% A pagar Vendedor]]/100)*Cobros[[#This Row],[Valor Pagado]]*Cobros[[#This Row],[Vencido]]*(Cobros[[#This Row],[% aplicar]]/100)*IF(Cobros[[#This Row],[% A pagar Vendedor]]&gt;0,1,0)</f>
        <v>2.5</v>
      </c>
      <c r="W122" s="46">
        <f>0.5%*Cobros[[#This Row],[Valor Pagado]]</f>
        <v>1</v>
      </c>
      <c r="X122" s="34"/>
    </row>
    <row r="123" spans="1:23">
      <c r="A123" s="49" t="s">
        <v>3875</v>
      </c>
      <c r="B123" s="49" t="s">
        <v>4051</v>
      </c>
      <c r="C123" s="49" t="s">
        <v>1222</v>
      </c>
      <c r="D123" s="49" t="s">
        <v>1223</v>
      </c>
      <c r="E123" s="49" t="s">
        <v>3999</v>
      </c>
      <c r="F123" s="51">
        <v>46206</v>
      </c>
      <c r="G123" s="49">
        <v>330.9</v>
      </c>
      <c r="H123" s="49" t="s">
        <v>20</v>
      </c>
      <c r="I123" s="51">
        <v>46209</v>
      </c>
      <c r="J123" s="54">
        <f>INT(Cobros[[#This Row],[Fecha Cargo]])</f>
        <v>46206</v>
      </c>
      <c r="K123" s="54">
        <f>INT(Cobros[[#This Row],[Fecha Aplicacion]])</f>
        <v>46209</v>
      </c>
      <c r="L123" s="55" t="str">
        <f>INDEX(Clientes[Días Plazo],MATCH(Cobros[[#This Row],[Cod. Cliente]],Clientes[Codigo],0),1)</f>
        <v>7</v>
      </c>
      <c r="M123" s="45" t="str">
        <f>IF(Cobros[[#This Row],[Dias de Credito]]&lt;=0,"Contado","Credito")</f>
        <v>Credito</v>
      </c>
      <c r="N123" s="45">
        <f>Cobros[[#This Row],[Fecha Aplicación S]]-Cobros[[#This Row],[Fecha Cargo S]]</f>
        <v>3</v>
      </c>
      <c r="O123" s="45">
        <f>Cobros[[#This Row],[Dias al pago]]-Cobros[[#This Row],[Dias de Credito]]</f>
        <v>-4</v>
      </c>
      <c r="P123" s="45">
        <f>SUMIFS(TablaDias[Porcentaje],TablaDias[Tipo],Cobros[[#This Row],[Tipo]],TablaDias[Desde ],"&lt;="&amp;MAX(0,Cobros[[#This Row],[Dias pasado]]),TablaDias[Hasta ],"&gt;="&amp;Cobros[[#This Row],[Dias pasado]])</f>
        <v>100</v>
      </c>
      <c r="Q123">
        <v>1</v>
      </c>
      <c r="R123">
        <f>IF(COUNTIF(PAPEL[Numero],Cobros[[#This Row],[Doc. Cargo]])&gt;0,1,0)</f>
        <v>0</v>
      </c>
      <c r="S123" s="46">
        <f t="array" ref="S1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23" s="46">
        <f t="array" ref="T123">INDEX(Ventas[[Unidades]:[2]],MATCH("Gerente de Venta",Ventas[Vendedor %],0),6+Cobros[[#This Row],[Mes]])</f>
        <v>0.005</v>
      </c>
      <c r="U123" s="34">
        <f>IF(Cobros[[#This Row],[Tipo]]="Credito",IF(60&gt;=Cobros[[#This Row],[Dias al pago]],1,0),IF(Cobros[[#This Row],[Dias al pago]]&lt;=3,1,0))</f>
        <v>1</v>
      </c>
      <c r="V123" s="46">
        <f>(Cobros[[#This Row],[% A pagar Vendedor]]/100)*Cobros[[#This Row],[Valor Pagado]]*Cobros[[#This Row],[Vencido]]*(Cobros[[#This Row],[% aplicar]]/100)*IF(Cobros[[#This Row],[% A pagar Vendedor]]&gt;0,1,0)</f>
        <v>4.13625</v>
      </c>
      <c r="W123" s="46">
        <f>0.5%*Cobros[[#This Row],[Valor Pagado]]</f>
        <v>1.6545</v>
      </c>
    </row>
    <row r="124" spans="1:24">
      <c r="A124" s="49" t="s">
        <v>3860</v>
      </c>
      <c r="B124" s="49" t="s">
        <v>4067</v>
      </c>
      <c r="C124" s="49" t="s">
        <v>3747</v>
      </c>
      <c r="D124" s="49" t="s">
        <v>3748</v>
      </c>
      <c r="E124" s="49" t="s">
        <v>4068</v>
      </c>
      <c r="F124" s="51">
        <v>46169</v>
      </c>
      <c r="G124" s="49">
        <v>1690.23</v>
      </c>
      <c r="H124" s="49" t="s">
        <v>19</v>
      </c>
      <c r="I124" s="51">
        <v>46209</v>
      </c>
      <c r="J124" s="54">
        <f>INT(Cobros[[#This Row],[Fecha Cargo]])</f>
        <v>46169</v>
      </c>
      <c r="K124" s="54">
        <f>INT(Cobros[[#This Row],[Fecha Aplicacion]])</f>
        <v>46209</v>
      </c>
      <c r="L124" s="55">
        <v>30</v>
      </c>
      <c r="M124" s="45" t="str">
        <f>IF(Cobros[[#This Row],[Dias de Credito]]&lt;=0,"Contado","Credito")</f>
        <v>Credito</v>
      </c>
      <c r="N124" s="45">
        <f>Cobros[[#This Row],[Fecha Aplicación S]]-Cobros[[#This Row],[Fecha Cargo S]]</f>
        <v>40</v>
      </c>
      <c r="O124" s="45">
        <f>Cobros[[#This Row],[Dias al pago]]-Cobros[[#This Row],[Dias de Credito]]</f>
        <v>10</v>
      </c>
      <c r="P124" s="45">
        <f>SUMIFS(TablaDias[Porcentaje],TablaDias[Tipo],Cobros[[#This Row],[Tipo]],TablaDias[Desde ],"&lt;="&amp;MAX(0,Cobros[[#This Row],[Dias pasado]]),TablaDias[Hasta ],"&gt;="&amp;Cobros[[#This Row],[Dias pasado]])</f>
        <v>100</v>
      </c>
      <c r="Q1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24">
        <f>IF(COUNTIF(PAPEL[Numero],Cobros[[#This Row],[Doc. Cargo]])&gt;0,1,0)</f>
        <v>0</v>
      </c>
      <c r="S124" s="46">
        <f t="array" ref="S1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24" s="46">
        <f t="array" ref="T124">INDEX(Ventas[[Unidades]:[2]],MATCH("Gerente de Venta",Ventas[Vendedor %],0),6+Cobros[[#This Row],[Mes]])</f>
        <v>0.005</v>
      </c>
      <c r="U124" s="34">
        <f>IF(Cobros[[#This Row],[Tipo]]="Credito",IF(60&gt;=Cobros[[#This Row],[Dias al pago]],1,0),IF(Cobros[[#This Row],[Dias al pago]]&lt;=3,1,0))</f>
        <v>1</v>
      </c>
      <c r="V124" s="46">
        <f>(Cobros[[#This Row],[% A pagar Vendedor]]/100)*Cobros[[#This Row],[Valor Pagado]]*Cobros[[#This Row],[Vencido]]*(Cobros[[#This Row],[% aplicar]]/100)*IF(Cobros[[#This Row],[% A pagar Vendedor]]&gt;0,1,0)</f>
        <v>16.9023</v>
      </c>
      <c r="W124" s="46">
        <f>0.5%*Cobros[[#This Row],[Valor Pagado]]</f>
        <v>8.45115</v>
      </c>
      <c r="X124" s="34"/>
    </row>
    <row r="125" spans="1:23">
      <c r="A125" s="49" t="s">
        <v>3860</v>
      </c>
      <c r="B125" s="49" t="s">
        <v>4069</v>
      </c>
      <c r="C125" s="49" t="s">
        <v>2849</v>
      </c>
      <c r="D125" s="49" t="s">
        <v>2850</v>
      </c>
      <c r="E125" s="49" t="s">
        <v>4070</v>
      </c>
      <c r="F125" s="51">
        <v>46190</v>
      </c>
      <c r="G125" s="49">
        <v>2394</v>
      </c>
      <c r="H125" s="49" t="s">
        <v>18</v>
      </c>
      <c r="I125" s="51">
        <v>46209</v>
      </c>
      <c r="J125" s="54">
        <f>INT(Cobros[[#This Row],[Fecha Cargo]])</f>
        <v>46190</v>
      </c>
      <c r="K125" s="54">
        <f>INT(Cobros[[#This Row],[Fecha Aplicacion]])</f>
        <v>46209</v>
      </c>
      <c r="L125" s="55" t="str">
        <f>INDEX(Clientes[Días Plazo],MATCH(Cobros[[#This Row],[Cod. Cliente]],Clientes[Codigo],0),1)</f>
        <v>21</v>
      </c>
      <c r="M125" s="45" t="str">
        <f>IF(Cobros[[#This Row],[Dias de Credito]]&lt;=0,"Contado","Credito")</f>
        <v>Credito</v>
      </c>
      <c r="N125" s="45">
        <f>Cobros[[#This Row],[Fecha Aplicación S]]-Cobros[[#This Row],[Fecha Cargo S]]</f>
        <v>19</v>
      </c>
      <c r="O125" s="45">
        <f>Cobros[[#This Row],[Dias al pago]]-Cobros[[#This Row],[Dias de Credito]]</f>
        <v>-2</v>
      </c>
      <c r="P125" s="45">
        <f>SUMIFS(TablaDias[Porcentaje],TablaDias[Tipo],Cobros[[#This Row],[Tipo]],TablaDias[Desde ],"&lt;="&amp;MAX(0,Cobros[[#This Row],[Dias pasado]]),TablaDias[Hasta ],"&gt;="&amp;Cobros[[#This Row],[Dias pasado]])</f>
        <v>100</v>
      </c>
      <c r="Q1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25">
        <f>IF(COUNTIF(PAPEL[Numero],Cobros[[#This Row],[Doc. Cargo]])&gt;0,1,0)</f>
        <v>0</v>
      </c>
      <c r="S125" s="46">
        <f t="array" ref="S1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25" s="46">
        <f t="array" ref="T125">INDEX(Ventas[[Unidades]:[2]],MATCH("Gerente de Venta",Ventas[Vendedor %],0),6+Cobros[[#This Row],[Mes]])</f>
        <v>0.005</v>
      </c>
      <c r="U125" s="34">
        <f>IF(Cobros[[#This Row],[Tipo]]="Credito",IF(60&gt;=Cobros[[#This Row],[Dias al pago]],1,0),IF(Cobros[[#This Row],[Dias al pago]]&lt;=3,1,0))</f>
        <v>1</v>
      </c>
      <c r="V125" s="46">
        <f>(Cobros[[#This Row],[% A pagar Vendedor]]/100)*Cobros[[#This Row],[Valor Pagado]]*Cobros[[#This Row],[Vencido]]*(Cobros[[#This Row],[% aplicar]]/100)*IF(Cobros[[#This Row],[% A pagar Vendedor]]&gt;0,1,0)</f>
        <v>23.94</v>
      </c>
      <c r="W125" s="46">
        <f>0.5%*Cobros[[#This Row],[Valor Pagado]]</f>
        <v>11.97</v>
      </c>
    </row>
    <row r="126" spans="1:23">
      <c r="A126" s="49" t="s">
        <v>3860</v>
      </c>
      <c r="B126" s="49" t="s">
        <v>4069</v>
      </c>
      <c r="C126" s="49" t="s">
        <v>2849</v>
      </c>
      <c r="D126" s="49" t="s">
        <v>2850</v>
      </c>
      <c r="E126" s="49" t="s">
        <v>4071</v>
      </c>
      <c r="F126" s="51">
        <v>46195</v>
      </c>
      <c r="G126" s="49">
        <v>6</v>
      </c>
      <c r="H126" s="49" t="s">
        <v>18</v>
      </c>
      <c r="I126" s="51">
        <v>46209</v>
      </c>
      <c r="J126" s="54">
        <f>INT(Cobros[[#This Row],[Fecha Cargo]])</f>
        <v>46195</v>
      </c>
      <c r="K126" s="54">
        <f>INT(Cobros[[#This Row],[Fecha Aplicacion]])</f>
        <v>46209</v>
      </c>
      <c r="L126" s="55" t="str">
        <f>INDEX(Clientes[Días Plazo],MATCH(Cobros[[#This Row],[Cod. Cliente]],Clientes[Codigo],0),1)</f>
        <v>21</v>
      </c>
      <c r="M126" s="45" t="str">
        <f>IF(Cobros[[#This Row],[Dias de Credito]]&lt;=0,"Contado","Credito")</f>
        <v>Credito</v>
      </c>
      <c r="N126" s="45">
        <f>Cobros[[#This Row],[Fecha Aplicación S]]-Cobros[[#This Row],[Fecha Cargo S]]</f>
        <v>14</v>
      </c>
      <c r="O126" s="45">
        <f>Cobros[[#This Row],[Dias al pago]]-Cobros[[#This Row],[Dias de Credito]]</f>
        <v>-7</v>
      </c>
      <c r="P126" s="45">
        <f>SUMIFS(TablaDias[Porcentaje],TablaDias[Tipo],Cobros[[#This Row],[Tipo]],TablaDias[Desde ],"&lt;="&amp;MAX(0,Cobros[[#This Row],[Dias pasado]]),TablaDias[Hasta ],"&gt;="&amp;Cobros[[#This Row],[Dias pasado]])</f>
        <v>100</v>
      </c>
      <c r="Q1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26">
        <f>IF(COUNTIF(PAPEL[Numero],Cobros[[#This Row],[Doc. Cargo]])&gt;0,1,0)</f>
        <v>0</v>
      </c>
      <c r="S126" s="46">
        <f t="array" ref="S1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26" s="46">
        <f t="array" ref="T126">INDEX(Ventas[[Unidades]:[2]],MATCH("Gerente de Venta",Ventas[Vendedor %],0),6+Cobros[[#This Row],[Mes]])</f>
        <v>0.005</v>
      </c>
      <c r="U126" s="34">
        <f>IF(Cobros[[#This Row],[Tipo]]="Credito",IF(60&gt;=Cobros[[#This Row],[Dias al pago]],1,0),IF(Cobros[[#This Row],[Dias al pago]]&lt;=3,1,0))</f>
        <v>1</v>
      </c>
      <c r="V126" s="46">
        <f>(Cobros[[#This Row],[% A pagar Vendedor]]/100)*Cobros[[#This Row],[Valor Pagado]]*Cobros[[#This Row],[Vencido]]*(Cobros[[#This Row],[% aplicar]]/100)*IF(Cobros[[#This Row],[% A pagar Vendedor]]&gt;0,1,0)</f>
        <v>0.06</v>
      </c>
      <c r="W126" s="46">
        <f>0.5%*Cobros[[#This Row],[Valor Pagado]]</f>
        <v>0.03</v>
      </c>
    </row>
    <row r="127" ht="30" spans="1:23">
      <c r="A127" s="49" t="s">
        <v>3860</v>
      </c>
      <c r="B127" s="49" t="s">
        <v>4072</v>
      </c>
      <c r="C127" s="49" t="s">
        <v>2085</v>
      </c>
      <c r="D127" s="49" t="s">
        <v>2086</v>
      </c>
      <c r="E127" s="49" t="s">
        <v>4073</v>
      </c>
      <c r="F127" s="51">
        <v>46170</v>
      </c>
      <c r="G127" s="49">
        <v>100</v>
      </c>
      <c r="H127" s="49" t="s">
        <v>3865</v>
      </c>
      <c r="I127" s="51">
        <v>46209</v>
      </c>
      <c r="J127" s="54">
        <f>INT(Cobros[[#This Row],[Fecha Cargo]])</f>
        <v>46170</v>
      </c>
      <c r="K127" s="54">
        <f>INT(Cobros[[#This Row],[Fecha Aplicacion]])</f>
        <v>46209</v>
      </c>
      <c r="L127" s="55" t="str">
        <f>INDEX(Clientes[Días Plazo],MATCH(Cobros[[#This Row],[Cod. Cliente]],Clientes[Codigo],0),1)</f>
        <v>10</v>
      </c>
      <c r="M127" s="45" t="str">
        <f>IF(Cobros[[#This Row],[Dias de Credito]]&lt;=0,"Contado","Credito")</f>
        <v>Credito</v>
      </c>
      <c r="N127" s="45">
        <f>Cobros[[#This Row],[Fecha Aplicación S]]-Cobros[[#This Row],[Fecha Cargo S]]</f>
        <v>39</v>
      </c>
      <c r="O127" s="45">
        <f>Cobros[[#This Row],[Dias al pago]]-Cobros[[#This Row],[Dias de Credito]]</f>
        <v>29</v>
      </c>
      <c r="P127" s="45">
        <f>SUMIFS(TablaDias[Porcentaje],TablaDias[Tipo],Cobros[[#This Row],[Tipo]],TablaDias[Desde ],"&lt;="&amp;MAX(0,Cobros[[#This Row],[Dias pasado]]),TablaDias[Hasta ],"&gt;="&amp;Cobros[[#This Row],[Dias pasado]])</f>
        <v>50</v>
      </c>
      <c r="Q12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27">
        <f>IF(COUNTIF(PAPEL[Numero],Cobros[[#This Row],[Doc. Cargo]])&gt;0,1,0)</f>
        <v>0</v>
      </c>
      <c r="S127" s="46">
        <v>1</v>
      </c>
      <c r="T127" s="46">
        <f t="array" ref="T127">INDEX(Ventas[[Unidades]:[2]],MATCH("Gerente de Venta",Ventas[Vendedor %],0),6+Cobros[[#This Row],[Mes]])</f>
        <v>0.005</v>
      </c>
      <c r="U127" s="34">
        <f>IF(Cobros[[#This Row],[Tipo]]="Credito",IF(60&gt;=Cobros[[#This Row],[Dias al pago]],1,0),IF(Cobros[[#This Row],[Dias al pago]]&lt;=3,1,0))</f>
        <v>1</v>
      </c>
      <c r="V127" s="46">
        <f>(Cobros[[#This Row],[% A pagar Vendedor]]/100)*Cobros[[#This Row],[Valor Pagado]]*Cobros[[#This Row],[Vencido]]*(Cobros[[#This Row],[% aplicar]]/100)*IF(Cobros[[#This Row],[% A pagar Vendedor]]&gt;0,1,0)</f>
        <v>0.5</v>
      </c>
      <c r="W127" s="46">
        <f>0.5%*Cobros[[#This Row],[Valor Pagado]]</f>
        <v>0.5</v>
      </c>
    </row>
    <row r="128" spans="1:23">
      <c r="A128" s="49" t="s">
        <v>3860</v>
      </c>
      <c r="B128" s="49" t="s">
        <v>4074</v>
      </c>
      <c r="C128" s="49" t="s">
        <v>1434</v>
      </c>
      <c r="D128" s="49" t="s">
        <v>1435</v>
      </c>
      <c r="E128" s="49" t="s">
        <v>4075</v>
      </c>
      <c r="F128" s="51">
        <v>46185</v>
      </c>
      <c r="G128" s="49">
        <v>48.82</v>
      </c>
      <c r="H128" s="49" t="s">
        <v>16</v>
      </c>
      <c r="I128" s="51">
        <v>46209</v>
      </c>
      <c r="J128" s="54">
        <f>INT(Cobros[[#This Row],[Fecha Cargo]])</f>
        <v>46185</v>
      </c>
      <c r="K128" s="54">
        <f>INT(Cobros[[#This Row],[Fecha Aplicacion]])</f>
        <v>46209</v>
      </c>
      <c r="L128" s="55">
        <v>0</v>
      </c>
      <c r="M128" s="45" t="str">
        <f>IF(Cobros[[#This Row],[Dias de Credito]]&lt;=0,"Contado","Credito")</f>
        <v>Contado</v>
      </c>
      <c r="N128" s="45">
        <f>Cobros[[#This Row],[Fecha Aplicación S]]-Cobros[[#This Row],[Fecha Cargo S]]</f>
        <v>24</v>
      </c>
      <c r="O128" s="45">
        <f>Cobros[[#This Row],[Dias al pago]]-Cobros[[#This Row],[Dias de Credito]]</f>
        <v>24</v>
      </c>
      <c r="P128" s="45">
        <f>SUMIFS(TablaDias[Porcentaje],TablaDias[Tipo],Cobros[[#This Row],[Tipo]],TablaDias[Desde ],"&lt;="&amp;MAX(0,Cobros[[#This Row],[Dias pasado]]),TablaDias[Hasta ],"&gt;="&amp;Cobros[[#This Row],[Dias pasado]])</f>
        <v>0</v>
      </c>
      <c r="Q12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28">
        <f>IF(COUNTIF(PAPEL[Numero],Cobros[[#This Row],[Doc. Cargo]])&gt;0,1,0)</f>
        <v>0</v>
      </c>
      <c r="S128" s="46">
        <f t="array" ref="S1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28" s="47">
        <v>0.005</v>
      </c>
      <c r="U128" s="34">
        <f>IF(Cobros[[#This Row],[Tipo]]="Credito",IF(60&gt;=Cobros[[#This Row],[Dias al pago]],1,0),IF(Cobros[[#This Row],[Dias al pago]]&lt;=3,1,0))</f>
        <v>0</v>
      </c>
      <c r="V128" s="46">
        <f>(Cobros[[#This Row],[% A pagar Vendedor]]/100)*Cobros[[#This Row],[Valor Pagado]]*Cobros[[#This Row],[Vencido]]*(Cobros[[#This Row],[% aplicar]]/100)*IF(Cobros[[#This Row],[% A pagar Vendedor]]&gt;0,1,0)</f>
        <v>0</v>
      </c>
      <c r="W128" s="46">
        <f>0.5%*Cobros[[#This Row],[Valor Pagado]]</f>
        <v>0.2441</v>
      </c>
    </row>
    <row r="129" spans="1:23">
      <c r="A129" s="49" t="s">
        <v>3860</v>
      </c>
      <c r="B129" s="49" t="s">
        <v>4074</v>
      </c>
      <c r="C129" s="49" t="s">
        <v>1434</v>
      </c>
      <c r="D129" s="49" t="s">
        <v>1435</v>
      </c>
      <c r="E129" s="49" t="s">
        <v>4076</v>
      </c>
      <c r="F129" s="51">
        <v>46189</v>
      </c>
      <c r="G129" s="49">
        <v>123.3</v>
      </c>
      <c r="H129" s="49" t="s">
        <v>16</v>
      </c>
      <c r="I129" s="51">
        <v>46209</v>
      </c>
      <c r="J129" s="54">
        <f>INT(Cobros[[#This Row],[Fecha Cargo]])</f>
        <v>46189</v>
      </c>
      <c r="K129" s="54">
        <f>INT(Cobros[[#This Row],[Fecha Aplicacion]])</f>
        <v>46209</v>
      </c>
      <c r="L129" s="55" t="str">
        <f>INDEX(Clientes[Días Plazo],MATCH(Cobros[[#This Row],[Cod. Cliente]],Clientes[Codigo],0),1)</f>
        <v>10</v>
      </c>
      <c r="M129" s="45" t="str">
        <f>IF(Cobros[[#This Row],[Dias de Credito]]&lt;=0,"Contado","Credito")</f>
        <v>Credito</v>
      </c>
      <c r="N129" s="45">
        <f>Cobros[[#This Row],[Fecha Aplicación S]]-Cobros[[#This Row],[Fecha Cargo S]]</f>
        <v>20</v>
      </c>
      <c r="O129" s="45">
        <f>Cobros[[#This Row],[Dias al pago]]-Cobros[[#This Row],[Dias de Credito]]</f>
        <v>10</v>
      </c>
      <c r="P129" s="45">
        <f>SUMIFS(TablaDias[Porcentaje],TablaDias[Tipo],Cobros[[#This Row],[Tipo]],TablaDias[Desde ],"&lt;="&amp;MAX(0,Cobros[[#This Row],[Dias pasado]]),TablaDias[Hasta ],"&gt;="&amp;Cobros[[#This Row],[Dias pasado]])</f>
        <v>100</v>
      </c>
      <c r="Q1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29">
        <f>IF(COUNTIF(PAPEL[Numero],Cobros[[#This Row],[Doc. Cargo]])&gt;0,1,0)</f>
        <v>0</v>
      </c>
      <c r="S129" s="46">
        <f t="array" ref="S1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29" s="47">
        <v>0.005</v>
      </c>
      <c r="U129" s="34">
        <f>IF(Cobros[[#This Row],[Tipo]]="Credito",IF(60&gt;=Cobros[[#This Row],[Dias al pago]],1,0),IF(Cobros[[#This Row],[Dias al pago]]&lt;=3,1,0))</f>
        <v>1</v>
      </c>
      <c r="V129" s="46">
        <f>(Cobros[[#This Row],[% A pagar Vendedor]]/100)*Cobros[[#This Row],[Valor Pagado]]*Cobros[[#This Row],[Vencido]]*(Cobros[[#This Row],[% aplicar]]/100)*IF(Cobros[[#This Row],[% A pagar Vendedor]]&gt;0,1,0)</f>
        <v>1.233</v>
      </c>
      <c r="W129" s="46">
        <f>0.5%*Cobros[[#This Row],[Valor Pagado]]</f>
        <v>0.6165</v>
      </c>
    </row>
    <row r="130" spans="1:24">
      <c r="A130" s="49" t="s">
        <v>3860</v>
      </c>
      <c r="B130" s="49" t="s">
        <v>4074</v>
      </c>
      <c r="C130" s="49" t="s">
        <v>1434</v>
      </c>
      <c r="D130" s="49" t="s">
        <v>1435</v>
      </c>
      <c r="E130" s="49" t="s">
        <v>4077</v>
      </c>
      <c r="F130" s="51">
        <v>46202</v>
      </c>
      <c r="G130" s="49">
        <v>426</v>
      </c>
      <c r="H130" s="49" t="s">
        <v>16</v>
      </c>
      <c r="I130" s="51">
        <v>46209</v>
      </c>
      <c r="J130" s="54">
        <f>INT(Cobros[[#This Row],[Fecha Cargo]])</f>
        <v>46202</v>
      </c>
      <c r="K130" s="54">
        <f>INT(Cobros[[#This Row],[Fecha Aplicacion]])</f>
        <v>46209</v>
      </c>
      <c r="L130" s="55">
        <v>0</v>
      </c>
      <c r="M130" s="45" t="str">
        <f>IF(Cobros[[#This Row],[Dias de Credito]]&lt;=0,"Contado","Credito")</f>
        <v>Contado</v>
      </c>
      <c r="N130" s="45">
        <f>Cobros[[#This Row],[Fecha Aplicación S]]-Cobros[[#This Row],[Fecha Cargo S]]</f>
        <v>7</v>
      </c>
      <c r="O130" s="45">
        <f>Cobros[[#This Row],[Dias al pago]]-Cobros[[#This Row],[Dias de Credito]]</f>
        <v>7</v>
      </c>
      <c r="P130" s="45">
        <f>SUMIFS(TablaDias[Porcentaje],TablaDias[Tipo],Cobros[[#This Row],[Tipo]],TablaDias[Desde ],"&lt;="&amp;MAX(0,Cobros[[#This Row],[Dias pasado]]),TablaDias[Hasta ],"&gt;="&amp;Cobros[[#This Row],[Dias pasado]])</f>
        <v>0</v>
      </c>
      <c r="Q1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30">
        <f>IF(COUNTIF(PAPEL[Numero],Cobros[[#This Row],[Doc. Cargo]])&gt;0,1,0)</f>
        <v>0</v>
      </c>
      <c r="S130" s="46">
        <f t="array" ref="S1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30" s="47">
        <v>0.005</v>
      </c>
      <c r="U130" s="34">
        <f>IF(Cobros[[#This Row],[Tipo]]="Credito",IF(60&gt;=Cobros[[#This Row],[Dias al pago]],1,0),IF(Cobros[[#This Row],[Dias al pago]]&lt;=3,1,0))</f>
        <v>0</v>
      </c>
      <c r="V130" s="46">
        <f>(Cobros[[#This Row],[% A pagar Vendedor]]/100)*Cobros[[#This Row],[Valor Pagado]]*Cobros[[#This Row],[Vencido]]*(Cobros[[#This Row],[% aplicar]]/100)*IF(Cobros[[#This Row],[% A pagar Vendedor]]&gt;0,1,0)</f>
        <v>0</v>
      </c>
      <c r="W130" s="46">
        <f>0.5%*Cobros[[#This Row],[Valor Pagado]]</f>
        <v>2.13</v>
      </c>
      <c r="X130" s="60"/>
    </row>
    <row r="131" spans="1:23">
      <c r="A131" s="49" t="s">
        <v>3860</v>
      </c>
      <c r="B131" s="49" t="s">
        <v>4078</v>
      </c>
      <c r="C131" s="49" t="s">
        <v>2570</v>
      </c>
      <c r="D131" s="49" t="s">
        <v>2571</v>
      </c>
      <c r="E131" s="49" t="s">
        <v>4079</v>
      </c>
      <c r="F131" s="51">
        <v>46164</v>
      </c>
      <c r="G131" s="49">
        <v>2000</v>
      </c>
      <c r="H131" s="49" t="s">
        <v>18</v>
      </c>
      <c r="I131" s="51">
        <v>46209</v>
      </c>
      <c r="J131" s="54">
        <f>INT(Cobros[[#This Row],[Fecha Cargo]])</f>
        <v>46164</v>
      </c>
      <c r="K131" s="54">
        <f>INT(Cobros[[#This Row],[Fecha Aplicacion]])</f>
        <v>46209</v>
      </c>
      <c r="L131" s="55" t="str">
        <f>INDEX(Clientes[Días Plazo],MATCH(Cobros[[#This Row],[Cod. Cliente]],Clientes[Codigo],0),1)</f>
        <v>10</v>
      </c>
      <c r="M131" s="45" t="str">
        <f>IF(Cobros[[#This Row],[Dias de Credito]]&lt;=0,"Contado","Credito")</f>
        <v>Credito</v>
      </c>
      <c r="N131" s="45">
        <f>Cobros[[#This Row],[Fecha Aplicación S]]-Cobros[[#This Row],[Fecha Cargo S]]</f>
        <v>45</v>
      </c>
      <c r="O131" s="45">
        <f>Cobros[[#This Row],[Dias al pago]]-Cobros[[#This Row],[Dias de Credito]]</f>
        <v>35</v>
      </c>
      <c r="P131" s="45">
        <f>SUMIFS(TablaDias[Porcentaje],TablaDias[Tipo],Cobros[[#This Row],[Tipo]],TablaDias[Desde ],"&lt;="&amp;MAX(0,Cobros[[#This Row],[Dias pasado]]),TablaDias[Hasta ],"&gt;="&amp;Cobros[[#This Row],[Dias pasado]])</f>
        <v>30</v>
      </c>
      <c r="Q1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31">
        <f>IF(COUNTIF(PAPEL[Numero],Cobros[[#This Row],[Doc. Cargo]])&gt;0,1,0)</f>
        <v>0</v>
      </c>
      <c r="S131" s="46">
        <f t="array" ref="S1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131" s="46">
        <f t="array" ref="T131">INDEX(Ventas[[Unidades]:[2]],MATCH("Gerente de Venta",Ventas[Vendedor %],0),6+Cobros[[#This Row],[Mes]])</f>
        <v>0.005</v>
      </c>
      <c r="U131" s="34">
        <f>IF(Cobros[[#This Row],[Tipo]]="Credito",IF(60&gt;=Cobros[[#This Row],[Dias al pago]],1,0),IF(Cobros[[#This Row],[Dias al pago]]&lt;=3,1,0))</f>
        <v>1</v>
      </c>
      <c r="V131" s="46">
        <f>(Cobros[[#This Row],[% A pagar Vendedor]]/100)*Cobros[[#This Row],[Valor Pagado]]*Cobros[[#This Row],[Vencido]]*(Cobros[[#This Row],[% aplicar]]/100)*IF(Cobros[[#This Row],[% A pagar Vendedor]]&gt;0,1,0)</f>
        <v>0</v>
      </c>
      <c r="W131" s="46">
        <f>0.5%*Cobros[[#This Row],[Valor Pagado]]</f>
        <v>10</v>
      </c>
    </row>
    <row r="132" spans="1:23">
      <c r="A132" s="49" t="s">
        <v>3860</v>
      </c>
      <c r="B132" s="49" t="s">
        <v>4080</v>
      </c>
      <c r="C132" s="49" t="s">
        <v>1222</v>
      </c>
      <c r="D132" s="49" t="s">
        <v>1223</v>
      </c>
      <c r="E132" s="49" t="s">
        <v>3999</v>
      </c>
      <c r="F132" s="51">
        <v>46206</v>
      </c>
      <c r="G132" s="49">
        <v>78.6</v>
      </c>
      <c r="H132" s="49" t="s">
        <v>20</v>
      </c>
      <c r="I132" s="51">
        <v>46209</v>
      </c>
      <c r="J132" s="54">
        <f>INT(Cobros[[#This Row],[Fecha Cargo]])</f>
        <v>46206</v>
      </c>
      <c r="K132" s="54">
        <f>INT(Cobros[[#This Row],[Fecha Aplicacion]])</f>
        <v>46209</v>
      </c>
      <c r="L132" s="55" t="str">
        <f>INDEX(Clientes[Días Plazo],MATCH(Cobros[[#This Row],[Cod. Cliente]],Clientes[Codigo],0),1)</f>
        <v>7</v>
      </c>
      <c r="M132" s="45" t="str">
        <f>IF(Cobros[[#This Row],[Dias de Credito]]&lt;=0,"Contado","Credito")</f>
        <v>Credito</v>
      </c>
      <c r="N132" s="45">
        <f>Cobros[[#This Row],[Fecha Aplicación S]]-Cobros[[#This Row],[Fecha Cargo S]]</f>
        <v>3</v>
      </c>
      <c r="O132" s="45">
        <f>Cobros[[#This Row],[Dias al pago]]-Cobros[[#This Row],[Dias de Credito]]</f>
        <v>-4</v>
      </c>
      <c r="P132" s="45">
        <f>SUMIFS(TablaDias[Porcentaje],TablaDias[Tipo],Cobros[[#This Row],[Tipo]],TablaDias[Desde ],"&lt;="&amp;MAX(0,Cobros[[#This Row],[Dias pasado]]),TablaDias[Hasta ],"&gt;="&amp;Cobros[[#This Row],[Dias pasado]])</f>
        <v>100</v>
      </c>
      <c r="Q1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2">
        <f>IF(COUNTIF(PAPEL[Numero],Cobros[[#This Row],[Doc. Cargo]])&gt;0,1,0)</f>
        <v>0</v>
      </c>
      <c r="S132" s="46">
        <f t="array" ref="S1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2" s="46">
        <f t="array" ref="T132">INDEX(Ventas[[Unidades]:[2]],MATCH("Gerente de Venta",Ventas[Vendedor %],0),6+Cobros[[#This Row],[Mes]])</f>
        <v>0.005</v>
      </c>
      <c r="U132" s="34">
        <f>IF(Cobros[[#This Row],[Tipo]]="Credito",IF(60&gt;=Cobros[[#This Row],[Dias al pago]],1,0),IF(Cobros[[#This Row],[Dias al pago]]&lt;=3,1,0))</f>
        <v>1</v>
      </c>
      <c r="V132" s="46">
        <f>(Cobros[[#This Row],[% A pagar Vendedor]]/100)*Cobros[[#This Row],[Valor Pagado]]*Cobros[[#This Row],[Vencido]]*(Cobros[[#This Row],[% aplicar]]/100)*IF(Cobros[[#This Row],[% A pagar Vendedor]]&gt;0,1,0)</f>
        <v>0.9825</v>
      </c>
      <c r="W132" s="46">
        <f>0.5%*Cobros[[#This Row],[Valor Pagado]]</f>
        <v>0.393</v>
      </c>
    </row>
    <row r="133" spans="1:23">
      <c r="A133" s="49" t="s">
        <v>3860</v>
      </c>
      <c r="B133" s="49" t="s">
        <v>4080</v>
      </c>
      <c r="C133" s="49" t="s">
        <v>1222</v>
      </c>
      <c r="D133" s="49" t="s">
        <v>1223</v>
      </c>
      <c r="E133" s="49" t="s">
        <v>4081</v>
      </c>
      <c r="F133" s="51">
        <v>46206</v>
      </c>
      <c r="G133" s="49">
        <v>221.4</v>
      </c>
      <c r="H133" s="49" t="s">
        <v>20</v>
      </c>
      <c r="I133" s="51">
        <v>46209</v>
      </c>
      <c r="J133" s="54">
        <f>INT(Cobros[[#This Row],[Fecha Cargo]])</f>
        <v>46206</v>
      </c>
      <c r="K133" s="54">
        <f>INT(Cobros[[#This Row],[Fecha Aplicacion]])</f>
        <v>46209</v>
      </c>
      <c r="L133" s="55" t="str">
        <f>INDEX(Clientes[Días Plazo],MATCH(Cobros[[#This Row],[Cod. Cliente]],Clientes[Codigo],0),1)</f>
        <v>7</v>
      </c>
      <c r="M133" s="45" t="str">
        <f>IF(Cobros[[#This Row],[Dias de Credito]]&lt;=0,"Contado","Credito")</f>
        <v>Credito</v>
      </c>
      <c r="N133" s="45">
        <f>Cobros[[#This Row],[Fecha Aplicación S]]-Cobros[[#This Row],[Fecha Cargo S]]</f>
        <v>3</v>
      </c>
      <c r="O133" s="45">
        <f>Cobros[[#This Row],[Dias al pago]]-Cobros[[#This Row],[Dias de Credito]]</f>
        <v>-4</v>
      </c>
      <c r="P133" s="45">
        <f>SUMIFS(TablaDias[Porcentaje],TablaDias[Tipo],Cobros[[#This Row],[Tipo]],TablaDias[Desde ],"&lt;="&amp;MAX(0,Cobros[[#This Row],[Dias pasado]]),TablaDias[Hasta ],"&gt;="&amp;Cobros[[#This Row],[Dias pasado]])</f>
        <v>100</v>
      </c>
      <c r="Q1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3">
        <f>IF(COUNTIF(PAPEL[Numero],Cobros[[#This Row],[Doc. Cargo]])&gt;0,1,0)</f>
        <v>0</v>
      </c>
      <c r="S133" s="46">
        <f t="array" ref="S1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3" s="46">
        <f t="array" ref="T133">INDEX(Ventas[[Unidades]:[2]],MATCH("Gerente de Venta",Ventas[Vendedor %],0),6+Cobros[[#This Row],[Mes]])</f>
        <v>0.005</v>
      </c>
      <c r="U133" s="34">
        <f>IF(Cobros[[#This Row],[Tipo]]="Credito",IF(60&gt;=Cobros[[#This Row],[Dias al pago]],1,0),IF(Cobros[[#This Row],[Dias al pago]]&lt;=3,1,0))</f>
        <v>1</v>
      </c>
      <c r="V133" s="46">
        <f>(Cobros[[#This Row],[% A pagar Vendedor]]/100)*Cobros[[#This Row],[Valor Pagado]]*Cobros[[#This Row],[Vencido]]*(Cobros[[#This Row],[% aplicar]]/100)*IF(Cobros[[#This Row],[% A pagar Vendedor]]&gt;0,1,0)</f>
        <v>2.7675</v>
      </c>
      <c r="W133" s="46">
        <f>0.5%*Cobros[[#This Row],[Valor Pagado]]</f>
        <v>1.107</v>
      </c>
    </row>
    <row r="134" spans="1:24">
      <c r="A134" s="49" t="s">
        <v>3860</v>
      </c>
      <c r="B134" s="49" t="s">
        <v>4082</v>
      </c>
      <c r="C134" s="49" t="s">
        <v>1222</v>
      </c>
      <c r="D134" s="49" t="s">
        <v>1223</v>
      </c>
      <c r="E134" s="49" t="s">
        <v>4081</v>
      </c>
      <c r="F134" s="51">
        <v>46206</v>
      </c>
      <c r="G134" s="49">
        <v>100</v>
      </c>
      <c r="H134" s="49" t="s">
        <v>20</v>
      </c>
      <c r="I134" s="51">
        <v>46209</v>
      </c>
      <c r="J134" s="54">
        <f>INT(Cobros[[#This Row],[Fecha Cargo]])</f>
        <v>46206</v>
      </c>
      <c r="K134" s="54">
        <f>INT(Cobros[[#This Row],[Fecha Aplicacion]])</f>
        <v>46209</v>
      </c>
      <c r="L134" s="55" t="str">
        <f>INDEX(Clientes[Días Plazo],MATCH(Cobros[[#This Row],[Cod. Cliente]],Clientes[Codigo],0),1)</f>
        <v>7</v>
      </c>
      <c r="M134" s="45" t="str">
        <f>IF(Cobros[[#This Row],[Dias de Credito]]&lt;=0,"Contado","Credito")</f>
        <v>Credito</v>
      </c>
      <c r="N134" s="45">
        <f>Cobros[[#This Row],[Fecha Aplicación S]]-Cobros[[#This Row],[Fecha Cargo S]]</f>
        <v>3</v>
      </c>
      <c r="O134" s="45">
        <f>Cobros[[#This Row],[Dias al pago]]-Cobros[[#This Row],[Dias de Credito]]</f>
        <v>-4</v>
      </c>
      <c r="P134" s="45">
        <f>SUMIFS(TablaDias[Porcentaje],TablaDias[Tipo],Cobros[[#This Row],[Tipo]],TablaDias[Desde ],"&lt;="&amp;MAX(0,Cobros[[#This Row],[Dias pasado]]),TablaDias[Hasta ],"&gt;="&amp;Cobros[[#This Row],[Dias pasado]])</f>
        <v>100</v>
      </c>
      <c r="Q1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4" s="34">
        <f>IF(COUNTIF(PAPEL[Numero],Cobros[[#This Row],[Doc. Cargo]])&gt;0,1,0)</f>
        <v>0</v>
      </c>
      <c r="S134" s="46">
        <f t="array" ref="S1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4" s="46">
        <f t="array" ref="T134">INDEX(Ventas[[Unidades]:[2]],MATCH("Gerente de Venta",Ventas[Vendedor %],0),6+Cobros[[#This Row],[Mes]])</f>
        <v>0.005</v>
      </c>
      <c r="U134" s="34">
        <f>IF(Cobros[[#This Row],[Tipo]]="Credito",IF(60&gt;=Cobros[[#This Row],[Dias al pago]],1,0),IF(Cobros[[#This Row],[Dias al pago]]&lt;=3,1,0))</f>
        <v>1</v>
      </c>
      <c r="V134" s="46">
        <f>(Cobros[[#This Row],[% A pagar Vendedor]]/100)*Cobros[[#This Row],[Valor Pagado]]*Cobros[[#This Row],[Vencido]]*(Cobros[[#This Row],[% aplicar]]/100)*IF(Cobros[[#This Row],[% A pagar Vendedor]]&gt;0,1,0)</f>
        <v>1.25</v>
      </c>
      <c r="W134" s="46">
        <f>0.5%*Cobros[[#This Row],[Valor Pagado]]</f>
        <v>0.5</v>
      </c>
      <c r="X134" s="34"/>
    </row>
    <row r="135" spans="1:24">
      <c r="A135" s="49" t="s">
        <v>3860</v>
      </c>
      <c r="B135" s="49" t="s">
        <v>4083</v>
      </c>
      <c r="C135" s="49" t="s">
        <v>3040</v>
      </c>
      <c r="D135" s="49" t="s">
        <v>3041</v>
      </c>
      <c r="E135" s="49" t="s">
        <v>4084</v>
      </c>
      <c r="F135" s="51">
        <v>46209</v>
      </c>
      <c r="G135" s="49">
        <v>645</v>
      </c>
      <c r="H135" s="49" t="s">
        <v>18</v>
      </c>
      <c r="I135" s="51">
        <v>46209</v>
      </c>
      <c r="J135" s="54">
        <f>INT(Cobros[[#This Row],[Fecha Cargo]])</f>
        <v>46209</v>
      </c>
      <c r="K135" s="54">
        <f>INT(Cobros[[#This Row],[Fecha Aplicacion]])</f>
        <v>46209</v>
      </c>
      <c r="L135" s="55">
        <f>INDEX(Clientes[Días Plazo],MATCH(Cobros[[#This Row],[Cod. Cliente]],Clientes[Codigo],0),1)</f>
        <v>0</v>
      </c>
      <c r="M135" s="45" t="str">
        <f>IF(Cobros[[#This Row],[Dias de Credito]]&lt;=0,"Contado","Credito")</f>
        <v>Contado</v>
      </c>
      <c r="N135" s="45">
        <f>Cobros[[#This Row],[Fecha Aplicación S]]-Cobros[[#This Row],[Fecha Cargo S]]</f>
        <v>0</v>
      </c>
      <c r="O135" s="45">
        <f>Cobros[[#This Row],[Dias al pago]]-Cobros[[#This Row],[Dias de Credito]]</f>
        <v>0</v>
      </c>
      <c r="P135" s="45">
        <f>SUMIFS(TablaDias[Porcentaje],TablaDias[Tipo],Cobros[[#This Row],[Tipo]],TablaDias[Desde ],"&lt;="&amp;MAX(0,Cobros[[#This Row],[Dias pasado]]),TablaDias[Hasta ],"&gt;="&amp;Cobros[[#This Row],[Dias pasado]])</f>
        <v>100</v>
      </c>
      <c r="Q1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5">
        <f>IF(COUNTIF(PAPEL[Numero],Cobros[[#This Row],[Doc. Cargo]])&gt;0,1,0)</f>
        <v>0</v>
      </c>
      <c r="S135" s="46">
        <f t="array" ref="S13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5" s="46">
        <f t="array" ref="T135">INDEX(Ventas[[Unidades]:[2]],MATCH("Gerente de Venta",Ventas[Vendedor %],0),6+Cobros[[#This Row],[Mes]])</f>
        <v>0.005</v>
      </c>
      <c r="U135" s="34">
        <f>IF(Cobros[[#This Row],[Tipo]]="Credito",IF(60&gt;=Cobros[[#This Row],[Dias al pago]],1,0),IF(Cobros[[#This Row],[Dias al pago]]&lt;=3,1,0))</f>
        <v>1</v>
      </c>
      <c r="V135" s="46">
        <f>(Cobros[[#This Row],[% A pagar Vendedor]]/100)*Cobros[[#This Row],[Valor Pagado]]*Cobros[[#This Row],[Vencido]]*(Cobros[[#This Row],[% aplicar]]/100)*IF(Cobros[[#This Row],[% A pagar Vendedor]]&gt;0,1,0)</f>
        <v>8.0625</v>
      </c>
      <c r="W135" s="46">
        <f>0.5%*Cobros[[#This Row],[Valor Pagado]]</f>
        <v>3.225</v>
      </c>
      <c r="X135" s="34"/>
    </row>
    <row r="136" spans="1:23">
      <c r="A136" s="49" t="s">
        <v>3875</v>
      </c>
      <c r="B136" s="49" t="s">
        <v>4085</v>
      </c>
      <c r="C136" s="49" t="s">
        <v>3040</v>
      </c>
      <c r="D136" s="49" t="s">
        <v>3041</v>
      </c>
      <c r="E136" s="49" t="s">
        <v>4086</v>
      </c>
      <c r="F136" s="51">
        <v>46209</v>
      </c>
      <c r="G136" s="49">
        <v>235</v>
      </c>
      <c r="H136" s="49" t="s">
        <v>18</v>
      </c>
      <c r="I136" s="51">
        <v>46209</v>
      </c>
      <c r="J136" s="54">
        <f>INT(Cobros[[#This Row],[Fecha Cargo]])</f>
        <v>46209</v>
      </c>
      <c r="K136" s="54">
        <f>INT(Cobros[[#This Row],[Fecha Aplicacion]])</f>
        <v>46209</v>
      </c>
      <c r="L136" s="55">
        <f>INDEX(Clientes[Días Plazo],MATCH(Cobros[[#This Row],[Cod. Cliente]],Clientes[Codigo],0),1)</f>
        <v>0</v>
      </c>
      <c r="M136" s="45" t="str">
        <f>IF(Cobros[[#This Row],[Dias de Credito]]&lt;=0,"Contado","Credito")</f>
        <v>Contado</v>
      </c>
      <c r="N136" s="45">
        <f>Cobros[[#This Row],[Fecha Aplicación S]]-Cobros[[#This Row],[Fecha Cargo S]]</f>
        <v>0</v>
      </c>
      <c r="O136" s="45">
        <f>Cobros[[#This Row],[Dias al pago]]-Cobros[[#This Row],[Dias de Credito]]</f>
        <v>0</v>
      </c>
      <c r="P136" s="45">
        <f>SUMIFS(TablaDias[Porcentaje],TablaDias[Tipo],Cobros[[#This Row],[Tipo]],TablaDias[Desde ],"&lt;="&amp;MAX(0,Cobros[[#This Row],[Dias pasado]]),TablaDias[Hasta ],"&gt;="&amp;Cobros[[#This Row],[Dias pasado]])</f>
        <v>100</v>
      </c>
      <c r="Q1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6">
        <f>IF(COUNTIF(PAPEL[Numero],Cobros[[#This Row],[Doc. Cargo]])&gt;0,1,0)</f>
        <v>0</v>
      </c>
      <c r="S136" s="46">
        <f t="array" ref="S13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6" s="46">
        <f t="array" ref="T136">INDEX(Ventas[[Unidades]:[2]],MATCH("Gerente de Venta",Ventas[Vendedor %],0),6+Cobros[[#This Row],[Mes]])</f>
        <v>0.005</v>
      </c>
      <c r="U136" s="34">
        <f>IF(Cobros[[#This Row],[Tipo]]="Credito",IF(60&gt;=Cobros[[#This Row],[Dias al pago]],1,0),IF(Cobros[[#This Row],[Dias al pago]]&lt;=3,1,0))</f>
        <v>1</v>
      </c>
      <c r="V136" s="46">
        <f>(Cobros[[#This Row],[% A pagar Vendedor]]/100)*Cobros[[#This Row],[Valor Pagado]]*Cobros[[#This Row],[Vencido]]*(Cobros[[#This Row],[% aplicar]]/100)*IF(Cobros[[#This Row],[% A pagar Vendedor]]&gt;0,1,0)</f>
        <v>2.9375</v>
      </c>
      <c r="W136" s="46">
        <f>0.5%*Cobros[[#This Row],[Valor Pagado]]</f>
        <v>1.175</v>
      </c>
    </row>
    <row r="137" ht="30" spans="1:24">
      <c r="A137" s="49" t="s">
        <v>3860</v>
      </c>
      <c r="B137" s="49" t="s">
        <v>4087</v>
      </c>
      <c r="C137" s="49" t="s">
        <v>3130</v>
      </c>
      <c r="D137" s="49" t="s">
        <v>3131</v>
      </c>
      <c r="E137" s="49" t="s">
        <v>4088</v>
      </c>
      <c r="F137" s="51">
        <v>46209</v>
      </c>
      <c r="G137" s="49">
        <v>241.95</v>
      </c>
      <c r="H137" s="49" t="s">
        <v>3865</v>
      </c>
      <c r="I137" s="51">
        <v>46209</v>
      </c>
      <c r="J137" s="54">
        <f>INT(Cobros[[#This Row],[Fecha Cargo]])</f>
        <v>46209</v>
      </c>
      <c r="K137" s="54">
        <f>INT(Cobros[[#This Row],[Fecha Aplicacion]])</f>
        <v>46209</v>
      </c>
      <c r="L137" s="55">
        <f>INDEX(Clientes[Días Plazo],MATCH(Cobros[[#This Row],[Cod. Cliente]],Clientes[Codigo],0),1)</f>
        <v>0</v>
      </c>
      <c r="M137" s="45" t="str">
        <f>IF(Cobros[[#This Row],[Dias de Credito]]&lt;=0,"Contado","Credito")</f>
        <v>Contado</v>
      </c>
      <c r="N137" s="45">
        <f>Cobros[[#This Row],[Fecha Aplicación S]]-Cobros[[#This Row],[Fecha Cargo S]]</f>
        <v>0</v>
      </c>
      <c r="O137" s="45">
        <f>Cobros[[#This Row],[Dias al pago]]-Cobros[[#This Row],[Dias de Credito]]</f>
        <v>0</v>
      </c>
      <c r="P137" s="45">
        <f>SUMIFS(TablaDias[Porcentaje],TablaDias[Tipo],Cobros[[#This Row],[Tipo]],TablaDias[Desde ],"&lt;="&amp;MAX(0,Cobros[[#This Row],[Dias pasado]]),TablaDias[Hasta ],"&gt;="&amp;Cobros[[#This Row],[Dias pasado]])</f>
        <v>100</v>
      </c>
      <c r="Q1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7">
        <f>IF(COUNTIF(PAPEL[Numero],Cobros[[#This Row],[Doc. Cargo]])&gt;0,1,0)</f>
        <v>0</v>
      </c>
      <c r="S137" s="46">
        <v>1</v>
      </c>
      <c r="T137" s="46">
        <f t="array" ref="T137">INDEX(Ventas[[Unidades]:[2]],MATCH("Gerente de Venta",Ventas[Vendedor %],0),6+Cobros[[#This Row],[Mes]])</f>
        <v>0.005</v>
      </c>
      <c r="U137" s="34">
        <f>IF(Cobros[[#This Row],[Tipo]]="Credito",IF(60&gt;=Cobros[[#This Row],[Dias al pago]],1,0),IF(Cobros[[#This Row],[Dias al pago]]&lt;=3,1,0))</f>
        <v>1</v>
      </c>
      <c r="V137" s="46">
        <f>(Cobros[[#This Row],[% A pagar Vendedor]]/100)*Cobros[[#This Row],[Valor Pagado]]*Cobros[[#This Row],[Vencido]]*(Cobros[[#This Row],[% aplicar]]/100)*IF(Cobros[[#This Row],[% A pagar Vendedor]]&gt;0,1,0)</f>
        <v>2.4195</v>
      </c>
      <c r="W137" s="46">
        <f>0.5%*Cobros[[#This Row],[Valor Pagado]]</f>
        <v>1.20975</v>
      </c>
      <c r="X137" s="60"/>
    </row>
    <row r="138" ht="30" spans="1:24">
      <c r="A138" s="49" t="s">
        <v>3860</v>
      </c>
      <c r="B138" s="49" t="s">
        <v>4089</v>
      </c>
      <c r="C138" s="49" t="s">
        <v>3141</v>
      </c>
      <c r="D138" s="49" t="s">
        <v>3142</v>
      </c>
      <c r="E138" s="49" t="s">
        <v>4090</v>
      </c>
      <c r="F138" s="51">
        <v>46209</v>
      </c>
      <c r="G138" s="49">
        <v>731.9</v>
      </c>
      <c r="H138" s="49" t="s">
        <v>22</v>
      </c>
      <c r="I138" s="51">
        <v>46209</v>
      </c>
      <c r="J138" s="54">
        <f>INT(Cobros[[#This Row],[Fecha Cargo]])</f>
        <v>46209</v>
      </c>
      <c r="K138" s="54">
        <f>INT(Cobros[[#This Row],[Fecha Aplicacion]])</f>
        <v>46209</v>
      </c>
      <c r="L138" s="55" t="str">
        <f>INDEX(Clientes[Días Plazo],MATCH(Cobros[[#This Row],[Cod. Cliente]],Clientes[Codigo],0),1)</f>
        <v>3</v>
      </c>
      <c r="M138" s="45" t="str">
        <f>IF(Cobros[[#This Row],[Dias de Credito]]&lt;=0,"Contado","Credito")</f>
        <v>Credito</v>
      </c>
      <c r="N138" s="45">
        <f>Cobros[[#This Row],[Fecha Aplicación S]]-Cobros[[#This Row],[Fecha Cargo S]]</f>
        <v>0</v>
      </c>
      <c r="O138" s="45">
        <f>Cobros[[#This Row],[Dias al pago]]-Cobros[[#This Row],[Dias de Credito]]</f>
        <v>-3</v>
      </c>
      <c r="P138" s="45">
        <f>SUMIFS(TablaDias[Porcentaje],TablaDias[Tipo],Cobros[[#This Row],[Tipo]],TablaDias[Desde ],"&lt;="&amp;MAX(0,Cobros[[#This Row],[Dias pasado]]),TablaDias[Hasta ],"&gt;="&amp;Cobros[[#This Row],[Dias pasado]])</f>
        <v>100</v>
      </c>
      <c r="Q13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8">
        <f>IF(COUNTIF(PAPEL[Numero],Cobros[[#This Row],[Doc. Cargo]])&gt;0,1,0)</f>
        <v>0</v>
      </c>
      <c r="S138" s="46">
        <f t="array" ref="S1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38" s="46">
        <f t="array" ref="T138">INDEX(Ventas[[Unidades]:[2]],MATCH("Gerente de Venta",Ventas[Vendedor %],0),6+Cobros[[#This Row],[Mes]])</f>
        <v>0.005</v>
      </c>
      <c r="U138" s="34">
        <f>IF(Cobros[[#This Row],[Tipo]]="Credito",IF(60&gt;=Cobros[[#This Row],[Dias al pago]],1,0),IF(Cobros[[#This Row],[Dias al pago]]&lt;=3,1,0))</f>
        <v>1</v>
      </c>
      <c r="V138" s="46">
        <f>(Cobros[[#This Row],[% A pagar Vendedor]]/100)*Cobros[[#This Row],[Valor Pagado]]*Cobros[[#This Row],[Vencido]]*(Cobros[[#This Row],[% aplicar]]/100)*IF(Cobros[[#This Row],[% A pagar Vendedor]]&gt;0,1,0)</f>
        <v>7.319</v>
      </c>
      <c r="W138" s="46">
        <f>0.5%*Cobros[[#This Row],[Valor Pagado]]</f>
        <v>3.6595</v>
      </c>
      <c r="X138" s="60"/>
    </row>
    <row r="139" spans="1:23">
      <c r="A139" s="49" t="s">
        <v>3875</v>
      </c>
      <c r="B139" s="49" t="s">
        <v>3917</v>
      </c>
      <c r="C139" s="49" t="s">
        <v>1220</v>
      </c>
      <c r="D139" s="49" t="s">
        <v>1221</v>
      </c>
      <c r="E139" s="49" t="s">
        <v>4091</v>
      </c>
      <c r="F139" s="51">
        <v>46209</v>
      </c>
      <c r="G139" s="49">
        <v>3</v>
      </c>
      <c r="H139" s="49" t="s">
        <v>20</v>
      </c>
      <c r="I139" s="51">
        <v>46205</v>
      </c>
      <c r="J139" s="54">
        <f>INT(Cobros[[#This Row],[Fecha Cargo]])</f>
        <v>46209</v>
      </c>
      <c r="K139" s="54">
        <f>INT(Cobros[[#This Row],[Fecha Aplicacion]])</f>
        <v>46205</v>
      </c>
      <c r="L139" s="55">
        <f>INDEX(Clientes[Días Plazo],MATCH(Cobros[[#This Row],[Cod. Cliente]],Clientes[Codigo],0),1)</f>
        <v>0</v>
      </c>
      <c r="M139" s="45" t="str">
        <f>IF(Cobros[[#This Row],[Dias de Credito]]&lt;=0,"Contado","Credito")</f>
        <v>Contado</v>
      </c>
      <c r="N139" s="45">
        <f>Cobros[[#This Row],[Fecha Aplicación S]]-Cobros[[#This Row],[Fecha Cargo S]]</f>
        <v>-4</v>
      </c>
      <c r="O139" s="45">
        <f>Cobros[[#This Row],[Dias al pago]]-Cobros[[#This Row],[Dias de Credito]]</f>
        <v>-4</v>
      </c>
      <c r="P139" s="45">
        <f>SUMIFS(TablaDias[Porcentaje],TablaDias[Tipo],Cobros[[#This Row],[Tipo]],TablaDias[Desde ],"&lt;="&amp;MAX(0,Cobros[[#This Row],[Dias pasado]]),TablaDias[Hasta ],"&gt;="&amp;Cobros[[#This Row],[Dias pasado]])</f>
        <v>100</v>
      </c>
      <c r="Q13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39">
        <f>IF(COUNTIF(PAPEL[Numero],Cobros[[#This Row],[Doc. Cargo]])&gt;0,1,0)</f>
        <v>0</v>
      </c>
      <c r="S139" s="46">
        <f t="array" ref="S1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39" s="46">
        <f t="array" ref="T139">INDEX(Ventas[[Unidades]:[2]],MATCH("Gerente de Venta",Ventas[Vendedor %],0),6+Cobros[[#This Row],[Mes]])</f>
        <v>0.005</v>
      </c>
      <c r="U139" s="34">
        <f>IF(Cobros[[#This Row],[Tipo]]="Credito",IF(60&gt;=Cobros[[#This Row],[Dias al pago]],1,0),IF(Cobros[[#This Row],[Dias al pago]]&lt;=3,1,0))</f>
        <v>1</v>
      </c>
      <c r="V139" s="46">
        <f>(Cobros[[#This Row],[% A pagar Vendedor]]/100)*Cobros[[#This Row],[Valor Pagado]]*Cobros[[#This Row],[Vencido]]*(Cobros[[#This Row],[% aplicar]]/100)*IF(Cobros[[#This Row],[% A pagar Vendedor]]&gt;0,1,0)</f>
        <v>0.0375</v>
      </c>
      <c r="W139" s="46">
        <f>0.5%*Cobros[[#This Row],[Valor Pagado]]</f>
        <v>0.015</v>
      </c>
    </row>
    <row r="140" spans="1:23">
      <c r="A140" s="49" t="s">
        <v>3875</v>
      </c>
      <c r="B140" s="49" t="s">
        <v>4092</v>
      </c>
      <c r="C140" s="49" t="s">
        <v>1220</v>
      </c>
      <c r="D140" s="49" t="s">
        <v>1221</v>
      </c>
      <c r="E140" s="49" t="s">
        <v>4091</v>
      </c>
      <c r="F140" s="51">
        <v>46209</v>
      </c>
      <c r="G140" s="49">
        <v>49</v>
      </c>
      <c r="H140" s="49" t="s">
        <v>20</v>
      </c>
      <c r="I140" s="51">
        <v>46209</v>
      </c>
      <c r="J140" s="54">
        <f>INT(Cobros[[#This Row],[Fecha Cargo]])</f>
        <v>46209</v>
      </c>
      <c r="K140" s="54">
        <f>INT(Cobros[[#This Row],[Fecha Aplicacion]])</f>
        <v>46209</v>
      </c>
      <c r="L140" s="55">
        <f>INDEX(Clientes[Días Plazo],MATCH(Cobros[[#This Row],[Cod. Cliente]],Clientes[Codigo],0),1)</f>
        <v>0</v>
      </c>
      <c r="M140" s="45" t="str">
        <f>IF(Cobros[[#This Row],[Dias de Credito]]&lt;=0,"Contado","Credito")</f>
        <v>Contado</v>
      </c>
      <c r="N140" s="45">
        <f>Cobros[[#This Row],[Fecha Aplicación S]]-Cobros[[#This Row],[Fecha Cargo S]]</f>
        <v>0</v>
      </c>
      <c r="O140" s="45">
        <f>Cobros[[#This Row],[Dias al pago]]-Cobros[[#This Row],[Dias de Credito]]</f>
        <v>0</v>
      </c>
      <c r="P140" s="45">
        <f>SUMIFS(TablaDias[Porcentaje],TablaDias[Tipo],Cobros[[#This Row],[Tipo]],TablaDias[Desde ],"&lt;="&amp;MAX(0,Cobros[[#This Row],[Dias pasado]]),TablaDias[Hasta ],"&gt;="&amp;Cobros[[#This Row],[Dias pasado]])</f>
        <v>100</v>
      </c>
      <c r="Q14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0">
        <f>IF(COUNTIF(PAPEL[Numero],Cobros[[#This Row],[Doc. Cargo]])&gt;0,1,0)</f>
        <v>0</v>
      </c>
      <c r="S140" s="46">
        <f t="array" ref="S1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40" s="46">
        <f t="array" ref="T140">INDEX(Ventas[[Unidades]:[2]],MATCH("Gerente de Venta",Ventas[Vendedor %],0),6+Cobros[[#This Row],[Mes]])</f>
        <v>0.005</v>
      </c>
      <c r="U140" s="34">
        <f>IF(Cobros[[#This Row],[Tipo]]="Credito",IF(60&gt;=Cobros[[#This Row],[Dias al pago]],1,0),IF(Cobros[[#This Row],[Dias al pago]]&lt;=3,1,0))</f>
        <v>1</v>
      </c>
      <c r="V140" s="46">
        <f>(Cobros[[#This Row],[% A pagar Vendedor]]/100)*Cobros[[#This Row],[Valor Pagado]]*Cobros[[#This Row],[Vencido]]*(Cobros[[#This Row],[% aplicar]]/100)*IF(Cobros[[#This Row],[% A pagar Vendedor]]&gt;0,1,0)</f>
        <v>0.6125</v>
      </c>
      <c r="W140" s="46">
        <f>0.5%*Cobros[[#This Row],[Valor Pagado]]</f>
        <v>0.245</v>
      </c>
    </row>
    <row r="141" spans="1:23">
      <c r="A141" s="49" t="s">
        <v>3875</v>
      </c>
      <c r="B141" s="49" t="s">
        <v>4093</v>
      </c>
      <c r="C141" s="49" t="s">
        <v>2550</v>
      </c>
      <c r="D141" s="49" t="s">
        <v>2551</v>
      </c>
      <c r="E141" s="49" t="s">
        <v>4094</v>
      </c>
      <c r="F141" s="51">
        <v>46209</v>
      </c>
      <c r="G141" s="49">
        <v>112.5</v>
      </c>
      <c r="H141" s="49" t="s">
        <v>16</v>
      </c>
      <c r="I141" s="51">
        <v>46209</v>
      </c>
      <c r="J141" s="54">
        <f>INT(Cobros[[#This Row],[Fecha Cargo]])</f>
        <v>46209</v>
      </c>
      <c r="K141" s="54">
        <f>INT(Cobros[[#This Row],[Fecha Aplicacion]])</f>
        <v>46209</v>
      </c>
      <c r="L141" s="55">
        <f>INDEX(Clientes[Días Plazo],MATCH(Cobros[[#This Row],[Cod. Cliente]],Clientes[Codigo],0),1)</f>
        <v>0</v>
      </c>
      <c r="M141" s="45" t="str">
        <f>IF(Cobros[[#This Row],[Dias de Credito]]&lt;=0,"Contado","Credito")</f>
        <v>Contado</v>
      </c>
      <c r="N141" s="45">
        <f>Cobros[[#This Row],[Fecha Aplicación S]]-Cobros[[#This Row],[Fecha Cargo S]]</f>
        <v>0</v>
      </c>
      <c r="O141" s="45">
        <f>Cobros[[#This Row],[Dias al pago]]-Cobros[[#This Row],[Dias de Credito]]</f>
        <v>0</v>
      </c>
      <c r="P141" s="45">
        <f>SUMIFS(TablaDias[Porcentaje],TablaDias[Tipo],Cobros[[#This Row],[Tipo]],TablaDias[Desde ],"&lt;="&amp;MAX(0,Cobros[[#This Row],[Dias pasado]]),TablaDias[Hasta ],"&gt;="&amp;Cobros[[#This Row],[Dias pasado]])</f>
        <v>100</v>
      </c>
      <c r="Q14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1">
        <f>IF(COUNTIF(PAPEL[Numero],Cobros[[#This Row],[Doc. Cargo]])&gt;0,1,0)</f>
        <v>0</v>
      </c>
      <c r="S141" s="46">
        <f t="array" ref="S1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41" s="47">
        <v>0.005</v>
      </c>
      <c r="U141" s="34">
        <f>IF(Cobros[[#This Row],[Tipo]]="Credito",IF(60&gt;=Cobros[[#This Row],[Dias al pago]],1,0),IF(Cobros[[#This Row],[Dias al pago]]&lt;=3,1,0))</f>
        <v>1</v>
      </c>
      <c r="V141" s="46">
        <f>(Cobros[[#This Row],[% A pagar Vendedor]]/100)*Cobros[[#This Row],[Valor Pagado]]*Cobros[[#This Row],[Vencido]]*(Cobros[[#This Row],[% aplicar]]/100)*IF(Cobros[[#This Row],[% A pagar Vendedor]]&gt;0,1,0)</f>
        <v>1.40625</v>
      </c>
      <c r="W141" s="46">
        <f>0.5%*Cobros[[#This Row],[Valor Pagado]]</f>
        <v>0.5625</v>
      </c>
    </row>
    <row r="142" ht="30" spans="1:23">
      <c r="A142" s="49" t="s">
        <v>3860</v>
      </c>
      <c r="B142" s="49" t="s">
        <v>4095</v>
      </c>
      <c r="C142" s="49" t="s">
        <v>3190</v>
      </c>
      <c r="D142" s="49" t="s">
        <v>3191</v>
      </c>
      <c r="E142" s="49" t="s">
        <v>3972</v>
      </c>
      <c r="F142" s="51">
        <v>46112</v>
      </c>
      <c r="G142" s="49">
        <v>1000</v>
      </c>
      <c r="H142" s="49" t="s">
        <v>3865</v>
      </c>
      <c r="I142" s="51">
        <v>46209</v>
      </c>
      <c r="J142" s="54">
        <f>INT(Cobros[[#This Row],[Fecha Cargo]])</f>
        <v>46112</v>
      </c>
      <c r="K142" s="54">
        <f>INT(Cobros[[#This Row],[Fecha Aplicacion]])</f>
        <v>46209</v>
      </c>
      <c r="L142" s="55">
        <f>INDEX(Clientes[Días Plazo],MATCH(Cobros[[#This Row],[Cod. Cliente]],Clientes[Codigo],0),1)</f>
        <v>21</v>
      </c>
      <c r="M142" s="45" t="str">
        <f>IF(Cobros[[#This Row],[Dias de Credito]]&lt;=0,"Contado","Credito")</f>
        <v>Credito</v>
      </c>
      <c r="N142" s="45">
        <f>Cobros[[#This Row],[Fecha Aplicación S]]-Cobros[[#This Row],[Fecha Cargo S]]</f>
        <v>97</v>
      </c>
      <c r="O142" s="45">
        <f>Cobros[[#This Row],[Dias al pago]]-Cobros[[#This Row],[Dias de Credito]]</f>
        <v>76</v>
      </c>
      <c r="P142" s="45">
        <f>SUMIFS(TablaDias[Porcentaje],TablaDias[Tipo],Cobros[[#This Row],[Tipo]],TablaDias[Desde ],"&lt;="&amp;MAX(0,Cobros[[#This Row],[Dias pasado]]),TablaDias[Hasta ],"&gt;="&amp;Cobros[[#This Row],[Dias pasado]])</f>
        <v>0</v>
      </c>
      <c r="Q1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2">
        <f>IF(COUNTIF(PAPEL[Numero],Cobros[[#This Row],[Doc. Cargo]])&gt;0,1,0)</f>
        <v>0</v>
      </c>
      <c r="S142" s="46">
        <v>1</v>
      </c>
      <c r="T142" s="46">
        <f t="array" ref="T142">INDEX(Ventas[[Unidades]:[2]],MATCH("Gerente de Venta",Ventas[Vendedor %],0),6+Cobros[[#This Row],[Mes]])</f>
        <v>0.005</v>
      </c>
      <c r="U142" s="34">
        <f>IF(Cobros[[#This Row],[Tipo]]="Credito",IF(60&gt;=Cobros[[#This Row],[Dias al pago]],1,0),IF(Cobros[[#This Row],[Dias al pago]]&lt;=3,1,0))</f>
        <v>0</v>
      </c>
      <c r="V142" s="46">
        <f>(Cobros[[#This Row],[% A pagar Vendedor]]/100)*Cobros[[#This Row],[Valor Pagado]]*Cobros[[#This Row],[Vencido]]*(Cobros[[#This Row],[% aplicar]]/100)*IF(Cobros[[#This Row],[% A pagar Vendedor]]&gt;0,1,0)</f>
        <v>0</v>
      </c>
      <c r="W142" s="46">
        <f>0.5%*Cobros[[#This Row],[Valor Pagado]]</f>
        <v>5</v>
      </c>
    </row>
    <row r="143" ht="30" spans="1:23">
      <c r="A143" s="49" t="s">
        <v>3961</v>
      </c>
      <c r="B143" s="49" t="s">
        <v>4096</v>
      </c>
      <c r="C143" s="49" t="s">
        <v>74</v>
      </c>
      <c r="D143" s="49" t="s">
        <v>75</v>
      </c>
      <c r="E143" s="49" t="s">
        <v>3964</v>
      </c>
      <c r="F143" s="51">
        <v>46164</v>
      </c>
      <c r="G143" s="49">
        <v>585.63</v>
      </c>
      <c r="H143" s="49" t="s">
        <v>22</v>
      </c>
      <c r="I143" s="51">
        <v>46209</v>
      </c>
      <c r="J143" s="54">
        <f>INT(Cobros[[#This Row],[Fecha Cargo]])</f>
        <v>46164</v>
      </c>
      <c r="K143" s="54">
        <f>INT(Cobros[[#This Row],[Fecha Aplicacion]])</f>
        <v>46209</v>
      </c>
      <c r="L143" s="55" t="str">
        <f>INDEX(Clientes[Días Plazo],MATCH(Cobros[[#This Row],[Cod. Cliente]],Clientes[Codigo],0),1)</f>
        <v>15</v>
      </c>
      <c r="M143" s="45" t="str">
        <f>IF(Cobros[[#This Row],[Dias de Credito]]&lt;=0,"Contado","Credito")</f>
        <v>Credito</v>
      </c>
      <c r="N143" s="45">
        <f>Cobros[[#This Row],[Fecha Aplicación S]]-Cobros[[#This Row],[Fecha Cargo S]]</f>
        <v>45</v>
      </c>
      <c r="O143" s="45">
        <f>Cobros[[#This Row],[Dias al pago]]-Cobros[[#This Row],[Dias de Credito]]</f>
        <v>30</v>
      </c>
      <c r="P143" s="45">
        <f>SUMIFS(TablaDias[Porcentaje],TablaDias[Tipo],Cobros[[#This Row],[Tipo]],TablaDias[Desde ],"&lt;="&amp;MAX(0,Cobros[[#This Row],[Dias pasado]]),TablaDias[Hasta ],"&gt;="&amp;Cobros[[#This Row],[Dias pasado]])</f>
        <v>50</v>
      </c>
      <c r="Q1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43">
        <f>IF(COUNTIF(PAPEL[Numero],Cobros[[#This Row],[Doc. Cargo]])&gt;0,1,0)</f>
        <v>0</v>
      </c>
      <c r="S143" s="46">
        <f t="array" ref="S1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43" s="46">
        <f t="array" ref="T143">INDEX(Ventas[[Unidades]:[2]],MATCH("Gerente de Venta",Ventas[Vendedor %],0),6+Cobros[[#This Row],[Mes]])</f>
        <v>0.005</v>
      </c>
      <c r="U143" s="34">
        <f>IF(Cobros[[#This Row],[Tipo]]="Credito",IF(60&gt;=Cobros[[#This Row],[Dias al pago]],1,0),IF(Cobros[[#This Row],[Dias al pago]]&lt;=3,1,0))</f>
        <v>1</v>
      </c>
      <c r="V143" s="46">
        <f>(Cobros[[#This Row],[% A pagar Vendedor]]/100)*Cobros[[#This Row],[Valor Pagado]]*Cobros[[#This Row],[Vencido]]*(Cobros[[#This Row],[% aplicar]]/100)*IF(Cobros[[#This Row],[% A pagar Vendedor]]&gt;0,1,0)</f>
        <v>2.92815</v>
      </c>
      <c r="W143" s="46">
        <f>0.5%*Cobros[[#This Row],[Valor Pagado]]</f>
        <v>2.92815</v>
      </c>
    </row>
    <row r="144" ht="30" spans="1:23">
      <c r="A144" s="49" t="s">
        <v>3961</v>
      </c>
      <c r="B144" s="49" t="s">
        <v>4096</v>
      </c>
      <c r="C144" s="49" t="s">
        <v>74</v>
      </c>
      <c r="D144" s="49" t="s">
        <v>75</v>
      </c>
      <c r="E144" s="49" t="s">
        <v>4097</v>
      </c>
      <c r="F144" s="51">
        <v>46171</v>
      </c>
      <c r="G144" s="49">
        <v>1814.37</v>
      </c>
      <c r="H144" s="49" t="s">
        <v>22</v>
      </c>
      <c r="I144" s="51">
        <v>46209</v>
      </c>
      <c r="J144" s="54">
        <f>INT(Cobros[[#This Row],[Fecha Cargo]])</f>
        <v>46171</v>
      </c>
      <c r="K144" s="54">
        <f>INT(Cobros[[#This Row],[Fecha Aplicacion]])</f>
        <v>46209</v>
      </c>
      <c r="L144" s="55" t="str">
        <f>INDEX(Clientes[Días Plazo],MATCH(Cobros[[#This Row],[Cod. Cliente]],Clientes[Codigo],0),1)</f>
        <v>15</v>
      </c>
      <c r="M144" s="45" t="str">
        <f>IF(Cobros[[#This Row],[Dias de Credito]]&lt;=0,"Contado","Credito")</f>
        <v>Credito</v>
      </c>
      <c r="N144" s="45">
        <f>Cobros[[#This Row],[Fecha Aplicación S]]-Cobros[[#This Row],[Fecha Cargo S]]</f>
        <v>38</v>
      </c>
      <c r="O144" s="45">
        <f>Cobros[[#This Row],[Dias al pago]]-Cobros[[#This Row],[Dias de Credito]]</f>
        <v>23</v>
      </c>
      <c r="P144" s="45">
        <f>SUMIFS(TablaDias[Porcentaje],TablaDias[Tipo],Cobros[[#This Row],[Tipo]],TablaDias[Desde ],"&lt;="&amp;MAX(0,Cobros[[#This Row],[Dias pasado]]),TablaDias[Hasta ],"&gt;="&amp;Cobros[[#This Row],[Dias pasado]])</f>
        <v>50</v>
      </c>
      <c r="Q1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44">
        <f>IF(COUNTIF(PAPEL[Numero],Cobros[[#This Row],[Doc. Cargo]])&gt;0,1,0)</f>
        <v>0</v>
      </c>
      <c r="S144" s="46">
        <f t="array" ref="S1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44" s="46">
        <f t="array" ref="T144">INDEX(Ventas[[Unidades]:[2]],MATCH("Gerente de Venta",Ventas[Vendedor %],0),6+Cobros[[#This Row],[Mes]])</f>
        <v>0.005</v>
      </c>
      <c r="U144" s="34">
        <f>IF(Cobros[[#This Row],[Tipo]]="Credito",IF(60&gt;=Cobros[[#This Row],[Dias al pago]],1,0),IF(Cobros[[#This Row],[Dias al pago]]&lt;=3,1,0))</f>
        <v>1</v>
      </c>
      <c r="V144" s="46">
        <f>(Cobros[[#This Row],[% A pagar Vendedor]]/100)*Cobros[[#This Row],[Valor Pagado]]*Cobros[[#This Row],[Vencido]]*(Cobros[[#This Row],[% aplicar]]/100)*IF(Cobros[[#This Row],[% A pagar Vendedor]]&gt;0,1,0)</f>
        <v>9.07185</v>
      </c>
      <c r="W144" s="46">
        <f>0.5%*Cobros[[#This Row],[Valor Pagado]]</f>
        <v>9.07185</v>
      </c>
    </row>
    <row r="145" ht="30" spans="1:23">
      <c r="A145" s="49" t="s">
        <v>3884</v>
      </c>
      <c r="B145" s="49" t="s">
        <v>4098</v>
      </c>
      <c r="C145" s="49" t="s">
        <v>3756</v>
      </c>
      <c r="D145" s="49" t="s">
        <v>3757</v>
      </c>
      <c r="E145" s="49" t="s">
        <v>4099</v>
      </c>
      <c r="F145" s="51">
        <v>46209</v>
      </c>
      <c r="G145" s="49">
        <v>166</v>
      </c>
      <c r="H145" s="49" t="s">
        <v>3865</v>
      </c>
      <c r="I145" s="51">
        <v>46209</v>
      </c>
      <c r="J145" s="54">
        <f>INT(Cobros[[#This Row],[Fecha Cargo]])</f>
        <v>46209</v>
      </c>
      <c r="K145" s="54">
        <f>INT(Cobros[[#This Row],[Fecha Aplicacion]])</f>
        <v>46209</v>
      </c>
      <c r="L145" s="55">
        <f>INDEX(Clientes[Días Plazo],MATCH(Cobros[[#This Row],[Cod. Cliente]],Clientes[Codigo],0),1)</f>
        <v>0</v>
      </c>
      <c r="M145" s="45" t="str">
        <f>IF(Cobros[[#This Row],[Dias de Credito]]&lt;=0,"Contado","Credito")</f>
        <v>Contado</v>
      </c>
      <c r="N145" s="45">
        <f>Cobros[[#This Row],[Fecha Aplicación S]]-Cobros[[#This Row],[Fecha Cargo S]]</f>
        <v>0</v>
      </c>
      <c r="O145" s="45">
        <f>Cobros[[#This Row],[Dias al pago]]-Cobros[[#This Row],[Dias de Credito]]</f>
        <v>0</v>
      </c>
      <c r="P145" s="45">
        <f>SUMIFS(TablaDias[Porcentaje],TablaDias[Tipo],Cobros[[#This Row],[Tipo]],TablaDias[Desde ],"&lt;="&amp;MAX(0,Cobros[[#This Row],[Dias pasado]]),TablaDias[Hasta ],"&gt;="&amp;Cobros[[#This Row],[Dias pasado]])</f>
        <v>100</v>
      </c>
      <c r="Q14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5">
        <f>IF(COUNTIF(PAPEL[Numero],Cobros[[#This Row],[Doc. Cargo]])&gt;0,1,0)</f>
        <v>0</v>
      </c>
      <c r="S145" s="46">
        <v>1</v>
      </c>
      <c r="T145" s="46">
        <f t="array" ref="T145">INDEX(Ventas[[Unidades]:[2]],MATCH("Gerente de Venta",Ventas[Vendedor %],0),6+Cobros[[#This Row],[Mes]])</f>
        <v>0.005</v>
      </c>
      <c r="U145" s="34">
        <f>IF(Cobros[[#This Row],[Tipo]]="Credito",IF(60&gt;=Cobros[[#This Row],[Dias al pago]],1,0),IF(Cobros[[#This Row],[Dias al pago]]&lt;=3,1,0))</f>
        <v>1</v>
      </c>
      <c r="V145" s="46">
        <f>(Cobros[[#This Row],[% A pagar Vendedor]]/100)*Cobros[[#This Row],[Valor Pagado]]*Cobros[[#This Row],[Vencido]]*(Cobros[[#This Row],[% aplicar]]/100)*IF(Cobros[[#This Row],[% A pagar Vendedor]]&gt;0,1,0)</f>
        <v>1.66</v>
      </c>
      <c r="W145" s="46">
        <f>0.5%*Cobros[[#This Row],[Valor Pagado]]</f>
        <v>0.83</v>
      </c>
    </row>
    <row r="146" ht="30" spans="1:23">
      <c r="A146" s="49" t="s">
        <v>3884</v>
      </c>
      <c r="B146" s="49" t="s">
        <v>4100</v>
      </c>
      <c r="C146" s="49" t="s">
        <v>179</v>
      </c>
      <c r="D146" s="49" t="s">
        <v>180</v>
      </c>
      <c r="E146" s="49" t="s">
        <v>4101</v>
      </c>
      <c r="F146" s="51">
        <v>46209</v>
      </c>
      <c r="G146" s="49">
        <v>626.2</v>
      </c>
      <c r="H146" s="49" t="s">
        <v>3865</v>
      </c>
      <c r="I146" s="51">
        <v>46209</v>
      </c>
      <c r="J146" s="54">
        <f>INT(Cobros[[#This Row],[Fecha Cargo]])</f>
        <v>46209</v>
      </c>
      <c r="K146" s="54">
        <f>INT(Cobros[[#This Row],[Fecha Aplicacion]])</f>
        <v>46209</v>
      </c>
      <c r="L146" s="55">
        <f>INDEX(Clientes[Días Plazo],MATCH(Cobros[[#This Row],[Cod. Cliente]],Clientes[Codigo],0),1)</f>
        <v>0</v>
      </c>
      <c r="M146" s="45" t="str">
        <f>IF(Cobros[[#This Row],[Dias de Credito]]&lt;=0,"Contado","Credito")</f>
        <v>Contado</v>
      </c>
      <c r="N146" s="45">
        <f>Cobros[[#This Row],[Fecha Aplicación S]]-Cobros[[#This Row],[Fecha Cargo S]]</f>
        <v>0</v>
      </c>
      <c r="O146" s="45">
        <f>Cobros[[#This Row],[Dias al pago]]-Cobros[[#This Row],[Dias de Credito]]</f>
        <v>0</v>
      </c>
      <c r="P146" s="45">
        <f>SUMIFS(TablaDias[Porcentaje],TablaDias[Tipo],Cobros[[#This Row],[Tipo]],TablaDias[Desde ],"&lt;="&amp;MAX(0,Cobros[[#This Row],[Dias pasado]]),TablaDias[Hasta ],"&gt;="&amp;Cobros[[#This Row],[Dias pasado]])</f>
        <v>100</v>
      </c>
      <c r="Q1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6">
        <f>IF(COUNTIF(PAPEL[Numero],Cobros[[#This Row],[Doc. Cargo]])&gt;0,1,0)</f>
        <v>0</v>
      </c>
      <c r="S146" s="46">
        <v>1</v>
      </c>
      <c r="T146" s="46">
        <f t="array" ref="T146">INDEX(Ventas[[Unidades]:[2]],MATCH("Gerente de Venta",Ventas[Vendedor %],0),6+Cobros[[#This Row],[Mes]])</f>
        <v>0.005</v>
      </c>
      <c r="U146" s="34">
        <f>IF(Cobros[[#This Row],[Tipo]]="Credito",IF(60&gt;=Cobros[[#This Row],[Dias al pago]],1,0),IF(Cobros[[#This Row],[Dias al pago]]&lt;=3,1,0))</f>
        <v>1</v>
      </c>
      <c r="V146" s="46">
        <f>(Cobros[[#This Row],[% A pagar Vendedor]]/100)*Cobros[[#This Row],[Valor Pagado]]*Cobros[[#This Row],[Vencido]]*(Cobros[[#This Row],[% aplicar]]/100)*IF(Cobros[[#This Row],[% A pagar Vendedor]]&gt;0,1,0)</f>
        <v>6.262</v>
      </c>
      <c r="W146" s="46">
        <f>0.5%*Cobros[[#This Row],[Valor Pagado]]</f>
        <v>3.131</v>
      </c>
    </row>
    <row r="147" spans="1:23">
      <c r="A147" s="49" t="s">
        <v>3904</v>
      </c>
      <c r="B147" s="49" t="s">
        <v>4102</v>
      </c>
      <c r="C147" s="49" t="s">
        <v>572</v>
      </c>
      <c r="D147" s="49" t="s">
        <v>573</v>
      </c>
      <c r="E147" s="49" t="s">
        <v>4103</v>
      </c>
      <c r="F147" s="51">
        <v>46192</v>
      </c>
      <c r="G147" s="49">
        <v>251.1</v>
      </c>
      <c r="H147" s="49" t="s">
        <v>16</v>
      </c>
      <c r="I147" s="51">
        <v>46209</v>
      </c>
      <c r="J147" s="54">
        <f>INT(Cobros[[#This Row],[Fecha Cargo]])</f>
        <v>46192</v>
      </c>
      <c r="K147" s="54">
        <f>INT(Cobros[[#This Row],[Fecha Aplicacion]])</f>
        <v>46209</v>
      </c>
      <c r="L147" s="55" t="str">
        <f>INDEX(Clientes[Días Plazo],MATCH(Cobros[[#This Row],[Cod. Cliente]],Clientes[Codigo],0),1)</f>
        <v>15</v>
      </c>
      <c r="M147" s="45" t="str">
        <f>IF(Cobros[[#This Row],[Dias de Credito]]&lt;=0,"Contado","Credito")</f>
        <v>Credito</v>
      </c>
      <c r="N147" s="45">
        <f>Cobros[[#This Row],[Fecha Aplicación S]]-Cobros[[#This Row],[Fecha Cargo S]]</f>
        <v>17</v>
      </c>
      <c r="O147" s="45">
        <f>Cobros[[#This Row],[Dias al pago]]-Cobros[[#This Row],[Dias de Credito]]</f>
        <v>2</v>
      </c>
      <c r="P147" s="45">
        <f>SUMIFS(TablaDias[Porcentaje],TablaDias[Tipo],Cobros[[#This Row],[Tipo]],TablaDias[Desde ],"&lt;="&amp;MAX(0,Cobros[[#This Row],[Dias pasado]]),TablaDias[Hasta ],"&gt;="&amp;Cobros[[#This Row],[Dias pasado]])</f>
        <v>100</v>
      </c>
      <c r="Q14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47">
        <f>IF(COUNTIF(PAPEL[Numero],Cobros[[#This Row],[Doc. Cargo]])&gt;0,1,0)</f>
        <v>0</v>
      </c>
      <c r="S147" s="46">
        <f t="array" ref="S1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47" s="47">
        <v>0.005</v>
      </c>
      <c r="U147" s="34">
        <f>IF(Cobros[[#This Row],[Tipo]]="Credito",IF(60&gt;=Cobros[[#This Row],[Dias al pago]],1,0),IF(Cobros[[#This Row],[Dias al pago]]&lt;=3,1,0))</f>
        <v>1</v>
      </c>
      <c r="V147" s="46">
        <f>(Cobros[[#This Row],[% A pagar Vendedor]]/100)*Cobros[[#This Row],[Valor Pagado]]*Cobros[[#This Row],[Vencido]]*(Cobros[[#This Row],[% aplicar]]/100)*IF(Cobros[[#This Row],[% A pagar Vendedor]]&gt;0,1,0)</f>
        <v>2.511</v>
      </c>
      <c r="W147" s="46">
        <f>0.5%*Cobros[[#This Row],[Valor Pagado]]</f>
        <v>1.2555</v>
      </c>
    </row>
    <row r="148" ht="30" spans="1:23">
      <c r="A148" s="49" t="s">
        <v>3884</v>
      </c>
      <c r="B148" s="49" t="s">
        <v>4104</v>
      </c>
      <c r="C148" s="49" t="s">
        <v>160</v>
      </c>
      <c r="D148" s="49" t="s">
        <v>161</v>
      </c>
      <c r="E148" s="49" t="s">
        <v>4105</v>
      </c>
      <c r="F148" s="51">
        <v>46209</v>
      </c>
      <c r="G148" s="49">
        <v>39.9</v>
      </c>
      <c r="H148" s="49" t="s">
        <v>22</v>
      </c>
      <c r="I148" s="51">
        <v>46209</v>
      </c>
      <c r="J148" s="54">
        <f>INT(Cobros[[#This Row],[Fecha Cargo]])</f>
        <v>46209</v>
      </c>
      <c r="K148" s="54">
        <f>INT(Cobros[[#This Row],[Fecha Aplicacion]])</f>
        <v>46209</v>
      </c>
      <c r="L148" s="55">
        <f>INDEX(Clientes[Días Plazo],MATCH(Cobros[[#This Row],[Cod. Cliente]],Clientes[Codigo],0),1)</f>
        <v>0</v>
      </c>
      <c r="M148" s="45" t="str">
        <f>IF(Cobros[[#This Row],[Dias de Credito]]&lt;=0,"Contado","Credito")</f>
        <v>Contado</v>
      </c>
      <c r="N148" s="45">
        <f>Cobros[[#This Row],[Fecha Aplicación S]]-Cobros[[#This Row],[Fecha Cargo S]]</f>
        <v>0</v>
      </c>
      <c r="O148" s="45">
        <f>Cobros[[#This Row],[Dias al pago]]-Cobros[[#This Row],[Dias de Credito]]</f>
        <v>0</v>
      </c>
      <c r="P148" s="45">
        <f>SUMIFS(TablaDias[Porcentaje],TablaDias[Tipo],Cobros[[#This Row],[Tipo]],TablaDias[Desde ],"&lt;="&amp;MAX(0,Cobros[[#This Row],[Dias pasado]]),TablaDias[Hasta ],"&gt;="&amp;Cobros[[#This Row],[Dias pasado]])</f>
        <v>100</v>
      </c>
      <c r="Q14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48">
        <f>IF(COUNTIF(PAPEL[Numero],Cobros[[#This Row],[Doc. Cargo]])&gt;0,1,0)</f>
        <v>0</v>
      </c>
      <c r="S148" s="46">
        <f t="array" ref="S1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48" s="46">
        <f t="array" ref="T148">INDEX(Ventas[[Unidades]:[2]],MATCH("Gerente de Venta",Ventas[Vendedor %],0),6+Cobros[[#This Row],[Mes]])</f>
        <v>0.005</v>
      </c>
      <c r="U148" s="34">
        <f>IF(Cobros[[#This Row],[Tipo]]="Credito",IF(60&gt;=Cobros[[#This Row],[Dias al pago]],1,0),IF(Cobros[[#This Row],[Dias al pago]]&lt;=3,1,0))</f>
        <v>1</v>
      </c>
      <c r="V148" s="46">
        <f>(Cobros[[#This Row],[% A pagar Vendedor]]/100)*Cobros[[#This Row],[Valor Pagado]]*Cobros[[#This Row],[Vencido]]*(Cobros[[#This Row],[% aplicar]]/100)*IF(Cobros[[#This Row],[% A pagar Vendedor]]&gt;0,1,0)</f>
        <v>0.399</v>
      </c>
      <c r="W148" s="46">
        <f>0.5%*Cobros[[#This Row],[Valor Pagado]]</f>
        <v>0.1995</v>
      </c>
    </row>
    <row r="149" ht="30" spans="1:24">
      <c r="A149" s="49" t="s">
        <v>3904</v>
      </c>
      <c r="B149" s="49" t="s">
        <v>4106</v>
      </c>
      <c r="C149" s="49" t="s">
        <v>1006</v>
      </c>
      <c r="D149" s="49" t="s">
        <v>1007</v>
      </c>
      <c r="E149" s="49" t="s">
        <v>4107</v>
      </c>
      <c r="F149" s="51">
        <v>46185</v>
      </c>
      <c r="G149" s="49">
        <v>44.52</v>
      </c>
      <c r="H149" s="49" t="s">
        <v>22</v>
      </c>
      <c r="I149" s="51">
        <v>46206</v>
      </c>
      <c r="J149" s="54">
        <f>INT(Cobros[[#This Row],[Fecha Cargo]])</f>
        <v>46185</v>
      </c>
      <c r="K149" s="54">
        <f>INT(Cobros[[#This Row],[Fecha Aplicacion]])</f>
        <v>46206</v>
      </c>
      <c r="L149" s="55">
        <f>INDEX(Clientes[Días Plazo],MATCH(Cobros[[#This Row],[Cod. Cliente]],Clientes[Codigo],0),1)</f>
        <v>0</v>
      </c>
      <c r="M149" s="45" t="str">
        <f>IF(Cobros[[#This Row],[Dias de Credito]]&lt;=0,"Contado","Credito")</f>
        <v>Contado</v>
      </c>
      <c r="N149" s="45">
        <f>Cobros[[#This Row],[Fecha Aplicación S]]-Cobros[[#This Row],[Fecha Cargo S]]</f>
        <v>21</v>
      </c>
      <c r="O149" s="45">
        <f>Cobros[[#This Row],[Dias al pago]]-Cobros[[#This Row],[Dias de Credito]]</f>
        <v>21</v>
      </c>
      <c r="P149" s="45">
        <f>SUMIFS(TablaDias[Porcentaje],TablaDias[Tipo],Cobros[[#This Row],[Tipo]],TablaDias[Desde ],"&lt;="&amp;MAX(0,Cobros[[#This Row],[Dias pasado]]),TablaDias[Hasta ],"&gt;="&amp;Cobros[[#This Row],[Dias pasado]])</f>
        <v>0</v>
      </c>
      <c r="Q1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49">
        <f>IF(COUNTIF(PAPEL[Numero],Cobros[[#This Row],[Doc. Cargo]])&gt;0,1,0)</f>
        <v>0</v>
      </c>
      <c r="S149" s="46">
        <f t="array" ref="S1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49" s="46">
        <f t="array" ref="T149">INDEX(Ventas[[Unidades]:[2]],MATCH("Gerente de Venta",Ventas[Vendedor %],0),6+Cobros[[#This Row],[Mes]])</f>
        <v>0.005</v>
      </c>
      <c r="U149" s="34">
        <f>IF(Cobros[[#This Row],[Tipo]]="Credito",IF(60&gt;=Cobros[[#This Row],[Dias al pago]],1,0),IF(Cobros[[#This Row],[Dias al pago]]&lt;=3,1,0))</f>
        <v>0</v>
      </c>
      <c r="V149" s="46">
        <f>(Cobros[[#This Row],[% A pagar Vendedor]]/100)*Cobros[[#This Row],[Valor Pagado]]*Cobros[[#This Row],[Vencido]]*(Cobros[[#This Row],[% aplicar]]/100)*IF(Cobros[[#This Row],[% A pagar Vendedor]]&gt;0,1,0)</f>
        <v>0</v>
      </c>
      <c r="W149" s="46">
        <f>0.5%*Cobros[[#This Row],[Valor Pagado]]</f>
        <v>0.2226</v>
      </c>
      <c r="X149" s="60"/>
    </row>
    <row r="150" ht="30" spans="1:23">
      <c r="A150" s="49" t="s">
        <v>3904</v>
      </c>
      <c r="B150" s="49" t="s">
        <v>4106</v>
      </c>
      <c r="C150" s="49" t="s">
        <v>1006</v>
      </c>
      <c r="D150" s="49" t="s">
        <v>1007</v>
      </c>
      <c r="E150" s="49" t="s">
        <v>4108</v>
      </c>
      <c r="F150" s="51">
        <v>46141</v>
      </c>
      <c r="G150" s="49">
        <v>103.41</v>
      </c>
      <c r="H150" s="49" t="s">
        <v>22</v>
      </c>
      <c r="I150" s="51">
        <v>46206</v>
      </c>
      <c r="J150" s="54">
        <f>INT(Cobros[[#This Row],[Fecha Cargo]])</f>
        <v>46141</v>
      </c>
      <c r="K150" s="54">
        <f>INT(Cobros[[#This Row],[Fecha Aplicacion]])</f>
        <v>46206</v>
      </c>
      <c r="L150" s="55">
        <f>INDEX(Clientes[Días Plazo],MATCH(Cobros[[#This Row],[Cod. Cliente]],Clientes[Codigo],0),1)</f>
        <v>0</v>
      </c>
      <c r="M150" s="45" t="str">
        <f>IF(Cobros[[#This Row],[Dias de Credito]]&lt;=0,"Contado","Credito")</f>
        <v>Contado</v>
      </c>
      <c r="N150" s="45">
        <f>Cobros[[#This Row],[Fecha Aplicación S]]-Cobros[[#This Row],[Fecha Cargo S]]</f>
        <v>65</v>
      </c>
      <c r="O150" s="45">
        <f>Cobros[[#This Row],[Dias al pago]]-Cobros[[#This Row],[Dias de Credito]]</f>
        <v>65</v>
      </c>
      <c r="P150" s="45">
        <f>SUMIFS(TablaDias[Porcentaje],TablaDias[Tipo],Cobros[[#This Row],[Tipo]],TablaDias[Desde ],"&lt;="&amp;MAX(0,Cobros[[#This Row],[Dias pasado]]),TablaDias[Hasta ],"&gt;="&amp;Cobros[[#This Row],[Dias pasado]])</f>
        <v>0</v>
      </c>
      <c r="Q1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0">
        <f>IF(COUNTIF(PAPEL[Numero],Cobros[[#This Row],[Doc. Cargo]])&gt;0,1,0)</f>
        <v>0</v>
      </c>
      <c r="S150" s="46">
        <f t="array" ref="S1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0" s="46">
        <f t="array" ref="T150">INDEX(Ventas[[Unidades]:[2]],MATCH("Gerente de Venta",Ventas[Vendedor %],0),6+Cobros[[#This Row],[Mes]])</f>
        <v>0.005</v>
      </c>
      <c r="U150" s="34">
        <f>IF(Cobros[[#This Row],[Tipo]]="Credito",IF(60&gt;=Cobros[[#This Row],[Dias al pago]],1,0),IF(Cobros[[#This Row],[Dias al pago]]&lt;=3,1,0))</f>
        <v>0</v>
      </c>
      <c r="V150" s="46">
        <f>(Cobros[[#This Row],[% A pagar Vendedor]]/100)*Cobros[[#This Row],[Valor Pagado]]*Cobros[[#This Row],[Vencido]]*(Cobros[[#This Row],[% aplicar]]/100)*IF(Cobros[[#This Row],[% A pagar Vendedor]]&gt;0,1,0)</f>
        <v>0</v>
      </c>
      <c r="W150" s="46">
        <f>0.5%*Cobros[[#This Row],[Valor Pagado]]</f>
        <v>0.51705</v>
      </c>
    </row>
    <row r="151" ht="30" spans="1:23">
      <c r="A151" s="49" t="s">
        <v>3961</v>
      </c>
      <c r="B151" s="49" t="s">
        <v>4109</v>
      </c>
      <c r="C151" s="49" t="s">
        <v>2505</v>
      </c>
      <c r="D151" s="49" t="s">
        <v>2506</v>
      </c>
      <c r="E151" s="49" t="s">
        <v>4110</v>
      </c>
      <c r="F151" s="51">
        <v>46204</v>
      </c>
      <c r="G151" s="49">
        <v>1410</v>
      </c>
      <c r="H151" s="49" t="s">
        <v>22</v>
      </c>
      <c r="I151" s="51">
        <v>46204</v>
      </c>
      <c r="J151" s="54">
        <f>INT(Cobros[[#This Row],[Fecha Cargo]])</f>
        <v>46204</v>
      </c>
      <c r="K151" s="54">
        <f>INT(Cobros[[#This Row],[Fecha Aplicacion]])</f>
        <v>46204</v>
      </c>
      <c r="L151" s="55">
        <f>INDEX(Clientes[Días Plazo],MATCH(Cobros[[#This Row],[Cod. Cliente]],Clientes[Codigo],0),1)</f>
        <v>0</v>
      </c>
      <c r="M151" s="45" t="str">
        <f>IF(Cobros[[#This Row],[Dias de Credito]]&lt;=0,"Contado","Credito")</f>
        <v>Contado</v>
      </c>
      <c r="N151" s="45">
        <f>Cobros[[#This Row],[Fecha Aplicación S]]-Cobros[[#This Row],[Fecha Cargo S]]</f>
        <v>0</v>
      </c>
      <c r="O151" s="45">
        <f>Cobros[[#This Row],[Dias al pago]]-Cobros[[#This Row],[Dias de Credito]]</f>
        <v>0</v>
      </c>
      <c r="P151" s="45">
        <f>SUMIFS(TablaDias[Porcentaje],TablaDias[Tipo],Cobros[[#This Row],[Tipo]],TablaDias[Desde ],"&lt;="&amp;MAX(0,Cobros[[#This Row],[Dias pasado]]),TablaDias[Hasta ],"&gt;="&amp;Cobros[[#This Row],[Dias pasado]])</f>
        <v>100</v>
      </c>
      <c r="Q1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1">
        <f>IF(COUNTIF(PAPEL[Numero],Cobros[[#This Row],[Doc. Cargo]])&gt;0,1,0)</f>
        <v>0</v>
      </c>
      <c r="S151" s="46">
        <f t="array" ref="S1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1" s="46">
        <f t="array" ref="T151">INDEX(Ventas[[Unidades]:[2]],MATCH("Gerente de Venta",Ventas[Vendedor %],0),6+Cobros[[#This Row],[Mes]])</f>
        <v>0.005</v>
      </c>
      <c r="U151" s="34">
        <f>IF(Cobros[[#This Row],[Tipo]]="Credito",IF(60&gt;=Cobros[[#This Row],[Dias al pago]],1,0),IF(Cobros[[#This Row],[Dias al pago]]&lt;=3,1,0))</f>
        <v>1</v>
      </c>
      <c r="V151" s="46">
        <f>(Cobros[[#This Row],[% A pagar Vendedor]]/100)*Cobros[[#This Row],[Valor Pagado]]*Cobros[[#This Row],[Vencido]]*(Cobros[[#This Row],[% aplicar]]/100)*IF(Cobros[[#This Row],[% A pagar Vendedor]]&gt;0,1,0)</f>
        <v>14.1</v>
      </c>
      <c r="W151" s="46">
        <f>0.5%*Cobros[[#This Row],[Valor Pagado]]</f>
        <v>7.05</v>
      </c>
    </row>
    <row r="152" ht="30" spans="1:23">
      <c r="A152" s="49" t="s">
        <v>3884</v>
      </c>
      <c r="B152" s="49" t="s">
        <v>4111</v>
      </c>
      <c r="C152" s="49" t="s">
        <v>2644</v>
      </c>
      <c r="D152" s="49" t="s">
        <v>2645</v>
      </c>
      <c r="E152" s="49" t="s">
        <v>4112</v>
      </c>
      <c r="F152" s="51">
        <v>46205</v>
      </c>
      <c r="G152" s="49">
        <v>60</v>
      </c>
      <c r="H152" s="49" t="s">
        <v>22</v>
      </c>
      <c r="I152" s="51">
        <v>46205</v>
      </c>
      <c r="J152" s="54">
        <f>INT(Cobros[[#This Row],[Fecha Cargo]])</f>
        <v>46205</v>
      </c>
      <c r="K152" s="54">
        <f>INT(Cobros[[#This Row],[Fecha Aplicacion]])</f>
        <v>46205</v>
      </c>
      <c r="L152" s="55">
        <f>INDEX(Clientes[Días Plazo],MATCH(Cobros[[#This Row],[Cod. Cliente]],Clientes[Codigo],0),1)</f>
        <v>0</v>
      </c>
      <c r="M152" s="45" t="str">
        <f>IF(Cobros[[#This Row],[Dias de Credito]]&lt;=0,"Contado","Credito")</f>
        <v>Contado</v>
      </c>
      <c r="N152" s="45">
        <f>Cobros[[#This Row],[Fecha Aplicación S]]-Cobros[[#This Row],[Fecha Cargo S]]</f>
        <v>0</v>
      </c>
      <c r="O152" s="45">
        <f>Cobros[[#This Row],[Dias al pago]]-Cobros[[#This Row],[Dias de Credito]]</f>
        <v>0</v>
      </c>
      <c r="P152" s="45">
        <f>SUMIFS(TablaDias[Porcentaje],TablaDias[Tipo],Cobros[[#This Row],[Tipo]],TablaDias[Desde ],"&lt;="&amp;MAX(0,Cobros[[#This Row],[Dias pasado]]),TablaDias[Hasta ],"&gt;="&amp;Cobros[[#This Row],[Dias pasado]])</f>
        <v>100</v>
      </c>
      <c r="Q1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2">
        <f>IF(COUNTIF(PAPEL[Numero],Cobros[[#This Row],[Doc. Cargo]])&gt;0,1,0)</f>
        <v>0</v>
      </c>
      <c r="S152" s="46">
        <f t="array" ref="S1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2" s="46">
        <f t="array" ref="T152">INDEX(Ventas[[Unidades]:[2]],MATCH("Gerente de Venta",Ventas[Vendedor %],0),6+Cobros[[#This Row],[Mes]])</f>
        <v>0.005</v>
      </c>
      <c r="U152" s="34">
        <f>IF(Cobros[[#This Row],[Tipo]]="Credito",IF(60&gt;=Cobros[[#This Row],[Dias al pago]],1,0),IF(Cobros[[#This Row],[Dias al pago]]&lt;=3,1,0))</f>
        <v>1</v>
      </c>
      <c r="V152" s="46">
        <f>(Cobros[[#This Row],[% A pagar Vendedor]]/100)*Cobros[[#This Row],[Valor Pagado]]*Cobros[[#This Row],[Vencido]]*(Cobros[[#This Row],[% aplicar]]/100)*IF(Cobros[[#This Row],[% A pagar Vendedor]]&gt;0,1,0)</f>
        <v>0.6</v>
      </c>
      <c r="W152" s="46">
        <f>0.5%*Cobros[[#This Row],[Valor Pagado]]</f>
        <v>0.3</v>
      </c>
    </row>
    <row r="153" ht="30" spans="1:23">
      <c r="A153" s="49" t="s">
        <v>3860</v>
      </c>
      <c r="B153" s="49" t="s">
        <v>4113</v>
      </c>
      <c r="C153" s="49" t="s">
        <v>2845</v>
      </c>
      <c r="D153" s="49" t="s">
        <v>2846</v>
      </c>
      <c r="E153" s="49" t="s">
        <v>4114</v>
      </c>
      <c r="F153" s="51">
        <v>46209</v>
      </c>
      <c r="G153" s="49">
        <v>122.6</v>
      </c>
      <c r="H153" s="49" t="s">
        <v>22</v>
      </c>
      <c r="I153" s="51">
        <v>46209</v>
      </c>
      <c r="J153" s="54">
        <f>INT(Cobros[[#This Row],[Fecha Cargo]])</f>
        <v>46209</v>
      </c>
      <c r="K153" s="54">
        <f>INT(Cobros[[#This Row],[Fecha Aplicacion]])</f>
        <v>46209</v>
      </c>
      <c r="L153" s="55">
        <f>INDEX(Clientes[Días Plazo],MATCH(Cobros[[#This Row],[Cod. Cliente]],Clientes[Codigo],0),1)</f>
        <v>0</v>
      </c>
      <c r="M153" s="45" t="str">
        <f>IF(Cobros[[#This Row],[Dias de Credito]]&lt;=0,"Contado","Credito")</f>
        <v>Contado</v>
      </c>
      <c r="N153" s="45">
        <f>Cobros[[#This Row],[Fecha Aplicación S]]-Cobros[[#This Row],[Fecha Cargo S]]</f>
        <v>0</v>
      </c>
      <c r="O153" s="45">
        <f>Cobros[[#This Row],[Dias al pago]]-Cobros[[#This Row],[Dias de Credito]]</f>
        <v>0</v>
      </c>
      <c r="P153" s="45">
        <f>SUMIFS(TablaDias[Porcentaje],TablaDias[Tipo],Cobros[[#This Row],[Tipo]],TablaDias[Desde ],"&lt;="&amp;MAX(0,Cobros[[#This Row],[Dias pasado]]),TablaDias[Hasta ],"&gt;="&amp;Cobros[[#This Row],[Dias pasado]])</f>
        <v>100</v>
      </c>
      <c r="Q1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3">
        <f>IF(COUNTIF(PAPEL[Numero],Cobros[[#This Row],[Doc. Cargo]])&gt;0,1,0)</f>
        <v>0</v>
      </c>
      <c r="S153" s="46">
        <f t="array" ref="S1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3" s="46">
        <f t="array" ref="T153">INDEX(Ventas[[Unidades]:[2]],MATCH("Gerente de Venta",Ventas[Vendedor %],0),6+Cobros[[#This Row],[Mes]])</f>
        <v>0.005</v>
      </c>
      <c r="U153" s="34">
        <f>IF(Cobros[[#This Row],[Tipo]]="Credito",IF(60&gt;=Cobros[[#This Row],[Dias al pago]],1,0),IF(Cobros[[#This Row],[Dias al pago]]&lt;=3,1,0))</f>
        <v>1</v>
      </c>
      <c r="V153" s="46">
        <f>(Cobros[[#This Row],[% A pagar Vendedor]]/100)*Cobros[[#This Row],[Valor Pagado]]*Cobros[[#This Row],[Vencido]]*(Cobros[[#This Row],[% aplicar]]/100)*IF(Cobros[[#This Row],[% A pagar Vendedor]]&gt;0,1,0)</f>
        <v>1.226</v>
      </c>
      <c r="W153" s="46">
        <f>0.5%*Cobros[[#This Row],[Valor Pagado]]</f>
        <v>0.613</v>
      </c>
    </row>
    <row r="154" ht="30" spans="1:23">
      <c r="A154" s="49" t="s">
        <v>3860</v>
      </c>
      <c r="B154" s="49" t="s">
        <v>4115</v>
      </c>
      <c r="C154" s="49" t="s">
        <v>3472</v>
      </c>
      <c r="D154" s="49" t="s">
        <v>3473</v>
      </c>
      <c r="E154" s="49" t="s">
        <v>4116</v>
      </c>
      <c r="F154" s="51">
        <v>46205</v>
      </c>
      <c r="G154" s="49">
        <v>705</v>
      </c>
      <c r="H154" s="49" t="s">
        <v>22</v>
      </c>
      <c r="I154" s="51">
        <v>46204</v>
      </c>
      <c r="J154" s="54">
        <f>INT(Cobros[[#This Row],[Fecha Cargo]])</f>
        <v>46205</v>
      </c>
      <c r="K154" s="54">
        <f>INT(Cobros[[#This Row],[Fecha Aplicacion]])</f>
        <v>46204</v>
      </c>
      <c r="L154" s="55">
        <f>INDEX(Clientes[Días Plazo],MATCH(Cobros[[#This Row],[Cod. Cliente]],Clientes[Codigo],0),1)</f>
        <v>0</v>
      </c>
      <c r="M154" s="45" t="str">
        <f>IF(Cobros[[#This Row],[Dias de Credito]]&lt;=0,"Contado","Credito")</f>
        <v>Contado</v>
      </c>
      <c r="N154" s="45">
        <f>Cobros[[#This Row],[Fecha Aplicación S]]-Cobros[[#This Row],[Fecha Cargo S]]</f>
        <v>-1</v>
      </c>
      <c r="O154" s="45">
        <f>Cobros[[#This Row],[Dias al pago]]-Cobros[[#This Row],[Dias de Credito]]</f>
        <v>-1</v>
      </c>
      <c r="P154" s="45">
        <f>SUMIFS(TablaDias[Porcentaje],TablaDias[Tipo],Cobros[[#This Row],[Tipo]],TablaDias[Desde ],"&lt;="&amp;MAX(0,Cobros[[#This Row],[Dias pasado]]),TablaDias[Hasta ],"&gt;="&amp;Cobros[[#This Row],[Dias pasado]])</f>
        <v>100</v>
      </c>
      <c r="Q1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4">
        <f>IF(COUNTIF(PAPEL[Numero],Cobros[[#This Row],[Doc. Cargo]])&gt;0,1,0)</f>
        <v>0</v>
      </c>
      <c r="S154" s="46">
        <f t="array" ref="S1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4" s="46">
        <f t="array" ref="T154">INDEX(Ventas[[Unidades]:[2]],MATCH("Gerente de Venta",Ventas[Vendedor %],0),6+Cobros[[#This Row],[Mes]])</f>
        <v>0.005</v>
      </c>
      <c r="U154" s="34">
        <f>IF(Cobros[[#This Row],[Tipo]]="Credito",IF(60&gt;=Cobros[[#This Row],[Dias al pago]],1,0),IF(Cobros[[#This Row],[Dias al pago]]&lt;=3,1,0))</f>
        <v>1</v>
      </c>
      <c r="V154" s="46">
        <f>(Cobros[[#This Row],[% A pagar Vendedor]]/100)*Cobros[[#This Row],[Valor Pagado]]*Cobros[[#This Row],[Vencido]]*(Cobros[[#This Row],[% aplicar]]/100)*IF(Cobros[[#This Row],[% A pagar Vendedor]]&gt;0,1,0)</f>
        <v>7.05</v>
      </c>
      <c r="W154" s="46">
        <f>0.5%*Cobros[[#This Row],[Valor Pagado]]</f>
        <v>3.525</v>
      </c>
    </row>
    <row r="155" spans="1:23">
      <c r="A155" s="49" t="s">
        <v>3860</v>
      </c>
      <c r="B155" s="49" t="s">
        <v>4117</v>
      </c>
      <c r="C155" s="49" t="s">
        <v>1756</v>
      </c>
      <c r="D155" s="49" t="s">
        <v>1757</v>
      </c>
      <c r="E155" s="49" t="s">
        <v>4065</v>
      </c>
      <c r="F155" s="51">
        <v>46206</v>
      </c>
      <c r="G155" s="49">
        <v>150</v>
      </c>
      <c r="H155" s="49" t="s">
        <v>19</v>
      </c>
      <c r="I155" s="51">
        <v>46210</v>
      </c>
      <c r="J155" s="54">
        <f>INT(Cobros[[#This Row],[Fecha Cargo]])</f>
        <v>46206</v>
      </c>
      <c r="K155" s="54">
        <f>INT(Cobros[[#This Row],[Fecha Aplicacion]])</f>
        <v>46210</v>
      </c>
      <c r="L155" s="55" t="str">
        <f>INDEX(Clientes[Días Plazo],MATCH(Cobros[[#This Row],[Cod. Cliente]],Clientes[Codigo],0),1)</f>
        <v>7</v>
      </c>
      <c r="M155" s="45" t="str">
        <f>IF(Cobros[[#This Row],[Dias de Credito]]&lt;=0,"Contado","Credito")</f>
        <v>Credito</v>
      </c>
      <c r="N155" s="45">
        <f>Cobros[[#This Row],[Fecha Aplicación S]]-Cobros[[#This Row],[Fecha Cargo S]]</f>
        <v>4</v>
      </c>
      <c r="O155" s="45">
        <f>Cobros[[#This Row],[Dias al pago]]-Cobros[[#This Row],[Dias de Credito]]</f>
        <v>-3</v>
      </c>
      <c r="P155" s="45">
        <f>SUMIFS(TablaDias[Porcentaje],TablaDias[Tipo],Cobros[[#This Row],[Tipo]],TablaDias[Desde ],"&lt;="&amp;MAX(0,Cobros[[#This Row],[Dias pasado]]),TablaDias[Hasta ],"&gt;="&amp;Cobros[[#This Row],[Dias pasado]])</f>
        <v>100</v>
      </c>
      <c r="Q1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5">
        <f>IF(COUNTIF(PAPEL[Numero],Cobros[[#This Row],[Doc. Cargo]])&gt;0,1,0)</f>
        <v>0</v>
      </c>
      <c r="S155" s="46">
        <f t="array" ref="S1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55" s="46">
        <f t="array" ref="T155">INDEX(Ventas[[Unidades]:[2]],MATCH("Gerente de Venta",Ventas[Vendedor %],0),6+Cobros[[#This Row],[Mes]])</f>
        <v>0.005</v>
      </c>
      <c r="U155" s="34">
        <f>IF(Cobros[[#This Row],[Tipo]]="Credito",IF(60&gt;=Cobros[[#This Row],[Dias al pago]],1,0),IF(Cobros[[#This Row],[Dias al pago]]&lt;=3,1,0))</f>
        <v>1</v>
      </c>
      <c r="V155" s="46">
        <f>(Cobros[[#This Row],[% A pagar Vendedor]]/100)*Cobros[[#This Row],[Valor Pagado]]*Cobros[[#This Row],[Vencido]]*(Cobros[[#This Row],[% aplicar]]/100)*IF(Cobros[[#This Row],[% A pagar Vendedor]]&gt;0,1,0)</f>
        <v>1.875</v>
      </c>
      <c r="W155" s="46">
        <f>0.5%*Cobros[[#This Row],[Valor Pagado]]</f>
        <v>0.75</v>
      </c>
    </row>
    <row r="156" spans="1:23">
      <c r="A156" s="49" t="s">
        <v>3860</v>
      </c>
      <c r="B156" s="49" t="s">
        <v>4118</v>
      </c>
      <c r="C156" s="49" t="s">
        <v>3826</v>
      </c>
      <c r="D156" s="49" t="s">
        <v>3827</v>
      </c>
      <c r="E156" s="49" t="s">
        <v>3879</v>
      </c>
      <c r="F156" s="51">
        <v>46164</v>
      </c>
      <c r="G156" s="49">
        <v>10000</v>
      </c>
      <c r="H156" s="49" t="s">
        <v>16</v>
      </c>
      <c r="I156" s="51">
        <v>46210</v>
      </c>
      <c r="J156" s="54">
        <f>INT(Cobros[[#This Row],[Fecha Cargo]])</f>
        <v>46164</v>
      </c>
      <c r="K156" s="54">
        <f>INT(Cobros[[#This Row],[Fecha Aplicacion]])</f>
        <v>46210</v>
      </c>
      <c r="L156" s="55" t="str">
        <f>INDEX(Clientes[Días Plazo],MATCH(Cobros[[#This Row],[Cod. Cliente]],Clientes[Codigo],0),1)</f>
        <v>30</v>
      </c>
      <c r="M156" s="45" t="str">
        <f>IF(Cobros[[#This Row],[Dias de Credito]]&lt;=0,"Contado","Credito")</f>
        <v>Credito</v>
      </c>
      <c r="N156" s="45">
        <f>Cobros[[#This Row],[Fecha Aplicación S]]-Cobros[[#This Row],[Fecha Cargo S]]</f>
        <v>46</v>
      </c>
      <c r="O156" s="45">
        <f>Cobros[[#This Row],[Dias al pago]]-Cobros[[#This Row],[Dias de Credito]]</f>
        <v>16</v>
      </c>
      <c r="P156" s="45">
        <f>SUMIFS(TablaDias[Porcentaje],TablaDias[Tipo],Cobros[[#This Row],[Tipo]],TablaDias[Desde ],"&lt;="&amp;MAX(0,Cobros[[#This Row],[Dias pasado]]),TablaDias[Hasta ],"&gt;="&amp;Cobros[[#This Row],[Dias pasado]])</f>
        <v>50</v>
      </c>
      <c r="Q1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56">
        <f>IF(COUNTIF(PAPEL[Numero],Cobros[[#This Row],[Doc. Cargo]])&gt;0,1,0)</f>
        <v>0</v>
      </c>
      <c r="S156" s="46">
        <f t="array" ref="S15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56" s="47">
        <v>0.005</v>
      </c>
      <c r="U156" s="34">
        <f>IF(Cobros[[#This Row],[Tipo]]="Credito",IF(60&gt;=Cobros[[#This Row],[Dias al pago]],1,0),IF(Cobros[[#This Row],[Dias al pago]]&lt;=3,1,0))</f>
        <v>1</v>
      </c>
      <c r="V156" s="46">
        <f>(Cobros[[#This Row],[% A pagar Vendedor]]/100)*Cobros[[#This Row],[Valor Pagado]]*Cobros[[#This Row],[Vencido]]*(Cobros[[#This Row],[% aplicar]]/100)*IF(Cobros[[#This Row],[% A pagar Vendedor]]&gt;0,1,0)</f>
        <v>50</v>
      </c>
      <c r="W156" s="46">
        <f>0.5%*Cobros[[#This Row],[Valor Pagado]]</f>
        <v>50</v>
      </c>
    </row>
    <row r="157" spans="1:23">
      <c r="A157" s="49" t="s">
        <v>3860</v>
      </c>
      <c r="B157" s="49" t="s">
        <v>4119</v>
      </c>
      <c r="C157" s="49" t="s">
        <v>1218</v>
      </c>
      <c r="D157" s="49" t="s">
        <v>1219</v>
      </c>
      <c r="E157" s="49" t="s">
        <v>4120</v>
      </c>
      <c r="F157" s="51">
        <v>46209</v>
      </c>
      <c r="G157" s="49">
        <v>96.85</v>
      </c>
      <c r="H157" s="49" t="s">
        <v>20</v>
      </c>
      <c r="I157" s="51">
        <v>46210</v>
      </c>
      <c r="J157" s="54">
        <f>INT(Cobros[[#This Row],[Fecha Cargo]])</f>
        <v>46209</v>
      </c>
      <c r="K157" s="54">
        <f>INT(Cobros[[#This Row],[Fecha Aplicacion]])</f>
        <v>46210</v>
      </c>
      <c r="L157" s="55">
        <f>INDEX(Clientes[Días Plazo],MATCH(Cobros[[#This Row],[Cod. Cliente]],Clientes[Codigo],0),1)</f>
        <v>0</v>
      </c>
      <c r="M157" s="45" t="str">
        <f>IF(Cobros[[#This Row],[Dias de Credito]]&lt;=0,"Contado","Credito")</f>
        <v>Contado</v>
      </c>
      <c r="N157" s="45">
        <f>Cobros[[#This Row],[Fecha Aplicación S]]-Cobros[[#This Row],[Fecha Cargo S]]</f>
        <v>1</v>
      </c>
      <c r="O157" s="45">
        <f>Cobros[[#This Row],[Dias al pago]]-Cobros[[#This Row],[Dias de Credito]]</f>
        <v>1</v>
      </c>
      <c r="P157" s="45">
        <f>SUMIFS(TablaDias[Porcentaje],TablaDias[Tipo],Cobros[[#This Row],[Tipo]],TablaDias[Desde ],"&lt;="&amp;MAX(0,Cobros[[#This Row],[Dias pasado]]),TablaDias[Hasta ],"&gt;="&amp;Cobros[[#This Row],[Dias pasado]])</f>
        <v>100</v>
      </c>
      <c r="Q1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7">
        <f>IF(COUNTIF(PAPEL[Numero],Cobros[[#This Row],[Doc. Cargo]])&gt;0,1,0)</f>
        <v>0</v>
      </c>
      <c r="S157" s="46">
        <f t="array" ref="S1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57" s="46">
        <f t="array" ref="T157">INDEX(Ventas[[Unidades]:[2]],MATCH("Gerente de Venta",Ventas[Vendedor %],0),6+Cobros[[#This Row],[Mes]])</f>
        <v>0.005</v>
      </c>
      <c r="U157" s="34">
        <f>IF(Cobros[[#This Row],[Tipo]]="Credito",IF(60&gt;=Cobros[[#This Row],[Dias al pago]],1,0),IF(Cobros[[#This Row],[Dias al pago]]&lt;=3,1,0))</f>
        <v>1</v>
      </c>
      <c r="V157" s="46">
        <f>(Cobros[[#This Row],[% A pagar Vendedor]]/100)*Cobros[[#This Row],[Valor Pagado]]*Cobros[[#This Row],[Vencido]]*(Cobros[[#This Row],[% aplicar]]/100)*IF(Cobros[[#This Row],[% A pagar Vendedor]]&gt;0,1,0)</f>
        <v>1.210625</v>
      </c>
      <c r="W157" s="46">
        <f>0.5%*Cobros[[#This Row],[Valor Pagado]]</f>
        <v>0.48425</v>
      </c>
    </row>
    <row r="158" spans="1:23">
      <c r="A158" s="49" t="s">
        <v>3875</v>
      </c>
      <c r="B158" s="49" t="s">
        <v>4121</v>
      </c>
      <c r="C158" s="49" t="s">
        <v>1218</v>
      </c>
      <c r="D158" s="49" t="s">
        <v>1219</v>
      </c>
      <c r="E158" s="49" t="s">
        <v>4122</v>
      </c>
      <c r="F158" s="51">
        <v>46209</v>
      </c>
      <c r="G158" s="49">
        <v>35.25</v>
      </c>
      <c r="H158" s="49" t="s">
        <v>20</v>
      </c>
      <c r="I158" s="51">
        <v>46209</v>
      </c>
      <c r="J158" s="54">
        <f>INT(Cobros[[#This Row],[Fecha Cargo]])</f>
        <v>46209</v>
      </c>
      <c r="K158" s="54">
        <f>INT(Cobros[[#This Row],[Fecha Aplicacion]])</f>
        <v>46209</v>
      </c>
      <c r="L158" s="55">
        <f>INDEX(Clientes[Días Plazo],MATCH(Cobros[[#This Row],[Cod. Cliente]],Clientes[Codigo],0),1)</f>
        <v>0</v>
      </c>
      <c r="M158" s="45" t="str">
        <f>IF(Cobros[[#This Row],[Dias de Credito]]&lt;=0,"Contado","Credito")</f>
        <v>Contado</v>
      </c>
      <c r="N158" s="45">
        <f>Cobros[[#This Row],[Fecha Aplicación S]]-Cobros[[#This Row],[Fecha Cargo S]]</f>
        <v>0</v>
      </c>
      <c r="O158" s="45">
        <f>Cobros[[#This Row],[Dias al pago]]-Cobros[[#This Row],[Dias de Credito]]</f>
        <v>0</v>
      </c>
      <c r="P158" s="45">
        <f>SUMIFS(TablaDias[Porcentaje],TablaDias[Tipo],Cobros[[#This Row],[Tipo]],TablaDias[Desde ],"&lt;="&amp;MAX(0,Cobros[[#This Row],[Dias pasado]]),TablaDias[Hasta ],"&gt;="&amp;Cobros[[#This Row],[Dias pasado]])</f>
        <v>100</v>
      </c>
      <c r="Q1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58">
        <f>IF(COUNTIF(PAPEL[Numero],Cobros[[#This Row],[Doc. Cargo]])&gt;0,1,0)</f>
        <v>0</v>
      </c>
      <c r="S158" s="46">
        <f t="array" ref="S1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58" s="46">
        <f t="array" ref="T158">INDEX(Ventas[[Unidades]:[2]],MATCH("Gerente de Venta",Ventas[Vendedor %],0),6+Cobros[[#This Row],[Mes]])</f>
        <v>0.005</v>
      </c>
      <c r="U158" s="34">
        <f>IF(Cobros[[#This Row],[Tipo]]="Credito",IF(60&gt;=Cobros[[#This Row],[Dias al pago]],1,0),IF(Cobros[[#This Row],[Dias al pago]]&lt;=3,1,0))</f>
        <v>1</v>
      </c>
      <c r="V158" s="46">
        <f>(Cobros[[#This Row],[% A pagar Vendedor]]/100)*Cobros[[#This Row],[Valor Pagado]]*Cobros[[#This Row],[Vencido]]*(Cobros[[#This Row],[% aplicar]]/100)*IF(Cobros[[#This Row],[% A pagar Vendedor]]&gt;0,1,0)</f>
        <v>0.440625</v>
      </c>
      <c r="W158" s="46">
        <f>0.5%*Cobros[[#This Row],[Valor Pagado]]</f>
        <v>0.17625</v>
      </c>
    </row>
    <row r="159" ht="30" spans="1:23">
      <c r="A159" s="49" t="s">
        <v>3860</v>
      </c>
      <c r="B159" s="49" t="s">
        <v>4123</v>
      </c>
      <c r="C159" s="49" t="s">
        <v>2318</v>
      </c>
      <c r="D159" s="49" t="s">
        <v>2319</v>
      </c>
      <c r="E159" s="49" t="s">
        <v>3866</v>
      </c>
      <c r="F159" s="51">
        <v>46181</v>
      </c>
      <c r="G159" s="49">
        <v>1500</v>
      </c>
      <c r="H159" s="49" t="s">
        <v>3865</v>
      </c>
      <c r="I159" s="51">
        <v>46210</v>
      </c>
      <c r="J159" s="54">
        <f>INT(Cobros[[#This Row],[Fecha Cargo]])</f>
        <v>46181</v>
      </c>
      <c r="K159" s="54">
        <f>INT(Cobros[[#This Row],[Fecha Aplicacion]])</f>
        <v>46210</v>
      </c>
      <c r="L159" s="55" t="str">
        <f>INDEX(Clientes[Días Plazo],MATCH(Cobros[[#This Row],[Cod. Cliente]],Clientes[Codigo],0),1)</f>
        <v>15</v>
      </c>
      <c r="M159" s="45" t="str">
        <f>IF(Cobros[[#This Row],[Dias de Credito]]&lt;=0,"Contado","Credito")</f>
        <v>Credito</v>
      </c>
      <c r="N159" s="45">
        <f>Cobros[[#This Row],[Fecha Aplicación S]]-Cobros[[#This Row],[Fecha Cargo S]]</f>
        <v>29</v>
      </c>
      <c r="O159" s="45">
        <f>Cobros[[#This Row],[Dias al pago]]-Cobros[[#This Row],[Dias de Credito]]</f>
        <v>14</v>
      </c>
      <c r="P159" s="45">
        <f>SUMIFS(TablaDias[Porcentaje],TablaDias[Tipo],Cobros[[#This Row],[Tipo]],TablaDias[Desde ],"&lt;="&amp;MAX(0,Cobros[[#This Row],[Dias pasado]]),TablaDias[Hasta ],"&gt;="&amp;Cobros[[#This Row],[Dias pasado]])</f>
        <v>100</v>
      </c>
      <c r="Q1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59">
        <f>IF(COUNTIF(PAPEL[Numero],Cobros[[#This Row],[Doc. Cargo]])&gt;0,1,0)</f>
        <v>0</v>
      </c>
      <c r="S159" s="46">
        <v>1</v>
      </c>
      <c r="T159" s="46">
        <f t="array" ref="T159">INDEX(Ventas[[Unidades]:[2]],MATCH("Gerente de Venta",Ventas[Vendedor %],0),6+Cobros[[#This Row],[Mes]])</f>
        <v>0.005</v>
      </c>
      <c r="U159" s="34">
        <f>IF(Cobros[[#This Row],[Tipo]]="Credito",IF(60&gt;=Cobros[[#This Row],[Dias al pago]],1,0),IF(Cobros[[#This Row],[Dias al pago]]&lt;=3,1,0))</f>
        <v>1</v>
      </c>
      <c r="V159" s="46">
        <f>(Cobros[[#This Row],[% A pagar Vendedor]]/100)*Cobros[[#This Row],[Valor Pagado]]*Cobros[[#This Row],[Vencido]]*(Cobros[[#This Row],[% aplicar]]/100)*IF(Cobros[[#This Row],[% A pagar Vendedor]]&gt;0,1,0)</f>
        <v>15</v>
      </c>
      <c r="W159" s="46">
        <f>0.5%*Cobros[[#This Row],[Valor Pagado]]</f>
        <v>7.5</v>
      </c>
    </row>
    <row r="160" spans="1:24">
      <c r="A160" s="49" t="s">
        <v>3860</v>
      </c>
      <c r="B160" s="49" t="s">
        <v>4124</v>
      </c>
      <c r="C160" s="49" t="s">
        <v>1222</v>
      </c>
      <c r="D160" s="49" t="s">
        <v>1223</v>
      </c>
      <c r="E160" s="49" t="s">
        <v>4125</v>
      </c>
      <c r="F160" s="51">
        <v>46206</v>
      </c>
      <c r="G160" s="49">
        <v>190.15</v>
      </c>
      <c r="H160" s="49" t="s">
        <v>20</v>
      </c>
      <c r="I160" s="51">
        <v>46210</v>
      </c>
      <c r="J160" s="54">
        <f>INT(Cobros[[#This Row],[Fecha Cargo]])</f>
        <v>46206</v>
      </c>
      <c r="K160" s="54">
        <f>INT(Cobros[[#This Row],[Fecha Aplicacion]])</f>
        <v>46210</v>
      </c>
      <c r="L160" s="55" t="str">
        <f>INDEX(Clientes[Días Plazo],MATCH(Cobros[[#This Row],[Cod. Cliente]],Clientes[Codigo],0),1)</f>
        <v>7</v>
      </c>
      <c r="M160" s="45" t="str">
        <f>IF(Cobros[[#This Row],[Dias de Credito]]&lt;=0,"Contado","Credito")</f>
        <v>Credito</v>
      </c>
      <c r="N160" s="45">
        <f>Cobros[[#This Row],[Fecha Aplicación S]]-Cobros[[#This Row],[Fecha Cargo S]]</f>
        <v>4</v>
      </c>
      <c r="O160" s="45">
        <f>Cobros[[#This Row],[Dias al pago]]-Cobros[[#This Row],[Dias de Credito]]</f>
        <v>-3</v>
      </c>
      <c r="P160" s="45">
        <f>SUMIFS(TablaDias[Porcentaje],TablaDias[Tipo],Cobros[[#This Row],[Tipo]],TablaDias[Desde ],"&lt;="&amp;MAX(0,Cobros[[#This Row],[Dias pasado]]),TablaDias[Hasta ],"&gt;="&amp;Cobros[[#This Row],[Dias pasado]])</f>
        <v>100</v>
      </c>
      <c r="Q1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60">
        <f>IF(COUNTIF(PAPEL[Numero],Cobros[[#This Row],[Doc. Cargo]])&gt;0,1,0)</f>
        <v>0</v>
      </c>
      <c r="S160" s="46">
        <f t="array" ref="S1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60" s="46">
        <f t="array" ref="T160">INDEX(Ventas[[Unidades]:[2]],MATCH("Gerente de Venta",Ventas[Vendedor %],0),6+Cobros[[#This Row],[Mes]])</f>
        <v>0.005</v>
      </c>
      <c r="U160" s="34">
        <f>IF(Cobros[[#This Row],[Tipo]]="Credito",IF(60&gt;=Cobros[[#This Row],[Dias al pago]],1,0),IF(Cobros[[#This Row],[Dias al pago]]&lt;=3,1,0))</f>
        <v>1</v>
      </c>
      <c r="V160" s="46">
        <f>(Cobros[[#This Row],[% A pagar Vendedor]]/100)*Cobros[[#This Row],[Valor Pagado]]*Cobros[[#This Row],[Vencido]]*(Cobros[[#This Row],[% aplicar]]/100)*IF(Cobros[[#This Row],[% A pagar Vendedor]]&gt;0,1,0)</f>
        <v>2.376875</v>
      </c>
      <c r="W160" s="46">
        <f>0.5%*Cobros[[#This Row],[Valor Pagado]]</f>
        <v>0.95075</v>
      </c>
      <c r="X160" s="60"/>
    </row>
    <row r="161" spans="1:23">
      <c r="A161" s="49" t="s">
        <v>3860</v>
      </c>
      <c r="B161" s="49" t="s">
        <v>4126</v>
      </c>
      <c r="C161" s="49" t="s">
        <v>1222</v>
      </c>
      <c r="D161" s="49" t="s">
        <v>1223</v>
      </c>
      <c r="E161" s="49" t="s">
        <v>4081</v>
      </c>
      <c r="F161" s="51">
        <v>46206</v>
      </c>
      <c r="G161" s="49">
        <v>400</v>
      </c>
      <c r="H161" s="49" t="s">
        <v>20</v>
      </c>
      <c r="I161" s="51">
        <v>46210</v>
      </c>
      <c r="J161" s="54">
        <f>INT(Cobros[[#This Row],[Fecha Cargo]])</f>
        <v>46206</v>
      </c>
      <c r="K161" s="54">
        <f>INT(Cobros[[#This Row],[Fecha Aplicacion]])</f>
        <v>46210</v>
      </c>
      <c r="L161" s="55">
        <v>30</v>
      </c>
      <c r="M161" s="45" t="str">
        <f>IF(Cobros[[#This Row],[Dias de Credito]]&lt;=0,"Contado","Credito")</f>
        <v>Credito</v>
      </c>
      <c r="N161" s="45">
        <f>Cobros[[#This Row],[Fecha Aplicación S]]-Cobros[[#This Row],[Fecha Cargo S]]</f>
        <v>4</v>
      </c>
      <c r="O161" s="45">
        <f>Cobros[[#This Row],[Dias al pago]]-Cobros[[#This Row],[Dias de Credito]]</f>
        <v>-26</v>
      </c>
      <c r="P161" s="45">
        <f>SUMIFS(TablaDias[Porcentaje],TablaDias[Tipo],Cobros[[#This Row],[Tipo]],TablaDias[Desde ],"&lt;="&amp;MAX(0,Cobros[[#This Row],[Dias pasado]]),TablaDias[Hasta ],"&gt;="&amp;Cobros[[#This Row],[Dias pasado]])</f>
        <v>100</v>
      </c>
      <c r="Q1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61">
        <f>IF(COUNTIF(PAPEL[Numero],Cobros[[#This Row],[Doc. Cargo]])&gt;0,1,0)</f>
        <v>0</v>
      </c>
      <c r="S161" s="46">
        <f t="array" ref="S1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61" s="46">
        <f t="array" ref="T161">INDEX(Ventas[[Unidades]:[2]],MATCH("Gerente de Venta",Ventas[Vendedor %],0),6+Cobros[[#This Row],[Mes]])</f>
        <v>0.005</v>
      </c>
      <c r="U161" s="34">
        <f>IF(Cobros[[#This Row],[Tipo]]="Credito",IF(60&gt;=Cobros[[#This Row],[Dias al pago]],1,0),IF(Cobros[[#This Row],[Dias al pago]]&lt;=3,1,0))</f>
        <v>1</v>
      </c>
      <c r="V161" s="46">
        <f>(Cobros[[#This Row],[% A pagar Vendedor]]/100)*Cobros[[#This Row],[Valor Pagado]]*Cobros[[#This Row],[Vencido]]*(Cobros[[#This Row],[% aplicar]]/100)*IF(Cobros[[#This Row],[% A pagar Vendedor]]&gt;0,1,0)</f>
        <v>5</v>
      </c>
      <c r="W161" s="46">
        <f>0.5%*Cobros[[#This Row],[Valor Pagado]]</f>
        <v>2</v>
      </c>
    </row>
    <row r="162" ht="30" spans="1:23">
      <c r="A162" s="49" t="s">
        <v>3860</v>
      </c>
      <c r="B162" s="49" t="s">
        <v>4127</v>
      </c>
      <c r="C162" s="49" t="s">
        <v>3303</v>
      </c>
      <c r="D162" s="49" t="s">
        <v>3304</v>
      </c>
      <c r="E162" s="49" t="s">
        <v>4128</v>
      </c>
      <c r="F162" s="51">
        <v>46181</v>
      </c>
      <c r="G162" s="49">
        <v>1300</v>
      </c>
      <c r="H162" s="49" t="s">
        <v>3865</v>
      </c>
      <c r="I162" s="51">
        <v>46210</v>
      </c>
      <c r="J162" s="54">
        <f>INT(Cobros[[#This Row],[Fecha Cargo]])</f>
        <v>46181</v>
      </c>
      <c r="K162" s="54">
        <f>INT(Cobros[[#This Row],[Fecha Aplicacion]])</f>
        <v>46210</v>
      </c>
      <c r="L162" s="55" t="str">
        <f>INDEX(Clientes[Días Plazo],MATCH(Cobros[[#This Row],[Cod. Cliente]],Clientes[Codigo],0),1)</f>
        <v>15</v>
      </c>
      <c r="M162" s="45" t="str">
        <f>IF(Cobros[[#This Row],[Dias de Credito]]&lt;=0,"Contado","Credito")</f>
        <v>Credito</v>
      </c>
      <c r="N162" s="45">
        <f>Cobros[[#This Row],[Fecha Aplicación S]]-Cobros[[#This Row],[Fecha Cargo S]]</f>
        <v>29</v>
      </c>
      <c r="O162" s="45">
        <f>Cobros[[#This Row],[Dias al pago]]-Cobros[[#This Row],[Dias de Credito]]</f>
        <v>14</v>
      </c>
      <c r="P162" s="45">
        <f>SUMIFS(TablaDias[Porcentaje],TablaDias[Tipo],Cobros[[#This Row],[Tipo]],TablaDias[Desde ],"&lt;="&amp;MAX(0,Cobros[[#This Row],[Dias pasado]]),TablaDias[Hasta ],"&gt;="&amp;Cobros[[#This Row],[Dias pasado]])</f>
        <v>100</v>
      </c>
      <c r="Q1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2">
        <f>IF(COUNTIF(PAPEL[Numero],Cobros[[#This Row],[Doc. Cargo]])&gt;0,1,0)</f>
        <v>0</v>
      </c>
      <c r="S162" s="46">
        <v>1</v>
      </c>
      <c r="T162" s="46">
        <f t="array" ref="T162">INDEX(Ventas[[Unidades]:[2]],MATCH("Gerente de Venta",Ventas[Vendedor %],0),6+Cobros[[#This Row],[Mes]])</f>
        <v>0.005</v>
      </c>
      <c r="U162" s="34">
        <f>IF(Cobros[[#This Row],[Tipo]]="Credito",IF(60&gt;=Cobros[[#This Row],[Dias al pago]],1,0),IF(Cobros[[#This Row],[Dias al pago]]&lt;=3,1,0))</f>
        <v>1</v>
      </c>
      <c r="V162" s="46">
        <f>(Cobros[[#This Row],[% A pagar Vendedor]]/100)*Cobros[[#This Row],[Valor Pagado]]*Cobros[[#This Row],[Vencido]]*(Cobros[[#This Row],[% aplicar]]/100)*IF(Cobros[[#This Row],[% A pagar Vendedor]]&gt;0,1,0)</f>
        <v>13</v>
      </c>
      <c r="W162" s="46">
        <f>0.5%*Cobros[[#This Row],[Valor Pagado]]</f>
        <v>6.5</v>
      </c>
    </row>
    <row r="163" ht="30" spans="1:23">
      <c r="A163" s="49" t="s">
        <v>3884</v>
      </c>
      <c r="B163" s="49" t="s">
        <v>4129</v>
      </c>
      <c r="C163" s="49" t="s">
        <v>3303</v>
      </c>
      <c r="D163" s="49" t="s">
        <v>3304</v>
      </c>
      <c r="E163" s="49" t="s">
        <v>4128</v>
      </c>
      <c r="F163" s="51">
        <v>46181</v>
      </c>
      <c r="G163" s="49">
        <v>409.31</v>
      </c>
      <c r="H163" s="49" t="s">
        <v>3865</v>
      </c>
      <c r="I163" s="51">
        <v>46209</v>
      </c>
      <c r="J163" s="54">
        <f>INT(Cobros[[#This Row],[Fecha Cargo]])</f>
        <v>46181</v>
      </c>
      <c r="K163" s="54">
        <f>INT(Cobros[[#This Row],[Fecha Aplicacion]])</f>
        <v>46209</v>
      </c>
      <c r="L163" s="55" t="str">
        <f>INDEX(Clientes[Días Plazo],MATCH(Cobros[[#This Row],[Cod. Cliente]],Clientes[Codigo],0),1)</f>
        <v>15</v>
      </c>
      <c r="M163" s="45" t="str">
        <f>IF(Cobros[[#This Row],[Dias de Credito]]&lt;=0,"Contado","Credito")</f>
        <v>Credito</v>
      </c>
      <c r="N163" s="45">
        <v>28</v>
      </c>
      <c r="O163" s="45">
        <f>Cobros[[#This Row],[Dias al pago]]-Cobros[[#This Row],[Dias de Credito]]</f>
        <v>13</v>
      </c>
      <c r="P163" s="45">
        <f>SUMIFS(TablaDias[Porcentaje],TablaDias[Tipo],Cobros[[#This Row],[Tipo]],TablaDias[Desde ],"&lt;="&amp;MAX(0,Cobros[[#This Row],[Dias pasado]]),TablaDias[Hasta ],"&gt;="&amp;Cobros[[#This Row],[Dias pasado]])</f>
        <v>100</v>
      </c>
      <c r="Q1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3">
        <f>IF(COUNTIF(PAPEL[Numero],Cobros[[#This Row],[Doc. Cargo]])&gt;0,1,0)</f>
        <v>0</v>
      </c>
      <c r="S163" s="46">
        <v>1</v>
      </c>
      <c r="T163" s="46">
        <f t="array" ref="T163">INDEX(Ventas[[Unidades]:[2]],MATCH("Gerente de Venta",Ventas[Vendedor %],0),6+Cobros[[#This Row],[Mes]])</f>
        <v>0.005</v>
      </c>
      <c r="U163" s="34">
        <f>IF(Cobros[[#This Row],[Tipo]]="Credito",IF(60&gt;=Cobros[[#This Row],[Dias al pago]],1,0),IF(Cobros[[#This Row],[Dias al pago]]&lt;=3,1,0))</f>
        <v>1</v>
      </c>
      <c r="V163" s="46">
        <f>(Cobros[[#This Row],[% A pagar Vendedor]]/100)*Cobros[[#This Row],[Valor Pagado]]*Cobros[[#This Row],[Vencido]]*(Cobros[[#This Row],[% aplicar]]/100)*IF(Cobros[[#This Row],[% A pagar Vendedor]]&gt;0,1,0)</f>
        <v>4.0931</v>
      </c>
      <c r="W163" s="46">
        <v>2.04655</v>
      </c>
    </row>
    <row r="164" ht="30" spans="1:23">
      <c r="A164" s="49" t="s">
        <v>3860</v>
      </c>
      <c r="B164" s="49" t="s">
        <v>4130</v>
      </c>
      <c r="C164" s="49" t="s">
        <v>1260</v>
      </c>
      <c r="D164" s="49" t="s">
        <v>1261</v>
      </c>
      <c r="E164" s="49" t="s">
        <v>4131</v>
      </c>
      <c r="F164" s="51">
        <v>46182</v>
      </c>
      <c r="G164" s="49">
        <v>2967</v>
      </c>
      <c r="H164" s="49" t="s">
        <v>3865</v>
      </c>
      <c r="I164" s="51">
        <v>46210</v>
      </c>
      <c r="J164" s="54">
        <f>INT(Cobros[[#This Row],[Fecha Cargo]])</f>
        <v>46182</v>
      </c>
      <c r="K164" s="54">
        <f>INT(Cobros[[#This Row],[Fecha Aplicacion]])</f>
        <v>46210</v>
      </c>
      <c r="L164" s="55" t="str">
        <f>INDEX(Clientes[Días Plazo],MATCH(Cobros[[#This Row],[Cod. Cliente]],Clientes[Codigo],0),1)</f>
        <v>21</v>
      </c>
      <c r="M164" s="45" t="str">
        <f>IF(Cobros[[#This Row],[Dias de Credito]]&lt;=0,"Contado","Credito")</f>
        <v>Credito</v>
      </c>
      <c r="N164" s="45">
        <f>Cobros[[#This Row],[Fecha Aplicación S]]-Cobros[[#This Row],[Fecha Cargo S]]</f>
        <v>28</v>
      </c>
      <c r="O164" s="45">
        <f>Cobros[[#This Row],[Dias al pago]]-Cobros[[#This Row],[Dias de Credito]]</f>
        <v>7</v>
      </c>
      <c r="P164" s="45">
        <f>SUMIFS(TablaDias[Porcentaje],TablaDias[Tipo],Cobros[[#This Row],[Tipo]],TablaDias[Desde ],"&lt;="&amp;MAX(0,Cobros[[#This Row],[Dias pasado]]),TablaDias[Hasta ],"&gt;="&amp;Cobros[[#This Row],[Dias pasado]])</f>
        <v>100</v>
      </c>
      <c r="Q1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4">
        <f>IF(COUNTIF(PAPEL[Numero],Cobros[[#This Row],[Doc. Cargo]])&gt;0,1,0)</f>
        <v>0</v>
      </c>
      <c r="S164" s="46">
        <v>1</v>
      </c>
      <c r="T164" s="46">
        <f t="array" ref="T164">INDEX(Ventas[[Unidades]:[2]],MATCH("Gerente de Venta",Ventas[Vendedor %],0),6+Cobros[[#This Row],[Mes]])</f>
        <v>0.005</v>
      </c>
      <c r="U164" s="34">
        <f>IF(Cobros[[#This Row],[Tipo]]="Credito",IF(60&gt;=Cobros[[#This Row],[Dias al pago]],1,0),IF(Cobros[[#This Row],[Dias al pago]]&lt;=3,1,0))</f>
        <v>1</v>
      </c>
      <c r="V164" s="46">
        <f>(Cobros[[#This Row],[% A pagar Vendedor]]/100)*Cobros[[#This Row],[Valor Pagado]]*Cobros[[#This Row],[Vencido]]*(Cobros[[#This Row],[% aplicar]]/100)*IF(Cobros[[#This Row],[% A pagar Vendedor]]&gt;0,1,0)</f>
        <v>29.67</v>
      </c>
      <c r="W164" s="46">
        <f>0.5%*Cobros[[#This Row],[Valor Pagado]]</f>
        <v>14.835</v>
      </c>
    </row>
    <row r="165" spans="1:23">
      <c r="A165" s="49" t="s">
        <v>3860</v>
      </c>
      <c r="B165" s="49" t="s">
        <v>4132</v>
      </c>
      <c r="C165" s="49" t="s">
        <v>530</v>
      </c>
      <c r="D165" s="49" t="s">
        <v>531</v>
      </c>
      <c r="E165" s="49" t="s">
        <v>4133</v>
      </c>
      <c r="F165" s="51">
        <v>46188</v>
      </c>
      <c r="G165" s="49">
        <v>350</v>
      </c>
      <c r="H165" s="49" t="s">
        <v>18</v>
      </c>
      <c r="I165" s="51">
        <v>46210</v>
      </c>
      <c r="J165" s="54">
        <f>INT(Cobros[[#This Row],[Fecha Cargo]])</f>
        <v>46188</v>
      </c>
      <c r="K165" s="54">
        <f>INT(Cobros[[#This Row],[Fecha Aplicacion]])</f>
        <v>46210</v>
      </c>
      <c r="L165" s="55" t="str">
        <f>INDEX(Clientes[Días Plazo],MATCH(Cobros[[#This Row],[Cod. Cliente]],Clientes[Codigo],0),1)</f>
        <v>15</v>
      </c>
      <c r="M165" s="45" t="str">
        <f>IF(Cobros[[#This Row],[Dias de Credito]]&lt;=0,"Contado","Credito")</f>
        <v>Credito</v>
      </c>
      <c r="N165" s="45">
        <f>Cobros[[#This Row],[Fecha Aplicación S]]-Cobros[[#This Row],[Fecha Cargo S]]</f>
        <v>22</v>
      </c>
      <c r="O165" s="45">
        <f>Cobros[[#This Row],[Dias al pago]]-Cobros[[#This Row],[Dias de Credito]]</f>
        <v>7</v>
      </c>
      <c r="P165" s="45">
        <f>SUMIFS(TablaDias[Porcentaje],TablaDias[Tipo],Cobros[[#This Row],[Tipo]],TablaDias[Desde ],"&lt;="&amp;MAX(0,Cobros[[#This Row],[Dias pasado]]),TablaDias[Hasta ],"&gt;="&amp;Cobros[[#This Row],[Dias pasado]])</f>
        <v>100</v>
      </c>
      <c r="Q1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5">
        <f>IF(COUNTIF(PAPEL[Numero],Cobros[[#This Row],[Doc. Cargo]])&gt;0,1,0)</f>
        <v>0</v>
      </c>
      <c r="S165" s="46">
        <f t="array" ref="S1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65" s="46">
        <f t="array" ref="T165">INDEX(Ventas[[Unidades]:[2]],MATCH("Gerente de Venta",Ventas[Vendedor %],0),6+Cobros[[#This Row],[Mes]])</f>
        <v>0.005</v>
      </c>
      <c r="U165" s="34">
        <f>IF(Cobros[[#This Row],[Tipo]]="Credito",IF(60&gt;=Cobros[[#This Row],[Dias al pago]],1,0),IF(Cobros[[#This Row],[Dias al pago]]&lt;=3,1,0))</f>
        <v>1</v>
      </c>
      <c r="V165" s="46">
        <f>(Cobros[[#This Row],[% A pagar Vendedor]]/100)*Cobros[[#This Row],[Valor Pagado]]*Cobros[[#This Row],[Vencido]]*(Cobros[[#This Row],[% aplicar]]/100)*IF(Cobros[[#This Row],[% A pagar Vendedor]]&gt;0,1,0)</f>
        <v>3.5</v>
      </c>
      <c r="W165" s="46">
        <f>0.5%*Cobros[[#This Row],[Valor Pagado]]</f>
        <v>1.75</v>
      </c>
    </row>
    <row r="166" spans="1:24">
      <c r="A166" s="49" t="s">
        <v>3860</v>
      </c>
      <c r="B166" s="49" t="s">
        <v>4134</v>
      </c>
      <c r="C166" s="49" t="s">
        <v>3814</v>
      </c>
      <c r="D166" s="49" t="s">
        <v>3815</v>
      </c>
      <c r="E166" s="49" t="s">
        <v>3916</v>
      </c>
      <c r="F166" s="51">
        <v>46183</v>
      </c>
      <c r="G166" s="49">
        <v>456</v>
      </c>
      <c r="H166" s="49" t="s">
        <v>20</v>
      </c>
      <c r="I166" s="51">
        <v>46210</v>
      </c>
      <c r="J166" s="54">
        <f>INT(Cobros[[#This Row],[Fecha Cargo]])</f>
        <v>46183</v>
      </c>
      <c r="K166" s="54">
        <f>INT(Cobros[[#This Row],[Fecha Aplicacion]])</f>
        <v>46210</v>
      </c>
      <c r="L166" s="55" t="str">
        <f>INDEX(Clientes[Días Plazo],MATCH(Cobros[[#This Row],[Cod. Cliente]],Clientes[Codigo],0),1)</f>
        <v>15</v>
      </c>
      <c r="M166" s="45" t="str">
        <f>IF(Cobros[[#This Row],[Dias de Credito]]&lt;=0,"Contado","Credito")</f>
        <v>Credito</v>
      </c>
      <c r="N166" s="45">
        <f>Cobros[[#This Row],[Fecha Aplicación S]]-Cobros[[#This Row],[Fecha Cargo S]]</f>
        <v>27</v>
      </c>
      <c r="O166" s="45">
        <f>Cobros[[#This Row],[Dias al pago]]-Cobros[[#This Row],[Dias de Credito]]</f>
        <v>12</v>
      </c>
      <c r="P166" s="45">
        <f>SUMIFS(TablaDias[Porcentaje],TablaDias[Tipo],Cobros[[#This Row],[Tipo]],TablaDias[Desde ],"&lt;="&amp;MAX(0,Cobros[[#This Row],[Dias pasado]]),TablaDias[Hasta ],"&gt;="&amp;Cobros[[#This Row],[Dias pasado]])</f>
        <v>100</v>
      </c>
      <c r="Q1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6">
        <f>IF(COUNTIF(PAPEL[Numero],Cobros[[#This Row],[Doc. Cargo]])&gt;0,1,0)</f>
        <v>0</v>
      </c>
      <c r="S166" s="46">
        <f t="array" ref="S1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66" s="46">
        <f t="array" ref="T166">INDEX(Ventas[[Unidades]:[2]],MATCH("Gerente de Venta",Ventas[Vendedor %],0),6+Cobros[[#This Row],[Mes]])</f>
        <v>0.005</v>
      </c>
      <c r="U166" s="34">
        <f>IF(Cobros[[#This Row],[Tipo]]="Credito",IF(60&gt;=Cobros[[#This Row],[Dias al pago]],1,0),IF(Cobros[[#This Row],[Dias al pago]]&lt;=3,1,0))</f>
        <v>1</v>
      </c>
      <c r="V166" s="46">
        <f>(Cobros[[#This Row],[% A pagar Vendedor]]/100)*Cobros[[#This Row],[Valor Pagado]]*Cobros[[#This Row],[Vencido]]*(Cobros[[#This Row],[% aplicar]]/100)*IF(Cobros[[#This Row],[% A pagar Vendedor]]&gt;0,1,0)</f>
        <v>5.7</v>
      </c>
      <c r="W166" s="46">
        <f>0.5%*Cobros[[#This Row],[Valor Pagado]]</f>
        <v>2.28</v>
      </c>
      <c r="X166" s="60"/>
    </row>
    <row r="167" spans="1:23">
      <c r="A167" s="49" t="s">
        <v>3860</v>
      </c>
      <c r="B167" s="49" t="s">
        <v>4134</v>
      </c>
      <c r="C167" s="49" t="s">
        <v>3814</v>
      </c>
      <c r="D167" s="49" t="s">
        <v>3815</v>
      </c>
      <c r="E167" s="49" t="s">
        <v>4135</v>
      </c>
      <c r="F167" s="51">
        <v>46191</v>
      </c>
      <c r="G167" s="49">
        <v>144</v>
      </c>
      <c r="H167" s="49" t="s">
        <v>20</v>
      </c>
      <c r="I167" s="51">
        <v>46210</v>
      </c>
      <c r="J167" s="54">
        <f>INT(Cobros[[#This Row],[Fecha Cargo]])</f>
        <v>46191</v>
      </c>
      <c r="K167" s="54">
        <f>INT(Cobros[[#This Row],[Fecha Aplicacion]])</f>
        <v>46210</v>
      </c>
      <c r="L167" s="55" t="str">
        <f>INDEX(Clientes[Días Plazo],MATCH(Cobros[[#This Row],[Cod. Cliente]],Clientes[Codigo],0),1)</f>
        <v>15</v>
      </c>
      <c r="M167" s="45" t="str">
        <f>IF(Cobros[[#This Row],[Dias de Credito]]&lt;=0,"Contado","Credito")</f>
        <v>Credito</v>
      </c>
      <c r="N167" s="45">
        <f>Cobros[[#This Row],[Fecha Aplicación S]]-Cobros[[#This Row],[Fecha Cargo S]]</f>
        <v>19</v>
      </c>
      <c r="O167" s="45">
        <f>Cobros[[#This Row],[Dias al pago]]-Cobros[[#This Row],[Dias de Credito]]</f>
        <v>4</v>
      </c>
      <c r="P167" s="45">
        <f>SUMIFS(TablaDias[Porcentaje],TablaDias[Tipo],Cobros[[#This Row],[Tipo]],TablaDias[Desde ],"&lt;="&amp;MAX(0,Cobros[[#This Row],[Dias pasado]]),TablaDias[Hasta ],"&gt;="&amp;Cobros[[#This Row],[Dias pasado]])</f>
        <v>100</v>
      </c>
      <c r="Q16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7">
        <f>IF(COUNTIF(PAPEL[Numero],Cobros[[#This Row],[Doc. Cargo]])&gt;0,1,0)</f>
        <v>0</v>
      </c>
      <c r="S167" s="46">
        <f t="array" ref="S1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67" s="46">
        <f t="array" ref="T167">INDEX(Ventas[[Unidades]:[2]],MATCH("Gerente de Venta",Ventas[Vendedor %],0),6+Cobros[[#This Row],[Mes]])</f>
        <v>0.005</v>
      </c>
      <c r="U167" s="34">
        <f>IF(Cobros[[#This Row],[Tipo]]="Credito",IF(60&gt;=Cobros[[#This Row],[Dias al pago]],1,0),IF(Cobros[[#This Row],[Dias al pago]]&lt;=3,1,0))</f>
        <v>1</v>
      </c>
      <c r="V167" s="46">
        <f>(Cobros[[#This Row],[% A pagar Vendedor]]/100)*Cobros[[#This Row],[Valor Pagado]]*Cobros[[#This Row],[Vencido]]*(Cobros[[#This Row],[% aplicar]]/100)*IF(Cobros[[#This Row],[% A pagar Vendedor]]&gt;0,1,0)</f>
        <v>1.8</v>
      </c>
      <c r="W167" s="46">
        <f>0.5%*Cobros[[#This Row],[Valor Pagado]]</f>
        <v>0.72</v>
      </c>
    </row>
    <row r="168" ht="30" spans="1:23">
      <c r="A168" s="49" t="s">
        <v>3875</v>
      </c>
      <c r="B168" s="49" t="s">
        <v>4136</v>
      </c>
      <c r="C168" s="49" t="s">
        <v>3303</v>
      </c>
      <c r="D168" s="49" t="s">
        <v>3304</v>
      </c>
      <c r="E168" s="49" t="s">
        <v>4128</v>
      </c>
      <c r="F168" s="51">
        <v>46181</v>
      </c>
      <c r="G168" s="49">
        <v>1200</v>
      </c>
      <c r="H168" s="49" t="s">
        <v>3865</v>
      </c>
      <c r="I168" s="51">
        <v>46210</v>
      </c>
      <c r="J168" s="54">
        <f>INT(Cobros[[#This Row],[Fecha Cargo]])</f>
        <v>46181</v>
      </c>
      <c r="K168" s="54">
        <f>INT(Cobros[[#This Row],[Fecha Aplicacion]])</f>
        <v>46210</v>
      </c>
      <c r="L168" s="55" t="str">
        <f>INDEX(Clientes[Días Plazo],MATCH(Cobros[[#This Row],[Cod. Cliente]],Clientes[Codigo],0),1)</f>
        <v>15</v>
      </c>
      <c r="M168" s="45" t="str">
        <f>IF(Cobros[[#This Row],[Dias de Credito]]&lt;=0,"Contado","Credito")</f>
        <v>Credito</v>
      </c>
      <c r="N168" s="45">
        <f>Cobros[[#This Row],[Fecha Aplicación S]]-Cobros[[#This Row],[Fecha Cargo S]]</f>
        <v>29</v>
      </c>
      <c r="O168" s="45">
        <f>Cobros[[#This Row],[Dias al pago]]-Cobros[[#This Row],[Dias de Credito]]</f>
        <v>14</v>
      </c>
      <c r="P168" s="45">
        <f>SUMIFS(TablaDias[Porcentaje],TablaDias[Tipo],Cobros[[#This Row],[Tipo]],TablaDias[Desde ],"&lt;="&amp;MAX(0,Cobros[[#This Row],[Dias pasado]]),TablaDias[Hasta ],"&gt;="&amp;Cobros[[#This Row],[Dias pasado]])</f>
        <v>100</v>
      </c>
      <c r="Q1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8">
        <f>IF(COUNTIF(PAPEL[Numero],Cobros[[#This Row],[Doc. Cargo]])&gt;0,1,0)</f>
        <v>0</v>
      </c>
      <c r="S168" s="46">
        <v>1</v>
      </c>
      <c r="T168" s="46">
        <f t="array" ref="T168">INDEX(Ventas[[Unidades]:[2]],MATCH("Gerente de Venta",Ventas[Vendedor %],0),6+Cobros[[#This Row],[Mes]])</f>
        <v>0.005</v>
      </c>
      <c r="U168" s="34">
        <f>IF(Cobros[[#This Row],[Tipo]]="Credito",IF(60&gt;=Cobros[[#This Row],[Dias al pago]],1,0),IF(Cobros[[#This Row],[Dias al pago]]&lt;=3,1,0))</f>
        <v>1</v>
      </c>
      <c r="V168" s="46">
        <f>(Cobros[[#This Row],[% A pagar Vendedor]]/100)*Cobros[[#This Row],[Valor Pagado]]*Cobros[[#This Row],[Vencido]]*(Cobros[[#This Row],[% aplicar]]/100)*IF(Cobros[[#This Row],[% A pagar Vendedor]]&gt;0,1,0)</f>
        <v>12</v>
      </c>
      <c r="W168" s="46">
        <f>0.5%*Cobros[[#This Row],[Valor Pagado]]</f>
        <v>6</v>
      </c>
    </row>
    <row r="169" spans="1:23">
      <c r="A169" s="49" t="s">
        <v>3860</v>
      </c>
      <c r="B169" s="49" t="s">
        <v>4137</v>
      </c>
      <c r="C169" s="49" t="s">
        <v>2047</v>
      </c>
      <c r="D169" s="49" t="s">
        <v>2048</v>
      </c>
      <c r="E169" s="49" t="s">
        <v>4138</v>
      </c>
      <c r="F169" s="51">
        <v>46184</v>
      </c>
      <c r="G169" s="49">
        <v>13650</v>
      </c>
      <c r="H169" s="49" t="s">
        <v>18</v>
      </c>
      <c r="I169" s="51">
        <v>46210</v>
      </c>
      <c r="J169" s="54">
        <f>INT(Cobros[[#This Row],[Fecha Cargo]])</f>
        <v>46184</v>
      </c>
      <c r="K169" s="54">
        <f>INT(Cobros[[#This Row],[Fecha Aplicacion]])</f>
        <v>46210</v>
      </c>
      <c r="L169" s="55" t="str">
        <f>INDEX(Clientes[Días Plazo],MATCH(Cobros[[#This Row],[Cod. Cliente]],Clientes[Codigo],0),1)</f>
        <v>30 Días</v>
      </c>
      <c r="M169" s="45" t="str">
        <f>IF(Cobros[[#This Row],[Dias de Credito]]&lt;=0,"Contado","Credito")</f>
        <v>Credito</v>
      </c>
      <c r="N169" s="45">
        <f>Cobros[[#This Row],[Fecha Aplicación S]]-Cobros[[#This Row],[Fecha Cargo S]]</f>
        <v>26</v>
      </c>
      <c r="O169" s="45" t="e">
        <f>Cobros[[#This Row],[Dias al pago]]-Cobros[[#This Row],[Dias de Credito]]</f>
        <v>#VALUE!</v>
      </c>
      <c r="P169" s="45">
        <f>SUMIFS(TablaDias[Porcentaje],TablaDias[Tipo],Cobros[[#This Row],[Tipo]],TablaDias[Desde ],"&lt;="&amp;MAX(0,Cobros[[#This Row],[Dias pasado]]),TablaDias[Hasta ],"&gt;="&amp;Cobros[[#This Row],[Dias pasado]])</f>
        <v>0</v>
      </c>
      <c r="Q1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69">
        <f>IF(COUNTIF(PAPEL[Numero],Cobros[[#This Row],[Doc. Cargo]])&gt;0,1,0)</f>
        <v>0</v>
      </c>
      <c r="S169" s="46">
        <f t="array" ref="S1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69" s="46">
        <f t="array" ref="T169">INDEX(Ventas[[Unidades]:[2]],MATCH("Gerente de Venta",Ventas[Vendedor %],0),6+Cobros[[#This Row],[Mes]])</f>
        <v>0.005</v>
      </c>
      <c r="U169" s="34">
        <f>IF(Cobros[[#This Row],[Tipo]]="Credito",IF(60&gt;=Cobros[[#This Row],[Dias al pago]],1,0),IF(Cobros[[#This Row],[Dias al pago]]&lt;=3,1,0))</f>
        <v>1</v>
      </c>
      <c r="V169" s="46">
        <f>(Cobros[[#This Row],[% A pagar Vendedor]]/100)*Cobros[[#This Row],[Valor Pagado]]*Cobros[[#This Row],[Vencido]]*(Cobros[[#This Row],[% aplicar]]/100)*IF(Cobros[[#This Row],[% A pagar Vendedor]]&gt;0,1,0)</f>
        <v>0</v>
      </c>
      <c r="W169" s="46">
        <f>0.5%*Cobros[[#This Row],[Valor Pagado]]</f>
        <v>68.25</v>
      </c>
    </row>
    <row r="170" spans="1:23">
      <c r="A170" s="49" t="s">
        <v>3860</v>
      </c>
      <c r="B170" s="49" t="s">
        <v>4139</v>
      </c>
      <c r="C170" s="49" t="s">
        <v>960</v>
      </c>
      <c r="D170" s="49" t="s">
        <v>961</v>
      </c>
      <c r="E170" s="49" t="s">
        <v>4140</v>
      </c>
      <c r="F170" s="51">
        <v>46184</v>
      </c>
      <c r="G170" s="49">
        <v>940</v>
      </c>
      <c r="H170" s="49" t="s">
        <v>16</v>
      </c>
      <c r="I170" s="51">
        <v>46210</v>
      </c>
      <c r="J170" s="54">
        <f>INT(Cobros[[#This Row],[Fecha Cargo]])</f>
        <v>46184</v>
      </c>
      <c r="K170" s="54">
        <f>INT(Cobros[[#This Row],[Fecha Aplicacion]])</f>
        <v>46210</v>
      </c>
      <c r="L170" s="55" t="str">
        <f>INDEX(Clientes[Días Plazo],MATCH(Cobros[[#This Row],[Cod. Cliente]],Clientes[Codigo],0),1)</f>
        <v>21</v>
      </c>
      <c r="M170" s="45" t="str">
        <f>IF(Cobros[[#This Row],[Dias de Credito]]&lt;=0,"Contado","Credito")</f>
        <v>Credito</v>
      </c>
      <c r="N170" s="45">
        <f>Cobros[[#This Row],[Fecha Aplicación S]]-Cobros[[#This Row],[Fecha Cargo S]]</f>
        <v>26</v>
      </c>
      <c r="O170" s="45">
        <f>Cobros[[#This Row],[Dias al pago]]-Cobros[[#This Row],[Dias de Credito]]</f>
        <v>5</v>
      </c>
      <c r="P170" s="45">
        <f>SUMIFS(TablaDias[Porcentaje],TablaDias[Tipo],Cobros[[#This Row],[Tipo]],TablaDias[Desde ],"&lt;="&amp;MAX(0,Cobros[[#This Row],[Dias pasado]]),TablaDias[Hasta ],"&gt;="&amp;Cobros[[#This Row],[Dias pasado]])</f>
        <v>100</v>
      </c>
      <c r="Q1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0">
        <f>IF(COUNTIF(PAPEL[Numero],Cobros[[#This Row],[Doc. Cargo]])&gt;0,1,0)</f>
        <v>0</v>
      </c>
      <c r="S170" s="46">
        <f t="array" ref="S1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0" s="47">
        <v>0.005</v>
      </c>
      <c r="U170" s="34">
        <f>IF(Cobros[[#This Row],[Tipo]]="Credito",IF(60&gt;=Cobros[[#This Row],[Dias al pago]],1,0),IF(Cobros[[#This Row],[Dias al pago]]&lt;=3,1,0))</f>
        <v>1</v>
      </c>
      <c r="V170" s="46">
        <f>(Cobros[[#This Row],[% A pagar Vendedor]]/100)*Cobros[[#This Row],[Valor Pagado]]*Cobros[[#This Row],[Vencido]]*(Cobros[[#This Row],[% aplicar]]/100)*IF(Cobros[[#This Row],[% A pagar Vendedor]]&gt;0,1,0)</f>
        <v>9.4</v>
      </c>
      <c r="W170" s="46">
        <f>0.5%*Cobros[[#This Row],[Valor Pagado]]</f>
        <v>4.7</v>
      </c>
    </row>
    <row r="171" spans="1:23">
      <c r="A171" s="49" t="s">
        <v>3860</v>
      </c>
      <c r="B171" s="49" t="s">
        <v>4139</v>
      </c>
      <c r="C171" s="49" t="s">
        <v>960</v>
      </c>
      <c r="D171" s="49" t="s">
        <v>961</v>
      </c>
      <c r="E171" s="49" t="s">
        <v>4141</v>
      </c>
      <c r="F171" s="51">
        <v>46185</v>
      </c>
      <c r="G171" s="49">
        <v>61.95</v>
      </c>
      <c r="H171" s="49" t="s">
        <v>16</v>
      </c>
      <c r="I171" s="51">
        <v>46210</v>
      </c>
      <c r="J171" s="54">
        <f>INT(Cobros[[#This Row],[Fecha Cargo]])</f>
        <v>46185</v>
      </c>
      <c r="K171" s="54">
        <f>INT(Cobros[[#This Row],[Fecha Aplicacion]])</f>
        <v>46210</v>
      </c>
      <c r="L171" s="55" t="str">
        <f>INDEX(Clientes[Días Plazo],MATCH(Cobros[[#This Row],[Cod. Cliente]],Clientes[Codigo],0),1)</f>
        <v>21</v>
      </c>
      <c r="M171" s="45" t="str">
        <f>IF(Cobros[[#This Row],[Dias de Credito]]&lt;=0,"Contado","Credito")</f>
        <v>Credito</v>
      </c>
      <c r="N171" s="45">
        <f>Cobros[[#This Row],[Fecha Aplicación S]]-Cobros[[#This Row],[Fecha Cargo S]]</f>
        <v>25</v>
      </c>
      <c r="O171" s="45">
        <f>Cobros[[#This Row],[Dias al pago]]-Cobros[[#This Row],[Dias de Credito]]</f>
        <v>4</v>
      </c>
      <c r="P171" s="45">
        <f>SUMIFS(TablaDias[Porcentaje],TablaDias[Tipo],Cobros[[#This Row],[Tipo]],TablaDias[Desde ],"&lt;="&amp;MAX(0,Cobros[[#This Row],[Dias pasado]]),TablaDias[Hasta ],"&gt;="&amp;Cobros[[#This Row],[Dias pasado]])</f>
        <v>100</v>
      </c>
      <c r="Q1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1">
        <f>IF(COUNTIF(PAPEL[Numero],Cobros[[#This Row],[Doc. Cargo]])&gt;0,1,0)</f>
        <v>0</v>
      </c>
      <c r="S171" s="46">
        <f t="array" ref="S1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1" s="47">
        <v>0.005</v>
      </c>
      <c r="U171" s="34">
        <f>IF(Cobros[[#This Row],[Tipo]]="Credito",IF(60&gt;=Cobros[[#This Row],[Dias al pago]],1,0),IF(Cobros[[#This Row],[Dias al pago]]&lt;=3,1,0))</f>
        <v>1</v>
      </c>
      <c r="V171" s="46">
        <f>(Cobros[[#This Row],[% A pagar Vendedor]]/100)*Cobros[[#This Row],[Valor Pagado]]*Cobros[[#This Row],[Vencido]]*(Cobros[[#This Row],[% aplicar]]/100)*IF(Cobros[[#This Row],[% A pagar Vendedor]]&gt;0,1,0)</f>
        <v>0.6195</v>
      </c>
      <c r="W171" s="46">
        <f>0.5%*Cobros[[#This Row],[Valor Pagado]]</f>
        <v>0.30975</v>
      </c>
    </row>
    <row r="172" spans="1:24">
      <c r="A172" s="49" t="s">
        <v>3860</v>
      </c>
      <c r="B172" s="49" t="s">
        <v>4139</v>
      </c>
      <c r="C172" s="49" t="s">
        <v>960</v>
      </c>
      <c r="D172" s="49" t="s">
        <v>961</v>
      </c>
      <c r="E172" s="49" t="s">
        <v>4142</v>
      </c>
      <c r="F172" s="51">
        <v>46188</v>
      </c>
      <c r="G172" s="49">
        <v>75</v>
      </c>
      <c r="H172" s="49" t="s">
        <v>16</v>
      </c>
      <c r="I172" s="51">
        <v>46210</v>
      </c>
      <c r="J172" s="54">
        <f>INT(Cobros[[#This Row],[Fecha Cargo]])</f>
        <v>46188</v>
      </c>
      <c r="K172" s="54">
        <f>INT(Cobros[[#This Row],[Fecha Aplicacion]])</f>
        <v>46210</v>
      </c>
      <c r="L172" s="55" t="str">
        <f>INDEX(Clientes[Días Plazo],MATCH(Cobros[[#This Row],[Cod. Cliente]],Clientes[Codigo],0),1)</f>
        <v>21</v>
      </c>
      <c r="M172" s="45" t="str">
        <f>IF(Cobros[[#This Row],[Dias de Credito]]&lt;=0,"Contado","Credito")</f>
        <v>Credito</v>
      </c>
      <c r="N172" s="45">
        <f>Cobros[[#This Row],[Fecha Aplicación S]]-Cobros[[#This Row],[Fecha Cargo S]]</f>
        <v>22</v>
      </c>
      <c r="O172" s="45">
        <f>Cobros[[#This Row],[Dias al pago]]-Cobros[[#This Row],[Dias de Credito]]</f>
        <v>1</v>
      </c>
      <c r="P172" s="45">
        <f>SUMIFS(TablaDias[Porcentaje],TablaDias[Tipo],Cobros[[#This Row],[Tipo]],TablaDias[Desde ],"&lt;="&amp;MAX(0,Cobros[[#This Row],[Dias pasado]]),TablaDias[Hasta ],"&gt;="&amp;Cobros[[#This Row],[Dias pasado]])</f>
        <v>100</v>
      </c>
      <c r="Q1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2">
        <f>IF(COUNTIF(PAPEL[Numero],Cobros[[#This Row],[Doc. Cargo]])&gt;0,1,0)</f>
        <v>0</v>
      </c>
      <c r="S172" s="46">
        <f t="array" ref="S1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2" s="47">
        <v>0.005</v>
      </c>
      <c r="U172" s="34">
        <f>IF(Cobros[[#This Row],[Tipo]]="Credito",IF(60&gt;=Cobros[[#This Row],[Dias al pago]],1,0),IF(Cobros[[#This Row],[Dias al pago]]&lt;=3,1,0))</f>
        <v>1</v>
      </c>
      <c r="V172" s="46">
        <f>(Cobros[[#This Row],[% A pagar Vendedor]]/100)*Cobros[[#This Row],[Valor Pagado]]*Cobros[[#This Row],[Vencido]]*(Cobros[[#This Row],[% aplicar]]/100)*IF(Cobros[[#This Row],[% A pagar Vendedor]]&gt;0,1,0)</f>
        <v>0.75</v>
      </c>
      <c r="W172" s="46">
        <f>0.5%*Cobros[[#This Row],[Valor Pagado]]</f>
        <v>0.375</v>
      </c>
      <c r="X172" s="64"/>
    </row>
    <row r="173" spans="1:23">
      <c r="A173" s="49" t="s">
        <v>3860</v>
      </c>
      <c r="B173" s="49" t="s">
        <v>4139</v>
      </c>
      <c r="C173" s="49" t="s">
        <v>960</v>
      </c>
      <c r="D173" s="49" t="s">
        <v>961</v>
      </c>
      <c r="E173" s="49" t="s">
        <v>4143</v>
      </c>
      <c r="F173" s="51">
        <v>46189</v>
      </c>
      <c r="G173" s="49">
        <v>426</v>
      </c>
      <c r="H173" s="49" t="s">
        <v>16</v>
      </c>
      <c r="I173" s="51">
        <v>46210</v>
      </c>
      <c r="J173" s="54">
        <f>INT(Cobros[[#This Row],[Fecha Cargo]])</f>
        <v>46189</v>
      </c>
      <c r="K173" s="54">
        <f>INT(Cobros[[#This Row],[Fecha Aplicacion]])</f>
        <v>46210</v>
      </c>
      <c r="L173" s="55" t="str">
        <f>INDEX(Clientes[Días Plazo],MATCH(Cobros[[#This Row],[Cod. Cliente]],Clientes[Codigo],0),1)</f>
        <v>21</v>
      </c>
      <c r="M173" s="45" t="str">
        <f>IF(Cobros[[#This Row],[Dias de Credito]]&lt;=0,"Contado","Credito")</f>
        <v>Credito</v>
      </c>
      <c r="N173" s="45">
        <f>Cobros[[#This Row],[Fecha Aplicación S]]-Cobros[[#This Row],[Fecha Cargo S]]</f>
        <v>21</v>
      </c>
      <c r="O173" s="45">
        <f>Cobros[[#This Row],[Dias al pago]]-Cobros[[#This Row],[Dias de Credito]]</f>
        <v>0</v>
      </c>
      <c r="P173" s="45">
        <f>SUMIFS(TablaDias[Porcentaje],TablaDias[Tipo],Cobros[[#This Row],[Tipo]],TablaDias[Desde ],"&lt;="&amp;MAX(0,Cobros[[#This Row],[Dias pasado]]),TablaDias[Hasta ],"&gt;="&amp;Cobros[[#This Row],[Dias pasado]])</f>
        <v>100</v>
      </c>
      <c r="Q17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3">
        <f>IF(COUNTIF(PAPEL[Numero],Cobros[[#This Row],[Doc. Cargo]])&gt;0,1,0)</f>
        <v>0</v>
      </c>
      <c r="S173" s="46">
        <f t="array" ref="S1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3" s="47">
        <v>0.005</v>
      </c>
      <c r="U173" s="34">
        <f>IF(Cobros[[#This Row],[Tipo]]="Credito",IF(60&gt;=Cobros[[#This Row],[Dias al pago]],1,0),IF(Cobros[[#This Row],[Dias al pago]]&lt;=3,1,0))</f>
        <v>1</v>
      </c>
      <c r="V173" s="46">
        <f>(Cobros[[#This Row],[% A pagar Vendedor]]/100)*Cobros[[#This Row],[Valor Pagado]]*Cobros[[#This Row],[Vencido]]*(Cobros[[#This Row],[% aplicar]]/100)*IF(Cobros[[#This Row],[% A pagar Vendedor]]&gt;0,1,0)</f>
        <v>4.26</v>
      </c>
      <c r="W173" s="46">
        <f>0.5%*Cobros[[#This Row],[Valor Pagado]]</f>
        <v>2.13</v>
      </c>
    </row>
    <row r="174" ht="30" spans="1:23">
      <c r="A174" s="49" t="s">
        <v>3860</v>
      </c>
      <c r="B174" s="49" t="s">
        <v>4139</v>
      </c>
      <c r="C174" s="49" t="s">
        <v>960</v>
      </c>
      <c r="D174" s="49" t="s">
        <v>961</v>
      </c>
      <c r="E174" s="49" t="s">
        <v>4144</v>
      </c>
      <c r="F174" s="51">
        <v>46190</v>
      </c>
      <c r="G174" s="49">
        <v>883.3</v>
      </c>
      <c r="H174" s="49" t="s">
        <v>22</v>
      </c>
      <c r="I174" s="51">
        <v>46210</v>
      </c>
      <c r="J174" s="54">
        <f>INT(Cobros[[#This Row],[Fecha Cargo]])</f>
        <v>46190</v>
      </c>
      <c r="K174" s="54">
        <f>INT(Cobros[[#This Row],[Fecha Aplicacion]])</f>
        <v>46210</v>
      </c>
      <c r="L174" s="55" t="str">
        <f>INDEX(Clientes[Días Plazo],MATCH(Cobros[[#This Row],[Cod. Cliente]],Clientes[Codigo],0),1)</f>
        <v>21</v>
      </c>
      <c r="M174" s="45" t="str">
        <f>IF(Cobros[[#This Row],[Dias de Credito]]&lt;=0,"Contado","Credito")</f>
        <v>Credito</v>
      </c>
      <c r="N174" s="45">
        <f>Cobros[[#This Row],[Fecha Aplicación S]]-Cobros[[#This Row],[Fecha Cargo S]]</f>
        <v>20</v>
      </c>
      <c r="O174" s="45">
        <f>Cobros[[#This Row],[Dias al pago]]-Cobros[[#This Row],[Dias de Credito]]</f>
        <v>-1</v>
      </c>
      <c r="P174" s="45">
        <f>SUMIFS(TablaDias[Porcentaje],TablaDias[Tipo],Cobros[[#This Row],[Tipo]],TablaDias[Desde ],"&lt;="&amp;MAX(0,Cobros[[#This Row],[Dias pasado]]),TablaDias[Hasta ],"&gt;="&amp;Cobros[[#This Row],[Dias pasado]])</f>
        <v>100</v>
      </c>
      <c r="Q17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4">
        <f>IF(COUNTIF(PAPEL[Numero],Cobros[[#This Row],[Doc. Cargo]])&gt;0,1,0)</f>
        <v>0</v>
      </c>
      <c r="S174" s="46">
        <f t="array" ref="S1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4" s="46">
        <f t="array" ref="T174">INDEX(Ventas[[Unidades]:[2]],MATCH("Gerente de Venta",Ventas[Vendedor %],0),6+Cobros[[#This Row],[Mes]])</f>
        <v>0.005</v>
      </c>
      <c r="U174" s="34">
        <f>IF(Cobros[[#This Row],[Tipo]]="Credito",IF(60&gt;=Cobros[[#This Row],[Dias al pago]],1,0),IF(Cobros[[#This Row],[Dias al pago]]&lt;=3,1,0))</f>
        <v>1</v>
      </c>
      <c r="V174" s="46">
        <f>(Cobros[[#This Row],[% A pagar Vendedor]]/100)*Cobros[[#This Row],[Valor Pagado]]*Cobros[[#This Row],[Vencido]]*(Cobros[[#This Row],[% aplicar]]/100)*IF(Cobros[[#This Row],[% A pagar Vendedor]]&gt;0,1,0)</f>
        <v>8.833</v>
      </c>
      <c r="W174" s="46">
        <v>4.4165</v>
      </c>
    </row>
    <row r="175" spans="1:23">
      <c r="A175" s="49" t="s">
        <v>3860</v>
      </c>
      <c r="B175" s="49" t="s">
        <v>4145</v>
      </c>
      <c r="C175" s="49" t="s">
        <v>3452</v>
      </c>
      <c r="D175" s="49" t="s">
        <v>3453</v>
      </c>
      <c r="E175" s="49" t="s">
        <v>3967</v>
      </c>
      <c r="F175" s="51">
        <v>46189</v>
      </c>
      <c r="G175" s="49">
        <v>1800</v>
      </c>
      <c r="H175" s="49" t="s">
        <v>18</v>
      </c>
      <c r="I175" s="51">
        <v>46210</v>
      </c>
      <c r="J175" s="54">
        <f>INT(Cobros[[#This Row],[Fecha Cargo]])</f>
        <v>46189</v>
      </c>
      <c r="K175" s="54">
        <f>INT(Cobros[[#This Row],[Fecha Aplicacion]])</f>
        <v>46210</v>
      </c>
      <c r="L175" s="55" t="str">
        <f>INDEX(Clientes[Días Plazo],MATCH(Cobros[[#This Row],[Cod. Cliente]],Clientes[Codigo],0),1)</f>
        <v>15</v>
      </c>
      <c r="M175" s="45" t="str">
        <f>IF(Cobros[[#This Row],[Dias de Credito]]&lt;=0,"Contado","Credito")</f>
        <v>Credito</v>
      </c>
      <c r="N175" s="45">
        <f>Cobros[[#This Row],[Fecha Aplicación S]]-Cobros[[#This Row],[Fecha Cargo S]]</f>
        <v>21</v>
      </c>
      <c r="O175" s="45">
        <f>Cobros[[#This Row],[Dias al pago]]-Cobros[[#This Row],[Dias de Credito]]</f>
        <v>6</v>
      </c>
      <c r="P175" s="45">
        <f>SUMIFS(TablaDias[Porcentaje],TablaDias[Tipo],Cobros[[#This Row],[Tipo]],TablaDias[Desde ],"&lt;="&amp;MAX(0,Cobros[[#This Row],[Dias pasado]]),TablaDias[Hasta ],"&gt;="&amp;Cobros[[#This Row],[Dias pasado]])</f>
        <v>100</v>
      </c>
      <c r="Q1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5">
        <f>IF(COUNTIF(PAPEL[Numero],Cobros[[#This Row],[Doc. Cargo]])&gt;0,1,0)</f>
        <v>0</v>
      </c>
      <c r="S175" s="46">
        <f t="array" ref="S1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75" s="46">
        <f t="array" ref="T175">INDEX(Ventas[[Unidades]:[2]],MATCH("Gerente de Venta",Ventas[Vendedor %],0),6+Cobros[[#This Row],[Mes]])</f>
        <v>0.005</v>
      </c>
      <c r="U175" s="34">
        <f>IF(Cobros[[#This Row],[Tipo]]="Credito",IF(60&gt;=Cobros[[#This Row],[Dias al pago]],1,0),IF(Cobros[[#This Row],[Dias al pago]]&lt;=3,1,0))</f>
        <v>1</v>
      </c>
      <c r="V175" s="46">
        <f>(Cobros[[#This Row],[% A pagar Vendedor]]/100)*Cobros[[#This Row],[Valor Pagado]]*Cobros[[#This Row],[Vencido]]*(Cobros[[#This Row],[% aplicar]]/100)*IF(Cobros[[#This Row],[% A pagar Vendedor]]&gt;0,1,0)</f>
        <v>18</v>
      </c>
      <c r="W175" s="46">
        <f>0.5%*Cobros[[#This Row],[Valor Pagado]]</f>
        <v>9</v>
      </c>
    </row>
    <row r="176" spans="1:23">
      <c r="A176" s="49" t="s">
        <v>3860</v>
      </c>
      <c r="B176" s="49" t="s">
        <v>4146</v>
      </c>
      <c r="C176" s="49" t="s">
        <v>731</v>
      </c>
      <c r="D176" s="49" t="s">
        <v>732</v>
      </c>
      <c r="E176" s="49" t="s">
        <v>4147</v>
      </c>
      <c r="F176" s="51">
        <v>46188</v>
      </c>
      <c r="G176" s="49">
        <v>206.7</v>
      </c>
      <c r="H176" s="49" t="s">
        <v>20</v>
      </c>
      <c r="I176" s="51">
        <v>46210</v>
      </c>
      <c r="J176" s="54">
        <f>INT(Cobros[[#This Row],[Fecha Cargo]])</f>
        <v>46188</v>
      </c>
      <c r="K176" s="54">
        <f>INT(Cobros[[#This Row],[Fecha Aplicacion]])</f>
        <v>46210</v>
      </c>
      <c r="L176" s="55" t="str">
        <f>INDEX(Clientes[Días Plazo],MATCH(Cobros[[#This Row],[Cod. Cliente]],Clientes[Codigo],0),1)</f>
        <v>21</v>
      </c>
      <c r="M176" s="45" t="str">
        <f>IF(Cobros[[#This Row],[Dias de Credito]]&lt;=0,"Contado","Credito")</f>
        <v>Credito</v>
      </c>
      <c r="N176" s="45">
        <f>Cobros[[#This Row],[Fecha Aplicación S]]-Cobros[[#This Row],[Fecha Cargo S]]</f>
        <v>22</v>
      </c>
      <c r="O176" s="45">
        <f>Cobros[[#This Row],[Dias al pago]]-Cobros[[#This Row],[Dias de Credito]]</f>
        <v>1</v>
      </c>
      <c r="P176" s="45">
        <f>SUMIFS(TablaDias[Porcentaje],TablaDias[Tipo],Cobros[[#This Row],[Tipo]],TablaDias[Desde ],"&lt;="&amp;MAX(0,Cobros[[#This Row],[Dias pasado]]),TablaDias[Hasta ],"&gt;="&amp;Cobros[[#This Row],[Dias pasado]])</f>
        <v>100</v>
      </c>
      <c r="Q1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6">
        <f>IF(COUNTIF(PAPEL[Numero],Cobros[[#This Row],[Doc. Cargo]])&gt;0,1,0)</f>
        <v>0</v>
      </c>
      <c r="S176" s="46">
        <f t="array" ref="S1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76" s="46">
        <f t="array" ref="T176">INDEX(Ventas[[Unidades]:[2]],MATCH("Gerente de Venta",Ventas[Vendedor %],0),6+Cobros[[#This Row],[Mes]])</f>
        <v>0.005</v>
      </c>
      <c r="U176" s="34">
        <f>IF(Cobros[[#This Row],[Tipo]]="Credito",IF(60&gt;=Cobros[[#This Row],[Dias al pago]],1,0),IF(Cobros[[#This Row],[Dias al pago]]&lt;=3,1,0))</f>
        <v>1</v>
      </c>
      <c r="V176" s="46">
        <f>(Cobros[[#This Row],[% A pagar Vendedor]]/100)*Cobros[[#This Row],[Valor Pagado]]*Cobros[[#This Row],[Vencido]]*(Cobros[[#This Row],[% aplicar]]/100)*IF(Cobros[[#This Row],[% A pagar Vendedor]]&gt;0,1,0)</f>
        <v>2.58375</v>
      </c>
      <c r="W176" s="46">
        <f>0.5%*Cobros[[#This Row],[Valor Pagado]]</f>
        <v>1.0335</v>
      </c>
    </row>
    <row r="177" spans="1:23">
      <c r="A177" s="49" t="s">
        <v>3860</v>
      </c>
      <c r="B177" s="49" t="s">
        <v>3993</v>
      </c>
      <c r="C177" s="49" t="s">
        <v>731</v>
      </c>
      <c r="D177" s="49" t="s">
        <v>732</v>
      </c>
      <c r="E177" s="49" t="s">
        <v>4147</v>
      </c>
      <c r="F177" s="51">
        <v>46188</v>
      </c>
      <c r="G177" s="49">
        <v>0.5</v>
      </c>
      <c r="H177" s="49" t="s">
        <v>20</v>
      </c>
      <c r="I177" s="51">
        <v>46206</v>
      </c>
      <c r="J177" s="54">
        <f>INT(Cobros[[#This Row],[Fecha Cargo]])</f>
        <v>46188</v>
      </c>
      <c r="K177" s="54">
        <f>INT(Cobros[[#This Row],[Fecha Aplicacion]])</f>
        <v>46206</v>
      </c>
      <c r="L177" s="55">
        <v>0</v>
      </c>
      <c r="M177" s="45" t="str">
        <f>IF(Cobros[[#This Row],[Dias de Credito]]&lt;=0,"Contado","Credito")</f>
        <v>Contado</v>
      </c>
      <c r="N177" s="45">
        <f>Cobros[[#This Row],[Fecha Aplicación S]]-Cobros[[#This Row],[Fecha Cargo S]]</f>
        <v>18</v>
      </c>
      <c r="O177" s="45">
        <f>Cobros[[#This Row],[Dias al pago]]-Cobros[[#This Row],[Dias de Credito]]</f>
        <v>18</v>
      </c>
      <c r="P177" s="45">
        <f>SUMIFS(TablaDias[Porcentaje],TablaDias[Tipo],Cobros[[#This Row],[Tipo]],TablaDias[Desde ],"&lt;="&amp;MAX(0,Cobros[[#This Row],[Dias pasado]]),TablaDias[Hasta ],"&gt;="&amp;Cobros[[#This Row],[Dias pasado]])</f>
        <v>0</v>
      </c>
      <c r="Q1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77">
        <f>IF(COUNTIF(PAPEL[Numero],Cobros[[#This Row],[Doc. Cargo]])&gt;0,1,0)</f>
        <v>0</v>
      </c>
      <c r="S177" s="46">
        <f t="array" ref="S1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77" s="46">
        <f t="array" ref="T177">INDEX(Ventas[[Unidades]:[2]],MATCH("Gerente de Venta",Ventas[Vendedor %],0),6+Cobros[[#This Row],[Mes]])</f>
        <v>0.005</v>
      </c>
      <c r="U177" s="34">
        <f>IF(Cobros[[#This Row],[Tipo]]="Credito",IF(60&gt;=Cobros[[#This Row],[Dias al pago]],1,0),IF(Cobros[[#This Row],[Dias al pago]]&lt;=3,1,0))</f>
        <v>0</v>
      </c>
      <c r="V177" s="46">
        <f>(Cobros[[#This Row],[% A pagar Vendedor]]/100)*Cobros[[#This Row],[Valor Pagado]]*Cobros[[#This Row],[Vencido]]*(Cobros[[#This Row],[% aplicar]]/100)*IF(Cobros[[#This Row],[% A pagar Vendedor]]&gt;0,1,0)</f>
        <v>0</v>
      </c>
      <c r="W177" s="46">
        <f>0.5%*Cobros[[#This Row],[Valor Pagado]]</f>
        <v>0.0025</v>
      </c>
    </row>
    <row r="178" spans="1:23">
      <c r="A178" s="49" t="s">
        <v>3860</v>
      </c>
      <c r="B178" s="49" t="s">
        <v>4148</v>
      </c>
      <c r="C178" s="49" t="s">
        <v>3715</v>
      </c>
      <c r="D178" s="49" t="s">
        <v>3716</v>
      </c>
      <c r="E178" s="49" t="s">
        <v>4049</v>
      </c>
      <c r="F178" s="51">
        <v>46206</v>
      </c>
      <c r="G178" s="49">
        <v>253.44</v>
      </c>
      <c r="H178" s="49" t="s">
        <v>16</v>
      </c>
      <c r="I178" s="51">
        <v>46210</v>
      </c>
      <c r="J178" s="54">
        <f>INT(Cobros[[#This Row],[Fecha Cargo]])</f>
        <v>46206</v>
      </c>
      <c r="K178" s="54">
        <f>INT(Cobros[[#This Row],[Fecha Aplicacion]])</f>
        <v>46210</v>
      </c>
      <c r="L178" s="55" t="str">
        <f>INDEX(Clientes[Días Plazo],MATCH(Cobros[[#This Row],[Cod. Cliente]],Clientes[Codigo],0),1)</f>
        <v>7</v>
      </c>
      <c r="M178" s="45" t="str">
        <f>IF(Cobros[[#This Row],[Dias de Credito]]&lt;=0,"Contado","Credito")</f>
        <v>Credito</v>
      </c>
      <c r="N178" s="45">
        <f>Cobros[[#This Row],[Fecha Aplicación S]]-Cobros[[#This Row],[Fecha Cargo S]]</f>
        <v>4</v>
      </c>
      <c r="O178" s="45">
        <f>Cobros[[#This Row],[Dias al pago]]-Cobros[[#This Row],[Dias de Credito]]</f>
        <v>-3</v>
      </c>
      <c r="P178" s="45">
        <f>SUMIFS(TablaDias[Porcentaje],TablaDias[Tipo],Cobros[[#This Row],[Tipo]],TablaDias[Desde ],"&lt;="&amp;MAX(0,Cobros[[#This Row],[Dias pasado]]),TablaDias[Hasta ],"&gt;="&amp;Cobros[[#This Row],[Dias pasado]])</f>
        <v>100</v>
      </c>
      <c r="Q1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78">
        <f>IF(COUNTIF(PAPEL[Numero],Cobros[[#This Row],[Doc. Cargo]])&gt;0,1,0)</f>
        <v>0</v>
      </c>
      <c r="S178" s="46">
        <f t="array" ref="S1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78" s="47">
        <v>0.005</v>
      </c>
      <c r="U178" s="34">
        <f>IF(Cobros[[#This Row],[Tipo]]="Credito",IF(60&gt;=Cobros[[#This Row],[Dias al pago]],1,0),IF(Cobros[[#This Row],[Dias al pago]]&lt;=3,1,0))</f>
        <v>1</v>
      </c>
      <c r="V178" s="46">
        <f>(Cobros[[#This Row],[% A pagar Vendedor]]/100)*Cobros[[#This Row],[Valor Pagado]]*Cobros[[#This Row],[Vencido]]*(Cobros[[#This Row],[% aplicar]]/100)*IF(Cobros[[#This Row],[% A pagar Vendedor]]&gt;0,1,0)</f>
        <v>3.168</v>
      </c>
      <c r="W178" s="46">
        <f>0.5%*Cobros[[#This Row],[Valor Pagado]]</f>
        <v>1.2672</v>
      </c>
    </row>
    <row r="179" ht="30" spans="1:23">
      <c r="A179" s="49" t="s">
        <v>3875</v>
      </c>
      <c r="B179" s="49" t="s">
        <v>4149</v>
      </c>
      <c r="C179" s="49" t="s">
        <v>2070</v>
      </c>
      <c r="D179" s="49" t="s">
        <v>2071</v>
      </c>
      <c r="E179" s="49" t="s">
        <v>4150</v>
      </c>
      <c r="F179" s="51">
        <v>46160</v>
      </c>
      <c r="G179" s="49">
        <v>2618</v>
      </c>
      <c r="H179" s="49" t="s">
        <v>3865</v>
      </c>
      <c r="I179" s="51">
        <v>46210</v>
      </c>
      <c r="J179" s="54">
        <f>INT(Cobros[[#This Row],[Fecha Cargo]])</f>
        <v>46160</v>
      </c>
      <c r="K179" s="54">
        <f>INT(Cobros[[#This Row],[Fecha Aplicacion]])</f>
        <v>46210</v>
      </c>
      <c r="L179" s="55" t="str">
        <f>INDEX(Clientes[Días Plazo],MATCH(Cobros[[#This Row],[Cod. Cliente]],Clientes[Codigo],0),1)</f>
        <v>15</v>
      </c>
      <c r="M179" s="45" t="str">
        <f>IF(Cobros[[#This Row],[Dias de Credito]]&lt;=0,"Contado","Credito")</f>
        <v>Credito</v>
      </c>
      <c r="N179" s="45">
        <f>Cobros[[#This Row],[Fecha Aplicación S]]-Cobros[[#This Row],[Fecha Cargo S]]</f>
        <v>50</v>
      </c>
      <c r="O179" s="45">
        <f>Cobros[[#This Row],[Dias al pago]]-Cobros[[#This Row],[Dias de Credito]]</f>
        <v>35</v>
      </c>
      <c r="P179" s="45">
        <f>SUMIFS(TablaDias[Porcentaje],TablaDias[Tipo],Cobros[[#This Row],[Tipo]],TablaDias[Desde ],"&lt;="&amp;MAX(0,Cobros[[#This Row],[Dias pasado]]),TablaDias[Hasta ],"&gt;="&amp;Cobros[[#This Row],[Dias pasado]])</f>
        <v>30</v>
      </c>
      <c r="Q1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79">
        <f>IF(COUNTIF(PAPEL[Numero],Cobros[[#This Row],[Doc. Cargo]])&gt;0,1,0)</f>
        <v>0</v>
      </c>
      <c r="S179" s="46">
        <v>1</v>
      </c>
      <c r="T179" s="46">
        <f t="array" ref="T179">INDEX(Ventas[[Unidades]:[2]],MATCH("Gerente de Venta",Ventas[Vendedor %],0),6+Cobros[[#This Row],[Mes]])</f>
        <v>0.005</v>
      </c>
      <c r="U179" s="34">
        <f>IF(Cobros[[#This Row],[Tipo]]="Credito",IF(60&gt;=Cobros[[#This Row],[Dias al pago]],1,0),IF(Cobros[[#This Row],[Dias al pago]]&lt;=3,1,0))</f>
        <v>1</v>
      </c>
      <c r="V179" s="46">
        <f>(Cobros[[#This Row],[% A pagar Vendedor]]/100)*Cobros[[#This Row],[Valor Pagado]]*Cobros[[#This Row],[Vencido]]*(Cobros[[#This Row],[% aplicar]]/100)*IF(Cobros[[#This Row],[% A pagar Vendedor]]&gt;0,1,0)</f>
        <v>7.854</v>
      </c>
      <c r="W179" s="46">
        <f>0.5%*Cobros[[#This Row],[Valor Pagado]]</f>
        <v>13.09</v>
      </c>
    </row>
    <row r="180" ht="30" spans="1:23">
      <c r="A180" s="49" t="s">
        <v>3875</v>
      </c>
      <c r="B180" s="49" t="s">
        <v>4149</v>
      </c>
      <c r="C180" s="49" t="s">
        <v>2070</v>
      </c>
      <c r="D180" s="49" t="s">
        <v>2071</v>
      </c>
      <c r="E180" s="49" t="s">
        <v>4151</v>
      </c>
      <c r="F180" s="51">
        <v>46163</v>
      </c>
      <c r="G180" s="49">
        <v>890</v>
      </c>
      <c r="H180" s="49" t="s">
        <v>3865</v>
      </c>
      <c r="I180" s="51">
        <v>46210</v>
      </c>
      <c r="J180" s="54">
        <f>INT(Cobros[[#This Row],[Fecha Cargo]])</f>
        <v>46163</v>
      </c>
      <c r="K180" s="54">
        <f>INT(Cobros[[#This Row],[Fecha Aplicacion]])</f>
        <v>46210</v>
      </c>
      <c r="L180" s="55" t="str">
        <f>INDEX(Clientes[Días Plazo],MATCH(Cobros[[#This Row],[Cod. Cliente]],Clientes[Codigo],0),1)</f>
        <v>15</v>
      </c>
      <c r="M180" s="45" t="str">
        <f>IF(Cobros[[#This Row],[Dias de Credito]]&lt;=0,"Contado","Credito")</f>
        <v>Credito</v>
      </c>
      <c r="N180" s="45">
        <f>Cobros[[#This Row],[Fecha Aplicación S]]-Cobros[[#This Row],[Fecha Cargo S]]</f>
        <v>47</v>
      </c>
      <c r="O180" s="45">
        <f>Cobros[[#This Row],[Dias al pago]]-Cobros[[#This Row],[Dias de Credito]]</f>
        <v>32</v>
      </c>
      <c r="P180" s="45">
        <f>SUMIFS(TablaDias[Porcentaje],TablaDias[Tipo],Cobros[[#This Row],[Tipo]],TablaDias[Desde ],"&lt;="&amp;MAX(0,Cobros[[#This Row],[Dias pasado]]),TablaDias[Hasta ],"&gt;="&amp;Cobros[[#This Row],[Dias pasado]])</f>
        <v>30</v>
      </c>
      <c r="Q1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80">
        <f>IF(COUNTIF(PAPEL[Numero],Cobros[[#This Row],[Doc. Cargo]])&gt;0,1,0)</f>
        <v>0</v>
      </c>
      <c r="S180" s="46">
        <v>1</v>
      </c>
      <c r="T180" s="46">
        <f t="array" ref="T180">INDEX(Ventas[[Unidades]:[2]],MATCH("Gerente de Venta",Ventas[Vendedor %],0),6+Cobros[[#This Row],[Mes]])</f>
        <v>0.005</v>
      </c>
      <c r="U180" s="34">
        <f>IF(Cobros[[#This Row],[Tipo]]="Credito",IF(60&gt;=Cobros[[#This Row],[Dias al pago]],1,0),IF(Cobros[[#This Row],[Dias al pago]]&lt;=3,1,0))</f>
        <v>1</v>
      </c>
      <c r="V180" s="46">
        <f>(Cobros[[#This Row],[% A pagar Vendedor]]/100)*Cobros[[#This Row],[Valor Pagado]]*Cobros[[#This Row],[Vencido]]*(Cobros[[#This Row],[% aplicar]]/100)*IF(Cobros[[#This Row],[% A pagar Vendedor]]&gt;0,1,0)</f>
        <v>2.67</v>
      </c>
      <c r="W180" s="46">
        <f>0.5%*Cobros[[#This Row],[Valor Pagado]]</f>
        <v>4.45</v>
      </c>
    </row>
    <row r="181" ht="30" spans="1:23">
      <c r="A181" s="49" t="s">
        <v>3875</v>
      </c>
      <c r="B181" s="49" t="s">
        <v>4149</v>
      </c>
      <c r="C181" s="49" t="s">
        <v>2070</v>
      </c>
      <c r="D181" s="49" t="s">
        <v>2071</v>
      </c>
      <c r="E181" s="49" t="s">
        <v>4152</v>
      </c>
      <c r="F181" s="51">
        <v>46168</v>
      </c>
      <c r="G181" s="49">
        <v>27.5</v>
      </c>
      <c r="H181" s="49" t="s">
        <v>3865</v>
      </c>
      <c r="I181" s="51">
        <v>46210</v>
      </c>
      <c r="J181" s="54">
        <f>INT(Cobros[[#This Row],[Fecha Cargo]])</f>
        <v>46168</v>
      </c>
      <c r="K181" s="54">
        <f>INT(Cobros[[#This Row],[Fecha Aplicacion]])</f>
        <v>46210</v>
      </c>
      <c r="L181" s="55" t="str">
        <f>INDEX(Clientes[Días Plazo],MATCH(Cobros[[#This Row],[Cod. Cliente]],Clientes[Codigo],0),1)</f>
        <v>15</v>
      </c>
      <c r="M181" s="45" t="str">
        <f>IF(Cobros[[#This Row],[Dias de Credito]]&lt;=0,"Contado","Credito")</f>
        <v>Credito</v>
      </c>
      <c r="N181" s="45">
        <f>Cobros[[#This Row],[Fecha Aplicación S]]-Cobros[[#This Row],[Fecha Cargo S]]</f>
        <v>42</v>
      </c>
      <c r="O181" s="45">
        <f>Cobros[[#This Row],[Dias al pago]]-Cobros[[#This Row],[Dias de Credito]]</f>
        <v>27</v>
      </c>
      <c r="P181" s="45">
        <f>SUMIFS(TablaDias[Porcentaje],TablaDias[Tipo],Cobros[[#This Row],[Tipo]],TablaDias[Desde ],"&lt;="&amp;MAX(0,Cobros[[#This Row],[Dias pasado]]),TablaDias[Hasta ],"&gt;="&amp;Cobros[[#This Row],[Dias pasado]])</f>
        <v>50</v>
      </c>
      <c r="Q1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81">
        <f>IF(COUNTIF(PAPEL[Numero],Cobros[[#This Row],[Doc. Cargo]])&gt;0,1,0)</f>
        <v>0</v>
      </c>
      <c r="S181" s="46">
        <v>1</v>
      </c>
      <c r="T181" s="46">
        <f t="array" ref="T181">INDEX(Ventas[[Unidades]:[2]],MATCH("Gerente de Venta",Ventas[Vendedor %],0),6+Cobros[[#This Row],[Mes]])</f>
        <v>0.005</v>
      </c>
      <c r="U181" s="34">
        <f>IF(Cobros[[#This Row],[Tipo]]="Credito",IF(60&gt;=Cobros[[#This Row],[Dias al pago]],1,0),IF(Cobros[[#This Row],[Dias al pago]]&lt;=3,1,0))</f>
        <v>1</v>
      </c>
      <c r="V181" s="46">
        <f>(Cobros[[#This Row],[% A pagar Vendedor]]/100)*Cobros[[#This Row],[Valor Pagado]]*Cobros[[#This Row],[Vencido]]*(Cobros[[#This Row],[% aplicar]]/100)*IF(Cobros[[#This Row],[% A pagar Vendedor]]&gt;0,1,0)</f>
        <v>0.1375</v>
      </c>
      <c r="W181" s="46">
        <f>0.5%*Cobros[[#This Row],[Valor Pagado]]</f>
        <v>0.1375</v>
      </c>
    </row>
    <row r="182" ht="30" spans="1:24">
      <c r="A182" s="49" t="s">
        <v>3875</v>
      </c>
      <c r="B182" s="49" t="s">
        <v>4149</v>
      </c>
      <c r="C182" s="49" t="s">
        <v>2070</v>
      </c>
      <c r="D182" s="49" t="s">
        <v>2071</v>
      </c>
      <c r="E182" s="49" t="s">
        <v>4153</v>
      </c>
      <c r="F182" s="51">
        <v>46210</v>
      </c>
      <c r="G182" s="49">
        <v>4.5</v>
      </c>
      <c r="H182" s="49" t="s">
        <v>3865</v>
      </c>
      <c r="I182" s="51">
        <v>46210</v>
      </c>
      <c r="J182" s="54">
        <f>INT(Cobros[[#This Row],[Fecha Cargo]])</f>
        <v>46210</v>
      </c>
      <c r="K182" s="54">
        <f>INT(Cobros[[#This Row],[Fecha Aplicacion]])</f>
        <v>46210</v>
      </c>
      <c r="L182" s="55" t="str">
        <f>INDEX(Clientes[Días Plazo],MATCH(Cobros[[#This Row],[Cod. Cliente]],Clientes[Codigo],0),1)</f>
        <v>15</v>
      </c>
      <c r="M182" s="45" t="str">
        <f>IF(Cobros[[#This Row],[Dias de Credito]]&lt;=0,"Contado","Credito")</f>
        <v>Credito</v>
      </c>
      <c r="N182" s="45">
        <f>Cobros[[#This Row],[Fecha Aplicación S]]-Cobros[[#This Row],[Fecha Cargo S]]</f>
        <v>0</v>
      </c>
      <c r="O182" s="45">
        <f>Cobros[[#This Row],[Dias al pago]]-Cobros[[#This Row],[Dias de Credito]]</f>
        <v>-15</v>
      </c>
      <c r="P182" s="45">
        <f>SUMIFS(TablaDias[Porcentaje],TablaDias[Tipo],Cobros[[#This Row],[Tipo]],TablaDias[Desde ],"&lt;="&amp;MAX(0,Cobros[[#This Row],[Dias pasado]]),TablaDias[Hasta ],"&gt;="&amp;Cobros[[#This Row],[Dias pasado]])</f>
        <v>100</v>
      </c>
      <c r="Q1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82">
        <f>IF(COUNTIF(PAPEL[Numero],Cobros[[#This Row],[Doc. Cargo]])&gt;0,1,0)</f>
        <v>0</v>
      </c>
      <c r="S182" s="46">
        <v>1</v>
      </c>
      <c r="T182" s="46">
        <f t="array" ref="T182">INDEX(Ventas[[Unidades]:[2]],MATCH("Gerente de Venta",Ventas[Vendedor %],0),6+Cobros[[#This Row],[Mes]])</f>
        <v>0.005</v>
      </c>
      <c r="U182" s="34">
        <f>IF(Cobros[[#This Row],[Tipo]]="Credito",IF(60&gt;=Cobros[[#This Row],[Dias al pago]],1,0),IF(Cobros[[#This Row],[Dias al pago]]&lt;=3,1,0))</f>
        <v>1</v>
      </c>
      <c r="V182" s="46">
        <f>(Cobros[[#This Row],[% A pagar Vendedor]]/100)*Cobros[[#This Row],[Valor Pagado]]*Cobros[[#This Row],[Vencido]]*(Cobros[[#This Row],[% aplicar]]/100)*IF(Cobros[[#This Row],[% A pagar Vendedor]]&gt;0,1,0)</f>
        <v>0.045</v>
      </c>
      <c r="W182" s="46">
        <f>0.5%*Cobros[[#This Row],[Valor Pagado]]</f>
        <v>0.0225</v>
      </c>
      <c r="X182" s="60"/>
    </row>
    <row r="183" spans="1:23">
      <c r="A183" s="49" t="s">
        <v>3875</v>
      </c>
      <c r="B183" s="49" t="s">
        <v>4154</v>
      </c>
      <c r="C183" s="49" t="s">
        <v>731</v>
      </c>
      <c r="D183" s="49" t="s">
        <v>732</v>
      </c>
      <c r="E183" s="49" t="s">
        <v>4147</v>
      </c>
      <c r="F183" s="51">
        <v>46188</v>
      </c>
      <c r="G183" s="49">
        <v>320.5</v>
      </c>
      <c r="H183" s="49" t="s">
        <v>20</v>
      </c>
      <c r="I183" s="51">
        <v>46210</v>
      </c>
      <c r="J183" s="54">
        <f>INT(Cobros[[#This Row],[Fecha Cargo]])</f>
        <v>46188</v>
      </c>
      <c r="K183" s="54">
        <f>INT(Cobros[[#This Row],[Fecha Aplicacion]])</f>
        <v>46210</v>
      </c>
      <c r="L183" s="55" t="str">
        <f>INDEX(Clientes[Días Plazo],MATCH(Cobros[[#This Row],[Cod. Cliente]],Clientes[Codigo],0),1)</f>
        <v>21</v>
      </c>
      <c r="M183" s="45" t="str">
        <f>IF(Cobros[[#This Row],[Dias de Credito]]&lt;=0,"Contado","Credito")</f>
        <v>Credito</v>
      </c>
      <c r="N183" s="45">
        <f>Cobros[[#This Row],[Fecha Aplicación S]]-Cobros[[#This Row],[Fecha Cargo S]]</f>
        <v>22</v>
      </c>
      <c r="O183" s="45">
        <f>Cobros[[#This Row],[Dias al pago]]-Cobros[[#This Row],[Dias de Credito]]</f>
        <v>1</v>
      </c>
      <c r="P183" s="45">
        <f>SUMIFS(TablaDias[Porcentaje],TablaDias[Tipo],Cobros[[#This Row],[Tipo]],TablaDias[Desde ],"&lt;="&amp;MAX(0,Cobros[[#This Row],[Dias pasado]]),TablaDias[Hasta ],"&gt;="&amp;Cobros[[#This Row],[Dias pasado]])</f>
        <v>100</v>
      </c>
      <c r="Q1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83">
        <f>IF(COUNTIF(PAPEL[Numero],Cobros[[#This Row],[Doc. Cargo]])&gt;0,1,0)</f>
        <v>0</v>
      </c>
      <c r="S183" s="46">
        <f t="array" ref="S1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3" s="46">
        <f t="array" ref="T183">INDEX(Ventas[[Unidades]:[2]],MATCH("Gerente de Venta",Ventas[Vendedor %],0),6+Cobros[[#This Row],[Mes]])</f>
        <v>0.005</v>
      </c>
      <c r="U183" s="34">
        <f>IF(Cobros[[#This Row],[Tipo]]="Credito",IF(60&gt;=Cobros[[#This Row],[Dias al pago]],1,0),IF(Cobros[[#This Row],[Dias al pago]]&lt;=3,1,0))</f>
        <v>1</v>
      </c>
      <c r="V183" s="46">
        <f>(Cobros[[#This Row],[% A pagar Vendedor]]/100)*Cobros[[#This Row],[Valor Pagado]]*Cobros[[#This Row],[Vencido]]*(Cobros[[#This Row],[% aplicar]]/100)*IF(Cobros[[#This Row],[% A pagar Vendedor]]&gt;0,1,0)</f>
        <v>4.00625</v>
      </c>
      <c r="W183" s="46">
        <f>0.5%*Cobros[[#This Row],[Valor Pagado]]</f>
        <v>1.6025</v>
      </c>
    </row>
    <row r="184" spans="1:23">
      <c r="A184" s="49" t="s">
        <v>3875</v>
      </c>
      <c r="B184" s="49" t="s">
        <v>4154</v>
      </c>
      <c r="C184" s="49" t="s">
        <v>731</v>
      </c>
      <c r="D184" s="49" t="s">
        <v>732</v>
      </c>
      <c r="E184" s="49" t="s">
        <v>4155</v>
      </c>
      <c r="F184" s="51">
        <v>46188</v>
      </c>
      <c r="G184" s="49">
        <v>199.5</v>
      </c>
      <c r="H184" s="49" t="s">
        <v>20</v>
      </c>
      <c r="I184" s="51">
        <v>46210</v>
      </c>
      <c r="J184" s="54">
        <f>INT(Cobros[[#This Row],[Fecha Cargo]])</f>
        <v>46188</v>
      </c>
      <c r="K184" s="54">
        <f>INT(Cobros[[#This Row],[Fecha Aplicacion]])</f>
        <v>46210</v>
      </c>
      <c r="L184" s="55" t="str">
        <f>INDEX(Clientes[Días Plazo],MATCH(Cobros[[#This Row],[Cod. Cliente]],Clientes[Codigo],0),1)</f>
        <v>21</v>
      </c>
      <c r="M184" s="45" t="str">
        <f>IF(Cobros[[#This Row],[Dias de Credito]]&lt;=0,"Contado","Credito")</f>
        <v>Credito</v>
      </c>
      <c r="N184" s="45">
        <f>Cobros[[#This Row],[Fecha Aplicación S]]-Cobros[[#This Row],[Fecha Cargo S]]</f>
        <v>22</v>
      </c>
      <c r="O184" s="45">
        <f>Cobros[[#This Row],[Dias al pago]]-Cobros[[#This Row],[Dias de Credito]]</f>
        <v>1</v>
      </c>
      <c r="P184" s="45">
        <f>SUMIFS(TablaDias[Porcentaje],TablaDias[Tipo],Cobros[[#This Row],[Tipo]],TablaDias[Desde ],"&lt;="&amp;MAX(0,Cobros[[#This Row],[Dias pasado]]),TablaDias[Hasta ],"&gt;="&amp;Cobros[[#This Row],[Dias pasado]])</f>
        <v>100</v>
      </c>
      <c r="Q1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84">
        <f>IF(COUNTIF(PAPEL[Numero],Cobros[[#This Row],[Doc. Cargo]])&gt;0,1,0)</f>
        <v>0</v>
      </c>
      <c r="S184" s="46">
        <f t="array" ref="S1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4" s="46">
        <f t="array" ref="T184">INDEX(Ventas[[Unidades]:[2]],MATCH("Gerente de Venta",Ventas[Vendedor %],0),6+Cobros[[#This Row],[Mes]])</f>
        <v>0.005</v>
      </c>
      <c r="U184" s="34">
        <f>IF(Cobros[[#This Row],[Tipo]]="Credito",IF(60&gt;=Cobros[[#This Row],[Dias al pago]],1,0),IF(Cobros[[#This Row],[Dias al pago]]&lt;=3,1,0))</f>
        <v>1</v>
      </c>
      <c r="V184" s="46">
        <f>(Cobros[[#This Row],[% A pagar Vendedor]]/100)*Cobros[[#This Row],[Valor Pagado]]*Cobros[[#This Row],[Vencido]]*(Cobros[[#This Row],[% aplicar]]/100)*IF(Cobros[[#This Row],[% A pagar Vendedor]]&gt;0,1,0)</f>
        <v>2.49375</v>
      </c>
      <c r="W184" s="46">
        <f>0.5%*Cobros[[#This Row],[Valor Pagado]]</f>
        <v>0.9975</v>
      </c>
    </row>
    <row r="185" spans="1:23">
      <c r="A185" s="49" t="s">
        <v>3860</v>
      </c>
      <c r="B185" s="49" t="s">
        <v>4156</v>
      </c>
      <c r="C185" s="49" t="s">
        <v>3452</v>
      </c>
      <c r="D185" s="49" t="s">
        <v>3453</v>
      </c>
      <c r="E185" s="49" t="s">
        <v>3967</v>
      </c>
      <c r="F185" s="51">
        <v>46189</v>
      </c>
      <c r="G185" s="49">
        <v>4.75</v>
      </c>
      <c r="H185" s="49" t="s">
        <v>18</v>
      </c>
      <c r="I185" s="51">
        <v>46210</v>
      </c>
      <c r="J185" s="54">
        <f>INT(Cobros[[#This Row],[Fecha Cargo]])</f>
        <v>46189</v>
      </c>
      <c r="K185" s="54">
        <f>INT(Cobros[[#This Row],[Fecha Aplicacion]])</f>
        <v>46210</v>
      </c>
      <c r="L185" s="55" t="str">
        <f>INDEX(Clientes[Días Plazo],MATCH(Cobros[[#This Row],[Cod. Cliente]],Clientes[Codigo],0),1)</f>
        <v>15</v>
      </c>
      <c r="M185" s="45" t="str">
        <f>IF(Cobros[[#This Row],[Dias de Credito]]&lt;=0,"Contado","Credito")</f>
        <v>Credito</v>
      </c>
      <c r="N185" s="45">
        <f>Cobros[[#This Row],[Fecha Aplicación S]]-Cobros[[#This Row],[Fecha Cargo S]]</f>
        <v>21</v>
      </c>
      <c r="O185" s="45">
        <f>Cobros[[#This Row],[Dias al pago]]-Cobros[[#This Row],[Dias de Credito]]</f>
        <v>6</v>
      </c>
      <c r="P185" s="45">
        <f>SUMIFS(TablaDias[Porcentaje],TablaDias[Tipo],Cobros[[#This Row],[Tipo]],TablaDias[Desde ],"&lt;="&amp;MAX(0,Cobros[[#This Row],[Dias pasado]]),TablaDias[Hasta ],"&gt;="&amp;Cobros[[#This Row],[Dias pasado]])</f>
        <v>100</v>
      </c>
      <c r="Q1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85">
        <f>IF(COUNTIF(PAPEL[Numero],Cobros[[#This Row],[Doc. Cargo]])&gt;0,1,0)</f>
        <v>0</v>
      </c>
      <c r="S185" s="46">
        <f t="array" ref="S1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85" s="46">
        <f t="array" ref="T185">INDEX(Ventas[[Unidades]:[2]],MATCH("Gerente de Venta",Ventas[Vendedor %],0),6+Cobros[[#This Row],[Mes]])</f>
        <v>0.005</v>
      </c>
      <c r="U185" s="34">
        <f>IF(Cobros[[#This Row],[Tipo]]="Credito",IF(60&gt;=Cobros[[#This Row],[Dias al pago]],1,0),IF(Cobros[[#This Row],[Dias al pago]]&lt;=3,1,0))</f>
        <v>1</v>
      </c>
      <c r="V185" s="46">
        <f>(Cobros[[#This Row],[% A pagar Vendedor]]/100)*Cobros[[#This Row],[Valor Pagado]]*Cobros[[#This Row],[Vencido]]*(Cobros[[#This Row],[% aplicar]]/100)*IF(Cobros[[#This Row],[% A pagar Vendedor]]&gt;0,1,0)</f>
        <v>0.0475</v>
      </c>
      <c r="W185" s="46">
        <f>0.5%*Cobros[[#This Row],[Valor Pagado]]</f>
        <v>0.02375</v>
      </c>
    </row>
    <row r="186" spans="1:23">
      <c r="A186" s="49" t="s">
        <v>3860</v>
      </c>
      <c r="B186" s="49" t="s">
        <v>4157</v>
      </c>
      <c r="C186" s="49" t="s">
        <v>2529</v>
      </c>
      <c r="D186" s="49" t="s">
        <v>2530</v>
      </c>
      <c r="E186" s="49" t="s">
        <v>4158</v>
      </c>
      <c r="F186" s="51">
        <v>46210</v>
      </c>
      <c r="G186" s="49">
        <v>693.4</v>
      </c>
      <c r="H186" s="49" t="s">
        <v>16</v>
      </c>
      <c r="I186" s="51">
        <v>46210</v>
      </c>
      <c r="J186" s="54">
        <f>INT(Cobros[[#This Row],[Fecha Cargo]])</f>
        <v>46210</v>
      </c>
      <c r="K186" s="54">
        <f>INT(Cobros[[#This Row],[Fecha Aplicacion]])</f>
        <v>46210</v>
      </c>
      <c r="L186" s="55">
        <f>INDEX(Clientes[Días Plazo],MATCH(Cobros[[#This Row],[Cod. Cliente]],Clientes[Codigo],0),1)</f>
        <v>0</v>
      </c>
      <c r="M186" s="45" t="str">
        <f>IF(Cobros[[#This Row],[Dias de Credito]]&lt;=0,"Contado","Credito")</f>
        <v>Contado</v>
      </c>
      <c r="N186" s="45">
        <f>Cobros[[#This Row],[Fecha Aplicación S]]-Cobros[[#This Row],[Fecha Cargo S]]</f>
        <v>0</v>
      </c>
      <c r="O186" s="45">
        <f>Cobros[[#This Row],[Dias al pago]]-Cobros[[#This Row],[Dias de Credito]]</f>
        <v>0</v>
      </c>
      <c r="P186" s="45">
        <f>SUMIFS(TablaDias[Porcentaje],TablaDias[Tipo],Cobros[[#This Row],[Tipo]],TablaDias[Desde ],"&lt;="&amp;MAX(0,Cobros[[#This Row],[Dias pasado]]),TablaDias[Hasta ],"&gt;="&amp;Cobros[[#This Row],[Dias pasado]])</f>
        <v>100</v>
      </c>
      <c r="Q1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86">
        <f>IF(COUNTIF(PAPEL[Numero],Cobros[[#This Row],[Doc. Cargo]])&gt;0,1,0)</f>
        <v>0</v>
      </c>
      <c r="S186" s="46">
        <f t="array" ref="S1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6" s="47">
        <v>0.005</v>
      </c>
      <c r="U186" s="34">
        <f>IF(Cobros[[#This Row],[Tipo]]="Credito",IF(60&gt;=Cobros[[#This Row],[Dias al pago]],1,0),IF(Cobros[[#This Row],[Dias al pago]]&lt;=3,1,0))</f>
        <v>1</v>
      </c>
      <c r="V186" s="46">
        <f>(Cobros[[#This Row],[% A pagar Vendedor]]/100)*Cobros[[#This Row],[Valor Pagado]]*Cobros[[#This Row],[Vencido]]*(Cobros[[#This Row],[% aplicar]]/100)*IF(Cobros[[#This Row],[% A pagar Vendedor]]&gt;0,1,0)</f>
        <v>8.6675</v>
      </c>
      <c r="W186" s="46">
        <f>0.5%*Cobros[[#This Row],[Valor Pagado]]</f>
        <v>3.467</v>
      </c>
    </row>
    <row r="187" spans="1:23">
      <c r="A187" s="49" t="s">
        <v>3860</v>
      </c>
      <c r="B187" s="49" t="s">
        <v>4159</v>
      </c>
      <c r="C187" s="49" t="s">
        <v>2529</v>
      </c>
      <c r="D187" s="49" t="s">
        <v>2530</v>
      </c>
      <c r="E187" s="49" t="s">
        <v>4160</v>
      </c>
      <c r="F187" s="51">
        <v>46210</v>
      </c>
      <c r="G187" s="49">
        <v>34.5</v>
      </c>
      <c r="H187" s="49" t="s">
        <v>16</v>
      </c>
      <c r="I187" s="51">
        <v>46210</v>
      </c>
      <c r="J187" s="54">
        <f>INT(Cobros[[#This Row],[Fecha Cargo]])</f>
        <v>46210</v>
      </c>
      <c r="K187" s="54">
        <f>INT(Cobros[[#This Row],[Fecha Aplicacion]])</f>
        <v>46210</v>
      </c>
      <c r="L187" s="55">
        <f>INDEX(Clientes[Días Plazo],MATCH(Cobros[[#This Row],[Cod. Cliente]],Clientes[Codigo],0),1)</f>
        <v>0</v>
      </c>
      <c r="M187" s="45" t="str">
        <f>IF(Cobros[[#This Row],[Dias de Credito]]&lt;=0,"Contado","Credito")</f>
        <v>Contado</v>
      </c>
      <c r="N187" s="45">
        <f>Cobros[[#This Row],[Fecha Aplicación S]]-Cobros[[#This Row],[Fecha Cargo S]]</f>
        <v>0</v>
      </c>
      <c r="O187" s="45">
        <f>Cobros[[#This Row],[Dias al pago]]-Cobros[[#This Row],[Dias de Credito]]</f>
        <v>0</v>
      </c>
      <c r="P187" s="45">
        <f>SUMIFS(TablaDias[Porcentaje],TablaDias[Tipo],Cobros[[#This Row],[Tipo]],TablaDias[Desde ],"&lt;="&amp;MAX(0,Cobros[[#This Row],[Dias pasado]]),TablaDias[Hasta ],"&gt;="&amp;Cobros[[#This Row],[Dias pasado]])</f>
        <v>100</v>
      </c>
      <c r="Q1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87">
        <f>IF(COUNTIF(PAPEL[Numero],Cobros[[#This Row],[Doc. Cargo]])&gt;0,1,0)</f>
        <v>0</v>
      </c>
      <c r="S187" s="46">
        <f t="array" ref="S1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7" s="47">
        <v>0.005</v>
      </c>
      <c r="U187" s="34">
        <f>IF(Cobros[[#This Row],[Tipo]]="Credito",IF(60&gt;=Cobros[[#This Row],[Dias al pago]],1,0),IF(Cobros[[#This Row],[Dias al pago]]&lt;=3,1,0))</f>
        <v>1</v>
      </c>
      <c r="V187" s="46">
        <f>(Cobros[[#This Row],[% A pagar Vendedor]]/100)*Cobros[[#This Row],[Valor Pagado]]*Cobros[[#This Row],[Vencido]]*(Cobros[[#This Row],[% aplicar]]/100)*IF(Cobros[[#This Row],[% A pagar Vendedor]]&gt;0,1,0)</f>
        <v>0.43125</v>
      </c>
      <c r="W187" s="46">
        <f>0.5%*Cobros[[#This Row],[Valor Pagado]]</f>
        <v>0.1725</v>
      </c>
    </row>
    <row r="188" spans="1:23">
      <c r="A188" s="49" t="s">
        <v>3875</v>
      </c>
      <c r="B188" s="49" t="s">
        <v>4161</v>
      </c>
      <c r="C188" s="49" t="s">
        <v>1222</v>
      </c>
      <c r="D188" s="49" t="s">
        <v>1223</v>
      </c>
      <c r="E188" s="49" t="s">
        <v>4081</v>
      </c>
      <c r="F188" s="51">
        <v>46206</v>
      </c>
      <c r="G188" s="49">
        <v>276.1</v>
      </c>
      <c r="H188" s="49" t="s">
        <v>20</v>
      </c>
      <c r="I188" s="51">
        <v>46210</v>
      </c>
      <c r="J188" s="54">
        <f>INT(Cobros[[#This Row],[Fecha Cargo]])</f>
        <v>46206</v>
      </c>
      <c r="K188" s="54">
        <f>INT(Cobros[[#This Row],[Fecha Aplicacion]])</f>
        <v>46210</v>
      </c>
      <c r="L188" s="55" t="str">
        <f>INDEX(Clientes[Días Plazo],MATCH(Cobros[[#This Row],[Cod. Cliente]],Clientes[Codigo],0),1)</f>
        <v>7</v>
      </c>
      <c r="M188" s="45" t="str">
        <f>IF(Cobros[[#This Row],[Dias de Credito]]&lt;=0,"Contado","Credito")</f>
        <v>Credito</v>
      </c>
      <c r="N188" s="45">
        <f>Cobros[[#This Row],[Fecha Aplicación S]]-Cobros[[#This Row],[Fecha Cargo S]]</f>
        <v>4</v>
      </c>
      <c r="O188" s="45">
        <f>Cobros[[#This Row],[Dias al pago]]-Cobros[[#This Row],[Dias de Credito]]</f>
        <v>-3</v>
      </c>
      <c r="P188" s="45">
        <f>SUMIFS(TablaDias[Porcentaje],TablaDias[Tipo],Cobros[[#This Row],[Tipo]],TablaDias[Desde ],"&lt;="&amp;MAX(0,Cobros[[#This Row],[Dias pasado]]),TablaDias[Hasta ],"&gt;="&amp;Cobros[[#This Row],[Dias pasado]])</f>
        <v>100</v>
      </c>
      <c r="Q1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88">
        <f>IF(COUNTIF(PAPEL[Numero],Cobros[[#This Row],[Doc. Cargo]])&gt;0,1,0)</f>
        <v>0</v>
      </c>
      <c r="S188" s="46">
        <f t="array" ref="S1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8" s="46">
        <f t="array" ref="T188">INDEX(Ventas[[Unidades]:[2]],MATCH("Gerente de Venta",Ventas[Vendedor %],0),6+Cobros[[#This Row],[Mes]])</f>
        <v>0.005</v>
      </c>
      <c r="U188" s="34">
        <f>IF(Cobros[[#This Row],[Tipo]]="Credito",IF(60&gt;=Cobros[[#This Row],[Dias al pago]],1,0),IF(Cobros[[#This Row],[Dias al pago]]&lt;=3,1,0))</f>
        <v>1</v>
      </c>
      <c r="V188" s="46">
        <f>(Cobros[[#This Row],[% A pagar Vendedor]]/100)*Cobros[[#This Row],[Valor Pagado]]*Cobros[[#This Row],[Vencido]]*(Cobros[[#This Row],[% aplicar]]/100)*IF(Cobros[[#This Row],[% A pagar Vendedor]]&gt;0,1,0)</f>
        <v>3.45125</v>
      </c>
      <c r="W188" s="46">
        <f>0.5%*Cobros[[#This Row],[Valor Pagado]]</f>
        <v>1.3805</v>
      </c>
    </row>
    <row r="189" spans="1:23">
      <c r="A189" s="49" t="s">
        <v>3875</v>
      </c>
      <c r="B189" s="49" t="s">
        <v>4161</v>
      </c>
      <c r="C189" s="49" t="s">
        <v>1222</v>
      </c>
      <c r="D189" s="49" t="s">
        <v>1223</v>
      </c>
      <c r="E189" s="49" t="s">
        <v>4125</v>
      </c>
      <c r="F189" s="51">
        <v>46206</v>
      </c>
      <c r="G189" s="49">
        <v>45.45</v>
      </c>
      <c r="H189" s="49" t="s">
        <v>20</v>
      </c>
      <c r="I189" s="51">
        <v>46210</v>
      </c>
      <c r="J189" s="54">
        <f>INT(Cobros[[#This Row],[Fecha Cargo]])</f>
        <v>46206</v>
      </c>
      <c r="K189" s="54">
        <f>INT(Cobros[[#This Row],[Fecha Aplicacion]])</f>
        <v>46210</v>
      </c>
      <c r="L189" s="55" t="str">
        <f>INDEX(Clientes[Días Plazo],MATCH(Cobros[[#This Row],[Cod. Cliente]],Clientes[Codigo],0),1)</f>
        <v>7</v>
      </c>
      <c r="M189" s="45" t="str">
        <f>IF(Cobros[[#This Row],[Dias de Credito]]&lt;=0,"Contado","Credito")</f>
        <v>Credito</v>
      </c>
      <c r="N189" s="45">
        <f>Cobros[[#This Row],[Fecha Aplicación S]]-Cobros[[#This Row],[Fecha Cargo S]]</f>
        <v>4</v>
      </c>
      <c r="O189" s="45">
        <f>Cobros[[#This Row],[Dias al pago]]-Cobros[[#This Row],[Dias de Credito]]</f>
        <v>-3</v>
      </c>
      <c r="P189" s="45">
        <f>SUMIFS(TablaDias[Porcentaje],TablaDias[Tipo],Cobros[[#This Row],[Tipo]],TablaDias[Desde ],"&lt;="&amp;MAX(0,Cobros[[#This Row],[Dias pasado]]),TablaDias[Hasta ],"&gt;="&amp;Cobros[[#This Row],[Dias pasado]])</f>
        <v>100</v>
      </c>
      <c r="Q18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89">
        <f>IF(COUNTIF(PAPEL[Numero],Cobros[[#This Row],[Doc. Cargo]])&gt;0,1,0)</f>
        <v>0</v>
      </c>
      <c r="S189" s="46">
        <f t="array" ref="S1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89" s="46">
        <f t="array" ref="T189">INDEX(Ventas[[Unidades]:[2]],MATCH("Gerente de Venta",Ventas[Vendedor %],0),6+Cobros[[#This Row],[Mes]])</f>
        <v>0.005</v>
      </c>
      <c r="U189" s="34">
        <f>IF(Cobros[[#This Row],[Tipo]]="Credito",IF(60&gt;=Cobros[[#This Row],[Dias al pago]],1,0),IF(Cobros[[#This Row],[Dias al pago]]&lt;=3,1,0))</f>
        <v>1</v>
      </c>
      <c r="V189" s="46">
        <f>(Cobros[[#This Row],[% A pagar Vendedor]]/100)*Cobros[[#This Row],[Valor Pagado]]*Cobros[[#This Row],[Vencido]]*(Cobros[[#This Row],[% aplicar]]/100)*IF(Cobros[[#This Row],[% A pagar Vendedor]]&gt;0,1,0)</f>
        <v>0.568125</v>
      </c>
      <c r="W189" s="46">
        <f>0.5%*Cobros[[#This Row],[Valor Pagado]]</f>
        <v>0.22725</v>
      </c>
    </row>
    <row r="190" spans="1:24">
      <c r="A190" s="49" t="s">
        <v>3875</v>
      </c>
      <c r="B190" s="49" t="s">
        <v>4161</v>
      </c>
      <c r="C190" s="49" t="s">
        <v>1222</v>
      </c>
      <c r="D190" s="49" t="s">
        <v>1223</v>
      </c>
      <c r="E190" s="49" t="s">
        <v>4162</v>
      </c>
      <c r="F190" s="51">
        <v>46209</v>
      </c>
      <c r="G190" s="49">
        <v>78.45</v>
      </c>
      <c r="H190" s="49" t="s">
        <v>20</v>
      </c>
      <c r="I190" s="51">
        <v>46210</v>
      </c>
      <c r="J190" s="54">
        <f>INT(Cobros[[#This Row],[Fecha Cargo]])</f>
        <v>46209</v>
      </c>
      <c r="K190" s="54">
        <f>INT(Cobros[[#This Row],[Fecha Aplicacion]])</f>
        <v>46210</v>
      </c>
      <c r="L190" s="55" t="str">
        <f>INDEX(Clientes[Días Plazo],MATCH(Cobros[[#This Row],[Cod. Cliente]],Clientes[Codigo],0),1)</f>
        <v>7</v>
      </c>
      <c r="M190" s="45" t="str">
        <f>IF(Cobros[[#This Row],[Dias de Credito]]&lt;=0,"Contado","Credito")</f>
        <v>Credito</v>
      </c>
      <c r="N190" s="45">
        <f>Cobros[[#This Row],[Fecha Aplicación S]]-Cobros[[#This Row],[Fecha Cargo S]]</f>
        <v>1</v>
      </c>
      <c r="O190" s="45">
        <f>Cobros[[#This Row],[Dias al pago]]-Cobros[[#This Row],[Dias de Credito]]</f>
        <v>-6</v>
      </c>
      <c r="P190" s="45">
        <f>SUMIFS(TablaDias[Porcentaje],TablaDias[Tipo],Cobros[[#This Row],[Tipo]],TablaDias[Desde ],"&lt;="&amp;MAX(0,Cobros[[#This Row],[Dias pasado]]),TablaDias[Hasta ],"&gt;="&amp;Cobros[[#This Row],[Dias pasado]])</f>
        <v>100</v>
      </c>
      <c r="Q1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0">
        <f>IF(COUNTIF(PAPEL[Numero],Cobros[[#This Row],[Doc. Cargo]])&gt;0,1,0)</f>
        <v>0</v>
      </c>
      <c r="S190" s="46">
        <f t="array" ref="S1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90" s="46">
        <f t="array" ref="T190">INDEX(Ventas[[Unidades]:[2]],MATCH("Gerente de Venta",Ventas[Vendedor %],0),6+Cobros[[#This Row],[Mes]])</f>
        <v>0.005</v>
      </c>
      <c r="U190" s="34">
        <f>IF(Cobros[[#This Row],[Tipo]]="Credito",IF(60&gt;=Cobros[[#This Row],[Dias al pago]],1,0),IF(Cobros[[#This Row],[Dias al pago]]&lt;=3,1,0))</f>
        <v>1</v>
      </c>
      <c r="V190" s="46">
        <f>(Cobros[[#This Row],[% A pagar Vendedor]]/100)*Cobros[[#This Row],[Valor Pagado]]*Cobros[[#This Row],[Vencido]]*(Cobros[[#This Row],[% aplicar]]/100)*IF(Cobros[[#This Row],[% A pagar Vendedor]]&gt;0,1,0)</f>
        <v>0.980625</v>
      </c>
      <c r="W190" s="46">
        <f>0.5%*Cobros[[#This Row],[Valor Pagado]]</f>
        <v>0.39225</v>
      </c>
      <c r="X190" s="34"/>
    </row>
    <row r="191" spans="1:24">
      <c r="A191" s="49" t="s">
        <v>3860</v>
      </c>
      <c r="B191" s="49" t="s">
        <v>4163</v>
      </c>
      <c r="C191" s="49" t="s">
        <v>1651</v>
      </c>
      <c r="D191" s="49" t="s">
        <v>1652</v>
      </c>
      <c r="E191" s="49" t="s">
        <v>4164</v>
      </c>
      <c r="F191" s="51">
        <v>46206</v>
      </c>
      <c r="G191" s="49">
        <v>460</v>
      </c>
      <c r="H191" s="49" t="s">
        <v>16</v>
      </c>
      <c r="I191" s="51">
        <v>46205</v>
      </c>
      <c r="J191" s="54">
        <f>INT(Cobros[[#This Row],[Fecha Cargo]])</f>
        <v>46206</v>
      </c>
      <c r="K191" s="54">
        <f>INT(Cobros[[#This Row],[Fecha Aplicacion]])</f>
        <v>46205</v>
      </c>
      <c r="L191" s="55">
        <v>30</v>
      </c>
      <c r="M191" s="45" t="str">
        <f>IF(Cobros[[#This Row],[Dias de Credito]]&lt;=0,"Contado","Credito")</f>
        <v>Credito</v>
      </c>
      <c r="N191" s="45">
        <f>Cobros[[#This Row],[Fecha Aplicación S]]-Cobros[[#This Row],[Fecha Cargo S]]</f>
        <v>-1</v>
      </c>
      <c r="O191" s="45">
        <f>Cobros[[#This Row],[Dias al pago]]-Cobros[[#This Row],[Dias de Credito]]</f>
        <v>-31</v>
      </c>
      <c r="P191" s="45">
        <f>SUMIFS(TablaDias[Porcentaje],TablaDias[Tipo],Cobros[[#This Row],[Tipo]],TablaDias[Desde ],"&lt;="&amp;MAX(0,Cobros[[#This Row],[Dias pasado]]),TablaDias[Hasta ],"&gt;="&amp;Cobros[[#This Row],[Dias pasado]])</f>
        <v>100</v>
      </c>
      <c r="Q1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1">
        <f>IF(COUNTIF(PAPEL[Numero],Cobros[[#This Row],[Doc. Cargo]])&gt;0,1,0)</f>
        <v>0</v>
      </c>
      <c r="S191" s="46">
        <f t="array" ref="S19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91" s="47">
        <v>0.005</v>
      </c>
      <c r="U191" s="34">
        <f>IF(Cobros[[#This Row],[Tipo]]="Credito",IF(60&gt;=Cobros[[#This Row],[Dias al pago]],1,0),IF(Cobros[[#This Row],[Dias al pago]]&lt;=3,1,0))</f>
        <v>1</v>
      </c>
      <c r="V191" s="46">
        <f>(Cobros[[#This Row],[% A pagar Vendedor]]/100)*Cobros[[#This Row],[Valor Pagado]]*Cobros[[#This Row],[Vencido]]*(Cobros[[#This Row],[% aplicar]]/100)*IF(Cobros[[#This Row],[% A pagar Vendedor]]&gt;0,1,0)</f>
        <v>5.75</v>
      </c>
      <c r="W191" s="46">
        <v>0</v>
      </c>
      <c r="X191" s="60"/>
    </row>
    <row r="192" spans="1:23">
      <c r="A192" s="49" t="s">
        <v>3961</v>
      </c>
      <c r="B192" s="49" t="s">
        <v>4165</v>
      </c>
      <c r="C192" s="49" t="s">
        <v>1651</v>
      </c>
      <c r="D192" s="49" t="s">
        <v>1652</v>
      </c>
      <c r="E192" s="49" t="s">
        <v>4164</v>
      </c>
      <c r="F192" s="51">
        <v>46206</v>
      </c>
      <c r="G192" s="49">
        <v>1.64</v>
      </c>
      <c r="H192" s="49" t="s">
        <v>16</v>
      </c>
      <c r="I192" s="51">
        <v>46210</v>
      </c>
      <c r="J192" s="54">
        <f>INT(Cobros[[#This Row],[Fecha Cargo]])</f>
        <v>46206</v>
      </c>
      <c r="K192" s="54">
        <f>INT(Cobros[[#This Row],[Fecha Aplicacion]])</f>
        <v>46210</v>
      </c>
      <c r="L192" s="55">
        <f>INDEX(Clientes[Días Plazo],MATCH(Cobros[[#This Row],[Cod. Cliente]],Clientes[Codigo],0),1)</f>
        <v>0</v>
      </c>
      <c r="M192" s="45" t="str">
        <f>IF(Cobros[[#This Row],[Dias de Credito]]&lt;=0,"Contado","Credito")</f>
        <v>Contado</v>
      </c>
      <c r="N192" s="45">
        <f>Cobros[[#This Row],[Fecha Aplicación S]]-Cobros[[#This Row],[Fecha Cargo S]]</f>
        <v>4</v>
      </c>
      <c r="O192" s="45">
        <f>Cobros[[#This Row],[Dias al pago]]-Cobros[[#This Row],[Dias de Credito]]</f>
        <v>4</v>
      </c>
      <c r="P192" s="45">
        <f>SUMIFS(TablaDias[Porcentaje],TablaDias[Tipo],Cobros[[#This Row],[Tipo]],TablaDias[Desde ],"&lt;="&amp;MAX(0,Cobros[[#This Row],[Dias pasado]]),TablaDias[Hasta ],"&gt;="&amp;Cobros[[#This Row],[Dias pasado]])</f>
        <v>0</v>
      </c>
      <c r="Q1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2">
        <f>IF(COUNTIF(PAPEL[Numero],Cobros[[#This Row],[Doc. Cargo]])&gt;0,1,0)</f>
        <v>0</v>
      </c>
      <c r="S192" s="46">
        <f t="array" ref="S1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92" s="47">
        <v>0.005</v>
      </c>
      <c r="U192" s="34">
        <f>IF(Cobros[[#This Row],[Tipo]]="Credito",IF(60&gt;=Cobros[[#This Row],[Dias al pago]],1,0),IF(Cobros[[#This Row],[Dias al pago]]&lt;=3,1,0))</f>
        <v>0</v>
      </c>
      <c r="V192" s="46">
        <f>(Cobros[[#This Row],[% A pagar Vendedor]]/100)*Cobros[[#This Row],[Valor Pagado]]*Cobros[[#This Row],[Vencido]]*(Cobros[[#This Row],[% aplicar]]/100)*IF(Cobros[[#This Row],[% A pagar Vendedor]]&gt;0,1,0)</f>
        <v>0</v>
      </c>
      <c r="W192" s="46">
        <f>0.5%*Cobros[[#This Row],[Valor Pagado]]</f>
        <v>0.0082</v>
      </c>
    </row>
    <row r="193" spans="1:23">
      <c r="A193" s="49" t="s">
        <v>3884</v>
      </c>
      <c r="B193" s="49" t="s">
        <v>4166</v>
      </c>
      <c r="C193" s="49" t="s">
        <v>1362</v>
      </c>
      <c r="D193" s="49" t="s">
        <v>1363</v>
      </c>
      <c r="E193" s="49" t="s">
        <v>4167</v>
      </c>
      <c r="F193" s="51">
        <v>46157</v>
      </c>
      <c r="G193" s="49">
        <v>2000</v>
      </c>
      <c r="H193" s="49" t="s">
        <v>18</v>
      </c>
      <c r="I193" s="51">
        <v>46210</v>
      </c>
      <c r="J193" s="54">
        <f>INT(Cobros[[#This Row],[Fecha Cargo]])</f>
        <v>46157</v>
      </c>
      <c r="K193" s="54">
        <f>INT(Cobros[[#This Row],[Fecha Aplicacion]])</f>
        <v>46210</v>
      </c>
      <c r="L193" s="55" t="str">
        <f>INDEX(Clientes[Días Plazo],MATCH(Cobros[[#This Row],[Cod. Cliente]],Clientes[Codigo],0),1)</f>
        <v>21</v>
      </c>
      <c r="M193" s="45" t="str">
        <f>IF(Cobros[[#This Row],[Dias de Credito]]&lt;=0,"Contado","Credito")</f>
        <v>Credito</v>
      </c>
      <c r="N193" s="45">
        <f>Cobros[[#This Row],[Fecha Aplicación S]]-Cobros[[#This Row],[Fecha Cargo S]]</f>
        <v>53</v>
      </c>
      <c r="O193" s="45">
        <f>Cobros[[#This Row],[Dias al pago]]-Cobros[[#This Row],[Dias de Credito]]</f>
        <v>32</v>
      </c>
      <c r="P193" s="45">
        <f>SUMIFS(TablaDias[Porcentaje],TablaDias[Tipo],Cobros[[#This Row],[Tipo]],TablaDias[Desde ],"&lt;="&amp;MAX(0,Cobros[[#This Row],[Dias pasado]]),TablaDias[Hasta ],"&gt;="&amp;Cobros[[#This Row],[Dias pasado]])</f>
        <v>30</v>
      </c>
      <c r="Q1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93">
        <f>IF(COUNTIF(PAPEL[Numero],Cobros[[#This Row],[Doc. Cargo]])&gt;0,1,0)</f>
        <v>0</v>
      </c>
      <c r="S193" s="46">
        <f t="array" ref="S1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193" s="46">
        <f t="array" ref="T193">INDEX(Ventas[[Unidades]:[2]],MATCH("Gerente de Venta",Ventas[Vendedor %],0),6+Cobros[[#This Row],[Mes]])</f>
        <v>0.005</v>
      </c>
      <c r="U193" s="34">
        <f>IF(Cobros[[#This Row],[Tipo]]="Credito",IF(60&gt;=Cobros[[#This Row],[Dias al pago]],1,0),IF(Cobros[[#This Row],[Dias al pago]]&lt;=3,1,0))</f>
        <v>1</v>
      </c>
      <c r="V193" s="46">
        <f>(Cobros[[#This Row],[% A pagar Vendedor]]/100)*Cobros[[#This Row],[Valor Pagado]]*Cobros[[#This Row],[Vencido]]*(Cobros[[#This Row],[% aplicar]]/100)*IF(Cobros[[#This Row],[% A pagar Vendedor]]&gt;0,1,0)</f>
        <v>0</v>
      </c>
      <c r="W193" s="46">
        <f>0.5%*Cobros[[#This Row],[Valor Pagado]]</f>
        <v>10</v>
      </c>
    </row>
    <row r="194" ht="30" spans="1:23">
      <c r="A194" s="49" t="s">
        <v>3904</v>
      </c>
      <c r="B194" s="49" t="s">
        <v>4168</v>
      </c>
      <c r="C194" s="49" t="s">
        <v>160</v>
      </c>
      <c r="D194" s="49" t="s">
        <v>161</v>
      </c>
      <c r="E194" s="49" t="s">
        <v>4169</v>
      </c>
      <c r="F194" s="51">
        <v>46210</v>
      </c>
      <c r="G194" s="49">
        <v>11232</v>
      </c>
      <c r="H194" s="49" t="s">
        <v>22</v>
      </c>
      <c r="I194" s="51">
        <v>46210</v>
      </c>
      <c r="J194" s="54">
        <f>INT(Cobros[[#This Row],[Fecha Cargo]])</f>
        <v>46210</v>
      </c>
      <c r="K194" s="54">
        <f>INT(Cobros[[#This Row],[Fecha Aplicacion]])</f>
        <v>46210</v>
      </c>
      <c r="L194" s="55">
        <f>INDEX(Clientes[Días Plazo],MATCH(Cobros[[#This Row],[Cod. Cliente]],Clientes[Codigo],0),1)</f>
        <v>0</v>
      </c>
      <c r="M194" s="45" t="str">
        <f>IF(Cobros[[#This Row],[Dias de Credito]]&lt;=0,"Contado","Credito")</f>
        <v>Contado</v>
      </c>
      <c r="N194" s="45">
        <f>Cobros[[#This Row],[Fecha Aplicación S]]-Cobros[[#This Row],[Fecha Cargo S]]</f>
        <v>0</v>
      </c>
      <c r="O194" s="45">
        <f>Cobros[[#This Row],[Dias al pago]]-Cobros[[#This Row],[Dias de Credito]]</f>
        <v>0</v>
      </c>
      <c r="P194" s="45">
        <f>SUMIFS(TablaDias[Porcentaje],TablaDias[Tipo],Cobros[[#This Row],[Tipo]],TablaDias[Desde ],"&lt;="&amp;MAX(0,Cobros[[#This Row],[Dias pasado]]),TablaDias[Hasta ],"&gt;="&amp;Cobros[[#This Row],[Dias pasado]])</f>
        <v>100</v>
      </c>
      <c r="Q1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4">
        <f>IF(COUNTIF(PAPEL[Numero],Cobros[[#This Row],[Doc. Cargo]])&gt;0,1,0)</f>
        <v>0</v>
      </c>
      <c r="S194" s="46">
        <f t="array" ref="S1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94" s="46">
        <f t="array" ref="T194">INDEX(Ventas[[Unidades]:[2]],MATCH("Gerente de Venta",Ventas[Vendedor %],0),6+Cobros[[#This Row],[Mes]])</f>
        <v>0.005</v>
      </c>
      <c r="U194" s="34">
        <f>IF(Cobros[[#This Row],[Tipo]]="Credito",IF(60&gt;=Cobros[[#This Row],[Dias al pago]],1,0),IF(Cobros[[#This Row],[Dias al pago]]&lt;=3,1,0))</f>
        <v>1</v>
      </c>
      <c r="V194" s="46">
        <f>(Cobros[[#This Row],[% A pagar Vendedor]]/100)*Cobros[[#This Row],[Valor Pagado]]*Cobros[[#This Row],[Vencido]]*(Cobros[[#This Row],[% aplicar]]/100)*IF(Cobros[[#This Row],[% A pagar Vendedor]]&gt;0,1,0)</f>
        <v>112.32</v>
      </c>
      <c r="W194" s="46">
        <f>0.5%*Cobros[[#This Row],[Valor Pagado]]</f>
        <v>56.16</v>
      </c>
    </row>
    <row r="195" ht="30" spans="1:24">
      <c r="A195" s="49" t="s">
        <v>3875</v>
      </c>
      <c r="B195" s="49" t="s">
        <v>4170</v>
      </c>
      <c r="C195" s="49" t="s">
        <v>586</v>
      </c>
      <c r="D195" s="49" t="s">
        <v>587</v>
      </c>
      <c r="E195" s="49" t="s">
        <v>4171</v>
      </c>
      <c r="F195" s="51">
        <v>46210</v>
      </c>
      <c r="G195" s="49">
        <v>388.5</v>
      </c>
      <c r="H195" s="49" t="s">
        <v>3865</v>
      </c>
      <c r="I195" s="51">
        <v>46210</v>
      </c>
      <c r="J195" s="54">
        <f>INT(Cobros[[#This Row],[Fecha Cargo]])</f>
        <v>46210</v>
      </c>
      <c r="K195" s="54">
        <f>INT(Cobros[[#This Row],[Fecha Aplicacion]])</f>
        <v>46210</v>
      </c>
      <c r="L195" s="55">
        <f>INDEX(Clientes[Días Plazo],MATCH(Cobros[[#This Row],[Cod. Cliente]],Clientes[Codigo],0),1)</f>
        <v>0</v>
      </c>
      <c r="M195" s="45" t="str">
        <f>IF(Cobros[[#This Row],[Dias de Credito]]&lt;=0,"Contado","Credito")</f>
        <v>Contado</v>
      </c>
      <c r="N195" s="45">
        <v>0</v>
      </c>
      <c r="O195" s="45">
        <f>Cobros[[#This Row],[Dias al pago]]-Cobros[[#This Row],[Dias de Credito]]</f>
        <v>0</v>
      </c>
      <c r="P195" s="45">
        <f>SUMIFS(TablaDias[Porcentaje],TablaDias[Tipo],Cobros[[#This Row],[Tipo]],TablaDias[Desde ],"&lt;="&amp;MAX(0,Cobros[[#This Row],[Dias pasado]]),TablaDias[Hasta ],"&gt;="&amp;Cobros[[#This Row],[Dias pasado]])</f>
        <v>100</v>
      </c>
      <c r="Q1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5">
        <f>IF(COUNTIF(PAPEL[Numero],Cobros[[#This Row],[Doc. Cargo]])&gt;0,1,0)</f>
        <v>0</v>
      </c>
      <c r="S195" s="46">
        <v>1</v>
      </c>
      <c r="T195" s="46">
        <f t="array" ref="T195">INDEX(Ventas[[Unidades]:[2]],MATCH("Gerente de Venta",Ventas[Vendedor %],0),6+Cobros[[#This Row],[Mes]])</f>
        <v>0.005</v>
      </c>
      <c r="U195" s="34">
        <v>1</v>
      </c>
      <c r="V195" s="46">
        <f>(Cobros[[#This Row],[% A pagar Vendedor]]/100)*Cobros[[#This Row],[Valor Pagado]]*Cobros[[#This Row],[Vencido]]*(Cobros[[#This Row],[% aplicar]]/100)*IF(Cobros[[#This Row],[% A pagar Vendedor]]&gt;0,1,0)</f>
        <v>3.885</v>
      </c>
      <c r="W195" s="46">
        <f>0.5%*Cobros[[#This Row],[Valor Pagado]]</f>
        <v>1.9425</v>
      </c>
      <c r="X195" s="60"/>
    </row>
    <row r="196" spans="1:23">
      <c r="A196" s="49" t="s">
        <v>3860</v>
      </c>
      <c r="B196" s="49" t="s">
        <v>4172</v>
      </c>
      <c r="C196" s="49" t="s">
        <v>1478</v>
      </c>
      <c r="D196" s="49" t="s">
        <v>1479</v>
      </c>
      <c r="E196" s="49" t="s">
        <v>4173</v>
      </c>
      <c r="F196" s="51">
        <v>46210</v>
      </c>
      <c r="G196" s="49">
        <v>23.1</v>
      </c>
      <c r="H196" s="49" t="s">
        <v>18</v>
      </c>
      <c r="I196" s="51">
        <v>46210</v>
      </c>
      <c r="J196" s="54">
        <f>INT(Cobros[[#This Row],[Fecha Cargo]])</f>
        <v>46210</v>
      </c>
      <c r="K196" s="54">
        <f>INT(Cobros[[#This Row],[Fecha Aplicacion]])</f>
        <v>46210</v>
      </c>
      <c r="L196" s="55" t="str">
        <f>INDEX(Clientes[Días Plazo],MATCH(Cobros[[#This Row],[Cod. Cliente]],Clientes[Codigo],0),1)</f>
        <v>3</v>
      </c>
      <c r="M196" s="45" t="str">
        <f>IF(Cobros[[#This Row],[Dias de Credito]]&lt;=0,"Contado","Credito")</f>
        <v>Credito</v>
      </c>
      <c r="N196" s="45">
        <f>Cobros[[#This Row],[Fecha Aplicación S]]-Cobros[[#This Row],[Fecha Cargo S]]</f>
        <v>0</v>
      </c>
      <c r="O196" s="45">
        <f>Cobros[[#This Row],[Dias al pago]]-Cobros[[#This Row],[Dias de Credito]]</f>
        <v>-3</v>
      </c>
      <c r="P196" s="45">
        <f>SUMIFS(TablaDias[Porcentaje],TablaDias[Tipo],Cobros[[#This Row],[Tipo]],TablaDias[Desde ],"&lt;="&amp;MAX(0,Cobros[[#This Row],[Dias pasado]]),TablaDias[Hasta ],"&gt;="&amp;Cobros[[#This Row],[Dias pasado]])</f>
        <v>100</v>
      </c>
      <c r="Q1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96">
        <f>IF(COUNTIF(PAPEL[Numero],Cobros[[#This Row],[Doc. Cargo]])&gt;0,1,0)</f>
        <v>0</v>
      </c>
      <c r="S196" s="46">
        <f t="array" ref="S1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96" s="46">
        <f t="array" ref="T196">INDEX(Ventas[[Unidades]:[2]],MATCH("Gerente de Venta",Ventas[Vendedor %],0),6+Cobros[[#This Row],[Mes]])</f>
        <v>0.005</v>
      </c>
      <c r="U196" s="34">
        <f>IF(Cobros[[#This Row],[Tipo]]="Credito",IF(60&gt;=Cobros[[#This Row],[Dias al pago]],1,0),IF(Cobros[[#This Row],[Dias al pago]]&lt;=3,1,0))</f>
        <v>1</v>
      </c>
      <c r="V196" s="46">
        <f>(Cobros[[#This Row],[% A pagar Vendedor]]/100)*Cobros[[#This Row],[Valor Pagado]]*Cobros[[#This Row],[Vencido]]*(Cobros[[#This Row],[% aplicar]]/100)*IF(Cobros[[#This Row],[% A pagar Vendedor]]&gt;0,1,0)</f>
        <v>0.28875</v>
      </c>
      <c r="W196" s="46">
        <f>0.5%*Cobros[[#This Row],[Valor Pagado]]</f>
        <v>0.1155</v>
      </c>
    </row>
    <row r="197" ht="30" spans="1:23">
      <c r="A197" s="49" t="s">
        <v>3931</v>
      </c>
      <c r="B197" s="49" t="s">
        <v>4174</v>
      </c>
      <c r="C197" s="49" t="s">
        <v>1790</v>
      </c>
      <c r="D197" s="49" t="s">
        <v>1791</v>
      </c>
      <c r="E197" s="49" t="s">
        <v>4175</v>
      </c>
      <c r="F197" s="51">
        <v>46183</v>
      </c>
      <c r="G197" s="49">
        <v>278.5</v>
      </c>
      <c r="H197" s="49" t="s">
        <v>22</v>
      </c>
      <c r="I197" s="51">
        <v>46210</v>
      </c>
      <c r="J197" s="54">
        <f>INT(Cobros[[#This Row],[Fecha Cargo]])</f>
        <v>46183</v>
      </c>
      <c r="K197" s="54">
        <f>INT(Cobros[[#This Row],[Fecha Aplicacion]])</f>
        <v>46210</v>
      </c>
      <c r="L197" s="55" t="str">
        <f>INDEX(Clientes[Días Plazo],MATCH(Cobros[[#This Row],[Cod. Cliente]],Clientes[Codigo],0),1)</f>
        <v>15</v>
      </c>
      <c r="M197" s="45" t="str">
        <f>IF(Cobros[[#This Row],[Dias de Credito]]&lt;=0,"Contado","Credito")</f>
        <v>Credito</v>
      </c>
      <c r="N197" s="45">
        <f>Cobros[[#This Row],[Fecha Aplicación S]]-Cobros[[#This Row],[Fecha Cargo S]]</f>
        <v>27</v>
      </c>
      <c r="O197" s="45">
        <f>Cobros[[#This Row],[Dias al pago]]-Cobros[[#This Row],[Dias de Credito]]</f>
        <v>12</v>
      </c>
      <c r="P197" s="45">
        <f>SUMIFS(TablaDias[Porcentaje],TablaDias[Tipo],Cobros[[#This Row],[Tipo]],TablaDias[Desde ],"&lt;="&amp;MAX(0,Cobros[[#This Row],[Dias pasado]]),TablaDias[Hasta ],"&gt;="&amp;Cobros[[#This Row],[Dias pasado]])</f>
        <v>100</v>
      </c>
      <c r="Q1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97">
        <f>IF(COUNTIF(PAPEL[Numero],Cobros[[#This Row],[Doc. Cargo]])&gt;0,1,0)</f>
        <v>0</v>
      </c>
      <c r="S197" s="46">
        <f t="array" ref="S1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97" s="46">
        <f t="array" ref="T197">INDEX(Ventas[[Unidades]:[2]],MATCH("Gerente de Venta",Ventas[Vendedor %],0),6+Cobros[[#This Row],[Mes]])</f>
        <v>0.005</v>
      </c>
      <c r="U197" s="34">
        <f>IF(Cobros[[#This Row],[Tipo]]="Credito",IF(60&gt;=Cobros[[#This Row],[Dias al pago]],1,0),IF(Cobros[[#This Row],[Dias al pago]]&lt;=3,1,0))</f>
        <v>1</v>
      </c>
      <c r="V197" s="46">
        <f>(Cobros[[#This Row],[% A pagar Vendedor]]/100)*Cobros[[#This Row],[Valor Pagado]]*Cobros[[#This Row],[Vencido]]*(Cobros[[#This Row],[% aplicar]]/100)*IF(Cobros[[#This Row],[% A pagar Vendedor]]&gt;0,1,0)</f>
        <v>2.785</v>
      </c>
      <c r="W197" s="46">
        <f>0.5%*Cobros[[#This Row],[Valor Pagado]]</f>
        <v>1.3925</v>
      </c>
    </row>
    <row r="198" ht="30" spans="1:23">
      <c r="A198" s="49" t="s">
        <v>3931</v>
      </c>
      <c r="B198" s="49" t="s">
        <v>4176</v>
      </c>
      <c r="C198" s="49" t="s">
        <v>1790</v>
      </c>
      <c r="D198" s="49" t="s">
        <v>1791</v>
      </c>
      <c r="E198" s="49" t="s">
        <v>4175</v>
      </c>
      <c r="F198" s="51">
        <v>46183</v>
      </c>
      <c r="G198" s="49">
        <v>300</v>
      </c>
      <c r="H198" s="49" t="s">
        <v>22</v>
      </c>
      <c r="I198" s="51">
        <v>46210</v>
      </c>
      <c r="J198" s="54">
        <f>INT(Cobros[[#This Row],[Fecha Cargo]])</f>
        <v>46183</v>
      </c>
      <c r="K198" s="54">
        <f>INT(Cobros[[#This Row],[Fecha Aplicacion]])</f>
        <v>46210</v>
      </c>
      <c r="L198" s="55" t="str">
        <f>INDEX(Clientes[Días Plazo],MATCH(Cobros[[#This Row],[Cod. Cliente]],Clientes[Codigo],0),1)</f>
        <v>15</v>
      </c>
      <c r="M198" s="45" t="str">
        <f>IF(Cobros[[#This Row],[Dias de Credito]]&lt;=0,"Contado","Credito")</f>
        <v>Credito</v>
      </c>
      <c r="N198" s="45">
        <f>Cobros[[#This Row],[Fecha Aplicación S]]-Cobros[[#This Row],[Fecha Cargo S]]</f>
        <v>27</v>
      </c>
      <c r="O198" s="45">
        <f>Cobros[[#This Row],[Dias al pago]]-Cobros[[#This Row],[Dias de Credito]]</f>
        <v>12</v>
      </c>
      <c r="P198" s="45">
        <f>SUMIFS(TablaDias[Porcentaje],TablaDias[Tipo],Cobros[[#This Row],[Tipo]],TablaDias[Desde ],"&lt;="&amp;MAX(0,Cobros[[#This Row],[Dias pasado]]),TablaDias[Hasta ],"&gt;="&amp;Cobros[[#This Row],[Dias pasado]])</f>
        <v>100</v>
      </c>
      <c r="Q1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98">
        <f>IF(COUNTIF(PAPEL[Numero],Cobros[[#This Row],[Doc. Cargo]])&gt;0,1,0)</f>
        <v>0</v>
      </c>
      <c r="S198" s="46">
        <f t="array" ref="S1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98" s="46">
        <f t="array" ref="T198">INDEX(Ventas[[Unidades]:[2]],MATCH("Gerente de Venta",Ventas[Vendedor %],0),6+Cobros[[#This Row],[Mes]])</f>
        <v>0.005</v>
      </c>
      <c r="U198" s="34">
        <f>IF(Cobros[[#This Row],[Tipo]]="Credito",IF(60&gt;=Cobros[[#This Row],[Dias al pago]],1,0),IF(Cobros[[#This Row],[Dias al pago]]&lt;=3,1,0))</f>
        <v>1</v>
      </c>
      <c r="V198" s="46">
        <f>(Cobros[[#This Row],[% A pagar Vendedor]]/100)*Cobros[[#This Row],[Valor Pagado]]*Cobros[[#This Row],[Vencido]]*(Cobros[[#This Row],[% aplicar]]/100)*IF(Cobros[[#This Row],[% A pagar Vendedor]]&gt;0,1,0)</f>
        <v>3</v>
      </c>
      <c r="W198" s="46">
        <f>0.5%*Cobros[[#This Row],[Valor Pagado]]</f>
        <v>1.5</v>
      </c>
    </row>
    <row r="199" ht="30" spans="1:23">
      <c r="A199" s="49" t="s">
        <v>3931</v>
      </c>
      <c r="B199" s="49" t="s">
        <v>4177</v>
      </c>
      <c r="C199" s="49" t="s">
        <v>1790</v>
      </c>
      <c r="D199" s="49" t="s">
        <v>1791</v>
      </c>
      <c r="E199" s="49" t="s">
        <v>4178</v>
      </c>
      <c r="F199" s="51">
        <v>46191</v>
      </c>
      <c r="G199" s="49">
        <v>132.5</v>
      </c>
      <c r="H199" s="49" t="s">
        <v>22</v>
      </c>
      <c r="I199" s="51">
        <v>46210</v>
      </c>
      <c r="J199" s="54">
        <f>INT(Cobros[[#This Row],[Fecha Cargo]])</f>
        <v>46191</v>
      </c>
      <c r="K199" s="54">
        <f>INT(Cobros[[#This Row],[Fecha Aplicacion]])</f>
        <v>46210</v>
      </c>
      <c r="L199" s="55" t="str">
        <f>INDEX(Clientes[Días Plazo],MATCH(Cobros[[#This Row],[Cod. Cliente]],Clientes[Codigo],0),1)</f>
        <v>15</v>
      </c>
      <c r="M199" s="45" t="str">
        <f>IF(Cobros[[#This Row],[Dias de Credito]]&lt;=0,"Contado","Credito")</f>
        <v>Credito</v>
      </c>
      <c r="N199" s="45">
        <f>Cobros[[#This Row],[Fecha Aplicación S]]-Cobros[[#This Row],[Fecha Cargo S]]</f>
        <v>19</v>
      </c>
      <c r="O199" s="45">
        <f>Cobros[[#This Row],[Dias al pago]]-Cobros[[#This Row],[Dias de Credito]]</f>
        <v>4</v>
      </c>
      <c r="P199" s="45">
        <f>SUMIFS(TablaDias[Porcentaje],TablaDias[Tipo],Cobros[[#This Row],[Tipo]],TablaDias[Desde ],"&lt;="&amp;MAX(0,Cobros[[#This Row],[Dias pasado]]),TablaDias[Hasta ],"&gt;="&amp;Cobros[[#This Row],[Dias pasado]])</f>
        <v>100</v>
      </c>
      <c r="Q1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99">
        <f>IF(COUNTIF(PAPEL[Numero],Cobros[[#This Row],[Doc. Cargo]])&gt;0,1,0)</f>
        <v>0</v>
      </c>
      <c r="S199" s="46">
        <f t="array" ref="S1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99" s="46">
        <f t="array" ref="T199">INDEX(Ventas[[Unidades]:[2]],MATCH("Gerente de Venta",Ventas[Vendedor %],0),6+Cobros[[#This Row],[Mes]])</f>
        <v>0.005</v>
      </c>
      <c r="U199" s="34">
        <f>IF(Cobros[[#This Row],[Tipo]]="Credito",IF(60&gt;=Cobros[[#This Row],[Dias al pago]],1,0),IF(Cobros[[#This Row],[Dias al pago]]&lt;=3,1,0))</f>
        <v>1</v>
      </c>
      <c r="V199" s="46">
        <f>(Cobros[[#This Row],[% A pagar Vendedor]]/100)*Cobros[[#This Row],[Valor Pagado]]*Cobros[[#This Row],[Vencido]]*(Cobros[[#This Row],[% aplicar]]/100)*IF(Cobros[[#This Row],[% A pagar Vendedor]]&gt;0,1,0)</f>
        <v>1.325</v>
      </c>
      <c r="W199" s="46">
        <f>0.5%*Cobros[[#This Row],[Valor Pagado]]</f>
        <v>0.6625</v>
      </c>
    </row>
    <row r="200" ht="30" spans="1:23">
      <c r="A200" s="49" t="s">
        <v>3931</v>
      </c>
      <c r="B200" s="49" t="s">
        <v>4179</v>
      </c>
      <c r="C200" s="49" t="s">
        <v>3303</v>
      </c>
      <c r="D200" s="49" t="s">
        <v>3304</v>
      </c>
      <c r="E200" s="49" t="s">
        <v>4128</v>
      </c>
      <c r="F200" s="51">
        <v>46181</v>
      </c>
      <c r="G200" s="49">
        <v>2222.49</v>
      </c>
      <c r="H200" s="49" t="s">
        <v>3865</v>
      </c>
      <c r="I200" s="51">
        <v>46210</v>
      </c>
      <c r="J200" s="54">
        <f>INT(Cobros[[#This Row],[Fecha Cargo]])</f>
        <v>46181</v>
      </c>
      <c r="K200" s="54">
        <f>INT(Cobros[[#This Row],[Fecha Aplicacion]])</f>
        <v>46210</v>
      </c>
      <c r="L200" s="55" t="str">
        <f>INDEX(Clientes[Días Plazo],MATCH(Cobros[[#This Row],[Cod. Cliente]],Clientes[Codigo],0),1)</f>
        <v>15</v>
      </c>
      <c r="M200" s="45" t="str">
        <f>IF(Cobros[[#This Row],[Dias de Credito]]&lt;=0,"Contado","Credito")</f>
        <v>Credito</v>
      </c>
      <c r="N200" s="45">
        <f>Cobros[[#This Row],[Fecha Aplicación S]]-Cobros[[#This Row],[Fecha Cargo S]]</f>
        <v>29</v>
      </c>
      <c r="O200" s="45">
        <f>Cobros[[#This Row],[Dias al pago]]-Cobros[[#This Row],[Dias de Credito]]</f>
        <v>14</v>
      </c>
      <c r="P200" s="45">
        <f>SUMIFS(TablaDias[Porcentaje],TablaDias[Tipo],Cobros[[#This Row],[Tipo]],TablaDias[Desde ],"&lt;="&amp;MAX(0,Cobros[[#This Row],[Dias pasado]]),TablaDias[Hasta ],"&gt;="&amp;Cobros[[#This Row],[Dias pasado]])</f>
        <v>100</v>
      </c>
      <c r="Q2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00">
        <f>IF(COUNTIF(PAPEL[Numero],Cobros[[#This Row],[Doc. Cargo]])&gt;0,1,0)</f>
        <v>0</v>
      </c>
      <c r="S200" s="46">
        <v>1</v>
      </c>
      <c r="T200" s="46">
        <f t="array" ref="T200">INDEX(Ventas[[Unidades]:[2]],MATCH("Gerente de Venta",Ventas[Vendedor %],0),6+Cobros[[#This Row],[Mes]])</f>
        <v>0.005</v>
      </c>
      <c r="U200" s="34">
        <f>IF(Cobros[[#This Row],[Tipo]]="Credito",IF(60&gt;=Cobros[[#This Row],[Dias al pago]],1,0),IF(Cobros[[#This Row],[Dias al pago]]&lt;=3,1,0))</f>
        <v>1</v>
      </c>
      <c r="V200" s="46">
        <f>(Cobros[[#This Row],[% A pagar Vendedor]]/100)*Cobros[[#This Row],[Valor Pagado]]*Cobros[[#This Row],[Vencido]]*(Cobros[[#This Row],[% aplicar]]/100)*IF(Cobros[[#This Row],[% A pagar Vendedor]]&gt;0,1,0)</f>
        <v>22.2249</v>
      </c>
      <c r="W200" s="46">
        <f>0.5%*Cobros[[#This Row],[Valor Pagado]]</f>
        <v>11.11245</v>
      </c>
    </row>
    <row r="201" ht="30" spans="1:24">
      <c r="A201" s="49" t="s">
        <v>3931</v>
      </c>
      <c r="B201" s="49" t="s">
        <v>4179</v>
      </c>
      <c r="C201" s="49" t="s">
        <v>3303</v>
      </c>
      <c r="D201" s="49" t="s">
        <v>3304</v>
      </c>
      <c r="E201" s="49" t="s">
        <v>4180</v>
      </c>
      <c r="F201" s="51">
        <v>46182</v>
      </c>
      <c r="G201" s="49">
        <v>216</v>
      </c>
      <c r="H201" s="49" t="s">
        <v>3865</v>
      </c>
      <c r="I201" s="51">
        <v>46210</v>
      </c>
      <c r="J201" s="54">
        <f>INT(Cobros[[#This Row],[Fecha Cargo]])</f>
        <v>46182</v>
      </c>
      <c r="K201" s="54">
        <f>INT(Cobros[[#This Row],[Fecha Aplicacion]])</f>
        <v>46210</v>
      </c>
      <c r="L201" s="55" t="str">
        <f>INDEX(Clientes[Días Plazo],MATCH(Cobros[[#This Row],[Cod. Cliente]],Clientes[Codigo],0),1)</f>
        <v>15</v>
      </c>
      <c r="M201" s="45" t="str">
        <f>IF(Cobros[[#This Row],[Dias de Credito]]&lt;=0,"Contado","Credito")</f>
        <v>Credito</v>
      </c>
      <c r="N201" s="45">
        <f>Cobros[[#This Row],[Fecha Aplicación S]]-Cobros[[#This Row],[Fecha Cargo S]]</f>
        <v>28</v>
      </c>
      <c r="O201" s="45">
        <f>Cobros[[#This Row],[Dias al pago]]-Cobros[[#This Row],[Dias de Credito]]</f>
        <v>13</v>
      </c>
      <c r="P201" s="45">
        <f>SUMIFS(TablaDias[Porcentaje],TablaDias[Tipo],Cobros[[#This Row],[Tipo]],TablaDias[Desde ],"&lt;="&amp;MAX(0,Cobros[[#This Row],[Dias pasado]]),TablaDias[Hasta ],"&gt;="&amp;Cobros[[#This Row],[Dias pasado]])</f>
        <v>100</v>
      </c>
      <c r="Q20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01">
        <f>IF(COUNTIF(PAPEL[Numero],Cobros[[#This Row],[Doc. Cargo]])&gt;0,1,0)</f>
        <v>0</v>
      </c>
      <c r="S201" s="46">
        <v>1</v>
      </c>
      <c r="T201" s="46">
        <f t="array" ref="T201">INDEX(Ventas[[Unidades]:[2]],MATCH("Gerente de Venta",Ventas[Vendedor %],0),6+Cobros[[#This Row],[Mes]])</f>
        <v>0.005</v>
      </c>
      <c r="U201" s="34">
        <f>IF(Cobros[[#This Row],[Tipo]]="Credito",IF(60&gt;=Cobros[[#This Row],[Dias al pago]],1,0),IF(Cobros[[#This Row],[Dias al pago]]&lt;=3,1,0))</f>
        <v>1</v>
      </c>
      <c r="V201" s="46">
        <f>(Cobros[[#This Row],[% A pagar Vendedor]]/100)*Cobros[[#This Row],[Valor Pagado]]*Cobros[[#This Row],[Vencido]]*(Cobros[[#This Row],[% aplicar]]/100)*IF(Cobros[[#This Row],[% A pagar Vendedor]]&gt;0,1,0)</f>
        <v>2.16</v>
      </c>
      <c r="W201" s="46">
        <f>0.5%*Cobros[[#This Row],[Valor Pagado]]</f>
        <v>1.08</v>
      </c>
      <c r="X201" s="34"/>
    </row>
    <row r="202" spans="1:23">
      <c r="A202" s="49" t="s">
        <v>3860</v>
      </c>
      <c r="B202" s="49" t="s">
        <v>4181</v>
      </c>
      <c r="C202" s="49" t="s">
        <v>833</v>
      </c>
      <c r="D202" s="49" t="s">
        <v>834</v>
      </c>
      <c r="E202" s="49" t="s">
        <v>4182</v>
      </c>
      <c r="F202" s="51">
        <v>46210</v>
      </c>
      <c r="G202" s="49">
        <v>259.8</v>
      </c>
      <c r="H202" s="49" t="s">
        <v>20</v>
      </c>
      <c r="I202" s="51">
        <v>46210</v>
      </c>
      <c r="J202" s="54">
        <f>INT(Cobros[[#This Row],[Fecha Cargo]])</f>
        <v>46210</v>
      </c>
      <c r="K202" s="54">
        <f>INT(Cobros[[#This Row],[Fecha Aplicacion]])</f>
        <v>46210</v>
      </c>
      <c r="L202" s="55">
        <f>INDEX(Clientes[Días Plazo],MATCH(Cobros[[#This Row],[Cod. Cliente]],Clientes[Codigo],0),1)</f>
        <v>0</v>
      </c>
      <c r="M202" s="45" t="str">
        <f>IF(Cobros[[#This Row],[Dias de Credito]]&lt;=0,"Contado","Credito")</f>
        <v>Contado</v>
      </c>
      <c r="N202" s="45">
        <f>Cobros[[#This Row],[Fecha Aplicación S]]-Cobros[[#This Row],[Fecha Cargo S]]</f>
        <v>0</v>
      </c>
      <c r="O202" s="45">
        <f>Cobros[[#This Row],[Dias al pago]]-Cobros[[#This Row],[Dias de Credito]]</f>
        <v>0</v>
      </c>
      <c r="P202" s="45">
        <f>SUMIFS(TablaDias[Porcentaje],TablaDias[Tipo],Cobros[[#This Row],[Tipo]],TablaDias[Desde ],"&lt;="&amp;MAX(0,Cobros[[#This Row],[Dias pasado]]),TablaDias[Hasta ],"&gt;="&amp;Cobros[[#This Row],[Dias pasado]])</f>
        <v>100</v>
      </c>
      <c r="Q202">
        <v>1</v>
      </c>
      <c r="R202">
        <f>IF(COUNTIF(PAPEL[Numero],Cobros[[#This Row],[Doc. Cargo]])&gt;0,1,0)</f>
        <v>0</v>
      </c>
      <c r="S202" s="46">
        <f t="array" ref="S2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2" s="46">
        <f t="array" ref="T202">INDEX(Ventas[[Unidades]:[2]],MATCH("Gerente de Venta",Ventas[Vendedor %],0),6+Cobros[[#This Row],[Mes]])</f>
        <v>0.005</v>
      </c>
      <c r="U202" s="34">
        <f>IF(Cobros[[#This Row],[Tipo]]="Credito",IF(60&gt;=Cobros[[#This Row],[Dias al pago]],1,0),IF(Cobros[[#This Row],[Dias al pago]]&lt;=3,1,0))</f>
        <v>1</v>
      </c>
      <c r="V202" s="46">
        <f>(Cobros[[#This Row],[% A pagar Vendedor]]/100)*Cobros[[#This Row],[Valor Pagado]]*Cobros[[#This Row],[Vencido]]*(Cobros[[#This Row],[% aplicar]]/100)*IF(Cobros[[#This Row],[% A pagar Vendedor]]&gt;0,1,0)</f>
        <v>3.2475</v>
      </c>
      <c r="W202" s="46">
        <f>0.5%*Cobros[[#This Row],[Valor Pagado]]</f>
        <v>1.299</v>
      </c>
    </row>
    <row r="203" spans="1:23">
      <c r="A203" s="49" t="s">
        <v>3860</v>
      </c>
      <c r="B203" s="49" t="s">
        <v>4183</v>
      </c>
      <c r="C203" s="49" t="s">
        <v>3040</v>
      </c>
      <c r="D203" s="49" t="s">
        <v>3041</v>
      </c>
      <c r="E203" s="49" t="s">
        <v>4184</v>
      </c>
      <c r="F203" s="51">
        <v>46210</v>
      </c>
      <c r="G203" s="49">
        <v>445</v>
      </c>
      <c r="H203" s="49" t="s">
        <v>18</v>
      </c>
      <c r="I203" s="51">
        <v>46210</v>
      </c>
      <c r="J203" s="54">
        <f>INT(Cobros[[#This Row],[Fecha Cargo]])</f>
        <v>46210</v>
      </c>
      <c r="K203" s="54">
        <f>INT(Cobros[[#This Row],[Fecha Aplicacion]])</f>
        <v>46210</v>
      </c>
      <c r="L203" s="55">
        <f>INDEX(Clientes[Días Plazo],MATCH(Cobros[[#This Row],[Cod. Cliente]],Clientes[Codigo],0),1)</f>
        <v>0</v>
      </c>
      <c r="M203" s="45" t="str">
        <f>IF(Cobros[[#This Row],[Dias de Credito]]&lt;=0,"Contado","Credito")</f>
        <v>Contado</v>
      </c>
      <c r="N203" s="45">
        <f>Cobros[[#This Row],[Fecha Aplicación S]]-Cobros[[#This Row],[Fecha Cargo S]]</f>
        <v>0</v>
      </c>
      <c r="O203" s="45">
        <f>Cobros[[#This Row],[Dias al pago]]-Cobros[[#This Row],[Dias de Credito]]</f>
        <v>0</v>
      </c>
      <c r="P203" s="45">
        <f>SUMIFS(TablaDias[Porcentaje],TablaDias[Tipo],Cobros[[#This Row],[Tipo]],TablaDias[Desde ],"&lt;="&amp;MAX(0,Cobros[[#This Row],[Dias pasado]]),TablaDias[Hasta ],"&gt;="&amp;Cobros[[#This Row],[Dias pasado]])</f>
        <v>100</v>
      </c>
      <c r="Q2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03">
        <f>IF(COUNTIF(PAPEL[Numero],Cobros[[#This Row],[Doc. Cargo]])&gt;0,1,0)</f>
        <v>0</v>
      </c>
      <c r="S203" s="46">
        <f t="array" ref="S2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3" s="46">
        <f t="array" ref="T203">INDEX(Ventas[[Unidades]:[2]],MATCH("Gerente de Venta",Ventas[Vendedor %],0),6+Cobros[[#This Row],[Mes]])</f>
        <v>0.005</v>
      </c>
      <c r="U203" s="34">
        <f>IF(Cobros[[#This Row],[Tipo]]="Credito",IF(60&gt;=Cobros[[#This Row],[Dias al pago]],1,0),IF(Cobros[[#This Row],[Dias al pago]]&lt;=3,1,0))</f>
        <v>1</v>
      </c>
      <c r="V203" s="46">
        <f>(Cobros[[#This Row],[% A pagar Vendedor]]/100)*Cobros[[#This Row],[Valor Pagado]]*Cobros[[#This Row],[Vencido]]*(Cobros[[#This Row],[% aplicar]]/100)*IF(Cobros[[#This Row],[% A pagar Vendedor]]&gt;0,1,0)</f>
        <v>5.5625</v>
      </c>
      <c r="W203" s="46">
        <f>0.5%*Cobros[[#This Row],[Valor Pagado]]</f>
        <v>2.225</v>
      </c>
    </row>
    <row r="204" ht="30" spans="1:23">
      <c r="A204" s="49" t="s">
        <v>3931</v>
      </c>
      <c r="B204" s="49" t="s">
        <v>4185</v>
      </c>
      <c r="C204" s="49" t="s">
        <v>2863</v>
      </c>
      <c r="D204" s="49" t="s">
        <v>2864</v>
      </c>
      <c r="E204" s="49" t="s">
        <v>4186</v>
      </c>
      <c r="F204" s="51">
        <v>46157</v>
      </c>
      <c r="G204" s="49">
        <v>5931</v>
      </c>
      <c r="H204" s="49" t="s">
        <v>22</v>
      </c>
      <c r="I204" s="51">
        <v>46210</v>
      </c>
      <c r="J204" s="54">
        <f>INT(Cobros[[#This Row],[Fecha Cargo]])</f>
        <v>46157</v>
      </c>
      <c r="K204" s="54">
        <f>INT(Cobros[[#This Row],[Fecha Aplicacion]])</f>
        <v>46210</v>
      </c>
      <c r="L204" s="55" t="str">
        <f>INDEX(Clientes[Días Plazo],MATCH(Cobros[[#This Row],[Cod. Cliente]],Clientes[Codigo],0),1)</f>
        <v>30</v>
      </c>
      <c r="M204" s="45" t="str">
        <f>IF(Cobros[[#This Row],[Dias de Credito]]&lt;=0,"Contado","Credito")</f>
        <v>Credito</v>
      </c>
      <c r="N204" s="45">
        <f>Cobros[[#This Row],[Fecha Aplicación S]]-Cobros[[#This Row],[Fecha Cargo S]]</f>
        <v>53</v>
      </c>
      <c r="O204" s="45">
        <f>Cobros[[#This Row],[Dias al pago]]-Cobros[[#This Row],[Dias de Credito]]</f>
        <v>23</v>
      </c>
      <c r="P204" s="45">
        <f>SUMIFS(TablaDias[Porcentaje],TablaDias[Tipo],Cobros[[#This Row],[Tipo]],TablaDias[Desde ],"&lt;="&amp;MAX(0,Cobros[[#This Row],[Dias pasado]]),TablaDias[Hasta ],"&gt;="&amp;Cobros[[#This Row],[Dias pasado]])</f>
        <v>50</v>
      </c>
      <c r="Q2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04">
        <f>IF(COUNTIF(PAPEL[Numero],Cobros[[#This Row],[Doc. Cargo]])&gt;0,1,0)</f>
        <v>0</v>
      </c>
      <c r="S204" s="46">
        <f t="array" ref="S2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04" s="46">
        <f t="array" ref="T204">INDEX(Ventas[[Unidades]:[2]],MATCH("Gerente de Venta",Ventas[Vendedor %],0),6+Cobros[[#This Row],[Mes]])</f>
        <v>0.005</v>
      </c>
      <c r="U204" s="34">
        <f>IF(Cobros[[#This Row],[Tipo]]="Credito",IF(60&gt;=Cobros[[#This Row],[Dias al pago]],1,0),IF(Cobros[[#This Row],[Dias al pago]]&lt;=3,1,0))</f>
        <v>1</v>
      </c>
      <c r="V204" s="46">
        <f>(Cobros[[#This Row],[% A pagar Vendedor]]/100)*Cobros[[#This Row],[Valor Pagado]]*Cobros[[#This Row],[Vencido]]*(Cobros[[#This Row],[% aplicar]]/100)*IF(Cobros[[#This Row],[% A pagar Vendedor]]&gt;0,1,0)</f>
        <v>29.655</v>
      </c>
      <c r="W204" s="46">
        <f>0.5%*Cobros[[#This Row],[Valor Pagado]]</f>
        <v>29.655</v>
      </c>
    </row>
    <row r="205" spans="1:23">
      <c r="A205" s="49" t="s">
        <v>3860</v>
      </c>
      <c r="B205" s="49" t="s">
        <v>4187</v>
      </c>
      <c r="C205" s="49" t="s">
        <v>255</v>
      </c>
      <c r="D205" s="49" t="s">
        <v>256</v>
      </c>
      <c r="E205" s="49" t="s">
        <v>4048</v>
      </c>
      <c r="F205" s="51">
        <v>46190</v>
      </c>
      <c r="G205" s="49">
        <v>100</v>
      </c>
      <c r="H205" s="49" t="s">
        <v>16</v>
      </c>
      <c r="I205" s="51">
        <v>46210</v>
      </c>
      <c r="J205" s="54">
        <f>INT(Cobros[[#This Row],[Fecha Cargo]])</f>
        <v>46190</v>
      </c>
      <c r="K205" s="54">
        <f>INT(Cobros[[#This Row],[Fecha Aplicacion]])</f>
        <v>46210</v>
      </c>
      <c r="L205" s="55" t="str">
        <f>INDEX(Clientes[Días Plazo],MATCH(Cobros[[#This Row],[Cod. Cliente]],Clientes[Codigo],0),1)</f>
        <v>15</v>
      </c>
      <c r="M205" s="45" t="str">
        <f>IF(Cobros[[#This Row],[Dias de Credito]]&lt;=0,"Contado","Credito")</f>
        <v>Credito</v>
      </c>
      <c r="N205" s="45">
        <f>Cobros[[#This Row],[Fecha Aplicación S]]-Cobros[[#This Row],[Fecha Cargo S]]</f>
        <v>20</v>
      </c>
      <c r="O205" s="45">
        <f>Cobros[[#This Row],[Dias al pago]]-Cobros[[#This Row],[Dias de Credito]]</f>
        <v>5</v>
      </c>
      <c r="P205" s="45">
        <f>SUMIFS(TablaDias[Porcentaje],TablaDias[Tipo],Cobros[[#This Row],[Tipo]],TablaDias[Desde ],"&lt;="&amp;MAX(0,Cobros[[#This Row],[Dias pasado]]),TablaDias[Hasta ],"&gt;="&amp;Cobros[[#This Row],[Dias pasado]])</f>
        <v>100</v>
      </c>
      <c r="Q2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05">
        <f>IF(COUNTIF(PAPEL[Numero],Cobros[[#This Row],[Doc. Cargo]])&gt;0,1,0)</f>
        <v>0</v>
      </c>
      <c r="S205" s="46">
        <f t="array" ref="S2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05" s="47">
        <v>0.005</v>
      </c>
      <c r="U205" s="34">
        <f>IF(Cobros[[#This Row],[Tipo]]="Credito",IF(60&gt;=Cobros[[#This Row],[Dias al pago]],1,0),IF(Cobros[[#This Row],[Dias al pago]]&lt;=3,1,0))</f>
        <v>1</v>
      </c>
      <c r="V205" s="46">
        <f>(Cobros[[#This Row],[% A pagar Vendedor]]/100)*Cobros[[#This Row],[Valor Pagado]]*Cobros[[#This Row],[Vencido]]*(Cobros[[#This Row],[% aplicar]]/100)*IF(Cobros[[#This Row],[% A pagar Vendedor]]&gt;0,1,0)</f>
        <v>1</v>
      </c>
      <c r="W205" s="46">
        <f>0.5%*Cobros[[#This Row],[Valor Pagado]]</f>
        <v>0.5</v>
      </c>
    </row>
    <row r="206" spans="1:23">
      <c r="A206" s="49" t="s">
        <v>3875</v>
      </c>
      <c r="B206" s="49" t="s">
        <v>4188</v>
      </c>
      <c r="C206" s="49" t="s">
        <v>2023</v>
      </c>
      <c r="D206" s="49" t="s">
        <v>2024</v>
      </c>
      <c r="E206" s="49" t="s">
        <v>4189</v>
      </c>
      <c r="F206" s="51">
        <v>46210</v>
      </c>
      <c r="G206" s="49">
        <v>1460</v>
      </c>
      <c r="H206" s="49" t="s">
        <v>18</v>
      </c>
      <c r="I206" s="51">
        <v>46210</v>
      </c>
      <c r="J206" s="54">
        <f>INT(Cobros[[#This Row],[Fecha Cargo]])</f>
        <v>46210</v>
      </c>
      <c r="K206" s="54">
        <f>INT(Cobros[[#This Row],[Fecha Aplicacion]])</f>
        <v>46210</v>
      </c>
      <c r="L206" s="55">
        <f>INDEX(Clientes[Días Plazo],MATCH(Cobros[[#This Row],[Cod. Cliente]],Clientes[Codigo],0),1)</f>
        <v>0</v>
      </c>
      <c r="M206" s="45" t="str">
        <f>IF(Cobros[[#This Row],[Dias de Credito]]&lt;=0,"Contado","Credito")</f>
        <v>Contado</v>
      </c>
      <c r="N206" s="45">
        <f>Cobros[[#This Row],[Fecha Aplicación S]]-Cobros[[#This Row],[Fecha Cargo S]]</f>
        <v>0</v>
      </c>
      <c r="O206" s="45">
        <f>Cobros[[#This Row],[Dias al pago]]-Cobros[[#This Row],[Dias de Credito]]</f>
        <v>0</v>
      </c>
      <c r="P206" s="45">
        <f>SUMIFS(TablaDias[Porcentaje],TablaDias[Tipo],Cobros[[#This Row],[Tipo]],TablaDias[Desde ],"&lt;="&amp;MAX(0,Cobros[[#This Row],[Dias pasado]]),TablaDias[Hasta ],"&gt;="&amp;Cobros[[#This Row],[Dias pasado]])</f>
        <v>100</v>
      </c>
      <c r="Q2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06">
        <f>IF(COUNTIF(PAPEL[Numero],Cobros[[#This Row],[Doc. Cargo]])&gt;0,1,0)</f>
        <v>0</v>
      </c>
      <c r="S206" s="46">
        <f t="array" ref="S20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6" s="46">
        <f t="array" ref="T206">INDEX(Ventas[[Unidades]:[2]],MATCH("Gerente de Venta",Ventas[Vendedor %],0),6+Cobros[[#This Row],[Mes]])</f>
        <v>0.005</v>
      </c>
      <c r="U206" s="34">
        <f>IF(Cobros[[#This Row],[Tipo]]="Credito",IF(60&gt;=Cobros[[#This Row],[Dias al pago]],1,0),IF(Cobros[[#This Row],[Dias al pago]]&lt;=3,1,0))</f>
        <v>1</v>
      </c>
      <c r="V206" s="46">
        <f>(Cobros[[#This Row],[% A pagar Vendedor]]/100)*Cobros[[#This Row],[Valor Pagado]]*Cobros[[#This Row],[Vencido]]*(Cobros[[#This Row],[% aplicar]]/100)*IF(Cobros[[#This Row],[% A pagar Vendedor]]&gt;0,1,0)</f>
        <v>18.25</v>
      </c>
      <c r="W206" s="46">
        <f>0.5%*Cobros[[#This Row],[Valor Pagado]]</f>
        <v>7.3</v>
      </c>
    </row>
    <row r="207" spans="1:23">
      <c r="A207" s="49" t="s">
        <v>3860</v>
      </c>
      <c r="B207" s="49" t="s">
        <v>4190</v>
      </c>
      <c r="C207" s="49" t="s">
        <v>2023</v>
      </c>
      <c r="D207" s="49" t="s">
        <v>2024</v>
      </c>
      <c r="E207" s="49" t="s">
        <v>4189</v>
      </c>
      <c r="F207" s="51">
        <v>46210</v>
      </c>
      <c r="G207" s="49">
        <v>3</v>
      </c>
      <c r="H207" s="49" t="s">
        <v>18</v>
      </c>
      <c r="I207" s="51">
        <v>46210</v>
      </c>
      <c r="J207" s="54">
        <f>INT(Cobros[[#This Row],[Fecha Cargo]])</f>
        <v>46210</v>
      </c>
      <c r="K207" s="54">
        <f>INT(Cobros[[#This Row],[Fecha Aplicacion]])</f>
        <v>46210</v>
      </c>
      <c r="L207" s="55">
        <f>INDEX(Clientes[Días Plazo],MATCH(Cobros[[#This Row],[Cod. Cliente]],Clientes[Codigo],0),1)</f>
        <v>0</v>
      </c>
      <c r="M207" s="45" t="str">
        <f>IF(Cobros[[#This Row],[Dias de Credito]]&lt;=0,"Contado","Credito")</f>
        <v>Contado</v>
      </c>
      <c r="N207" s="45">
        <f>Cobros[[#This Row],[Fecha Aplicación S]]-Cobros[[#This Row],[Fecha Cargo S]]</f>
        <v>0</v>
      </c>
      <c r="O207" s="45">
        <f>Cobros[[#This Row],[Dias al pago]]-Cobros[[#This Row],[Dias de Credito]]</f>
        <v>0</v>
      </c>
      <c r="P207" s="45">
        <f>SUMIFS(TablaDias[Porcentaje],TablaDias[Tipo],Cobros[[#This Row],[Tipo]],TablaDias[Desde ],"&lt;="&amp;MAX(0,Cobros[[#This Row],[Dias pasado]]),TablaDias[Hasta ],"&gt;="&amp;Cobros[[#This Row],[Dias pasado]])</f>
        <v>100</v>
      </c>
      <c r="Q2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07">
        <f>IF(COUNTIF(PAPEL[Numero],Cobros[[#This Row],[Doc. Cargo]])&gt;0,1,0)</f>
        <v>0</v>
      </c>
      <c r="S207" s="46">
        <f t="array" ref="S2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7" s="46">
        <f t="array" ref="T207">INDEX(Ventas[[Unidades]:[2]],MATCH("Gerente de Venta",Ventas[Vendedor %],0),6+Cobros[[#This Row],[Mes]])</f>
        <v>0.005</v>
      </c>
      <c r="U207" s="34">
        <f>IF(Cobros[[#This Row],[Tipo]]="Credito",IF(60&gt;=Cobros[[#This Row],[Dias al pago]],1,0),IF(Cobros[[#This Row],[Dias al pago]]&lt;=3,1,0))</f>
        <v>1</v>
      </c>
      <c r="V207" s="46">
        <f>(Cobros[[#This Row],[% A pagar Vendedor]]/100)*Cobros[[#This Row],[Valor Pagado]]*Cobros[[#This Row],[Vencido]]*(Cobros[[#This Row],[% aplicar]]/100)*IF(Cobros[[#This Row],[% A pagar Vendedor]]&gt;0,1,0)</f>
        <v>0.0375</v>
      </c>
      <c r="W207" s="46">
        <f>0.5%*Cobros[[#This Row],[Valor Pagado]]</f>
        <v>0.015</v>
      </c>
    </row>
    <row r="208" spans="1:23">
      <c r="A208" s="49" t="s">
        <v>3860</v>
      </c>
      <c r="B208" s="49" t="s">
        <v>4191</v>
      </c>
      <c r="C208" s="49" t="s">
        <v>1222</v>
      </c>
      <c r="D208" s="49" t="s">
        <v>1223</v>
      </c>
      <c r="E208" s="49" t="s">
        <v>4192</v>
      </c>
      <c r="F208" s="51">
        <v>46210</v>
      </c>
      <c r="G208" s="49">
        <v>450</v>
      </c>
      <c r="H208" s="49" t="s">
        <v>20</v>
      </c>
      <c r="I208" s="51">
        <v>46210</v>
      </c>
      <c r="J208" s="54">
        <f>INT(Cobros[[#This Row],[Fecha Cargo]])</f>
        <v>46210</v>
      </c>
      <c r="K208" s="54">
        <f>INT(Cobros[[#This Row],[Fecha Aplicacion]])</f>
        <v>46210</v>
      </c>
      <c r="L208" s="55" t="str">
        <f>INDEX(Clientes[Días Plazo],MATCH(Cobros[[#This Row],[Cod. Cliente]],Clientes[Codigo],0),1)</f>
        <v>7</v>
      </c>
      <c r="M208" s="45" t="str">
        <f>IF(Cobros[[#This Row],[Dias de Credito]]&lt;=0,"Contado","Credito")</f>
        <v>Credito</v>
      </c>
      <c r="N208" s="45">
        <f>Cobros[[#This Row],[Fecha Aplicación S]]-Cobros[[#This Row],[Fecha Cargo S]]</f>
        <v>0</v>
      </c>
      <c r="O208" s="45">
        <f>Cobros[[#This Row],[Dias al pago]]-Cobros[[#This Row],[Dias de Credito]]</f>
        <v>-7</v>
      </c>
      <c r="P208" s="45">
        <f>SUMIFS(TablaDias[Porcentaje],TablaDias[Tipo],Cobros[[#This Row],[Tipo]],TablaDias[Desde ],"&lt;="&amp;MAX(0,Cobros[[#This Row],[Dias pasado]]),TablaDias[Hasta ],"&gt;="&amp;Cobros[[#This Row],[Dias pasado]])</f>
        <v>100</v>
      </c>
      <c r="Q2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08">
        <f>IF(COUNTIF(PAPEL[Numero],Cobros[[#This Row],[Doc. Cargo]])&gt;0,1,0)</f>
        <v>0</v>
      </c>
      <c r="S208" s="46">
        <f t="array" ref="S2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8" s="46">
        <f t="array" ref="T208">INDEX(Ventas[[Unidades]:[2]],MATCH("Gerente de Venta",Ventas[Vendedor %],0),6+Cobros[[#This Row],[Mes]])</f>
        <v>0.005</v>
      </c>
      <c r="U208" s="34">
        <f>IF(Cobros[[#This Row],[Tipo]]="Credito",IF(60&gt;=Cobros[[#This Row],[Dias al pago]],1,0),IF(Cobros[[#This Row],[Dias al pago]]&lt;=3,1,0))</f>
        <v>1</v>
      </c>
      <c r="V208" s="46">
        <f>(Cobros[[#This Row],[% A pagar Vendedor]]/100)*Cobros[[#This Row],[Valor Pagado]]*Cobros[[#This Row],[Vencido]]*(Cobros[[#This Row],[% aplicar]]/100)*IF(Cobros[[#This Row],[% A pagar Vendedor]]&gt;0,1,0)</f>
        <v>5.625</v>
      </c>
      <c r="W208" s="46">
        <v>2.25</v>
      </c>
    </row>
    <row r="209" spans="1:23">
      <c r="A209" s="49" t="s">
        <v>3875</v>
      </c>
      <c r="B209" s="49" t="s">
        <v>3886</v>
      </c>
      <c r="C209" s="49" t="s">
        <v>455</v>
      </c>
      <c r="D209" s="49" t="s">
        <v>456</v>
      </c>
      <c r="E209" s="49" t="s">
        <v>4193</v>
      </c>
      <c r="F209" s="51">
        <v>46204</v>
      </c>
      <c r="G209" s="49">
        <v>3.74</v>
      </c>
      <c r="H209" s="49" t="s">
        <v>19</v>
      </c>
      <c r="I209" s="51">
        <v>46204</v>
      </c>
      <c r="J209" s="54">
        <f>INT(Cobros[[#This Row],[Fecha Cargo]])</f>
        <v>46204</v>
      </c>
      <c r="K209" s="54">
        <f>INT(Cobros[[#This Row],[Fecha Aplicacion]])</f>
        <v>46204</v>
      </c>
      <c r="L209" s="55" t="str">
        <f>INDEX(Clientes[Días Plazo],MATCH(Cobros[[#This Row],[Cod. Cliente]],Clientes[Codigo],0),1)</f>
        <v>7</v>
      </c>
      <c r="M209" s="45" t="str">
        <f>IF(Cobros[[#This Row],[Dias de Credito]]&lt;=0,"Contado","Credito")</f>
        <v>Credito</v>
      </c>
      <c r="N209" s="45">
        <f>Cobros[[#This Row],[Fecha Aplicación S]]-Cobros[[#This Row],[Fecha Cargo S]]</f>
        <v>0</v>
      </c>
      <c r="O209" s="45">
        <f>Cobros[[#This Row],[Dias al pago]]-Cobros[[#This Row],[Dias de Credito]]</f>
        <v>-7</v>
      </c>
      <c r="P209" s="45">
        <f>SUMIFS(TablaDias[Porcentaje],TablaDias[Tipo],Cobros[[#This Row],[Tipo]],TablaDias[Desde ],"&lt;="&amp;MAX(0,Cobros[[#This Row],[Dias pasado]]),TablaDias[Hasta ],"&gt;="&amp;Cobros[[#This Row],[Dias pasado]])</f>
        <v>100</v>
      </c>
      <c r="Q2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09">
        <f>IF(COUNTIF(PAPEL[Numero],Cobros[[#This Row],[Doc. Cargo]])&gt;0,1,0)</f>
        <v>0</v>
      </c>
      <c r="S209" s="46">
        <f t="array" ref="S2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09" s="46">
        <f t="array" ref="T209">INDEX(Ventas[[Unidades]:[2]],MATCH("Gerente de Venta",Ventas[Vendedor %],0),6+Cobros[[#This Row],[Mes]])</f>
        <v>0.005</v>
      </c>
      <c r="U209" s="34">
        <f>IF(Cobros[[#This Row],[Tipo]]="Credito",IF(60&gt;=Cobros[[#This Row],[Dias al pago]],1,0),IF(Cobros[[#This Row],[Dias al pago]]&lt;=3,1,0))</f>
        <v>1</v>
      </c>
      <c r="V209" s="46">
        <f>(Cobros[[#This Row],[% A pagar Vendedor]]/100)*Cobros[[#This Row],[Valor Pagado]]*Cobros[[#This Row],[Vencido]]*(Cobros[[#This Row],[% aplicar]]/100)*IF(Cobros[[#This Row],[% A pagar Vendedor]]&gt;0,1,0)</f>
        <v>0.04675</v>
      </c>
      <c r="W209" s="46">
        <f>0.5%*Cobros[[#This Row],[Valor Pagado]]</f>
        <v>0.0187</v>
      </c>
    </row>
    <row r="210" spans="1:23">
      <c r="A210" s="49" t="s">
        <v>3860</v>
      </c>
      <c r="B210" s="49" t="s">
        <v>4194</v>
      </c>
      <c r="C210" s="49" t="s">
        <v>1410</v>
      </c>
      <c r="D210" s="49" t="s">
        <v>1411</v>
      </c>
      <c r="E210" s="49" t="s">
        <v>4195</v>
      </c>
      <c r="F210" s="51">
        <v>46209</v>
      </c>
      <c r="G210" s="49">
        <v>1300.6</v>
      </c>
      <c r="H210" s="49" t="s">
        <v>19</v>
      </c>
      <c r="I210" s="51">
        <v>46205</v>
      </c>
      <c r="J210" s="54">
        <f>INT(Cobros[[#This Row],[Fecha Cargo]])</f>
        <v>46209</v>
      </c>
      <c r="K210" s="54">
        <f>INT(Cobros[[#This Row],[Fecha Aplicacion]])</f>
        <v>46205</v>
      </c>
      <c r="L210" s="55">
        <f>INDEX(Clientes[Días Plazo],MATCH(Cobros[[#This Row],[Cod. Cliente]],Clientes[Codigo],0),1)</f>
        <v>0</v>
      </c>
      <c r="M210" s="45" t="str">
        <f>IF(Cobros[[#This Row],[Dias de Credito]]&lt;=0,"Contado","Credito")</f>
        <v>Contado</v>
      </c>
      <c r="N210" s="45">
        <f>Cobros[[#This Row],[Fecha Aplicación S]]-Cobros[[#This Row],[Fecha Cargo S]]</f>
        <v>-4</v>
      </c>
      <c r="O210" s="45">
        <f>Cobros[[#This Row],[Dias al pago]]-Cobros[[#This Row],[Dias de Credito]]</f>
        <v>-4</v>
      </c>
      <c r="P210" s="45">
        <f>SUMIFS(TablaDias[Porcentaje],TablaDias[Tipo],Cobros[[#This Row],[Tipo]],TablaDias[Desde ],"&lt;="&amp;MAX(0,Cobros[[#This Row],[Dias pasado]]),TablaDias[Hasta ],"&gt;="&amp;Cobros[[#This Row],[Dias pasado]])</f>
        <v>100</v>
      </c>
      <c r="Q2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0">
        <f>IF(COUNTIF(PAPEL[Numero],Cobros[[#This Row],[Doc. Cargo]])&gt;0,1,0)</f>
        <v>0</v>
      </c>
      <c r="S210" s="46">
        <f t="array" ref="S2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0" s="46">
        <f t="array" ref="T210">INDEX(Ventas[[Unidades]:[2]],MATCH("Gerente de Venta",Ventas[Vendedor %],0),6+Cobros[[#This Row],[Mes]])</f>
        <v>0.005</v>
      </c>
      <c r="U210" s="34">
        <f>IF(Cobros[[#This Row],[Tipo]]="Credito",IF(60&gt;=Cobros[[#This Row],[Dias al pago]],1,0),IF(Cobros[[#This Row],[Dias al pago]]&lt;=3,1,0))</f>
        <v>1</v>
      </c>
      <c r="V210" s="46">
        <f>(Cobros[[#This Row],[% A pagar Vendedor]]/100)*Cobros[[#This Row],[Valor Pagado]]*Cobros[[#This Row],[Vencido]]*(Cobros[[#This Row],[% aplicar]]/100)*IF(Cobros[[#This Row],[% A pagar Vendedor]]&gt;0,1,0)</f>
        <v>16.2575</v>
      </c>
      <c r="W210" s="46">
        <f>0.5%*Cobros[[#This Row],[Valor Pagado]]</f>
        <v>6.503</v>
      </c>
    </row>
    <row r="211" spans="1:23">
      <c r="A211" s="49" t="s">
        <v>3875</v>
      </c>
      <c r="B211" s="49" t="s">
        <v>4196</v>
      </c>
      <c r="C211" s="49" t="s">
        <v>3167</v>
      </c>
      <c r="D211" s="49" t="s">
        <v>3168</v>
      </c>
      <c r="E211" s="49" t="s">
        <v>4197</v>
      </c>
      <c r="F211" s="51">
        <v>46196</v>
      </c>
      <c r="G211" s="49">
        <v>500</v>
      </c>
      <c r="H211" s="49" t="s">
        <v>19</v>
      </c>
      <c r="I211" s="51">
        <v>46211</v>
      </c>
      <c r="J211" s="54">
        <f>INT(Cobros[[#This Row],[Fecha Cargo]])</f>
        <v>46196</v>
      </c>
      <c r="K211" s="54">
        <f>INT(Cobros[[#This Row],[Fecha Aplicacion]])</f>
        <v>46211</v>
      </c>
      <c r="L211" s="55" t="str">
        <f>INDEX(Clientes[Días Plazo],MATCH(Cobros[[#This Row],[Cod. Cliente]],Clientes[Codigo],0),1)</f>
        <v>7</v>
      </c>
      <c r="M211" s="45" t="str">
        <f>IF(Cobros[[#This Row],[Dias de Credito]]&lt;=0,"Contado","Credito")</f>
        <v>Credito</v>
      </c>
      <c r="N211" s="45">
        <f>Cobros[[#This Row],[Fecha Aplicación S]]-Cobros[[#This Row],[Fecha Cargo S]]</f>
        <v>15</v>
      </c>
      <c r="O211" s="45">
        <f>Cobros[[#This Row],[Dias al pago]]-Cobros[[#This Row],[Dias de Credito]]</f>
        <v>8</v>
      </c>
      <c r="P211" s="45">
        <f>SUMIFS(TablaDias[Porcentaje],TablaDias[Tipo],Cobros[[#This Row],[Tipo]],TablaDias[Desde ],"&lt;="&amp;MAX(0,Cobros[[#This Row],[Dias pasado]]),TablaDias[Hasta ],"&gt;="&amp;Cobros[[#This Row],[Dias pasado]])</f>
        <v>100</v>
      </c>
      <c r="Q2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11">
        <f>IF(COUNTIF(PAPEL[Numero],Cobros[[#This Row],[Doc. Cargo]])&gt;0,1,0)</f>
        <v>0</v>
      </c>
      <c r="S211" s="46">
        <f t="array" ref="S2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1" s="46">
        <f t="array" ref="T211">INDEX(Ventas[[Unidades]:[2]],MATCH("Gerente de Venta",Ventas[Vendedor %],0),6+Cobros[[#This Row],[Mes]])</f>
        <v>0.005</v>
      </c>
      <c r="U211" s="34">
        <f>IF(Cobros[[#This Row],[Tipo]]="Credito",IF(60&gt;=Cobros[[#This Row],[Dias al pago]],1,0),IF(Cobros[[#This Row],[Dias al pago]]&lt;=3,1,0))</f>
        <v>1</v>
      </c>
      <c r="V211" s="46">
        <f>(Cobros[[#This Row],[% A pagar Vendedor]]/100)*Cobros[[#This Row],[Valor Pagado]]*Cobros[[#This Row],[Vencido]]*(Cobros[[#This Row],[% aplicar]]/100)*IF(Cobros[[#This Row],[% A pagar Vendedor]]&gt;0,1,0)</f>
        <v>6.25</v>
      </c>
      <c r="W211" s="46">
        <f>0.5%*Cobros[[#This Row],[Valor Pagado]]</f>
        <v>2.5</v>
      </c>
    </row>
    <row r="212" spans="1:23">
      <c r="A212" s="49" t="s">
        <v>3884</v>
      </c>
      <c r="B212" s="49" t="s">
        <v>4198</v>
      </c>
      <c r="C212" s="49" t="s">
        <v>3787</v>
      </c>
      <c r="D212" s="49" t="s">
        <v>3788</v>
      </c>
      <c r="E212" s="49" t="s">
        <v>4199</v>
      </c>
      <c r="F212" s="51">
        <v>46210</v>
      </c>
      <c r="G212" s="49">
        <v>69</v>
      </c>
      <c r="H212" s="49" t="s">
        <v>20</v>
      </c>
      <c r="I212" s="51">
        <v>46210</v>
      </c>
      <c r="J212" s="54">
        <f>INT(Cobros[[#This Row],[Fecha Cargo]])</f>
        <v>46210</v>
      </c>
      <c r="K212" s="54">
        <f>INT(Cobros[[#This Row],[Fecha Aplicacion]])</f>
        <v>46210</v>
      </c>
      <c r="L212" s="55">
        <f>INDEX(Clientes[Días Plazo],MATCH(Cobros[[#This Row],[Cod. Cliente]],Clientes[Codigo],0),1)</f>
        <v>0</v>
      </c>
      <c r="M212" s="45" t="str">
        <f>IF(Cobros[[#This Row],[Dias de Credito]]&lt;=0,"Contado","Credito")</f>
        <v>Contado</v>
      </c>
      <c r="N212" s="45">
        <f>Cobros[[#This Row],[Fecha Aplicación S]]-Cobros[[#This Row],[Fecha Cargo S]]</f>
        <v>0</v>
      </c>
      <c r="O212" s="45">
        <f>Cobros[[#This Row],[Dias al pago]]-Cobros[[#This Row],[Dias de Credito]]</f>
        <v>0</v>
      </c>
      <c r="P212" s="45">
        <f>SUMIFS(TablaDias[Porcentaje],TablaDias[Tipo],Cobros[[#This Row],[Tipo]],TablaDias[Desde ],"&lt;="&amp;MAX(0,Cobros[[#This Row],[Dias pasado]]),TablaDias[Hasta ],"&gt;="&amp;Cobros[[#This Row],[Dias pasado]])</f>
        <v>100</v>
      </c>
      <c r="Q2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2">
        <f>IF(COUNTIF(PAPEL[Numero],Cobros[[#This Row],[Doc. Cargo]])&gt;0,1,0)</f>
        <v>0</v>
      </c>
      <c r="S212" s="46">
        <f t="array" ref="S2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2" s="46">
        <f t="array" ref="T212">INDEX(Ventas[[Unidades]:[2]],MATCH("Gerente de Venta",Ventas[Vendedor %],0),6+Cobros[[#This Row],[Mes]])</f>
        <v>0.005</v>
      </c>
      <c r="U212" s="34">
        <f>IF(Cobros[[#This Row],[Tipo]]="Credito",IF(60&gt;=Cobros[[#This Row],[Dias al pago]],1,0),IF(Cobros[[#This Row],[Dias al pago]]&lt;=3,1,0))</f>
        <v>1</v>
      </c>
      <c r="V212" s="46">
        <f>(Cobros[[#This Row],[% A pagar Vendedor]]/100)*Cobros[[#This Row],[Valor Pagado]]*Cobros[[#This Row],[Vencido]]*(Cobros[[#This Row],[% aplicar]]/100)*IF(Cobros[[#This Row],[% A pagar Vendedor]]&gt;0,1,0)</f>
        <v>0.8625</v>
      </c>
      <c r="W212" s="46">
        <f>0.5%*Cobros[[#This Row],[Valor Pagado]]</f>
        <v>0.345</v>
      </c>
    </row>
    <row r="213" ht="30" spans="1:24">
      <c r="A213" s="49" t="s">
        <v>3884</v>
      </c>
      <c r="B213" s="49" t="s">
        <v>4200</v>
      </c>
      <c r="C213" s="49" t="s">
        <v>1921</v>
      </c>
      <c r="D213" s="49" t="s">
        <v>1922</v>
      </c>
      <c r="E213" s="49" t="s">
        <v>4201</v>
      </c>
      <c r="F213" s="51">
        <v>46196</v>
      </c>
      <c r="G213" s="49">
        <v>2123</v>
      </c>
      <c r="H213" s="49" t="s">
        <v>3865</v>
      </c>
      <c r="I213" s="51">
        <v>46210</v>
      </c>
      <c r="J213" s="54">
        <f>INT(Cobros[[#This Row],[Fecha Cargo]])</f>
        <v>46196</v>
      </c>
      <c r="K213" s="54">
        <f>INT(Cobros[[#This Row],[Fecha Aplicacion]])</f>
        <v>46210</v>
      </c>
      <c r="L213" s="55" t="str">
        <f>INDEX(Clientes[Días Plazo],MATCH(Cobros[[#This Row],[Cod. Cliente]],Clientes[Codigo],0),1)</f>
        <v>21</v>
      </c>
      <c r="M213" s="45" t="str">
        <f>IF(Cobros[[#This Row],[Dias de Credito]]&lt;=0,"Contado","Credito")</f>
        <v>Credito</v>
      </c>
      <c r="N213" s="45">
        <f>Cobros[[#This Row],[Fecha Aplicación S]]-Cobros[[#This Row],[Fecha Cargo S]]</f>
        <v>14</v>
      </c>
      <c r="O213" s="45">
        <f>Cobros[[#This Row],[Dias al pago]]-Cobros[[#This Row],[Dias de Credito]]</f>
        <v>-7</v>
      </c>
      <c r="P213" s="45">
        <f>SUMIFS(TablaDias[Porcentaje],TablaDias[Tipo],Cobros[[#This Row],[Tipo]],TablaDias[Desde ],"&lt;="&amp;MAX(0,Cobros[[#This Row],[Dias pasado]]),TablaDias[Hasta ],"&gt;="&amp;Cobros[[#This Row],[Dias pasado]])</f>
        <v>100</v>
      </c>
      <c r="Q2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13">
        <f>IF(COUNTIF(PAPEL[Numero],Cobros[[#This Row],[Doc. Cargo]])&gt;0,1,0)</f>
        <v>0</v>
      </c>
      <c r="S213" s="46">
        <v>1</v>
      </c>
      <c r="T213" s="46">
        <f t="array" ref="T213">INDEX(Ventas[[Unidades]:[2]],MATCH("Gerente de Venta",Ventas[Vendedor %],0),6+Cobros[[#This Row],[Mes]])</f>
        <v>0.005</v>
      </c>
      <c r="U213" s="34">
        <f>IF(Cobros[[#This Row],[Tipo]]="Credito",IF(60&gt;=Cobros[[#This Row],[Dias al pago]],1,0),IF(Cobros[[#This Row],[Dias al pago]]&lt;=3,1,0))</f>
        <v>1</v>
      </c>
      <c r="V213" s="46">
        <f>(Cobros[[#This Row],[% A pagar Vendedor]]/100)*Cobros[[#This Row],[Valor Pagado]]*Cobros[[#This Row],[Vencido]]*(Cobros[[#This Row],[% aplicar]]/100)*IF(Cobros[[#This Row],[% A pagar Vendedor]]&gt;0,1,0)</f>
        <v>21.23</v>
      </c>
      <c r="W213" s="46">
        <f>0.5%*Cobros[[#This Row],[Valor Pagado]]</f>
        <v>10.615</v>
      </c>
      <c r="X213" s="34"/>
    </row>
    <row r="214" ht="30" spans="1:23">
      <c r="A214" s="49" t="s">
        <v>3884</v>
      </c>
      <c r="B214" s="49" t="s">
        <v>4202</v>
      </c>
      <c r="C214" s="49" t="s">
        <v>1921</v>
      </c>
      <c r="D214" s="49" t="s">
        <v>1922</v>
      </c>
      <c r="E214" s="49" t="s">
        <v>4201</v>
      </c>
      <c r="F214" s="51">
        <v>46196</v>
      </c>
      <c r="G214" s="49">
        <v>2278.48</v>
      </c>
      <c r="H214" s="49" t="s">
        <v>3865</v>
      </c>
      <c r="I214" s="51">
        <v>46211</v>
      </c>
      <c r="J214" s="54">
        <f>INT(Cobros[[#This Row],[Fecha Cargo]])</f>
        <v>46196</v>
      </c>
      <c r="K214" s="54">
        <f>INT(Cobros[[#This Row],[Fecha Aplicacion]])</f>
        <v>46211</v>
      </c>
      <c r="L214" s="55" t="str">
        <f>INDEX(Clientes[Días Plazo],MATCH(Cobros[[#This Row],[Cod. Cliente]],Clientes[Codigo],0),1)</f>
        <v>21</v>
      </c>
      <c r="M214" s="45" t="str">
        <f>IF(Cobros[[#This Row],[Dias de Credito]]&lt;=0,"Contado","Credito")</f>
        <v>Credito</v>
      </c>
      <c r="N214" s="45">
        <f>Cobros[[#This Row],[Fecha Aplicación S]]-Cobros[[#This Row],[Fecha Cargo S]]</f>
        <v>15</v>
      </c>
      <c r="O214" s="45">
        <f>Cobros[[#This Row],[Dias al pago]]-Cobros[[#This Row],[Dias de Credito]]</f>
        <v>-6</v>
      </c>
      <c r="P214" s="45">
        <f>SUMIFS(TablaDias[Porcentaje],TablaDias[Tipo],Cobros[[#This Row],[Tipo]],TablaDias[Desde ],"&lt;="&amp;MAX(0,Cobros[[#This Row],[Dias pasado]]),TablaDias[Hasta ],"&gt;="&amp;Cobros[[#This Row],[Dias pasado]])</f>
        <v>100</v>
      </c>
      <c r="Q2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14">
        <f>IF(COUNTIF(PAPEL[Numero],Cobros[[#This Row],[Doc. Cargo]])&gt;0,1,0)</f>
        <v>0</v>
      </c>
      <c r="S214" s="46">
        <v>1</v>
      </c>
      <c r="T214" s="46">
        <f t="array" ref="T214">INDEX(Ventas[[Unidades]:[2]],MATCH("Gerente de Venta",Ventas[Vendedor %],0),6+Cobros[[#This Row],[Mes]])</f>
        <v>0.005</v>
      </c>
      <c r="U214" s="34">
        <f>IF(Cobros[[#This Row],[Tipo]]="Credito",IF(60&gt;=Cobros[[#This Row],[Dias al pago]],1,0),IF(Cobros[[#This Row],[Dias al pago]]&lt;=3,1,0))</f>
        <v>1</v>
      </c>
      <c r="V214" s="46">
        <f>(Cobros[[#This Row],[% A pagar Vendedor]]/100)*Cobros[[#This Row],[Valor Pagado]]*Cobros[[#This Row],[Vencido]]*(Cobros[[#This Row],[% aplicar]]/100)*IF(Cobros[[#This Row],[% A pagar Vendedor]]&gt;0,1,0)</f>
        <v>22.7848</v>
      </c>
      <c r="W214" s="46">
        <f>0.5%*Cobros[[#This Row],[Valor Pagado]]</f>
        <v>11.3924</v>
      </c>
    </row>
    <row r="215" ht="30" spans="1:24">
      <c r="A215" s="49" t="s">
        <v>3884</v>
      </c>
      <c r="B215" s="49" t="s">
        <v>4203</v>
      </c>
      <c r="C215" s="49" t="s">
        <v>1921</v>
      </c>
      <c r="D215" s="49" t="s">
        <v>1922</v>
      </c>
      <c r="E215" s="49" t="s">
        <v>4201</v>
      </c>
      <c r="F215" s="51">
        <v>46196</v>
      </c>
      <c r="G215" s="49">
        <v>898.73</v>
      </c>
      <c r="H215" s="49" t="s">
        <v>3865</v>
      </c>
      <c r="I215" s="51">
        <v>46211</v>
      </c>
      <c r="J215" s="54">
        <f>INT(Cobros[[#This Row],[Fecha Cargo]])</f>
        <v>46196</v>
      </c>
      <c r="K215" s="54">
        <f>INT(Cobros[[#This Row],[Fecha Aplicacion]])</f>
        <v>46211</v>
      </c>
      <c r="L215" s="55" t="str">
        <f>INDEX(Clientes[Días Plazo],MATCH(Cobros[[#This Row],[Cod. Cliente]],Clientes[Codigo],0),1)</f>
        <v>21</v>
      </c>
      <c r="M215" s="45" t="str">
        <f>IF(Cobros[[#This Row],[Dias de Credito]]&lt;=0,"Contado","Credito")</f>
        <v>Credito</v>
      </c>
      <c r="N215" s="45">
        <f>Cobros[[#This Row],[Fecha Aplicación S]]-Cobros[[#This Row],[Fecha Cargo S]]</f>
        <v>15</v>
      </c>
      <c r="O215" s="45">
        <f>Cobros[[#This Row],[Dias al pago]]-Cobros[[#This Row],[Dias de Credito]]</f>
        <v>-6</v>
      </c>
      <c r="P215" s="45">
        <f>SUMIFS(TablaDias[Porcentaje],TablaDias[Tipo],Cobros[[#This Row],[Tipo]],TablaDias[Desde ],"&lt;="&amp;MAX(0,Cobros[[#This Row],[Dias pasado]]),TablaDias[Hasta ],"&gt;="&amp;Cobros[[#This Row],[Dias pasado]])</f>
        <v>100</v>
      </c>
      <c r="Q2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15">
        <f>IF(COUNTIF(PAPEL[Numero],Cobros[[#This Row],[Doc. Cargo]])&gt;0,1,0)</f>
        <v>0</v>
      </c>
      <c r="S215" s="46">
        <v>1</v>
      </c>
      <c r="T215" s="46">
        <f t="array" ref="T215">INDEX(Ventas[[Unidades]:[2]],MATCH("Gerente de Venta",Ventas[Vendedor %],0),6+Cobros[[#This Row],[Mes]])</f>
        <v>0.005</v>
      </c>
      <c r="U215" s="34">
        <f>IF(Cobros[[#This Row],[Tipo]]="Credito",IF(60&gt;=Cobros[[#This Row],[Dias al pago]],1,0),IF(Cobros[[#This Row],[Dias al pago]]&lt;=3,1,0))</f>
        <v>1</v>
      </c>
      <c r="V215" s="46">
        <f>(Cobros[[#This Row],[% A pagar Vendedor]]/100)*Cobros[[#This Row],[Valor Pagado]]*Cobros[[#This Row],[Vencido]]*(Cobros[[#This Row],[% aplicar]]/100)*IF(Cobros[[#This Row],[% A pagar Vendedor]]&gt;0,1,0)</f>
        <v>8.9873</v>
      </c>
      <c r="W215" s="46">
        <f>0.5%*Cobros[[#This Row],[Valor Pagado]]</f>
        <v>4.49365</v>
      </c>
      <c r="X215" s="34"/>
    </row>
    <row r="216" spans="1:23">
      <c r="A216" s="49" t="s">
        <v>3904</v>
      </c>
      <c r="B216" s="49" t="s">
        <v>4204</v>
      </c>
      <c r="C216" s="49" t="s">
        <v>2665</v>
      </c>
      <c r="D216" s="49" t="s">
        <v>2666</v>
      </c>
      <c r="E216" s="49" t="s">
        <v>4205</v>
      </c>
      <c r="F216" s="51">
        <v>46211</v>
      </c>
      <c r="G216" s="49">
        <v>79.86</v>
      </c>
      <c r="H216" s="49" t="s">
        <v>16</v>
      </c>
      <c r="I216" s="51">
        <v>46211</v>
      </c>
      <c r="J216" s="54">
        <f>INT(Cobros[[#This Row],[Fecha Cargo]])</f>
        <v>46211</v>
      </c>
      <c r="K216" s="54">
        <f>INT(Cobros[[#This Row],[Fecha Aplicacion]])</f>
        <v>46211</v>
      </c>
      <c r="L216" s="55">
        <f>INDEX(Clientes[Días Plazo],MATCH(Cobros[[#This Row],[Cod. Cliente]],Clientes[Codigo],0),1)</f>
        <v>0</v>
      </c>
      <c r="M216" s="45" t="str">
        <f>IF(Cobros[[#This Row],[Dias de Credito]]&lt;=0,"Contado","Credito")</f>
        <v>Contado</v>
      </c>
      <c r="N216" s="45">
        <f>Cobros[[#This Row],[Fecha Aplicación S]]-Cobros[[#This Row],[Fecha Cargo S]]</f>
        <v>0</v>
      </c>
      <c r="O216" s="45">
        <f>Cobros[[#This Row],[Dias al pago]]-Cobros[[#This Row],[Dias de Credito]]</f>
        <v>0</v>
      </c>
      <c r="P216" s="45">
        <f>SUMIFS(TablaDias[Porcentaje],TablaDias[Tipo],Cobros[[#This Row],[Tipo]],TablaDias[Desde ],"&lt;="&amp;MAX(0,Cobros[[#This Row],[Dias pasado]]),TablaDias[Hasta ],"&gt;="&amp;Cobros[[#This Row],[Dias pasado]])</f>
        <v>100</v>
      </c>
      <c r="Q2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6">
        <f>IF(COUNTIF(PAPEL[Numero],Cobros[[#This Row],[Doc. Cargo]])&gt;0,1,0)</f>
        <v>0</v>
      </c>
      <c r="S216" s="46">
        <f t="array" ref="S2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6" s="47">
        <v>0.005</v>
      </c>
      <c r="U216" s="34">
        <f>IF(Cobros[[#This Row],[Tipo]]="Credito",IF(60&gt;=Cobros[[#This Row],[Dias al pago]],1,0),IF(Cobros[[#This Row],[Dias al pago]]&lt;=3,1,0))</f>
        <v>1</v>
      </c>
      <c r="V216" s="46">
        <f>(Cobros[[#This Row],[% A pagar Vendedor]]/100)*Cobros[[#This Row],[Valor Pagado]]*Cobros[[#This Row],[Vencido]]*(Cobros[[#This Row],[% aplicar]]/100)*IF(Cobros[[#This Row],[% A pagar Vendedor]]&gt;0,1,0)</f>
        <v>0.99825</v>
      </c>
      <c r="W216" s="46">
        <f>0.5%*Cobros[[#This Row],[Valor Pagado]]</f>
        <v>0.3993</v>
      </c>
    </row>
    <row r="217" spans="1:24">
      <c r="A217" s="49" t="s">
        <v>3875</v>
      </c>
      <c r="B217" s="49" t="s">
        <v>4206</v>
      </c>
      <c r="C217" s="49" t="s">
        <v>1222</v>
      </c>
      <c r="D217" s="49" t="s">
        <v>1223</v>
      </c>
      <c r="E217" s="49" t="s">
        <v>4192</v>
      </c>
      <c r="F217" s="51">
        <v>46210</v>
      </c>
      <c r="G217" s="49">
        <v>600</v>
      </c>
      <c r="H217" s="49" t="s">
        <v>20</v>
      </c>
      <c r="I217" s="51">
        <v>46211</v>
      </c>
      <c r="J217" s="54">
        <f>INT(Cobros[[#This Row],[Fecha Cargo]])</f>
        <v>46210</v>
      </c>
      <c r="K217" s="54">
        <f>INT(Cobros[[#This Row],[Fecha Aplicacion]])</f>
        <v>46211</v>
      </c>
      <c r="L217" s="55" t="str">
        <f>INDEX(Clientes[Días Plazo],MATCH(Cobros[[#This Row],[Cod. Cliente]],Clientes[Codigo],0),1)</f>
        <v>7</v>
      </c>
      <c r="M217" s="45" t="str">
        <f>IF(Cobros[[#This Row],[Dias de Credito]]&lt;=0,"Contado","Credito")</f>
        <v>Credito</v>
      </c>
      <c r="N217" s="45">
        <f>Cobros[[#This Row],[Fecha Aplicación S]]-Cobros[[#This Row],[Fecha Cargo S]]</f>
        <v>1</v>
      </c>
      <c r="O217" s="45">
        <f>Cobros[[#This Row],[Dias al pago]]-Cobros[[#This Row],[Dias de Credito]]</f>
        <v>-6</v>
      </c>
      <c r="P217" s="45">
        <f>SUMIFS(TablaDias[Porcentaje],TablaDias[Tipo],Cobros[[#This Row],[Tipo]],TablaDias[Desde ],"&lt;="&amp;MAX(0,Cobros[[#This Row],[Dias pasado]]),TablaDias[Hasta ],"&gt;="&amp;Cobros[[#This Row],[Dias pasado]])</f>
        <v>100</v>
      </c>
      <c r="Q2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7">
        <f>IF(COUNTIF(PAPEL[Numero],Cobros[[#This Row],[Doc. Cargo]])&gt;0,1,0)</f>
        <v>0</v>
      </c>
      <c r="S217" s="46">
        <f t="array" ref="S2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7" s="46">
        <f t="array" ref="T217">INDEX(Ventas[[Unidades]:[2]],MATCH("Gerente de Venta",Ventas[Vendedor %],0),6+Cobros[[#This Row],[Mes]])</f>
        <v>0.005</v>
      </c>
      <c r="U217" s="34">
        <f>IF(Cobros[[#This Row],[Tipo]]="Credito",IF(60&gt;=Cobros[[#This Row],[Dias al pago]],1,0),IF(Cobros[[#This Row],[Dias al pago]]&lt;=3,1,0))</f>
        <v>1</v>
      </c>
      <c r="V217" s="46">
        <f>(Cobros[[#This Row],[% A pagar Vendedor]]/100)*Cobros[[#This Row],[Valor Pagado]]*Cobros[[#This Row],[Vencido]]*(Cobros[[#This Row],[% aplicar]]/100)*IF(Cobros[[#This Row],[% A pagar Vendedor]]&gt;0,1,0)</f>
        <v>7.5</v>
      </c>
      <c r="W217" s="46">
        <f>0.5%*Cobros[[#This Row],[Valor Pagado]]</f>
        <v>3</v>
      </c>
      <c r="X217" s="34"/>
    </row>
    <row r="218" spans="1:24">
      <c r="A218" s="49" t="s">
        <v>3875</v>
      </c>
      <c r="B218" s="49" t="s">
        <v>4206</v>
      </c>
      <c r="C218" s="49" t="s">
        <v>1222</v>
      </c>
      <c r="D218" s="49" t="s">
        <v>1223</v>
      </c>
      <c r="E218" s="49" t="s">
        <v>4207</v>
      </c>
      <c r="F218" s="51">
        <v>46210</v>
      </c>
      <c r="G218" s="49">
        <v>100</v>
      </c>
      <c r="H218" s="49" t="s">
        <v>20</v>
      </c>
      <c r="I218" s="51">
        <v>46211</v>
      </c>
      <c r="J218" s="54">
        <f>INT(Cobros[[#This Row],[Fecha Cargo]])</f>
        <v>46210</v>
      </c>
      <c r="K218" s="54">
        <f>INT(Cobros[[#This Row],[Fecha Aplicacion]])</f>
        <v>46211</v>
      </c>
      <c r="L218" s="55" t="str">
        <f>INDEX(Clientes[Días Plazo],MATCH(Cobros[[#This Row],[Cod. Cliente]],Clientes[Codigo],0),1)</f>
        <v>7</v>
      </c>
      <c r="M218" s="45" t="str">
        <f>IF(Cobros[[#This Row],[Dias de Credito]]&lt;=0,"Contado","Credito")</f>
        <v>Credito</v>
      </c>
      <c r="N218" s="45">
        <f>Cobros[[#This Row],[Fecha Aplicación S]]-Cobros[[#This Row],[Fecha Cargo S]]</f>
        <v>1</v>
      </c>
      <c r="O218" s="45">
        <f>Cobros[[#This Row],[Dias al pago]]-Cobros[[#This Row],[Dias de Credito]]</f>
        <v>-6</v>
      </c>
      <c r="P218" s="45">
        <f>SUMIFS(TablaDias[Porcentaje],TablaDias[Tipo],Cobros[[#This Row],[Tipo]],TablaDias[Desde ],"&lt;="&amp;MAX(0,Cobros[[#This Row],[Dias pasado]]),TablaDias[Hasta ],"&gt;="&amp;Cobros[[#This Row],[Dias pasado]])</f>
        <v>100</v>
      </c>
      <c r="Q2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8">
        <f>IF(COUNTIF(PAPEL[Numero],Cobros[[#This Row],[Doc. Cargo]])&gt;0,1,0)</f>
        <v>0</v>
      </c>
      <c r="S218" s="46">
        <f t="array" ref="S2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18" s="46">
        <f t="array" ref="T218">INDEX(Ventas[[Unidades]:[2]],MATCH("Gerente de Venta",Ventas[Vendedor %],0),6+Cobros[[#This Row],[Mes]])</f>
        <v>0.005</v>
      </c>
      <c r="U218" s="34">
        <f>IF(Cobros[[#This Row],[Tipo]]="Credito",IF(60&gt;=Cobros[[#This Row],[Dias al pago]],1,0),IF(Cobros[[#This Row],[Dias al pago]]&lt;=3,1,0))</f>
        <v>1</v>
      </c>
      <c r="V218" s="46">
        <f>(Cobros[[#This Row],[% A pagar Vendedor]]/100)*Cobros[[#This Row],[Valor Pagado]]*Cobros[[#This Row],[Vencido]]*(Cobros[[#This Row],[% aplicar]]/100)*IF(Cobros[[#This Row],[% A pagar Vendedor]]&gt;0,1,0)</f>
        <v>1.25</v>
      </c>
      <c r="W218" s="46">
        <f>0.5%*Cobros[[#This Row],[Valor Pagado]]</f>
        <v>0.5</v>
      </c>
      <c r="X218" s="34"/>
    </row>
    <row r="219" ht="30" spans="1:24">
      <c r="A219" s="49" t="s">
        <v>3875</v>
      </c>
      <c r="B219" s="49" t="s">
        <v>4208</v>
      </c>
      <c r="C219" s="49" t="s">
        <v>1165</v>
      </c>
      <c r="D219" s="49" t="s">
        <v>4209</v>
      </c>
      <c r="E219" s="49" t="s">
        <v>4210</v>
      </c>
      <c r="F219" s="51">
        <v>46211</v>
      </c>
      <c r="G219" s="49">
        <v>59.13</v>
      </c>
      <c r="H219" s="49" t="s">
        <v>22</v>
      </c>
      <c r="I219" s="51">
        <v>46211</v>
      </c>
      <c r="J219" s="54">
        <f>INT(Cobros[[#This Row],[Fecha Cargo]])</f>
        <v>46211</v>
      </c>
      <c r="K219" s="54">
        <f>INT(Cobros[[#This Row],[Fecha Aplicacion]])</f>
        <v>46211</v>
      </c>
      <c r="L219" s="55">
        <f>INDEX(Clientes[Días Plazo],MATCH(Cobros[[#This Row],[Cod. Cliente]],Clientes[Codigo],0),1)</f>
        <v>0</v>
      </c>
      <c r="M219" s="45" t="str">
        <f>IF(Cobros[[#This Row],[Dias de Credito]]&lt;=0,"Contado","Credito")</f>
        <v>Contado</v>
      </c>
      <c r="N219" s="45">
        <f>Cobros[[#This Row],[Fecha Aplicación S]]-Cobros[[#This Row],[Fecha Cargo S]]</f>
        <v>0</v>
      </c>
      <c r="O219" s="45">
        <f>Cobros[[#This Row],[Dias al pago]]-Cobros[[#This Row],[Dias de Credito]]</f>
        <v>0</v>
      </c>
      <c r="P219" s="45">
        <f>SUMIFS(TablaDias[Porcentaje],TablaDias[Tipo],Cobros[[#This Row],[Tipo]],TablaDias[Desde ],"&lt;="&amp;MAX(0,Cobros[[#This Row],[Dias pasado]]),TablaDias[Hasta ],"&gt;="&amp;Cobros[[#This Row],[Dias pasado]])</f>
        <v>100</v>
      </c>
      <c r="Q2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19">
        <f>IF(COUNTIF(PAPEL[Numero],Cobros[[#This Row],[Doc. Cargo]])&gt;0,1,0)</f>
        <v>0</v>
      </c>
      <c r="S219" s="46">
        <f t="array" ref="S2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19" s="46">
        <f t="array" ref="T219">INDEX(Ventas[[Unidades]:[2]],MATCH("Gerente de Venta",Ventas[Vendedor %],0),6+Cobros[[#This Row],[Mes]])</f>
        <v>0.005</v>
      </c>
      <c r="U219" s="34">
        <f>IF(Cobros[[#This Row],[Tipo]]="Credito",IF(60&gt;=Cobros[[#This Row],[Dias al pago]],1,0),IF(Cobros[[#This Row],[Dias al pago]]&lt;=3,1,0))</f>
        <v>1</v>
      </c>
      <c r="V219" s="46">
        <f>(Cobros[[#This Row],[% A pagar Vendedor]]/100)*Cobros[[#This Row],[Valor Pagado]]*Cobros[[#This Row],[Vencido]]*(Cobros[[#This Row],[% aplicar]]/100)*IF(Cobros[[#This Row],[% A pagar Vendedor]]&gt;0,1,0)</f>
        <v>0.5913</v>
      </c>
      <c r="W219" s="46">
        <f>0.5%*Cobros[[#This Row],[Valor Pagado]]</f>
        <v>0.29565</v>
      </c>
      <c r="X219" s="34"/>
    </row>
    <row r="220" ht="30" spans="1:24">
      <c r="A220" s="49" t="s">
        <v>3860</v>
      </c>
      <c r="B220" s="49" t="s">
        <v>4211</v>
      </c>
      <c r="C220" s="49" t="s">
        <v>2318</v>
      </c>
      <c r="D220" s="49" t="s">
        <v>2319</v>
      </c>
      <c r="E220" s="49" t="s">
        <v>3866</v>
      </c>
      <c r="F220" s="51">
        <v>46181</v>
      </c>
      <c r="G220" s="49">
        <v>1500</v>
      </c>
      <c r="H220" s="49" t="s">
        <v>3865</v>
      </c>
      <c r="I220" s="51">
        <v>46211</v>
      </c>
      <c r="J220" s="54">
        <f>INT(Cobros[[#This Row],[Fecha Cargo]])</f>
        <v>46181</v>
      </c>
      <c r="K220" s="54">
        <f>INT(Cobros[[#This Row],[Fecha Aplicacion]])</f>
        <v>46211</v>
      </c>
      <c r="L220" s="55" t="str">
        <f>INDEX(Clientes[Días Plazo],MATCH(Cobros[[#This Row],[Cod. Cliente]],Clientes[Codigo],0),1)</f>
        <v>15</v>
      </c>
      <c r="M220" s="45" t="str">
        <f>IF(Cobros[[#This Row],[Dias de Credito]]&lt;=0,"Contado","Credito")</f>
        <v>Credito</v>
      </c>
      <c r="N220" s="45">
        <f>Cobros[[#This Row],[Fecha Aplicación S]]-Cobros[[#This Row],[Fecha Cargo S]]</f>
        <v>30</v>
      </c>
      <c r="O220" s="45">
        <f>Cobros[[#This Row],[Dias al pago]]-Cobros[[#This Row],[Dias de Credito]]</f>
        <v>15</v>
      </c>
      <c r="P220" s="45">
        <f>SUMIFS(TablaDias[Porcentaje],TablaDias[Tipo],Cobros[[#This Row],[Tipo]],TablaDias[Desde ],"&lt;="&amp;MAX(0,Cobros[[#This Row],[Dias pasado]]),TablaDias[Hasta ],"&gt;="&amp;Cobros[[#This Row],[Dias pasado]])</f>
        <v>100</v>
      </c>
      <c r="Q2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0">
        <f>IF(COUNTIF(PAPEL[Numero],Cobros[[#This Row],[Doc. Cargo]])&gt;0,1,0)</f>
        <v>0</v>
      </c>
      <c r="S220" s="46">
        <v>1</v>
      </c>
      <c r="T220" s="46">
        <f t="array" ref="T220">INDEX(Ventas[[Unidades]:[2]],MATCH("Gerente de Venta",Ventas[Vendedor %],0),6+Cobros[[#This Row],[Mes]])</f>
        <v>0.005</v>
      </c>
      <c r="U220" s="34">
        <f>IF(Cobros[[#This Row],[Tipo]]="Credito",IF(60&gt;=Cobros[[#This Row],[Dias al pago]],1,0),IF(Cobros[[#This Row],[Dias al pago]]&lt;=3,1,0))</f>
        <v>1</v>
      </c>
      <c r="V220" s="46">
        <f>(Cobros[[#This Row],[% A pagar Vendedor]]/100)*Cobros[[#This Row],[Valor Pagado]]*Cobros[[#This Row],[Vencido]]*(Cobros[[#This Row],[% aplicar]]/100)*IF(Cobros[[#This Row],[% A pagar Vendedor]]&gt;0,1,0)</f>
        <v>15</v>
      </c>
      <c r="W220" s="46">
        <f>0.5%*Cobros[[#This Row],[Valor Pagado]]</f>
        <v>7.5</v>
      </c>
      <c r="X220" s="34"/>
    </row>
    <row r="221" ht="30" spans="1:23">
      <c r="A221" s="49" t="s">
        <v>3860</v>
      </c>
      <c r="B221" s="49" t="s">
        <v>4212</v>
      </c>
      <c r="C221" s="49" t="s">
        <v>2826</v>
      </c>
      <c r="D221" s="49" t="s">
        <v>2827</v>
      </c>
      <c r="E221" s="49" t="s">
        <v>4043</v>
      </c>
      <c r="F221" s="51">
        <v>46195</v>
      </c>
      <c r="G221" s="49">
        <v>346.7</v>
      </c>
      <c r="H221" s="49" t="s">
        <v>1355</v>
      </c>
      <c r="I221" s="51">
        <v>46211</v>
      </c>
      <c r="J221" s="54">
        <f>INT(Cobros[[#This Row],[Fecha Cargo]])</f>
        <v>46195</v>
      </c>
      <c r="K221" s="54">
        <f>INT(Cobros[[#This Row],[Fecha Aplicacion]])</f>
        <v>46211</v>
      </c>
      <c r="L221" s="55" t="str">
        <f>INDEX(Clientes[Días Plazo],MATCH(Cobros[[#This Row],[Cod. Cliente]],Clientes[Codigo],0),1)</f>
        <v>7</v>
      </c>
      <c r="M221" s="45" t="str">
        <f>IF(Cobros[[#This Row],[Dias de Credito]]&lt;=0,"Contado","Credito")</f>
        <v>Credito</v>
      </c>
      <c r="N221" s="45">
        <f>Cobros[[#This Row],[Fecha Aplicación S]]-Cobros[[#This Row],[Fecha Cargo S]]</f>
        <v>16</v>
      </c>
      <c r="O221" s="45">
        <f>Cobros[[#This Row],[Dias al pago]]-Cobros[[#This Row],[Dias de Credito]]</f>
        <v>9</v>
      </c>
      <c r="P221" s="45">
        <f>SUMIFS(TablaDias[Porcentaje],TablaDias[Tipo],Cobros[[#This Row],[Tipo]],TablaDias[Desde ],"&lt;="&amp;MAX(0,Cobros[[#This Row],[Dias pasado]]),TablaDias[Hasta ],"&gt;="&amp;Cobros[[#This Row],[Dias pasado]])</f>
        <v>100</v>
      </c>
      <c r="Q2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1">
        <f>IF(COUNTIF(PAPEL[Numero],Cobros[[#This Row],[Doc. Cargo]])&gt;0,1,0)</f>
        <v>0</v>
      </c>
      <c r="S221" s="46">
        <v>1</v>
      </c>
      <c r="T221" s="46">
        <f t="array" ref="T221">INDEX(Ventas[[Unidades]:[2]],MATCH("Gerente de Venta",Ventas[Vendedor %],0),6+Cobros[[#This Row],[Mes]])</f>
        <v>0.005</v>
      </c>
      <c r="U221" s="34">
        <f>IF(Cobros[[#This Row],[Tipo]]="Credito",IF(60&gt;=Cobros[[#This Row],[Dias al pago]],1,0),IF(Cobros[[#This Row],[Dias al pago]]&lt;=3,1,0))</f>
        <v>1</v>
      </c>
      <c r="V221" s="46">
        <f>(Cobros[[#This Row],[% A pagar Vendedor]]/100)*Cobros[[#This Row],[Valor Pagado]]*Cobros[[#This Row],[Vencido]]*(Cobros[[#This Row],[% aplicar]]/100)*IF(Cobros[[#This Row],[% A pagar Vendedor]]&gt;0,1,0)</f>
        <v>3.467</v>
      </c>
      <c r="W221" s="46">
        <f>0.5%*Cobros[[#This Row],[Valor Pagado]]</f>
        <v>1.7335</v>
      </c>
    </row>
    <row r="222" spans="1:24">
      <c r="A222" s="49" t="s">
        <v>3860</v>
      </c>
      <c r="B222" s="49" t="s">
        <v>4213</v>
      </c>
      <c r="C222" s="49" t="s">
        <v>255</v>
      </c>
      <c r="D222" s="49" t="s">
        <v>256</v>
      </c>
      <c r="E222" s="49" t="s">
        <v>4048</v>
      </c>
      <c r="F222" s="51">
        <v>46190</v>
      </c>
      <c r="G222" s="49">
        <v>168</v>
      </c>
      <c r="H222" s="49" t="s">
        <v>16</v>
      </c>
      <c r="I222" s="51">
        <v>46211</v>
      </c>
      <c r="J222" s="54">
        <f>INT(Cobros[[#This Row],[Fecha Cargo]])</f>
        <v>46190</v>
      </c>
      <c r="K222" s="54">
        <f>INT(Cobros[[#This Row],[Fecha Aplicacion]])</f>
        <v>46211</v>
      </c>
      <c r="L222" s="55" t="str">
        <f>INDEX(Clientes[Días Plazo],MATCH(Cobros[[#This Row],[Cod. Cliente]],Clientes[Codigo],0),1)</f>
        <v>15</v>
      </c>
      <c r="M222" s="45" t="str">
        <f>IF(Cobros[[#This Row],[Dias de Credito]]&lt;=0,"Contado","Credito")</f>
        <v>Credito</v>
      </c>
      <c r="N222" s="45">
        <f>Cobros[[#This Row],[Fecha Aplicación S]]-Cobros[[#This Row],[Fecha Cargo S]]</f>
        <v>21</v>
      </c>
      <c r="O222" s="45">
        <f>Cobros[[#This Row],[Dias al pago]]-Cobros[[#This Row],[Dias de Credito]]</f>
        <v>6</v>
      </c>
      <c r="P222" s="45">
        <f>SUMIFS(TablaDias[Porcentaje],TablaDias[Tipo],Cobros[[#This Row],[Tipo]],TablaDias[Desde ],"&lt;="&amp;MAX(0,Cobros[[#This Row],[Dias pasado]]),TablaDias[Hasta ],"&gt;="&amp;Cobros[[#This Row],[Dias pasado]])</f>
        <v>100</v>
      </c>
      <c r="Q22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2">
        <f>IF(COUNTIF(PAPEL[Numero],Cobros[[#This Row],[Doc. Cargo]])&gt;0,1,0)</f>
        <v>0</v>
      </c>
      <c r="S222" s="46">
        <f t="array" ref="S2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22" s="47">
        <v>0.005</v>
      </c>
      <c r="U222" s="34">
        <f>IF(Cobros[[#This Row],[Tipo]]="Credito",IF(60&gt;=Cobros[[#This Row],[Dias al pago]],1,0),IF(Cobros[[#This Row],[Dias al pago]]&lt;=3,1,0))</f>
        <v>1</v>
      </c>
      <c r="V222" s="46">
        <f>(Cobros[[#This Row],[% A pagar Vendedor]]/100)*Cobros[[#This Row],[Valor Pagado]]*Cobros[[#This Row],[Vencido]]*(Cobros[[#This Row],[% aplicar]]/100)*IF(Cobros[[#This Row],[% A pagar Vendedor]]&gt;0,1,0)</f>
        <v>1.68</v>
      </c>
      <c r="W222" s="46">
        <f>0.5%*Cobros[[#This Row],[Valor Pagado]]</f>
        <v>0.84</v>
      </c>
      <c r="X222" s="34"/>
    </row>
    <row r="223" spans="1:24">
      <c r="A223" s="49" t="s">
        <v>3860</v>
      </c>
      <c r="B223" s="49" t="s">
        <v>4213</v>
      </c>
      <c r="C223" s="49" t="s">
        <v>255</v>
      </c>
      <c r="D223" s="49" t="s">
        <v>256</v>
      </c>
      <c r="E223" s="49" t="s">
        <v>4214</v>
      </c>
      <c r="F223" s="51">
        <v>46191</v>
      </c>
      <c r="G223" s="49">
        <v>32</v>
      </c>
      <c r="H223" s="49" t="s">
        <v>16</v>
      </c>
      <c r="I223" s="51">
        <v>46211</v>
      </c>
      <c r="J223" s="54">
        <f>INT(Cobros[[#This Row],[Fecha Cargo]])</f>
        <v>46191</v>
      </c>
      <c r="K223" s="54">
        <f>INT(Cobros[[#This Row],[Fecha Aplicacion]])</f>
        <v>46211</v>
      </c>
      <c r="L223" s="55" t="str">
        <f>INDEX(Clientes[Días Plazo],MATCH(Cobros[[#This Row],[Cod. Cliente]],Clientes[Codigo],0),1)</f>
        <v>15</v>
      </c>
      <c r="M223" s="45" t="str">
        <f>IF(Cobros[[#This Row],[Dias de Credito]]&lt;=0,"Contado","Credito")</f>
        <v>Credito</v>
      </c>
      <c r="N223" s="45">
        <f>Cobros[[#This Row],[Fecha Aplicación S]]-Cobros[[#This Row],[Fecha Cargo S]]</f>
        <v>20</v>
      </c>
      <c r="O223" s="45">
        <f>Cobros[[#This Row],[Dias al pago]]-Cobros[[#This Row],[Dias de Credito]]</f>
        <v>5</v>
      </c>
      <c r="P223" s="45">
        <f>SUMIFS(TablaDias[Porcentaje],TablaDias[Tipo],Cobros[[#This Row],[Tipo]],TablaDias[Desde ],"&lt;="&amp;MAX(0,Cobros[[#This Row],[Dias pasado]]),TablaDias[Hasta ],"&gt;="&amp;Cobros[[#This Row],[Dias pasado]])</f>
        <v>100</v>
      </c>
      <c r="Q22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3">
        <f>IF(COUNTIF(PAPEL[Numero],Cobros[[#This Row],[Doc. Cargo]])&gt;0,1,0)</f>
        <v>0</v>
      </c>
      <c r="S223" s="46">
        <f t="array" ref="S2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23" s="47">
        <v>0.005</v>
      </c>
      <c r="U223" s="34">
        <f>IF(Cobros[[#This Row],[Tipo]]="Credito",IF(60&gt;=Cobros[[#This Row],[Dias al pago]],1,0),IF(Cobros[[#This Row],[Dias al pago]]&lt;=3,1,0))</f>
        <v>1</v>
      </c>
      <c r="V223" s="46">
        <f>(Cobros[[#This Row],[% A pagar Vendedor]]/100)*Cobros[[#This Row],[Valor Pagado]]*Cobros[[#This Row],[Vencido]]*(Cobros[[#This Row],[% aplicar]]/100)*IF(Cobros[[#This Row],[% A pagar Vendedor]]&gt;0,1,0)</f>
        <v>0.32</v>
      </c>
      <c r="W223" s="46">
        <f>0.5%*Cobros[[#This Row],[Valor Pagado]]</f>
        <v>0.16</v>
      </c>
      <c r="X223" s="34"/>
    </row>
    <row r="224" spans="1:23">
      <c r="A224" s="49" t="s">
        <v>3860</v>
      </c>
      <c r="B224" s="49" t="s">
        <v>4215</v>
      </c>
      <c r="C224" s="49" t="s">
        <v>530</v>
      </c>
      <c r="D224" s="49" t="s">
        <v>531</v>
      </c>
      <c r="E224" s="49" t="s">
        <v>4133</v>
      </c>
      <c r="F224" s="51">
        <v>46188</v>
      </c>
      <c r="G224" s="49">
        <v>1000</v>
      </c>
      <c r="H224" s="49" t="s">
        <v>18</v>
      </c>
      <c r="I224" s="51">
        <v>46211</v>
      </c>
      <c r="J224" s="54">
        <f>INT(Cobros[[#This Row],[Fecha Cargo]])</f>
        <v>46188</v>
      </c>
      <c r="K224" s="54">
        <f>INT(Cobros[[#This Row],[Fecha Aplicacion]])</f>
        <v>46211</v>
      </c>
      <c r="L224" s="55" t="str">
        <f>INDEX(Clientes[Días Plazo],MATCH(Cobros[[#This Row],[Cod. Cliente]],Clientes[Codigo],0),1)</f>
        <v>15</v>
      </c>
      <c r="M224" s="45" t="str">
        <f>IF(Cobros[[#This Row],[Dias de Credito]]&lt;=0,"Contado","Credito")</f>
        <v>Credito</v>
      </c>
      <c r="N224" s="45">
        <f>Cobros[[#This Row],[Fecha Aplicación S]]-Cobros[[#This Row],[Fecha Cargo S]]</f>
        <v>23</v>
      </c>
      <c r="O224" s="45">
        <f>Cobros[[#This Row],[Dias al pago]]-Cobros[[#This Row],[Dias de Credito]]</f>
        <v>8</v>
      </c>
      <c r="P224" s="45">
        <f>SUMIFS(TablaDias[Porcentaje],TablaDias[Tipo],Cobros[[#This Row],[Tipo]],TablaDias[Desde ],"&lt;="&amp;MAX(0,Cobros[[#This Row],[Dias pasado]]),TablaDias[Hasta ],"&gt;="&amp;Cobros[[#This Row],[Dias pasado]])</f>
        <v>100</v>
      </c>
      <c r="Q2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4">
        <f>IF(COUNTIF(PAPEL[Numero],Cobros[[#This Row],[Doc. Cargo]])&gt;0,1,0)</f>
        <v>0</v>
      </c>
      <c r="S224" s="46">
        <f t="array" ref="S2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24" s="46">
        <f t="array" ref="T224">INDEX(Ventas[[Unidades]:[2]],MATCH("Gerente de Venta",Ventas[Vendedor %],0),6+Cobros[[#This Row],[Mes]])</f>
        <v>0.005</v>
      </c>
      <c r="U224" s="34">
        <f>IF(Cobros[[#This Row],[Tipo]]="Credito",IF(60&gt;=Cobros[[#This Row],[Dias al pago]],1,0),IF(Cobros[[#This Row],[Dias al pago]]&lt;=3,1,0))</f>
        <v>1</v>
      </c>
      <c r="V224" s="46">
        <f>(Cobros[[#This Row],[% A pagar Vendedor]]/100)*Cobros[[#This Row],[Valor Pagado]]*Cobros[[#This Row],[Vencido]]*(Cobros[[#This Row],[% aplicar]]/100)*IF(Cobros[[#This Row],[% A pagar Vendedor]]&gt;0,1,0)</f>
        <v>10</v>
      </c>
      <c r="W224" s="46">
        <f>0.5%*Cobros[[#This Row],[Valor Pagado]]</f>
        <v>5</v>
      </c>
    </row>
    <row r="225" spans="1:24">
      <c r="A225" s="49" t="s">
        <v>3860</v>
      </c>
      <c r="B225" s="49" t="s">
        <v>4216</v>
      </c>
      <c r="C225" s="49" t="s">
        <v>3715</v>
      </c>
      <c r="D225" s="49" t="s">
        <v>3716</v>
      </c>
      <c r="E225" s="49" t="s">
        <v>4049</v>
      </c>
      <c r="F225" s="51">
        <v>46206</v>
      </c>
      <c r="G225" s="49">
        <v>45.5</v>
      </c>
      <c r="H225" s="49" t="s">
        <v>16</v>
      </c>
      <c r="I225" s="51">
        <v>46211</v>
      </c>
      <c r="J225" s="54">
        <f>INT(Cobros[[#This Row],[Fecha Cargo]])</f>
        <v>46206</v>
      </c>
      <c r="K225" s="54">
        <f>INT(Cobros[[#This Row],[Fecha Aplicacion]])</f>
        <v>46211</v>
      </c>
      <c r="L225" s="55" t="str">
        <f>INDEX(Clientes[Días Plazo],MATCH(Cobros[[#This Row],[Cod. Cliente]],Clientes[Codigo],0),1)</f>
        <v>7</v>
      </c>
      <c r="M225" s="45" t="str">
        <f>IF(Cobros[[#This Row],[Dias de Credito]]&lt;=0,"Contado","Credito")</f>
        <v>Credito</v>
      </c>
      <c r="N225" s="45">
        <f>Cobros[[#This Row],[Fecha Aplicación S]]-Cobros[[#This Row],[Fecha Cargo S]]</f>
        <v>5</v>
      </c>
      <c r="O225" s="45">
        <f>Cobros[[#This Row],[Dias al pago]]-Cobros[[#This Row],[Dias de Credito]]</f>
        <v>-2</v>
      </c>
      <c r="P225" s="45">
        <f>SUMIFS(TablaDias[Porcentaje],TablaDias[Tipo],Cobros[[#This Row],[Tipo]],TablaDias[Desde ],"&lt;="&amp;MAX(0,Cobros[[#This Row],[Dias pasado]]),TablaDias[Hasta ],"&gt;="&amp;Cobros[[#This Row],[Dias pasado]])</f>
        <v>100</v>
      </c>
      <c r="Q2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25">
        <f>IF(COUNTIF(PAPEL[Numero],Cobros[[#This Row],[Doc. Cargo]])&gt;0,1,0)</f>
        <v>0</v>
      </c>
      <c r="S225" s="46">
        <f t="array" ref="S2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25" s="47">
        <v>0.005</v>
      </c>
      <c r="U225" s="34">
        <f>IF(Cobros[[#This Row],[Tipo]]="Credito",IF(60&gt;=Cobros[[#This Row],[Dias al pago]],1,0),IF(Cobros[[#This Row],[Dias al pago]]&lt;=3,1,0))</f>
        <v>1</v>
      </c>
      <c r="V225" s="46">
        <f>(Cobros[[#This Row],[% A pagar Vendedor]]/100)*Cobros[[#This Row],[Valor Pagado]]*Cobros[[#This Row],[Vencido]]*(Cobros[[#This Row],[% aplicar]]/100)*IF(Cobros[[#This Row],[% A pagar Vendedor]]&gt;0,1,0)</f>
        <v>0.56875</v>
      </c>
      <c r="W225" s="46">
        <f>0.5%*Cobros[[#This Row],[Valor Pagado]]</f>
        <v>0.2275</v>
      </c>
      <c r="X225" s="34"/>
    </row>
    <row r="226" spans="1:24">
      <c r="A226" s="49" t="s">
        <v>3860</v>
      </c>
      <c r="B226" s="49" t="s">
        <v>4217</v>
      </c>
      <c r="C226" s="49" t="s">
        <v>3814</v>
      </c>
      <c r="D226" s="49" t="s">
        <v>3815</v>
      </c>
      <c r="E226" s="49" t="s">
        <v>4135</v>
      </c>
      <c r="F226" s="51">
        <v>46191</v>
      </c>
      <c r="G226" s="49">
        <v>935.5</v>
      </c>
      <c r="H226" s="49" t="s">
        <v>20</v>
      </c>
      <c r="I226" s="51">
        <v>46211</v>
      </c>
      <c r="J226" s="54">
        <f>INT(Cobros[[#This Row],[Fecha Cargo]])</f>
        <v>46191</v>
      </c>
      <c r="K226" s="54">
        <f>INT(Cobros[[#This Row],[Fecha Aplicacion]])</f>
        <v>46211</v>
      </c>
      <c r="L226" s="55" t="str">
        <f>INDEX(Clientes[Días Plazo],MATCH(Cobros[[#This Row],[Cod. Cliente]],Clientes[Codigo],0),1)</f>
        <v>15</v>
      </c>
      <c r="M226" s="45" t="str">
        <f>IF(Cobros[[#This Row],[Dias de Credito]]&lt;=0,"Contado","Credito")</f>
        <v>Credito</v>
      </c>
      <c r="N226" s="45">
        <f>Cobros[[#This Row],[Fecha Aplicación S]]-Cobros[[#This Row],[Fecha Cargo S]]</f>
        <v>20</v>
      </c>
      <c r="O226" s="45">
        <f>Cobros[[#This Row],[Dias al pago]]-Cobros[[#This Row],[Dias de Credito]]</f>
        <v>5</v>
      </c>
      <c r="P226" s="45">
        <f>SUMIFS(TablaDias[Porcentaje],TablaDias[Tipo],Cobros[[#This Row],[Tipo]],TablaDias[Desde ],"&lt;="&amp;MAX(0,Cobros[[#This Row],[Dias pasado]]),TablaDias[Hasta ],"&gt;="&amp;Cobros[[#This Row],[Dias pasado]])</f>
        <v>100</v>
      </c>
      <c r="Q2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6">
        <f>IF(COUNTIF(PAPEL[Numero],Cobros[[#This Row],[Doc. Cargo]])&gt;0,1,0)</f>
        <v>0</v>
      </c>
      <c r="S226" s="46">
        <f t="array" ref="S2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26" s="46">
        <f t="array" ref="T226">INDEX(Ventas[[Unidades]:[2]],MATCH("Gerente de Venta",Ventas[Vendedor %],0),6+Cobros[[#This Row],[Mes]])</f>
        <v>0.005</v>
      </c>
      <c r="U226" s="34">
        <f>IF(Cobros[[#This Row],[Tipo]]="Credito",IF(60&gt;=Cobros[[#This Row],[Dias al pago]],1,0),IF(Cobros[[#This Row],[Dias al pago]]&lt;=3,1,0))</f>
        <v>1</v>
      </c>
      <c r="V226" s="46">
        <f>(Cobros[[#This Row],[% A pagar Vendedor]]/100)*Cobros[[#This Row],[Valor Pagado]]*Cobros[[#This Row],[Vencido]]*(Cobros[[#This Row],[% aplicar]]/100)*IF(Cobros[[#This Row],[% A pagar Vendedor]]&gt;0,1,0)</f>
        <v>11.69375</v>
      </c>
      <c r="W226" s="46">
        <f>0.5%*Cobros[[#This Row],[Valor Pagado]]</f>
        <v>4.6775</v>
      </c>
      <c r="X226" s="34"/>
    </row>
    <row r="227" spans="1:23">
      <c r="A227" s="49" t="s">
        <v>3860</v>
      </c>
      <c r="B227" s="49" t="s">
        <v>4217</v>
      </c>
      <c r="C227" s="49" t="s">
        <v>3814</v>
      </c>
      <c r="D227" s="49" t="s">
        <v>3815</v>
      </c>
      <c r="E227" s="49" t="s">
        <v>4218</v>
      </c>
      <c r="F227" s="51">
        <v>46196</v>
      </c>
      <c r="G227" s="49">
        <v>733.4</v>
      </c>
      <c r="H227" s="49" t="s">
        <v>20</v>
      </c>
      <c r="I227" s="51">
        <v>46211</v>
      </c>
      <c r="J227" s="54">
        <f>INT(Cobros[[#This Row],[Fecha Cargo]])</f>
        <v>46196</v>
      </c>
      <c r="K227" s="54">
        <f>INT(Cobros[[#This Row],[Fecha Aplicacion]])</f>
        <v>46211</v>
      </c>
      <c r="L227" s="55" t="str">
        <f>INDEX(Clientes[Días Plazo],MATCH(Cobros[[#This Row],[Cod. Cliente]],Clientes[Codigo],0),1)</f>
        <v>15</v>
      </c>
      <c r="M227" s="45" t="str">
        <f>IF(Cobros[[#This Row],[Dias de Credito]]&lt;=0,"Contado","Credito")</f>
        <v>Credito</v>
      </c>
      <c r="N227" s="45">
        <f>Cobros[[#This Row],[Fecha Aplicación S]]-Cobros[[#This Row],[Fecha Cargo S]]</f>
        <v>15</v>
      </c>
      <c r="O227" s="45">
        <f>Cobros[[#This Row],[Dias al pago]]-Cobros[[#This Row],[Dias de Credito]]</f>
        <v>0</v>
      </c>
      <c r="P227" s="45">
        <f>SUMIFS(TablaDias[Porcentaje],TablaDias[Tipo],Cobros[[#This Row],[Tipo]],TablaDias[Desde ],"&lt;="&amp;MAX(0,Cobros[[#This Row],[Dias pasado]]),TablaDias[Hasta ],"&gt;="&amp;Cobros[[#This Row],[Dias pasado]])</f>
        <v>100</v>
      </c>
      <c r="Q22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27">
        <f>IF(COUNTIF(PAPEL[Numero],Cobros[[#This Row],[Doc. Cargo]])&gt;0,1,0)</f>
        <v>0</v>
      </c>
      <c r="S227" s="46">
        <f t="array" ref="S2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27" s="46">
        <f t="array" ref="T227">INDEX(Ventas[[Unidades]:[2]],MATCH("Gerente de Venta",Ventas[Vendedor %],0),6+Cobros[[#This Row],[Mes]])</f>
        <v>0.005</v>
      </c>
      <c r="U227" s="34">
        <f>IF(Cobros[[#This Row],[Tipo]]="Credito",IF(60&gt;=Cobros[[#This Row],[Dias al pago]],1,0),IF(Cobros[[#This Row],[Dias al pago]]&lt;=3,1,0))</f>
        <v>1</v>
      </c>
      <c r="V227" s="46">
        <f>(Cobros[[#This Row],[% A pagar Vendedor]]/100)*Cobros[[#This Row],[Valor Pagado]]*Cobros[[#This Row],[Vencido]]*(Cobros[[#This Row],[% aplicar]]/100)*IF(Cobros[[#This Row],[% A pagar Vendedor]]&gt;0,1,0)</f>
        <v>9.1675</v>
      </c>
      <c r="W227" s="46">
        <f>0.5%*Cobros[[#This Row],[Valor Pagado]]</f>
        <v>3.667</v>
      </c>
    </row>
    <row r="228" spans="1:23">
      <c r="A228" s="49" t="s">
        <v>3860</v>
      </c>
      <c r="B228" s="49" t="s">
        <v>4219</v>
      </c>
      <c r="C228" s="49" t="s">
        <v>1222</v>
      </c>
      <c r="D228" s="49" t="s">
        <v>1223</v>
      </c>
      <c r="E228" s="49" t="s">
        <v>4207</v>
      </c>
      <c r="F228" s="51">
        <v>46210</v>
      </c>
      <c r="G228" s="49">
        <v>681.5</v>
      </c>
      <c r="H228" s="49" t="s">
        <v>20</v>
      </c>
      <c r="I228" s="51">
        <v>46211</v>
      </c>
      <c r="J228" s="54">
        <f>INT(Cobros[[#This Row],[Fecha Cargo]])</f>
        <v>46210</v>
      </c>
      <c r="K228" s="54">
        <f>INT(Cobros[[#This Row],[Fecha Aplicacion]])</f>
        <v>46211</v>
      </c>
      <c r="L228" s="55" t="str">
        <f>INDEX(Clientes[Días Plazo],MATCH(Cobros[[#This Row],[Cod. Cliente]],Clientes[Codigo],0),1)</f>
        <v>7</v>
      </c>
      <c r="M228" s="45" t="str">
        <f>IF(Cobros[[#This Row],[Dias de Credito]]&lt;=0,"Contado","Credito")</f>
        <v>Credito</v>
      </c>
      <c r="N228" s="45">
        <f>Cobros[[#This Row],[Fecha Aplicación S]]-Cobros[[#This Row],[Fecha Cargo S]]</f>
        <v>1</v>
      </c>
      <c r="O228" s="45">
        <f>Cobros[[#This Row],[Dias al pago]]-Cobros[[#This Row],[Dias de Credito]]</f>
        <v>-6</v>
      </c>
      <c r="P228" s="45">
        <f>SUMIFS(TablaDias[Porcentaje],TablaDias[Tipo],Cobros[[#This Row],[Tipo]],TablaDias[Desde ],"&lt;="&amp;MAX(0,Cobros[[#This Row],[Dias pasado]]),TablaDias[Hasta ],"&gt;="&amp;Cobros[[#This Row],[Dias pasado]])</f>
        <v>100</v>
      </c>
      <c r="Q22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28">
        <f>IF(COUNTIF(PAPEL[Numero],Cobros[[#This Row],[Doc. Cargo]])&gt;0,1,0)</f>
        <v>0</v>
      </c>
      <c r="S228" s="46">
        <f t="array" ref="S2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28" s="46">
        <f t="array" ref="T228">INDEX(Ventas[[Unidades]:[2]],MATCH("Gerente de Venta",Ventas[Vendedor %],0),6+Cobros[[#This Row],[Mes]])</f>
        <v>0.005</v>
      </c>
      <c r="U228" s="34">
        <f>IF(Cobros[[#This Row],[Tipo]]="Credito",IF(60&gt;=Cobros[[#This Row],[Dias al pago]],1,0),IF(Cobros[[#This Row],[Dias al pago]]&lt;=3,1,0))</f>
        <v>1</v>
      </c>
      <c r="V228" s="46">
        <f>(Cobros[[#This Row],[% A pagar Vendedor]]/100)*Cobros[[#This Row],[Valor Pagado]]*Cobros[[#This Row],[Vencido]]*(Cobros[[#This Row],[% aplicar]]/100)*IF(Cobros[[#This Row],[% A pagar Vendedor]]&gt;0,1,0)</f>
        <v>8.51875</v>
      </c>
      <c r="W228" s="46">
        <f>0.5%*Cobros[[#This Row],[Valor Pagado]]</f>
        <v>3.4075</v>
      </c>
    </row>
    <row r="229" spans="1:23">
      <c r="A229" s="49" t="s">
        <v>3860</v>
      </c>
      <c r="B229" s="49" t="s">
        <v>4220</v>
      </c>
      <c r="C229" s="49" t="s">
        <v>1180</v>
      </c>
      <c r="D229" s="49" t="s">
        <v>1181</v>
      </c>
      <c r="E229" s="49" t="s">
        <v>4221</v>
      </c>
      <c r="F229" s="51">
        <v>46108</v>
      </c>
      <c r="G229" s="49">
        <v>82.1</v>
      </c>
      <c r="H229" s="49" t="s">
        <v>18</v>
      </c>
      <c r="I229" s="51">
        <v>46211</v>
      </c>
      <c r="J229" s="54">
        <f>INT(Cobros[[#This Row],[Fecha Cargo]])</f>
        <v>46108</v>
      </c>
      <c r="K229" s="54">
        <f>INT(Cobros[[#This Row],[Fecha Aplicacion]])</f>
        <v>46211</v>
      </c>
      <c r="L229" s="55" t="str">
        <f>INDEX(Clientes[Días Plazo],MATCH(Cobros[[#This Row],[Cod. Cliente]],Clientes[Codigo],0),1)</f>
        <v>21</v>
      </c>
      <c r="M229" s="45" t="str">
        <f>IF(Cobros[[#This Row],[Dias de Credito]]&lt;=0,"Contado","Credito")</f>
        <v>Credito</v>
      </c>
      <c r="N229" s="45">
        <f>Cobros[[#This Row],[Fecha Aplicación S]]-Cobros[[#This Row],[Fecha Cargo S]]</f>
        <v>103</v>
      </c>
      <c r="O229" s="45">
        <f>Cobros[[#This Row],[Dias al pago]]-Cobros[[#This Row],[Dias de Credito]]</f>
        <v>82</v>
      </c>
      <c r="P229" s="45">
        <f>SUMIFS(TablaDias[Porcentaje],TablaDias[Tipo],Cobros[[#This Row],[Tipo]],TablaDias[Desde ],"&lt;="&amp;MAX(0,Cobros[[#This Row],[Dias pasado]]),TablaDias[Hasta ],"&gt;="&amp;Cobros[[#This Row],[Dias pasado]])</f>
        <v>0</v>
      </c>
      <c r="Q2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29">
        <f>IF(COUNTIF(PAPEL[Numero],Cobros[[#This Row],[Doc. Cargo]])&gt;0,1,0)</f>
        <v>0</v>
      </c>
      <c r="S229" s="46">
        <f t="array" ref="S2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29" s="46">
        <f t="array" ref="T229">INDEX(Ventas[[Unidades]:[2]],MATCH("Gerente de Venta",Ventas[Vendedor %],0),6+Cobros[[#This Row],[Mes]])</f>
        <v>0.005</v>
      </c>
      <c r="U229" s="34">
        <f>IF(Cobros[[#This Row],[Tipo]]="Credito",IF(60&gt;=Cobros[[#This Row],[Dias al pago]],1,0),IF(Cobros[[#This Row],[Dias al pago]]&lt;=3,1,0))</f>
        <v>0</v>
      </c>
      <c r="V229" s="46">
        <f>(Cobros[[#This Row],[% A pagar Vendedor]]/100)*Cobros[[#This Row],[Valor Pagado]]*Cobros[[#This Row],[Vencido]]*(Cobros[[#This Row],[% aplicar]]/100)*IF(Cobros[[#This Row],[% A pagar Vendedor]]&gt;0,1,0)</f>
        <v>0</v>
      </c>
      <c r="W229" s="46">
        <f>0.5%*Cobros[[#This Row],[Valor Pagado]]</f>
        <v>0.4105</v>
      </c>
    </row>
    <row r="230" ht="30" spans="1:23">
      <c r="A230" s="49" t="s">
        <v>3860</v>
      </c>
      <c r="B230" s="49" t="s">
        <v>4222</v>
      </c>
      <c r="C230" s="49" t="s">
        <v>2661</v>
      </c>
      <c r="D230" s="49" t="s">
        <v>2662</v>
      </c>
      <c r="E230" s="49" t="s">
        <v>4223</v>
      </c>
      <c r="F230" s="51">
        <v>46181</v>
      </c>
      <c r="G230" s="49">
        <v>368</v>
      </c>
      <c r="H230" s="49" t="s">
        <v>1355</v>
      </c>
      <c r="I230" s="51">
        <v>46211</v>
      </c>
      <c r="J230" s="54">
        <f>INT(Cobros[[#This Row],[Fecha Cargo]])</f>
        <v>46181</v>
      </c>
      <c r="K230" s="54">
        <f>INT(Cobros[[#This Row],[Fecha Aplicacion]])</f>
        <v>46211</v>
      </c>
      <c r="L230" s="55" t="str">
        <f>INDEX(Clientes[Días Plazo],MATCH(Cobros[[#This Row],[Cod. Cliente]],Clientes[Codigo],0),1)</f>
        <v>7</v>
      </c>
      <c r="M230" s="45" t="str">
        <f>IF(Cobros[[#This Row],[Dias de Credito]]&lt;=0,"Contado","Credito")</f>
        <v>Credito</v>
      </c>
      <c r="N230" s="45">
        <f>Cobros[[#This Row],[Fecha Aplicación S]]-Cobros[[#This Row],[Fecha Cargo S]]</f>
        <v>30</v>
      </c>
      <c r="O230" s="45">
        <f>Cobros[[#This Row],[Dias al pago]]-Cobros[[#This Row],[Dias de Credito]]</f>
        <v>23</v>
      </c>
      <c r="P230" s="45">
        <f>SUMIFS(TablaDias[Porcentaje],TablaDias[Tipo],Cobros[[#This Row],[Tipo]],TablaDias[Desde ],"&lt;="&amp;MAX(0,Cobros[[#This Row],[Dias pasado]]),TablaDias[Hasta ],"&gt;="&amp;Cobros[[#This Row],[Dias pasado]])</f>
        <v>50</v>
      </c>
      <c r="Q2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0">
        <f>IF(COUNTIF(PAPEL[Numero],Cobros[[#This Row],[Doc. Cargo]])&gt;0,1,0)</f>
        <v>0</v>
      </c>
      <c r="S230" s="46">
        <v>1</v>
      </c>
      <c r="T230" s="46">
        <f t="array" ref="T230">INDEX(Ventas[[Unidades]:[2]],MATCH("Gerente de Venta",Ventas[Vendedor %],0),6+Cobros[[#This Row],[Mes]])</f>
        <v>0.005</v>
      </c>
      <c r="U230" s="34">
        <f>IF(Cobros[[#This Row],[Tipo]]="Credito",IF(60&gt;=Cobros[[#This Row],[Dias al pago]],1,0),IF(Cobros[[#This Row],[Dias al pago]]&lt;=3,1,0))</f>
        <v>1</v>
      </c>
      <c r="V230" s="46">
        <f>(Cobros[[#This Row],[% A pagar Vendedor]]/100)*Cobros[[#This Row],[Valor Pagado]]*Cobros[[#This Row],[Vencido]]*(Cobros[[#This Row],[% aplicar]]/100)*IF(Cobros[[#This Row],[% A pagar Vendedor]]&gt;0,1,0)</f>
        <v>1.84</v>
      </c>
      <c r="W230" s="46">
        <f>0.5%*Cobros[[#This Row],[Valor Pagado]]</f>
        <v>1.84</v>
      </c>
    </row>
    <row r="231" spans="1:23">
      <c r="A231" s="49" t="s">
        <v>3904</v>
      </c>
      <c r="B231" s="49" t="s">
        <v>4224</v>
      </c>
      <c r="C231" s="49" t="s">
        <v>1220</v>
      </c>
      <c r="D231" s="49" t="s">
        <v>1221</v>
      </c>
      <c r="E231" s="49" t="s">
        <v>4225</v>
      </c>
      <c r="F231" s="51">
        <v>46211</v>
      </c>
      <c r="G231" s="49">
        <v>759.95</v>
      </c>
      <c r="H231" s="49" t="s">
        <v>20</v>
      </c>
      <c r="I231" s="51">
        <v>46211</v>
      </c>
      <c r="J231" s="54">
        <f>INT(Cobros[[#This Row],[Fecha Cargo]])</f>
        <v>46211</v>
      </c>
      <c r="K231" s="54">
        <f>INT(Cobros[[#This Row],[Fecha Aplicacion]])</f>
        <v>46211</v>
      </c>
      <c r="L231" s="55">
        <f>INDEX(Clientes[Días Plazo],MATCH(Cobros[[#This Row],[Cod. Cliente]],Clientes[Codigo],0),1)</f>
        <v>0</v>
      </c>
      <c r="M231" s="45" t="str">
        <f>IF(Cobros[[#This Row],[Dias de Credito]]&lt;=0,"Contado","Credito")</f>
        <v>Contado</v>
      </c>
      <c r="N231" s="45">
        <f>Cobros[[#This Row],[Fecha Aplicación S]]-Cobros[[#This Row],[Fecha Cargo S]]</f>
        <v>0</v>
      </c>
      <c r="O231" s="45">
        <f>Cobros[[#This Row],[Dias al pago]]-Cobros[[#This Row],[Dias de Credito]]</f>
        <v>0</v>
      </c>
      <c r="P231" s="45">
        <f>SUMIFS(TablaDias[Porcentaje],TablaDias[Tipo],Cobros[[#This Row],[Tipo]],TablaDias[Desde ],"&lt;="&amp;MAX(0,Cobros[[#This Row],[Dias pasado]]),TablaDias[Hasta ],"&gt;="&amp;Cobros[[#This Row],[Dias pasado]])</f>
        <v>100</v>
      </c>
      <c r="Q2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31">
        <f>IF(COUNTIF(PAPEL[Numero],Cobros[[#This Row],[Doc. Cargo]])&gt;0,1,0)</f>
        <v>0</v>
      </c>
      <c r="S231" s="46">
        <f t="array" ref="S2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31" s="46">
        <f t="array" ref="T231">INDEX(Ventas[[Unidades]:[2]],MATCH("Gerente de Venta",Ventas[Vendedor %],0),6+Cobros[[#This Row],[Mes]])</f>
        <v>0.005</v>
      </c>
      <c r="U231" s="34">
        <f>IF(Cobros[[#This Row],[Tipo]]="Credito",IF(60&gt;=Cobros[[#This Row],[Dias al pago]],1,0),IF(Cobros[[#This Row],[Dias al pago]]&lt;=3,1,0))</f>
        <v>1</v>
      </c>
      <c r="V231" s="46">
        <f>(Cobros[[#This Row],[% A pagar Vendedor]]/100)*Cobros[[#This Row],[Valor Pagado]]*Cobros[[#This Row],[Vencido]]*(Cobros[[#This Row],[% aplicar]]/100)*IF(Cobros[[#This Row],[% A pagar Vendedor]]&gt;0,1,0)</f>
        <v>9.499375</v>
      </c>
      <c r="W231" s="46">
        <f>0.5%*Cobros[[#This Row],[Valor Pagado]]</f>
        <v>3.79975</v>
      </c>
    </row>
    <row r="232" spans="1:23">
      <c r="A232" s="49" t="s">
        <v>3884</v>
      </c>
      <c r="B232" s="49" t="s">
        <v>4226</v>
      </c>
      <c r="C232" s="49" t="s">
        <v>492</v>
      </c>
      <c r="D232" s="49" t="s">
        <v>493</v>
      </c>
      <c r="E232" s="49" t="s">
        <v>4227</v>
      </c>
      <c r="F232" s="51">
        <v>46211</v>
      </c>
      <c r="G232" s="49">
        <v>175.56</v>
      </c>
      <c r="H232" s="49" t="s">
        <v>19</v>
      </c>
      <c r="I232" s="51">
        <v>46211</v>
      </c>
      <c r="J232" s="54">
        <f>INT(Cobros[[#This Row],[Fecha Cargo]])</f>
        <v>46211</v>
      </c>
      <c r="K232" s="54">
        <f>INT(Cobros[[#This Row],[Fecha Aplicacion]])</f>
        <v>46211</v>
      </c>
      <c r="L232" s="55">
        <f>INDEX(Clientes[Días Plazo],MATCH(Cobros[[#This Row],[Cod. Cliente]],Clientes[Codigo],0),1)</f>
        <v>0</v>
      </c>
      <c r="M232" s="45" t="str">
        <f>IF(Cobros[[#This Row],[Dias de Credito]]&lt;=0,"Contado","Credito")</f>
        <v>Contado</v>
      </c>
      <c r="N232" s="45">
        <f>Cobros[[#This Row],[Fecha Aplicación S]]-Cobros[[#This Row],[Fecha Cargo S]]</f>
        <v>0</v>
      </c>
      <c r="O232" s="45">
        <f>Cobros[[#This Row],[Dias al pago]]-Cobros[[#This Row],[Dias de Credito]]</f>
        <v>0</v>
      </c>
      <c r="P232" s="45">
        <f>SUMIFS(TablaDias[Porcentaje],TablaDias[Tipo],Cobros[[#This Row],[Tipo]],TablaDias[Desde ],"&lt;="&amp;MAX(0,Cobros[[#This Row],[Dias pasado]]),TablaDias[Hasta ],"&gt;="&amp;Cobros[[#This Row],[Dias pasado]])</f>
        <v>100</v>
      </c>
      <c r="Q2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32">
        <f>IF(COUNTIF(PAPEL[Numero],Cobros[[#This Row],[Doc. Cargo]])&gt;0,1,0)</f>
        <v>0</v>
      </c>
      <c r="S232" s="46">
        <f t="array" ref="S2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32" s="46">
        <f t="array" ref="T232">INDEX(Ventas[[Unidades]:[2]],MATCH("Gerente de Venta",Ventas[Vendedor %],0),6+Cobros[[#This Row],[Mes]])</f>
        <v>0.005</v>
      </c>
      <c r="U232" s="34">
        <f>IF(Cobros[[#This Row],[Tipo]]="Credito",IF(60&gt;=Cobros[[#This Row],[Dias al pago]],1,0),IF(Cobros[[#This Row],[Dias al pago]]&lt;=3,1,0))</f>
        <v>1</v>
      </c>
      <c r="V232" s="46">
        <f>(Cobros[[#This Row],[% A pagar Vendedor]]/100)*Cobros[[#This Row],[Valor Pagado]]*Cobros[[#This Row],[Vencido]]*(Cobros[[#This Row],[% aplicar]]/100)*IF(Cobros[[#This Row],[% A pagar Vendedor]]&gt;0,1,0)</f>
        <v>2.1945</v>
      </c>
      <c r="W232" s="46">
        <f>0.5%*Cobros[[#This Row],[Valor Pagado]]</f>
        <v>0.8778</v>
      </c>
    </row>
    <row r="233" spans="1:23">
      <c r="A233" s="49" t="s">
        <v>3884</v>
      </c>
      <c r="B233" s="49" t="s">
        <v>4228</v>
      </c>
      <c r="C233" s="49" t="s">
        <v>3076</v>
      </c>
      <c r="D233" s="49" t="s">
        <v>3077</v>
      </c>
      <c r="E233" s="49" t="s">
        <v>4229</v>
      </c>
      <c r="F233" s="51">
        <v>46175</v>
      </c>
      <c r="G233" s="49">
        <v>324.43</v>
      </c>
      <c r="H233" s="49" t="s">
        <v>16</v>
      </c>
      <c r="I233" s="51">
        <v>46211</v>
      </c>
      <c r="J233" s="54">
        <f>INT(Cobros[[#This Row],[Fecha Cargo]])</f>
        <v>46175</v>
      </c>
      <c r="K233" s="54">
        <f>INT(Cobros[[#This Row],[Fecha Aplicacion]])</f>
        <v>46211</v>
      </c>
      <c r="L233" s="55">
        <v>0</v>
      </c>
      <c r="M233" s="45" t="str">
        <f>IF(Cobros[[#This Row],[Dias de Credito]]&lt;=0,"Contado","Credito")</f>
        <v>Contado</v>
      </c>
      <c r="N233" s="45">
        <f>Cobros[[#This Row],[Fecha Aplicación S]]-Cobros[[#This Row],[Fecha Cargo S]]</f>
        <v>36</v>
      </c>
      <c r="O233" s="45">
        <f>Cobros[[#This Row],[Dias al pago]]-Cobros[[#This Row],[Dias de Credito]]</f>
        <v>36</v>
      </c>
      <c r="P233" s="45">
        <f>SUMIFS(TablaDias[Porcentaje],TablaDias[Tipo],Cobros[[#This Row],[Tipo]],TablaDias[Desde ],"&lt;="&amp;MAX(0,Cobros[[#This Row],[Dias pasado]]),TablaDias[Hasta ],"&gt;="&amp;Cobros[[#This Row],[Dias pasado]])</f>
        <v>0</v>
      </c>
      <c r="Q2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3">
        <f>IF(COUNTIF(PAPEL[Numero],Cobros[[#This Row],[Doc. Cargo]])&gt;0,1,0)</f>
        <v>0</v>
      </c>
      <c r="S233" s="46">
        <f t="array" ref="S2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3" s="47">
        <v>0.005</v>
      </c>
      <c r="U233" s="34">
        <f>IF(Cobros[[#This Row],[Tipo]]="Credito",IF(60&gt;=Cobros[[#This Row],[Dias al pago]],1,0),IF(Cobros[[#This Row],[Dias al pago]]&lt;=3,1,0))</f>
        <v>0</v>
      </c>
      <c r="V233" s="46">
        <f>(Cobros[[#This Row],[% A pagar Vendedor]]/100)*Cobros[[#This Row],[Valor Pagado]]*Cobros[[#This Row],[Vencido]]*(Cobros[[#This Row],[% aplicar]]/100)*IF(Cobros[[#This Row],[% A pagar Vendedor]]&gt;0,1,0)</f>
        <v>0</v>
      </c>
      <c r="W233" s="46">
        <f>0.5%*Cobros[[#This Row],[Valor Pagado]]</f>
        <v>1.62215</v>
      </c>
    </row>
    <row r="234" spans="1:23">
      <c r="A234" s="49" t="s">
        <v>3884</v>
      </c>
      <c r="B234" s="49" t="s">
        <v>4228</v>
      </c>
      <c r="C234" s="49" t="s">
        <v>3076</v>
      </c>
      <c r="D234" s="49" t="s">
        <v>3077</v>
      </c>
      <c r="E234" s="49" t="s">
        <v>4230</v>
      </c>
      <c r="F234" s="51">
        <v>46175</v>
      </c>
      <c r="G234" s="49">
        <v>1017.03</v>
      </c>
      <c r="H234" s="49" t="s">
        <v>16</v>
      </c>
      <c r="I234" s="51">
        <v>46211</v>
      </c>
      <c r="J234" s="54">
        <f>INT(Cobros[[#This Row],[Fecha Cargo]])</f>
        <v>46175</v>
      </c>
      <c r="K234" s="54">
        <f>INT(Cobros[[#This Row],[Fecha Aplicacion]])</f>
        <v>46211</v>
      </c>
      <c r="L234" s="55" t="str">
        <f>INDEX(Clientes[Días Plazo],MATCH(Cobros[[#This Row],[Cod. Cliente]],Clientes[Codigo],0),1)</f>
        <v>30</v>
      </c>
      <c r="M234" s="45" t="str">
        <f>IF(Cobros[[#This Row],[Dias de Credito]]&lt;=0,"Contado","Credito")</f>
        <v>Credito</v>
      </c>
      <c r="N234" s="45">
        <f>Cobros[[#This Row],[Fecha Aplicación S]]-Cobros[[#This Row],[Fecha Cargo S]]</f>
        <v>36</v>
      </c>
      <c r="O234" s="45">
        <f>Cobros[[#This Row],[Dias al pago]]-Cobros[[#This Row],[Dias de Credito]]</f>
        <v>6</v>
      </c>
      <c r="P234" s="45">
        <f>SUMIFS(TablaDias[Porcentaje],TablaDias[Tipo],Cobros[[#This Row],[Tipo]],TablaDias[Desde ],"&lt;="&amp;MAX(0,Cobros[[#This Row],[Dias pasado]]),TablaDias[Hasta ],"&gt;="&amp;Cobros[[#This Row],[Dias pasado]])</f>
        <v>100</v>
      </c>
      <c r="Q2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4">
        <f>IF(COUNTIF(PAPEL[Numero],Cobros[[#This Row],[Doc. Cargo]])&gt;0,1,0)</f>
        <v>0</v>
      </c>
      <c r="S234" s="46">
        <f t="array" ref="S2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4" s="47">
        <v>0.005</v>
      </c>
      <c r="U234" s="34">
        <f>IF(Cobros[[#This Row],[Tipo]]="Credito",IF(60&gt;=Cobros[[#This Row],[Dias al pago]],1,0),IF(Cobros[[#This Row],[Dias al pago]]&lt;=3,1,0))</f>
        <v>1</v>
      </c>
      <c r="V234" s="46">
        <f>(Cobros[[#This Row],[% A pagar Vendedor]]/100)*Cobros[[#This Row],[Valor Pagado]]*Cobros[[#This Row],[Vencido]]*(Cobros[[#This Row],[% aplicar]]/100)*IF(Cobros[[#This Row],[% A pagar Vendedor]]&gt;0,1,0)</f>
        <v>10.1703</v>
      </c>
      <c r="W234" s="46">
        <f>0.5%*Cobros[[#This Row],[Valor Pagado]]</f>
        <v>5.08515</v>
      </c>
    </row>
    <row r="235" spans="1:23">
      <c r="A235" s="49" t="s">
        <v>3884</v>
      </c>
      <c r="B235" s="49" t="s">
        <v>4231</v>
      </c>
      <c r="C235" s="49" t="s">
        <v>3076</v>
      </c>
      <c r="D235" s="49" t="s">
        <v>3077</v>
      </c>
      <c r="E235" s="49" t="s">
        <v>4230</v>
      </c>
      <c r="F235" s="51">
        <v>46175</v>
      </c>
      <c r="G235" s="49">
        <v>1204.82</v>
      </c>
      <c r="H235" s="49" t="s">
        <v>16</v>
      </c>
      <c r="I235" s="51">
        <v>46211</v>
      </c>
      <c r="J235" s="54">
        <f>INT(Cobros[[#This Row],[Fecha Cargo]])</f>
        <v>46175</v>
      </c>
      <c r="K235" s="54">
        <f>INT(Cobros[[#This Row],[Fecha Aplicacion]])</f>
        <v>46211</v>
      </c>
      <c r="L235" s="55" t="str">
        <f>INDEX(Clientes[Días Plazo],MATCH(Cobros[[#This Row],[Cod. Cliente]],Clientes[Codigo],0),1)</f>
        <v>30</v>
      </c>
      <c r="M235" s="45" t="str">
        <f>IF(Cobros[[#This Row],[Dias de Credito]]&lt;=0,"Contado","Credito")</f>
        <v>Credito</v>
      </c>
      <c r="N235" s="45">
        <f>Cobros[[#This Row],[Fecha Aplicación S]]-Cobros[[#This Row],[Fecha Cargo S]]</f>
        <v>36</v>
      </c>
      <c r="O235" s="45">
        <f>Cobros[[#This Row],[Dias al pago]]-Cobros[[#This Row],[Dias de Credito]]</f>
        <v>6</v>
      </c>
      <c r="P235" s="45">
        <f>SUMIFS(TablaDias[Porcentaje],TablaDias[Tipo],Cobros[[#This Row],[Tipo]],TablaDias[Desde ],"&lt;="&amp;MAX(0,Cobros[[#This Row],[Dias pasado]]),TablaDias[Hasta ],"&gt;="&amp;Cobros[[#This Row],[Dias pasado]])</f>
        <v>100</v>
      </c>
      <c r="Q2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5">
        <f>IF(COUNTIF(PAPEL[Numero],Cobros[[#This Row],[Doc. Cargo]])&gt;0,1,0)</f>
        <v>0</v>
      </c>
      <c r="S235" s="46">
        <f t="array" ref="S23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5" s="47">
        <v>0.005</v>
      </c>
      <c r="U235" s="34">
        <f>IF(Cobros[[#This Row],[Tipo]]="Credito",IF(60&gt;=Cobros[[#This Row],[Dias al pago]],1,0),IF(Cobros[[#This Row],[Dias al pago]]&lt;=3,1,0))</f>
        <v>1</v>
      </c>
      <c r="V235" s="46">
        <f>(Cobros[[#This Row],[% A pagar Vendedor]]/100)*Cobros[[#This Row],[Valor Pagado]]*Cobros[[#This Row],[Vencido]]*(Cobros[[#This Row],[% aplicar]]/100)*IF(Cobros[[#This Row],[% A pagar Vendedor]]&gt;0,1,0)</f>
        <v>12.0482</v>
      </c>
      <c r="W235" s="46">
        <f>0.5%*Cobros[[#This Row],[Valor Pagado]]</f>
        <v>6.0241</v>
      </c>
    </row>
    <row r="236" spans="1:23">
      <c r="A236" s="49" t="s">
        <v>3884</v>
      </c>
      <c r="B236" s="49" t="s">
        <v>4232</v>
      </c>
      <c r="C236" s="49" t="s">
        <v>3076</v>
      </c>
      <c r="D236" s="49" t="s">
        <v>3077</v>
      </c>
      <c r="E236" s="49" t="s">
        <v>4230</v>
      </c>
      <c r="F236" s="51">
        <v>46175</v>
      </c>
      <c r="G236" s="49">
        <v>682.15</v>
      </c>
      <c r="H236" s="49" t="s">
        <v>16</v>
      </c>
      <c r="I236" s="51">
        <v>46211</v>
      </c>
      <c r="J236" s="54">
        <f>INT(Cobros[[#This Row],[Fecha Cargo]])</f>
        <v>46175</v>
      </c>
      <c r="K236" s="54">
        <f>INT(Cobros[[#This Row],[Fecha Aplicacion]])</f>
        <v>46211</v>
      </c>
      <c r="L236" s="55" t="str">
        <f>INDEX(Clientes[Días Plazo],MATCH(Cobros[[#This Row],[Cod. Cliente]],Clientes[Codigo],0),1)</f>
        <v>30</v>
      </c>
      <c r="M236" s="45" t="str">
        <f>IF(Cobros[[#This Row],[Dias de Credito]]&lt;=0,"Contado","Credito")</f>
        <v>Credito</v>
      </c>
      <c r="N236" s="45">
        <f>Cobros[[#This Row],[Fecha Aplicación S]]-Cobros[[#This Row],[Fecha Cargo S]]</f>
        <v>36</v>
      </c>
      <c r="O236" s="45">
        <f>Cobros[[#This Row],[Dias al pago]]-Cobros[[#This Row],[Dias de Credito]]</f>
        <v>6</v>
      </c>
      <c r="P236" s="45">
        <f>SUMIFS(TablaDias[Porcentaje],TablaDias[Tipo],Cobros[[#This Row],[Tipo]],TablaDias[Desde ],"&lt;="&amp;MAX(0,Cobros[[#This Row],[Dias pasado]]),TablaDias[Hasta ],"&gt;="&amp;Cobros[[#This Row],[Dias pasado]])</f>
        <v>100</v>
      </c>
      <c r="Q2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6">
        <f>IF(COUNTIF(PAPEL[Numero],Cobros[[#This Row],[Doc. Cargo]])&gt;0,1,0)</f>
        <v>0</v>
      </c>
      <c r="S236" s="46">
        <f t="array" ref="S23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6" s="47">
        <v>0.005</v>
      </c>
      <c r="U236" s="34">
        <f>IF(Cobros[[#This Row],[Tipo]]="Credito",IF(60&gt;=Cobros[[#This Row],[Dias al pago]],1,0),IF(Cobros[[#This Row],[Dias al pago]]&lt;=3,1,0))</f>
        <v>1</v>
      </c>
      <c r="V236" s="46">
        <f>(Cobros[[#This Row],[% A pagar Vendedor]]/100)*Cobros[[#This Row],[Valor Pagado]]*Cobros[[#This Row],[Vencido]]*(Cobros[[#This Row],[% aplicar]]/100)*IF(Cobros[[#This Row],[% A pagar Vendedor]]&gt;0,1,0)</f>
        <v>6.8215</v>
      </c>
      <c r="W236" s="46">
        <f>0.5%*Cobros[[#This Row],[Valor Pagado]]</f>
        <v>3.41075</v>
      </c>
    </row>
    <row r="237" spans="1:23">
      <c r="A237" s="49" t="s">
        <v>3884</v>
      </c>
      <c r="B237" s="49" t="s">
        <v>4232</v>
      </c>
      <c r="C237" s="49" t="s">
        <v>3076</v>
      </c>
      <c r="D237" s="49" t="s">
        <v>3077</v>
      </c>
      <c r="E237" s="49" t="s">
        <v>4233</v>
      </c>
      <c r="F237" s="51">
        <v>46188</v>
      </c>
      <c r="G237" s="49">
        <v>199.5</v>
      </c>
      <c r="H237" s="49" t="s">
        <v>16</v>
      </c>
      <c r="I237" s="51">
        <v>46211</v>
      </c>
      <c r="J237" s="54">
        <f>INT(Cobros[[#This Row],[Fecha Cargo]])</f>
        <v>46188</v>
      </c>
      <c r="K237" s="54">
        <f>INT(Cobros[[#This Row],[Fecha Aplicacion]])</f>
        <v>46211</v>
      </c>
      <c r="L237" s="55" t="str">
        <f>INDEX(Clientes[Días Plazo],MATCH(Cobros[[#This Row],[Cod. Cliente]],Clientes[Codigo],0),1)</f>
        <v>30</v>
      </c>
      <c r="M237" s="45" t="str">
        <f>IF(Cobros[[#This Row],[Dias de Credito]]&lt;=0,"Contado","Credito")</f>
        <v>Credito</v>
      </c>
      <c r="N237" s="45">
        <f>Cobros[[#This Row],[Fecha Aplicación S]]-Cobros[[#This Row],[Fecha Cargo S]]</f>
        <v>23</v>
      </c>
      <c r="O237" s="45">
        <f>Cobros[[#This Row],[Dias al pago]]-Cobros[[#This Row],[Dias de Credito]]</f>
        <v>-7</v>
      </c>
      <c r="P237" s="45">
        <f>SUMIFS(TablaDias[Porcentaje],TablaDias[Tipo],Cobros[[#This Row],[Tipo]],TablaDias[Desde ],"&lt;="&amp;MAX(0,Cobros[[#This Row],[Dias pasado]]),TablaDias[Hasta ],"&gt;="&amp;Cobros[[#This Row],[Dias pasado]])</f>
        <v>100</v>
      </c>
      <c r="Q2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37">
        <f>IF(COUNTIF(PAPEL[Numero],Cobros[[#This Row],[Doc. Cargo]])&gt;0,1,0)</f>
        <v>0</v>
      </c>
      <c r="S237" s="46">
        <f t="array" ref="S2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7" s="47">
        <v>0.005</v>
      </c>
      <c r="U237" s="34">
        <f>IF(Cobros[[#This Row],[Tipo]]="Credito",IF(60&gt;=Cobros[[#This Row],[Dias al pago]],1,0),IF(Cobros[[#This Row],[Dias al pago]]&lt;=3,1,0))</f>
        <v>1</v>
      </c>
      <c r="V237" s="46">
        <f>(Cobros[[#This Row],[% A pagar Vendedor]]/100)*Cobros[[#This Row],[Valor Pagado]]*Cobros[[#This Row],[Vencido]]*(Cobros[[#This Row],[% aplicar]]/100)*IF(Cobros[[#This Row],[% A pagar Vendedor]]&gt;0,1,0)</f>
        <v>1.995</v>
      </c>
      <c r="W237" s="46">
        <f>0.5%*Cobros[[#This Row],[Valor Pagado]]</f>
        <v>0.9975</v>
      </c>
    </row>
    <row r="238" spans="1:23">
      <c r="A238" s="49" t="s">
        <v>3884</v>
      </c>
      <c r="B238" s="49" t="s">
        <v>4232</v>
      </c>
      <c r="C238" s="49" t="s">
        <v>3076</v>
      </c>
      <c r="D238" s="49" t="s">
        <v>3077</v>
      </c>
      <c r="E238" s="49" t="s">
        <v>4234</v>
      </c>
      <c r="F238" s="51">
        <v>46210</v>
      </c>
      <c r="G238" s="49">
        <v>323.17</v>
      </c>
      <c r="H238" s="49" t="s">
        <v>16</v>
      </c>
      <c r="I238" s="51">
        <v>46211</v>
      </c>
      <c r="J238" s="54">
        <f>INT(Cobros[[#This Row],[Fecha Cargo]])</f>
        <v>46210</v>
      </c>
      <c r="K238" s="54">
        <f>INT(Cobros[[#This Row],[Fecha Aplicacion]])</f>
        <v>46211</v>
      </c>
      <c r="L238" s="55" t="str">
        <f>INDEX(Clientes[Días Plazo],MATCH(Cobros[[#This Row],[Cod. Cliente]],Clientes[Codigo],0),1)</f>
        <v>30</v>
      </c>
      <c r="M238" s="45" t="str">
        <f>IF(Cobros[[#This Row],[Dias de Credito]]&lt;=0,"Contado","Credito")</f>
        <v>Credito</v>
      </c>
      <c r="N238" s="45">
        <f>Cobros[[#This Row],[Fecha Aplicación S]]-Cobros[[#This Row],[Fecha Cargo S]]</f>
        <v>1</v>
      </c>
      <c r="O238" s="45">
        <f>Cobros[[#This Row],[Dias al pago]]-Cobros[[#This Row],[Dias de Credito]]</f>
        <v>-29</v>
      </c>
      <c r="P238" s="45">
        <f>SUMIFS(TablaDias[Porcentaje],TablaDias[Tipo],Cobros[[#This Row],[Tipo]],TablaDias[Desde ],"&lt;="&amp;MAX(0,Cobros[[#This Row],[Dias pasado]]),TablaDias[Hasta ],"&gt;="&amp;Cobros[[#This Row],[Dias pasado]])</f>
        <v>100</v>
      </c>
      <c r="Q23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38">
        <f>IF(COUNTIF(PAPEL[Numero],Cobros[[#This Row],[Doc. Cargo]])&gt;0,1,0)</f>
        <v>0</v>
      </c>
      <c r="S238" s="46">
        <f t="array" ref="S2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38" s="47">
        <v>0.005</v>
      </c>
      <c r="U238" s="34">
        <f>IF(Cobros[[#This Row],[Tipo]]="Credito",IF(60&gt;=Cobros[[#This Row],[Dias al pago]],1,0),IF(Cobros[[#This Row],[Dias al pago]]&lt;=3,1,0))</f>
        <v>1</v>
      </c>
      <c r="V238" s="46">
        <f>(Cobros[[#This Row],[% A pagar Vendedor]]/100)*Cobros[[#This Row],[Valor Pagado]]*Cobros[[#This Row],[Vencido]]*(Cobros[[#This Row],[% aplicar]]/100)*IF(Cobros[[#This Row],[% A pagar Vendedor]]&gt;0,1,0)</f>
        <v>4.039625</v>
      </c>
      <c r="W238" s="46">
        <f>0.5%*Cobros[[#This Row],[Valor Pagado]]</f>
        <v>1.61585</v>
      </c>
    </row>
    <row r="239" ht="30" spans="1:23">
      <c r="A239" s="49" t="s">
        <v>3884</v>
      </c>
      <c r="B239" s="49" t="s">
        <v>4235</v>
      </c>
      <c r="C239" s="49" t="s">
        <v>3679</v>
      </c>
      <c r="D239" s="49" t="s">
        <v>3680</v>
      </c>
      <c r="E239" s="49" t="s">
        <v>4236</v>
      </c>
      <c r="F239" s="51">
        <v>46211</v>
      </c>
      <c r="G239" s="49">
        <v>45.37</v>
      </c>
      <c r="H239" s="49" t="s">
        <v>22</v>
      </c>
      <c r="I239" s="51">
        <v>46211</v>
      </c>
      <c r="J239" s="54">
        <f>INT(Cobros[[#This Row],[Fecha Cargo]])</f>
        <v>46211</v>
      </c>
      <c r="K239" s="54">
        <f>INT(Cobros[[#This Row],[Fecha Aplicacion]])</f>
        <v>46211</v>
      </c>
      <c r="L239" s="55">
        <f>INDEX(Clientes[Días Plazo],MATCH(Cobros[[#This Row],[Cod. Cliente]],Clientes[Codigo],0),1)</f>
        <v>0</v>
      </c>
      <c r="M239" s="45" t="str">
        <f>IF(Cobros[[#This Row],[Dias de Credito]]&lt;=0,"Contado","Credito")</f>
        <v>Contado</v>
      </c>
      <c r="N239" s="45">
        <f>Cobros[[#This Row],[Fecha Aplicación S]]-Cobros[[#This Row],[Fecha Cargo S]]</f>
        <v>0</v>
      </c>
      <c r="O239" s="45">
        <f>Cobros[[#This Row],[Dias al pago]]-Cobros[[#This Row],[Dias de Credito]]</f>
        <v>0</v>
      </c>
      <c r="P239" s="45">
        <f>SUMIFS(TablaDias[Porcentaje],TablaDias[Tipo],Cobros[[#This Row],[Tipo]],TablaDias[Desde ],"&lt;="&amp;MAX(0,Cobros[[#This Row],[Dias pasado]]),TablaDias[Hasta ],"&gt;="&amp;Cobros[[#This Row],[Dias pasado]])</f>
        <v>100</v>
      </c>
      <c r="Q23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39">
        <f>IF(COUNTIF(PAPEL[Numero],Cobros[[#This Row],[Doc. Cargo]])&gt;0,1,0)</f>
        <v>0</v>
      </c>
      <c r="S239" s="46">
        <f t="array" ref="S2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39" s="46">
        <f t="array" ref="T239">INDEX(Ventas[[Unidades]:[2]],MATCH("Gerente de Venta",Ventas[Vendedor %],0),6+Cobros[[#This Row],[Mes]])</f>
        <v>0.005</v>
      </c>
      <c r="U239" s="34">
        <f>IF(Cobros[[#This Row],[Tipo]]="Credito",IF(60&gt;=Cobros[[#This Row],[Dias al pago]],1,0),IF(Cobros[[#This Row],[Dias al pago]]&lt;=3,1,0))</f>
        <v>1</v>
      </c>
      <c r="V239" s="46">
        <f>(Cobros[[#This Row],[% A pagar Vendedor]]/100)*Cobros[[#This Row],[Valor Pagado]]*Cobros[[#This Row],[Vencido]]*(Cobros[[#This Row],[% aplicar]]/100)*IF(Cobros[[#This Row],[% A pagar Vendedor]]&gt;0,1,0)</f>
        <v>0.4537</v>
      </c>
      <c r="W239" s="46">
        <f>0.5%*Cobros[[#This Row],[Valor Pagado]]</f>
        <v>0.22685</v>
      </c>
    </row>
    <row r="240" ht="30" spans="1:24">
      <c r="A240" s="49" t="s">
        <v>3954</v>
      </c>
      <c r="B240" s="49" t="s">
        <v>4237</v>
      </c>
      <c r="C240" s="49" t="s">
        <v>1382</v>
      </c>
      <c r="D240" s="49" t="s">
        <v>1383</v>
      </c>
      <c r="E240" s="49" t="s">
        <v>4238</v>
      </c>
      <c r="F240" s="51">
        <v>46164</v>
      </c>
      <c r="G240" s="49">
        <v>1755</v>
      </c>
      <c r="H240" s="49" t="s">
        <v>22</v>
      </c>
      <c r="I240" s="51">
        <v>46211</v>
      </c>
      <c r="J240" s="54">
        <f>INT(Cobros[[#This Row],[Fecha Cargo]])</f>
        <v>46164</v>
      </c>
      <c r="K240" s="54">
        <f>INT(Cobros[[#This Row],[Fecha Aplicacion]])</f>
        <v>46211</v>
      </c>
      <c r="L240" s="55" t="str">
        <f>INDEX(Clientes[Días Plazo],MATCH(Cobros[[#This Row],[Cod. Cliente]],Clientes[Codigo],0),1)</f>
        <v>21</v>
      </c>
      <c r="M240" s="45" t="str">
        <f>IF(Cobros[[#This Row],[Dias de Credito]]&lt;=0,"Contado","Credito")</f>
        <v>Credito</v>
      </c>
      <c r="N240" s="45">
        <f>Cobros[[#This Row],[Fecha Aplicación S]]-Cobros[[#This Row],[Fecha Cargo S]]</f>
        <v>47</v>
      </c>
      <c r="O240" s="45">
        <f>Cobros[[#This Row],[Dias al pago]]-Cobros[[#This Row],[Dias de Credito]]</f>
        <v>26</v>
      </c>
      <c r="P240" s="45">
        <f>SUMIFS(TablaDias[Porcentaje],TablaDias[Tipo],Cobros[[#This Row],[Tipo]],TablaDias[Desde ],"&lt;="&amp;MAX(0,Cobros[[#This Row],[Dias pasado]]),TablaDias[Hasta ],"&gt;="&amp;Cobros[[#This Row],[Dias pasado]])</f>
        <v>50</v>
      </c>
      <c r="Q2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40" s="34">
        <f>IF(COUNTIF(PAPEL[Numero],Cobros[[#This Row],[Doc. Cargo]])&gt;0,1,0)</f>
        <v>0</v>
      </c>
      <c r="S240" s="46">
        <f t="array" ref="S2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0" s="46">
        <f t="array" ref="T240">INDEX(Ventas[[Unidades]:[2]],MATCH("Gerente de Venta",Ventas[Vendedor %],0),6+Cobros[[#This Row],[Mes]])</f>
        <v>0.005</v>
      </c>
      <c r="U240" s="34">
        <f>IF(Cobros[[#This Row],[Tipo]]="Credito",IF(60&gt;=Cobros[[#This Row],[Dias al pago]],1,0),IF(Cobros[[#This Row],[Dias al pago]]&lt;=3,1,0))</f>
        <v>1</v>
      </c>
      <c r="V240" s="46">
        <f>(Cobros[[#This Row],[% A pagar Vendedor]]/100)*Cobros[[#This Row],[Valor Pagado]]*Cobros[[#This Row],[Vencido]]*(Cobros[[#This Row],[% aplicar]]/100)*IF(Cobros[[#This Row],[% A pagar Vendedor]]&gt;0,1,0)</f>
        <v>8.775</v>
      </c>
      <c r="W240" s="46">
        <f>0.5%*Cobros[[#This Row],[Valor Pagado]]</f>
        <v>8.775</v>
      </c>
      <c r="X240" s="34"/>
    </row>
    <row r="241" ht="30" spans="1:23">
      <c r="A241" s="49" t="s">
        <v>3954</v>
      </c>
      <c r="B241" s="49" t="s">
        <v>4237</v>
      </c>
      <c r="C241" s="49" t="s">
        <v>1382</v>
      </c>
      <c r="D241" s="49" t="s">
        <v>1383</v>
      </c>
      <c r="E241" s="49" t="s">
        <v>4239</v>
      </c>
      <c r="F241" s="51">
        <v>46164</v>
      </c>
      <c r="G241" s="49">
        <v>1755</v>
      </c>
      <c r="H241" s="49" t="s">
        <v>22</v>
      </c>
      <c r="I241" s="51">
        <v>46211</v>
      </c>
      <c r="J241" s="54">
        <f>INT(Cobros[[#This Row],[Fecha Cargo]])</f>
        <v>46164</v>
      </c>
      <c r="K241" s="54">
        <f>INT(Cobros[[#This Row],[Fecha Aplicacion]])</f>
        <v>46211</v>
      </c>
      <c r="L241" s="55" t="str">
        <f>INDEX(Clientes[Días Plazo],MATCH(Cobros[[#This Row],[Cod. Cliente]],Clientes[Codigo],0),1)</f>
        <v>21</v>
      </c>
      <c r="M241" s="45" t="str">
        <f>IF(Cobros[[#This Row],[Dias de Credito]]&lt;=0,"Contado","Credito")</f>
        <v>Credito</v>
      </c>
      <c r="N241" s="45">
        <f>Cobros[[#This Row],[Fecha Aplicación S]]-Cobros[[#This Row],[Fecha Cargo S]]</f>
        <v>47</v>
      </c>
      <c r="O241" s="45">
        <f>Cobros[[#This Row],[Dias al pago]]-Cobros[[#This Row],[Dias de Credito]]</f>
        <v>26</v>
      </c>
      <c r="P241" s="45">
        <f>SUMIFS(TablaDias[Porcentaje],TablaDias[Tipo],Cobros[[#This Row],[Tipo]],TablaDias[Desde ],"&lt;="&amp;MAX(0,Cobros[[#This Row],[Dias pasado]]),TablaDias[Hasta ],"&gt;="&amp;Cobros[[#This Row],[Dias pasado]])</f>
        <v>50</v>
      </c>
      <c r="Q24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41">
        <f>IF(COUNTIF(PAPEL[Numero],Cobros[[#This Row],[Doc. Cargo]])&gt;0,1,0)</f>
        <v>0</v>
      </c>
      <c r="S241" s="46">
        <f t="array" ref="S2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1" s="46">
        <f t="array" ref="T241">INDEX(Ventas[[Unidades]:[2]],MATCH("Gerente de Venta",Ventas[Vendedor %],0),6+Cobros[[#This Row],[Mes]])</f>
        <v>0.005</v>
      </c>
      <c r="U241" s="34">
        <f>IF(Cobros[[#This Row],[Tipo]]="Credito",IF(60&gt;=Cobros[[#This Row],[Dias al pago]],1,0),IF(Cobros[[#This Row],[Dias al pago]]&lt;=3,1,0))</f>
        <v>1</v>
      </c>
      <c r="V241" s="46">
        <f>(Cobros[[#This Row],[% A pagar Vendedor]]/100)*Cobros[[#This Row],[Valor Pagado]]*Cobros[[#This Row],[Vencido]]*(Cobros[[#This Row],[% aplicar]]/100)*IF(Cobros[[#This Row],[% A pagar Vendedor]]&gt;0,1,0)</f>
        <v>8.775</v>
      </c>
      <c r="W241" s="46">
        <f>0.5%*Cobros[[#This Row],[Valor Pagado]]</f>
        <v>8.775</v>
      </c>
    </row>
    <row r="242" ht="30" spans="1:24">
      <c r="A242" s="49" t="s">
        <v>3954</v>
      </c>
      <c r="B242" s="49" t="s">
        <v>4237</v>
      </c>
      <c r="C242" s="49" t="s">
        <v>1382</v>
      </c>
      <c r="D242" s="49" t="s">
        <v>1383</v>
      </c>
      <c r="E242" s="49" t="s">
        <v>4240</v>
      </c>
      <c r="F242" s="51">
        <v>46171</v>
      </c>
      <c r="G242" s="49">
        <v>3068.15</v>
      </c>
      <c r="H242" s="49" t="s">
        <v>22</v>
      </c>
      <c r="I242" s="51">
        <v>46211</v>
      </c>
      <c r="J242" s="54">
        <f>INT(Cobros[[#This Row],[Fecha Cargo]])</f>
        <v>46171</v>
      </c>
      <c r="K242" s="54">
        <f>INT(Cobros[[#This Row],[Fecha Aplicacion]])</f>
        <v>46211</v>
      </c>
      <c r="L242" s="55" t="str">
        <f>INDEX(Clientes[Días Plazo],MATCH(Cobros[[#This Row],[Cod. Cliente]],Clientes[Codigo],0),1)</f>
        <v>21</v>
      </c>
      <c r="M242" s="45" t="str">
        <f>IF(Cobros[[#This Row],[Dias de Credito]]&lt;=0,"Contado","Credito")</f>
        <v>Credito</v>
      </c>
      <c r="N242" s="45">
        <f>Cobros[[#This Row],[Fecha Aplicación S]]-Cobros[[#This Row],[Fecha Cargo S]]</f>
        <v>40</v>
      </c>
      <c r="O242" s="45">
        <f>Cobros[[#This Row],[Dias al pago]]-Cobros[[#This Row],[Dias de Credito]]</f>
        <v>19</v>
      </c>
      <c r="P242" s="45">
        <f>SUMIFS(TablaDias[Porcentaje],TablaDias[Tipo],Cobros[[#This Row],[Tipo]],TablaDias[Desde ],"&lt;="&amp;MAX(0,Cobros[[#This Row],[Dias pasado]]),TablaDias[Hasta ],"&gt;="&amp;Cobros[[#This Row],[Dias pasado]])</f>
        <v>50</v>
      </c>
      <c r="Q2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42">
        <f>IF(COUNTIF(PAPEL[Numero],Cobros[[#This Row],[Doc. Cargo]])&gt;0,1,0)</f>
        <v>0</v>
      </c>
      <c r="S242" s="46">
        <f t="array" ref="S2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2" s="46">
        <f t="array" ref="T242">INDEX(Ventas[[Unidades]:[2]],MATCH("Gerente de Venta",Ventas[Vendedor %],0),6+Cobros[[#This Row],[Mes]])</f>
        <v>0.005</v>
      </c>
      <c r="U242" s="34">
        <f>IF(Cobros[[#This Row],[Tipo]]="Credito",IF(60&gt;=Cobros[[#This Row],[Dias al pago]],1,0),IF(Cobros[[#This Row],[Dias al pago]]&lt;=3,1,0))</f>
        <v>1</v>
      </c>
      <c r="V242" s="46">
        <f>(Cobros[[#This Row],[% A pagar Vendedor]]/100)*Cobros[[#This Row],[Valor Pagado]]*Cobros[[#This Row],[Vencido]]*(Cobros[[#This Row],[% aplicar]]/100)*IF(Cobros[[#This Row],[% A pagar Vendedor]]&gt;0,1,0)</f>
        <v>15.34075</v>
      </c>
      <c r="W242" s="46">
        <f>0.5%*Cobros[[#This Row],[Valor Pagado]]</f>
        <v>15.34075</v>
      </c>
      <c r="X242" s="60"/>
    </row>
    <row r="243" ht="30" spans="1:23">
      <c r="A243" s="49" t="s">
        <v>3954</v>
      </c>
      <c r="B243" s="49" t="s">
        <v>4237</v>
      </c>
      <c r="C243" s="49" t="s">
        <v>1382</v>
      </c>
      <c r="D243" s="49" t="s">
        <v>1383</v>
      </c>
      <c r="E243" s="49" t="s">
        <v>4241</v>
      </c>
      <c r="F243" s="51">
        <v>46171</v>
      </c>
      <c r="G243" s="49">
        <v>2261.3</v>
      </c>
      <c r="H243" s="49" t="s">
        <v>22</v>
      </c>
      <c r="I243" s="51">
        <v>46211</v>
      </c>
      <c r="J243" s="54">
        <f>INT(Cobros[[#This Row],[Fecha Cargo]])</f>
        <v>46171</v>
      </c>
      <c r="K243" s="54">
        <f>INT(Cobros[[#This Row],[Fecha Aplicacion]])</f>
        <v>46211</v>
      </c>
      <c r="L243" s="55" t="str">
        <f>INDEX(Clientes[Días Plazo],MATCH(Cobros[[#This Row],[Cod. Cliente]],Clientes[Codigo],0),1)</f>
        <v>21</v>
      </c>
      <c r="M243" s="45" t="str">
        <f>IF(Cobros[[#This Row],[Dias de Credito]]&lt;=0,"Contado","Credito")</f>
        <v>Credito</v>
      </c>
      <c r="N243" s="45">
        <f>Cobros[[#This Row],[Fecha Aplicación S]]-Cobros[[#This Row],[Fecha Cargo S]]</f>
        <v>40</v>
      </c>
      <c r="O243" s="45">
        <f>Cobros[[#This Row],[Dias al pago]]-Cobros[[#This Row],[Dias de Credito]]</f>
        <v>19</v>
      </c>
      <c r="P243" s="45">
        <f>SUMIFS(TablaDias[Porcentaje],TablaDias[Tipo],Cobros[[#This Row],[Tipo]],TablaDias[Desde ],"&lt;="&amp;MAX(0,Cobros[[#This Row],[Dias pasado]]),TablaDias[Hasta ],"&gt;="&amp;Cobros[[#This Row],[Dias pasado]])</f>
        <v>50</v>
      </c>
      <c r="Q2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43">
        <f>IF(COUNTIF(PAPEL[Numero],Cobros[[#This Row],[Doc. Cargo]])&gt;0,1,0)</f>
        <v>0</v>
      </c>
      <c r="S243" s="46">
        <f t="array" ref="S2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3" s="46">
        <f t="array" ref="T243">INDEX(Ventas[[Unidades]:[2]],MATCH("Gerente de Venta",Ventas[Vendedor %],0),6+Cobros[[#This Row],[Mes]])</f>
        <v>0.005</v>
      </c>
      <c r="U243" s="34">
        <f>IF(Cobros[[#This Row],[Tipo]]="Credito",IF(60&gt;=Cobros[[#This Row],[Dias al pago]],1,0),IF(Cobros[[#This Row],[Dias al pago]]&lt;=3,1,0))</f>
        <v>1</v>
      </c>
      <c r="V243" s="46">
        <f>(Cobros[[#This Row],[% A pagar Vendedor]]/100)*Cobros[[#This Row],[Valor Pagado]]*Cobros[[#This Row],[Vencido]]*(Cobros[[#This Row],[% aplicar]]/100)*IF(Cobros[[#This Row],[% A pagar Vendedor]]&gt;0,1,0)</f>
        <v>11.3065</v>
      </c>
      <c r="W243" s="46">
        <f>0.5%*Cobros[[#This Row],[Valor Pagado]]</f>
        <v>11.3065</v>
      </c>
    </row>
    <row r="244" spans="1:23">
      <c r="A244" s="49" t="s">
        <v>3860</v>
      </c>
      <c r="B244" s="49" t="s">
        <v>4242</v>
      </c>
      <c r="C244" s="49" t="s">
        <v>3824</v>
      </c>
      <c r="D244" s="49" t="s">
        <v>3825</v>
      </c>
      <c r="E244" s="49" t="s">
        <v>4243</v>
      </c>
      <c r="F244" s="51">
        <v>46196</v>
      </c>
      <c r="G244" s="49">
        <v>805</v>
      </c>
      <c r="H244" s="49" t="s">
        <v>16</v>
      </c>
      <c r="I244" s="51">
        <v>46211</v>
      </c>
      <c r="J244" s="54">
        <f>INT(Cobros[[#This Row],[Fecha Cargo]])</f>
        <v>46196</v>
      </c>
      <c r="K244" s="54">
        <f>INT(Cobros[[#This Row],[Fecha Aplicacion]])</f>
        <v>46211</v>
      </c>
      <c r="L244" s="55" t="str">
        <f>INDEX(Clientes[Días Plazo],MATCH(Cobros[[#This Row],[Cod. Cliente]],Clientes[Codigo],0),1)</f>
        <v>7</v>
      </c>
      <c r="M244" s="45" t="str">
        <f>IF(Cobros[[#This Row],[Dias de Credito]]&lt;=0,"Contado","Credito")</f>
        <v>Credito</v>
      </c>
      <c r="N244" s="45">
        <f>Cobros[[#This Row],[Fecha Aplicación S]]-Cobros[[#This Row],[Fecha Cargo S]]</f>
        <v>15</v>
      </c>
      <c r="O244" s="45">
        <f>Cobros[[#This Row],[Dias al pago]]-Cobros[[#This Row],[Dias de Credito]]</f>
        <v>8</v>
      </c>
      <c r="P244" s="45">
        <f>SUMIFS(TablaDias[Porcentaje],TablaDias[Tipo],Cobros[[#This Row],[Tipo]],TablaDias[Desde ],"&lt;="&amp;MAX(0,Cobros[[#This Row],[Dias pasado]]),TablaDias[Hasta ],"&gt;="&amp;Cobros[[#This Row],[Dias pasado]])</f>
        <v>100</v>
      </c>
      <c r="Q2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44">
        <f>IF(COUNTIF(PAPEL[Numero],Cobros[[#This Row],[Doc. Cargo]])&gt;0,1,0)</f>
        <v>0</v>
      </c>
      <c r="S244" s="46">
        <f t="array" ref="S2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4" s="47">
        <v>0.005</v>
      </c>
      <c r="U244" s="34">
        <f>IF(Cobros[[#This Row],[Tipo]]="Credito",IF(60&gt;=Cobros[[#This Row],[Dias al pago]],1,0),IF(Cobros[[#This Row],[Dias al pago]]&lt;=3,1,0))</f>
        <v>1</v>
      </c>
      <c r="V244" s="46">
        <f>(Cobros[[#This Row],[% A pagar Vendedor]]/100)*Cobros[[#This Row],[Valor Pagado]]*Cobros[[#This Row],[Vencido]]*(Cobros[[#This Row],[% aplicar]]/100)*IF(Cobros[[#This Row],[% A pagar Vendedor]]&gt;0,1,0)</f>
        <v>8.05</v>
      </c>
      <c r="W244" s="46">
        <f>0.5%*Cobros[[#This Row],[Valor Pagado]]</f>
        <v>4.025</v>
      </c>
    </row>
    <row r="245" ht="30" spans="1:24">
      <c r="A245" s="49" t="s">
        <v>3860</v>
      </c>
      <c r="B245" s="49" t="s">
        <v>4244</v>
      </c>
      <c r="C245" s="49" t="s">
        <v>2525</v>
      </c>
      <c r="D245" s="49" t="s">
        <v>2526</v>
      </c>
      <c r="E245" s="49" t="s">
        <v>4245</v>
      </c>
      <c r="F245" s="51">
        <v>46211</v>
      </c>
      <c r="G245" s="49">
        <v>87.5</v>
      </c>
      <c r="H245" s="49" t="s">
        <v>22</v>
      </c>
      <c r="I245" s="51">
        <v>46211</v>
      </c>
      <c r="J245" s="54">
        <f>INT(Cobros[[#This Row],[Fecha Cargo]])</f>
        <v>46211</v>
      </c>
      <c r="K245" s="54">
        <f>INT(Cobros[[#This Row],[Fecha Aplicacion]])</f>
        <v>46211</v>
      </c>
      <c r="L245" s="55">
        <f>INDEX(Clientes[Días Plazo],MATCH(Cobros[[#This Row],[Cod. Cliente]],Clientes[Codigo],0),1)</f>
        <v>0</v>
      </c>
      <c r="M245" s="45" t="str">
        <f>IF(Cobros[[#This Row],[Dias de Credito]]&lt;=0,"Contado","Credito")</f>
        <v>Contado</v>
      </c>
      <c r="N245" s="45">
        <f>Cobros[[#This Row],[Fecha Aplicación S]]-Cobros[[#This Row],[Fecha Cargo S]]</f>
        <v>0</v>
      </c>
      <c r="O245" s="45">
        <f>Cobros[[#This Row],[Dias al pago]]-Cobros[[#This Row],[Dias de Credito]]</f>
        <v>0</v>
      </c>
      <c r="P245" s="45">
        <f>SUMIFS(TablaDias[Porcentaje],TablaDias[Tipo],Cobros[[#This Row],[Tipo]],TablaDias[Desde ],"&lt;="&amp;MAX(0,Cobros[[#This Row],[Dias pasado]]),TablaDias[Hasta ],"&gt;="&amp;Cobros[[#This Row],[Dias pasado]])</f>
        <v>100</v>
      </c>
      <c r="Q2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45" s="34">
        <f>IF(COUNTIF(PAPEL[Numero],Cobros[[#This Row],[Doc. Cargo]])&gt;0,1,0)</f>
        <v>0</v>
      </c>
      <c r="S245" s="46">
        <f t="array" ref="S2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5" s="46">
        <f t="array" ref="T245">INDEX(Ventas[[Unidades]:[2]],MATCH("Gerente de Venta",Ventas[Vendedor %],0),6+Cobros[[#This Row],[Mes]])</f>
        <v>0.005</v>
      </c>
      <c r="U245" s="34">
        <f>IF(Cobros[[#This Row],[Tipo]]="Credito",IF(60&gt;=Cobros[[#This Row],[Dias al pago]],1,0),IF(Cobros[[#This Row],[Dias al pago]]&lt;=3,1,0))</f>
        <v>1</v>
      </c>
      <c r="V245" s="46">
        <f>(Cobros[[#This Row],[% A pagar Vendedor]]/100)*Cobros[[#This Row],[Valor Pagado]]*Cobros[[#This Row],[Vencido]]*(Cobros[[#This Row],[% aplicar]]/100)*IF(Cobros[[#This Row],[% A pagar Vendedor]]&gt;0,1,0)</f>
        <v>0.875</v>
      </c>
      <c r="W245" s="46">
        <f>0.5%*Cobros[[#This Row],[Valor Pagado]]</f>
        <v>0.4375</v>
      </c>
      <c r="X245" s="34"/>
    </row>
    <row r="246" spans="1:23">
      <c r="A246" s="49" t="s">
        <v>3860</v>
      </c>
      <c r="B246" s="49" t="s">
        <v>4246</v>
      </c>
      <c r="C246" s="49" t="s">
        <v>1199</v>
      </c>
      <c r="D246" s="49" t="s">
        <v>1200</v>
      </c>
      <c r="E246" s="49" t="s">
        <v>4247</v>
      </c>
      <c r="F246" s="51">
        <v>46206</v>
      </c>
      <c r="G246" s="49">
        <v>532.45</v>
      </c>
      <c r="H246" s="49" t="s">
        <v>16</v>
      </c>
      <c r="I246" s="51">
        <v>46206</v>
      </c>
      <c r="J246" s="54">
        <f>INT(Cobros[[#This Row],[Fecha Cargo]])</f>
        <v>46206</v>
      </c>
      <c r="K246" s="54">
        <f>INT(Cobros[[#This Row],[Fecha Aplicacion]])</f>
        <v>46206</v>
      </c>
      <c r="L246" s="55">
        <f>INDEX(Clientes[Días Plazo],MATCH(Cobros[[#This Row],[Cod. Cliente]],Clientes[Codigo],0),1)</f>
        <v>0</v>
      </c>
      <c r="M246" s="45" t="str">
        <f>IF(Cobros[[#This Row],[Dias de Credito]]&lt;=0,"Contado","Credito")</f>
        <v>Contado</v>
      </c>
      <c r="N246" s="45">
        <f>Cobros[[#This Row],[Fecha Aplicación S]]-Cobros[[#This Row],[Fecha Cargo S]]</f>
        <v>0</v>
      </c>
      <c r="O246" s="45">
        <f>Cobros[[#This Row],[Dias al pago]]-Cobros[[#This Row],[Dias de Credito]]</f>
        <v>0</v>
      </c>
      <c r="P246" s="45">
        <f>SUMIFS(TablaDias[Porcentaje],TablaDias[Tipo],Cobros[[#This Row],[Tipo]],TablaDias[Desde ],"&lt;="&amp;MAX(0,Cobros[[#This Row],[Dias pasado]]),TablaDias[Hasta ],"&gt;="&amp;Cobros[[#This Row],[Dias pasado]])</f>
        <v>100</v>
      </c>
      <c r="Q2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46">
        <f>IF(COUNTIF(PAPEL[Numero],Cobros[[#This Row],[Doc. Cargo]])&gt;0,1,0)</f>
        <v>0</v>
      </c>
      <c r="S246" s="46">
        <f t="array" ref="S2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46" s="47">
        <v>0.005</v>
      </c>
      <c r="U246" s="34">
        <f>IF(Cobros[[#This Row],[Tipo]]="Credito",IF(60&gt;=Cobros[[#This Row],[Dias al pago]],1,0),IF(Cobros[[#This Row],[Dias al pago]]&lt;=3,1,0))</f>
        <v>1</v>
      </c>
      <c r="V246" s="46">
        <f>(Cobros[[#This Row],[% A pagar Vendedor]]/100)*Cobros[[#This Row],[Valor Pagado]]*Cobros[[#This Row],[Vencido]]*(Cobros[[#This Row],[% aplicar]]/100)*IF(Cobros[[#This Row],[% A pagar Vendedor]]&gt;0,1,0)</f>
        <v>6.655625</v>
      </c>
      <c r="W246" s="46">
        <f>0.5%*Cobros[[#This Row],[Valor Pagado]]</f>
        <v>2.66225</v>
      </c>
    </row>
    <row r="247" spans="1:24">
      <c r="A247" s="49" t="s">
        <v>3860</v>
      </c>
      <c r="B247" s="49" t="s">
        <v>4248</v>
      </c>
      <c r="C247" s="49" t="s">
        <v>1199</v>
      </c>
      <c r="D247" s="49" t="s">
        <v>1200</v>
      </c>
      <c r="E247" s="49" t="s">
        <v>4249</v>
      </c>
      <c r="F247" s="51">
        <v>46211</v>
      </c>
      <c r="G247" s="49">
        <v>242.1</v>
      </c>
      <c r="H247" s="49" t="s">
        <v>16</v>
      </c>
      <c r="I247" s="51">
        <v>46211</v>
      </c>
      <c r="J247" s="54">
        <f>INT(Cobros[[#This Row],[Fecha Cargo]])</f>
        <v>46211</v>
      </c>
      <c r="K247" s="54">
        <f>INT(Cobros[[#This Row],[Fecha Aplicacion]])</f>
        <v>46211</v>
      </c>
      <c r="L247" s="55">
        <f>INDEX(Clientes[Días Plazo],MATCH(Cobros[[#This Row],[Cod. Cliente]],Clientes[Codigo],0),1)</f>
        <v>0</v>
      </c>
      <c r="M247" s="45" t="str">
        <f>IF(Cobros[[#This Row],[Dias de Credito]]&lt;=0,"Contado","Credito")</f>
        <v>Contado</v>
      </c>
      <c r="N247" s="45">
        <f>Cobros[[#This Row],[Fecha Aplicación S]]-Cobros[[#This Row],[Fecha Cargo S]]</f>
        <v>0</v>
      </c>
      <c r="O247" s="45">
        <f>Cobros[[#This Row],[Dias al pago]]-Cobros[[#This Row],[Dias de Credito]]</f>
        <v>0</v>
      </c>
      <c r="P247" s="45">
        <f>SUMIFS(TablaDias[Porcentaje],TablaDias[Tipo],Cobros[[#This Row],[Tipo]],TablaDias[Desde ],"&lt;="&amp;MAX(0,Cobros[[#This Row],[Dias pasado]]),TablaDias[Hasta ],"&gt;="&amp;Cobros[[#This Row],[Dias pasado]])</f>
        <v>100</v>
      </c>
      <c r="Q24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47">
        <f>IF(COUNTIF(PAPEL[Numero],Cobros[[#This Row],[Doc. Cargo]])&gt;0,1,0)</f>
        <v>0</v>
      </c>
      <c r="S247" s="46">
        <f t="array" ref="S2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47" s="47">
        <v>0.005</v>
      </c>
      <c r="U247" s="34">
        <f>IF(Cobros[[#This Row],[Tipo]]="Credito",IF(60&gt;=Cobros[[#This Row],[Dias al pago]],1,0),IF(Cobros[[#This Row],[Dias al pago]]&lt;=3,1,0))</f>
        <v>1</v>
      </c>
      <c r="V247" s="46">
        <f>(Cobros[[#This Row],[% A pagar Vendedor]]/100)*Cobros[[#This Row],[Valor Pagado]]*Cobros[[#This Row],[Vencido]]*(Cobros[[#This Row],[% aplicar]]/100)*IF(Cobros[[#This Row],[% A pagar Vendedor]]&gt;0,1,0)</f>
        <v>3.02625</v>
      </c>
      <c r="W247" s="46">
        <f>0.5%*Cobros[[#This Row],[Valor Pagado]]</f>
        <v>1.2105</v>
      </c>
      <c r="X247" s="60"/>
    </row>
    <row r="248" spans="1:24">
      <c r="A248" s="49" t="s">
        <v>3860</v>
      </c>
      <c r="B248" s="49" t="s">
        <v>4250</v>
      </c>
      <c r="C248" s="49" t="s">
        <v>1756</v>
      </c>
      <c r="D248" s="49" t="s">
        <v>1757</v>
      </c>
      <c r="E248" s="49" t="s">
        <v>4251</v>
      </c>
      <c r="F248" s="51">
        <v>46211</v>
      </c>
      <c r="G248" s="49">
        <v>42.5</v>
      </c>
      <c r="H248" s="49" t="s">
        <v>19</v>
      </c>
      <c r="I248" s="51">
        <v>46211</v>
      </c>
      <c r="J248" s="54">
        <f>INT(Cobros[[#This Row],[Fecha Cargo]])</f>
        <v>46211</v>
      </c>
      <c r="K248" s="54">
        <f>INT(Cobros[[#This Row],[Fecha Aplicacion]])</f>
        <v>46211</v>
      </c>
      <c r="L248" s="55" t="str">
        <f>INDEX(Clientes[Días Plazo],MATCH(Cobros[[#This Row],[Cod. Cliente]],Clientes[Codigo],0),1)</f>
        <v>7</v>
      </c>
      <c r="M248" s="45" t="str">
        <f>IF(Cobros[[#This Row],[Dias de Credito]]&lt;=0,"Contado","Credito")</f>
        <v>Credito</v>
      </c>
      <c r="N248" s="45">
        <v>0</v>
      </c>
      <c r="O248" s="45">
        <f>Cobros[[#This Row],[Dias al pago]]-Cobros[[#This Row],[Dias de Credito]]</f>
        <v>-7</v>
      </c>
      <c r="P248" s="45">
        <f>SUMIFS(TablaDias[Porcentaje],TablaDias[Tipo],Cobros[[#This Row],[Tipo]],TablaDias[Desde ],"&lt;="&amp;MAX(0,Cobros[[#This Row],[Dias pasado]]),TablaDias[Hasta ],"&gt;="&amp;Cobros[[#This Row],[Dias pasado]])</f>
        <v>100</v>
      </c>
      <c r="Q2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48" s="34">
        <f>IF(COUNTIF(PAPEL[Numero],Cobros[[#This Row],[Doc. Cargo]])&gt;0,1,0)</f>
        <v>0</v>
      </c>
      <c r="S248" s="46">
        <f t="array" ref="S2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48" s="46">
        <f t="array" ref="T248">INDEX(Ventas[[Unidades]:[2]],MATCH("Gerente de Venta",Ventas[Vendedor %],0),6+Cobros[[#This Row],[Mes]])</f>
        <v>0.005</v>
      </c>
      <c r="U248" s="34">
        <f>IF(Cobros[[#This Row],[Tipo]]="Credito",IF(60&gt;=Cobros[[#This Row],[Dias al pago]],1,0),IF(Cobros[[#This Row],[Dias al pago]]&lt;=3,1,0))</f>
        <v>1</v>
      </c>
      <c r="V248" s="46">
        <f>(Cobros[[#This Row],[% A pagar Vendedor]]/100)*Cobros[[#This Row],[Valor Pagado]]*Cobros[[#This Row],[Vencido]]*(Cobros[[#This Row],[% aplicar]]/100)*IF(Cobros[[#This Row],[% A pagar Vendedor]]&gt;0,1,0)</f>
        <v>0.53125</v>
      </c>
      <c r="W248" s="46">
        <f>0.5%*Cobros[[#This Row],[Valor Pagado]]</f>
        <v>0.2125</v>
      </c>
      <c r="X248" s="34"/>
    </row>
    <row r="249" spans="1:23">
      <c r="A249" s="49" t="s">
        <v>3860</v>
      </c>
      <c r="B249" s="49" t="s">
        <v>4252</v>
      </c>
      <c r="C249" s="49" t="s">
        <v>635</v>
      </c>
      <c r="D249" s="49" t="s">
        <v>636</v>
      </c>
      <c r="E249" s="49" t="s">
        <v>4253</v>
      </c>
      <c r="F249" s="51">
        <v>46185</v>
      </c>
      <c r="G249" s="49">
        <v>1009.97</v>
      </c>
      <c r="H249" s="49" t="s">
        <v>16</v>
      </c>
      <c r="I249" s="51">
        <v>46211</v>
      </c>
      <c r="J249" s="54">
        <f>INT(Cobros[[#This Row],[Fecha Cargo]])</f>
        <v>46185</v>
      </c>
      <c r="K249" s="54">
        <f>INT(Cobros[[#This Row],[Fecha Aplicacion]])</f>
        <v>46211</v>
      </c>
      <c r="L249" s="55" t="str">
        <f>INDEX(Clientes[Días Plazo],MATCH(Cobros[[#This Row],[Cod. Cliente]],Clientes[Codigo],0),1)</f>
        <v>15</v>
      </c>
      <c r="M249" s="45" t="str">
        <f>IF(Cobros[[#This Row],[Dias de Credito]]&lt;=0,"Contado","Credito")</f>
        <v>Credito</v>
      </c>
      <c r="N249" s="45">
        <f>Cobros[[#This Row],[Fecha Aplicación S]]-Cobros[[#This Row],[Fecha Cargo S]]</f>
        <v>26</v>
      </c>
      <c r="O249" s="45">
        <f>Cobros[[#This Row],[Dias al pago]]-Cobros[[#This Row],[Dias de Credito]]</f>
        <v>11</v>
      </c>
      <c r="P249" s="45">
        <f>SUMIFS(TablaDias[Porcentaje],TablaDias[Tipo],Cobros[[#This Row],[Tipo]],TablaDias[Desde ],"&lt;="&amp;MAX(0,Cobros[[#This Row],[Dias pasado]]),TablaDias[Hasta ],"&gt;="&amp;Cobros[[#This Row],[Dias pasado]])</f>
        <v>100</v>
      </c>
      <c r="Q2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49">
        <f>IF(COUNTIF(PAPEL[Numero],Cobros[[#This Row],[Doc. Cargo]])&gt;0,1,0)</f>
        <v>0</v>
      </c>
      <c r="S249" s="46">
        <f t="array" ref="S2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49" s="47">
        <v>0.005</v>
      </c>
      <c r="U249" s="34">
        <f>IF(Cobros[[#This Row],[Tipo]]="Credito",IF(60&gt;=Cobros[[#This Row],[Dias al pago]],1,0),IF(Cobros[[#This Row],[Dias al pago]]&lt;=3,1,0))</f>
        <v>1</v>
      </c>
      <c r="V249" s="46">
        <f>(Cobros[[#This Row],[% A pagar Vendedor]]/100)*Cobros[[#This Row],[Valor Pagado]]*Cobros[[#This Row],[Vencido]]*(Cobros[[#This Row],[% aplicar]]/100)*IF(Cobros[[#This Row],[% A pagar Vendedor]]&gt;0,1,0)</f>
        <v>10.0997</v>
      </c>
      <c r="W249" s="46">
        <f>0.5%*Cobros[[#This Row],[Valor Pagado]]</f>
        <v>5.04985</v>
      </c>
    </row>
    <row r="250" ht="30" spans="1:23">
      <c r="A250" s="49" t="s">
        <v>3860</v>
      </c>
      <c r="B250" s="49" t="s">
        <v>4252</v>
      </c>
      <c r="C250" s="49" t="s">
        <v>635</v>
      </c>
      <c r="D250" s="49" t="s">
        <v>636</v>
      </c>
      <c r="E250" s="49" t="s">
        <v>4254</v>
      </c>
      <c r="F250" s="51">
        <v>46202</v>
      </c>
      <c r="G250" s="49">
        <v>90.03</v>
      </c>
      <c r="H250" s="49" t="s">
        <v>3865</v>
      </c>
      <c r="I250" s="51">
        <v>46211</v>
      </c>
      <c r="J250" s="54">
        <f>INT(Cobros[[#This Row],[Fecha Cargo]])</f>
        <v>46202</v>
      </c>
      <c r="K250" s="54">
        <f>INT(Cobros[[#This Row],[Fecha Aplicacion]])</f>
        <v>46211</v>
      </c>
      <c r="L250" s="55" t="str">
        <f>INDEX(Clientes[Días Plazo],MATCH(Cobros[[#This Row],[Cod. Cliente]],Clientes[Codigo],0),1)</f>
        <v>15</v>
      </c>
      <c r="M250" s="45" t="str">
        <f>IF(Cobros[[#This Row],[Dias de Credito]]&lt;=0,"Contado","Credito")</f>
        <v>Credito</v>
      </c>
      <c r="N250" s="45">
        <f>Cobros[[#This Row],[Fecha Aplicación S]]-Cobros[[#This Row],[Fecha Cargo S]]</f>
        <v>9</v>
      </c>
      <c r="O250" s="45">
        <f>Cobros[[#This Row],[Dias al pago]]-Cobros[[#This Row],[Dias de Credito]]</f>
        <v>-6</v>
      </c>
      <c r="P250" s="45">
        <f>SUMIFS(TablaDias[Porcentaje],TablaDias[Tipo],Cobros[[#This Row],[Tipo]],TablaDias[Desde ],"&lt;="&amp;MAX(0,Cobros[[#This Row],[Dias pasado]]),TablaDias[Hasta ],"&gt;="&amp;Cobros[[#This Row],[Dias pasado]])</f>
        <v>100</v>
      </c>
      <c r="Q2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50">
        <f>IF(COUNTIF(PAPEL[Numero],Cobros[[#This Row],[Doc. Cargo]])&gt;0,1,0)</f>
        <v>0</v>
      </c>
      <c r="S250" s="46">
        <v>1</v>
      </c>
      <c r="T250" s="46">
        <f t="array" ref="T250">INDEX(Ventas[[Unidades]:[2]],MATCH("Gerente de Venta",Ventas[Vendedor %],0),6+Cobros[[#This Row],[Mes]])</f>
        <v>0.005</v>
      </c>
      <c r="U250" s="34">
        <f>IF(Cobros[[#This Row],[Tipo]]="Credito",IF(60&gt;=Cobros[[#This Row],[Dias al pago]],1,0),IF(Cobros[[#This Row],[Dias al pago]]&lt;=3,1,0))</f>
        <v>1</v>
      </c>
      <c r="V250" s="46">
        <f>(Cobros[[#This Row],[% A pagar Vendedor]]/100)*Cobros[[#This Row],[Valor Pagado]]*Cobros[[#This Row],[Vencido]]*(Cobros[[#This Row],[% aplicar]]/100)*IF(Cobros[[#This Row],[% A pagar Vendedor]]&gt;0,1,0)</f>
        <v>0.9003</v>
      </c>
      <c r="W250" s="46">
        <f>0.5%*Cobros[[#This Row],[Valor Pagado]]</f>
        <v>0.45015</v>
      </c>
    </row>
    <row r="251" ht="30" spans="1:23">
      <c r="A251" s="49" t="s">
        <v>3860</v>
      </c>
      <c r="B251" s="49" t="s">
        <v>4255</v>
      </c>
      <c r="C251" s="49" t="s">
        <v>3319</v>
      </c>
      <c r="D251" s="49" t="s">
        <v>3320</v>
      </c>
      <c r="E251" s="49" t="s">
        <v>4256</v>
      </c>
      <c r="F251" s="51">
        <v>46211</v>
      </c>
      <c r="G251" s="49">
        <v>225</v>
      </c>
      <c r="H251" s="49" t="s">
        <v>3865</v>
      </c>
      <c r="I251" s="51">
        <v>46211</v>
      </c>
      <c r="J251" s="54">
        <f>INT(Cobros[[#This Row],[Fecha Cargo]])</f>
        <v>46211</v>
      </c>
      <c r="K251" s="54">
        <f>INT(Cobros[[#This Row],[Fecha Aplicacion]])</f>
        <v>46211</v>
      </c>
      <c r="L251" s="55">
        <f>INDEX(Clientes[Días Plazo],MATCH(Cobros[[#This Row],[Cod. Cliente]],Clientes[Codigo],0),1)</f>
        <v>0</v>
      </c>
      <c r="M251" s="45" t="str">
        <f>IF(Cobros[[#This Row],[Dias de Credito]]&lt;=0,"Contado","Credito")</f>
        <v>Contado</v>
      </c>
      <c r="N251" s="45">
        <f>Cobros[[#This Row],[Fecha Aplicación S]]-Cobros[[#This Row],[Fecha Cargo S]]</f>
        <v>0</v>
      </c>
      <c r="O251" s="45">
        <f>Cobros[[#This Row],[Dias al pago]]-Cobros[[#This Row],[Dias de Credito]]</f>
        <v>0</v>
      </c>
      <c r="P251" s="45">
        <f>SUMIFS(TablaDias[Porcentaje],TablaDias[Tipo],Cobros[[#This Row],[Tipo]],TablaDias[Desde ],"&lt;="&amp;MAX(0,Cobros[[#This Row],[Dias pasado]]),TablaDias[Hasta ],"&gt;="&amp;Cobros[[#This Row],[Dias pasado]])</f>
        <v>100</v>
      </c>
      <c r="Q2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1">
        <f>IF(COUNTIF(PAPEL[Numero],Cobros[[#This Row],[Doc. Cargo]])&gt;0,1,0)</f>
        <v>0</v>
      </c>
      <c r="S251" s="46">
        <v>1</v>
      </c>
      <c r="T251" s="46">
        <f t="array" ref="T251">INDEX(Ventas[[Unidades]:[2]],MATCH("Gerente de Venta",Ventas[Vendedor %],0),6+Cobros[[#This Row],[Mes]])</f>
        <v>0.005</v>
      </c>
      <c r="U251" s="34">
        <f>IF(Cobros[[#This Row],[Tipo]]="Credito",IF(60&gt;=Cobros[[#This Row],[Dias al pago]],1,0),IF(Cobros[[#This Row],[Dias al pago]]&lt;=3,1,0))</f>
        <v>1</v>
      </c>
      <c r="V251" s="46">
        <f>(Cobros[[#This Row],[% A pagar Vendedor]]/100)*Cobros[[#This Row],[Valor Pagado]]*Cobros[[#This Row],[Vencido]]*(Cobros[[#This Row],[% aplicar]]/100)*IF(Cobros[[#This Row],[% A pagar Vendedor]]&gt;0,1,0)</f>
        <v>2.25</v>
      </c>
      <c r="W251" s="46">
        <f>0.5%*Cobros[[#This Row],[Valor Pagado]]</f>
        <v>1.125</v>
      </c>
    </row>
    <row r="252" spans="1:23">
      <c r="A252" s="49" t="s">
        <v>3860</v>
      </c>
      <c r="B252" s="49" t="s">
        <v>4257</v>
      </c>
      <c r="C252" s="49" t="s">
        <v>1222</v>
      </c>
      <c r="D252" s="49" t="s">
        <v>1223</v>
      </c>
      <c r="E252" s="49" t="s">
        <v>4258</v>
      </c>
      <c r="F252" s="51">
        <v>46211</v>
      </c>
      <c r="G252" s="49">
        <v>500</v>
      </c>
      <c r="H252" s="49" t="s">
        <v>20</v>
      </c>
      <c r="I252" s="51">
        <v>46211</v>
      </c>
      <c r="J252" s="54">
        <f>INT(Cobros[[#This Row],[Fecha Cargo]])</f>
        <v>46211</v>
      </c>
      <c r="K252" s="54">
        <f>INT(Cobros[[#This Row],[Fecha Aplicacion]])</f>
        <v>46211</v>
      </c>
      <c r="L252" s="55" t="str">
        <f>INDEX(Clientes[Días Plazo],MATCH(Cobros[[#This Row],[Cod. Cliente]],Clientes[Codigo],0),1)</f>
        <v>7</v>
      </c>
      <c r="M252" s="45" t="str">
        <f>IF(Cobros[[#This Row],[Dias de Credito]]&lt;=0,"Contado","Credito")</f>
        <v>Credito</v>
      </c>
      <c r="N252" s="45">
        <f>Cobros[[#This Row],[Fecha Aplicación S]]-Cobros[[#This Row],[Fecha Cargo S]]</f>
        <v>0</v>
      </c>
      <c r="O252" s="45">
        <f>Cobros[[#This Row],[Dias al pago]]-Cobros[[#This Row],[Dias de Credito]]</f>
        <v>-7</v>
      </c>
      <c r="P252" s="45">
        <f>SUMIFS(TablaDias[Porcentaje],TablaDias[Tipo],Cobros[[#This Row],[Tipo]],TablaDias[Desde ],"&lt;="&amp;MAX(0,Cobros[[#This Row],[Dias pasado]]),TablaDias[Hasta ],"&gt;="&amp;Cobros[[#This Row],[Dias pasado]])</f>
        <v>100</v>
      </c>
      <c r="Q2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2">
        <f>IF(COUNTIF(PAPEL[Numero],Cobros[[#This Row],[Doc. Cargo]])&gt;0,1,0)</f>
        <v>0</v>
      </c>
      <c r="S252" s="46">
        <f t="array" ref="S2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52" s="46">
        <f t="array" ref="T252">INDEX(Ventas[[Unidades]:[2]],MATCH("Gerente de Venta",Ventas[Vendedor %],0),6+Cobros[[#This Row],[Mes]])</f>
        <v>0.005</v>
      </c>
      <c r="U252" s="34">
        <f>IF(Cobros[[#This Row],[Tipo]]="Credito",IF(60&gt;=Cobros[[#This Row],[Dias al pago]],1,0),IF(Cobros[[#This Row],[Dias al pago]]&lt;=3,1,0))</f>
        <v>1</v>
      </c>
      <c r="V252" s="46">
        <f>(Cobros[[#This Row],[% A pagar Vendedor]]/100)*Cobros[[#This Row],[Valor Pagado]]*Cobros[[#This Row],[Vencido]]*(Cobros[[#This Row],[% aplicar]]/100)*IF(Cobros[[#This Row],[% A pagar Vendedor]]&gt;0,1,0)</f>
        <v>6.25</v>
      </c>
      <c r="W252" s="46">
        <f>0.5%*Cobros[[#This Row],[Valor Pagado]]</f>
        <v>2.5</v>
      </c>
    </row>
    <row r="253" spans="1:23">
      <c r="A253" s="49" t="s">
        <v>3860</v>
      </c>
      <c r="B253" s="49" t="s">
        <v>4259</v>
      </c>
      <c r="C253" s="49" t="s">
        <v>390</v>
      </c>
      <c r="D253" s="49" t="s">
        <v>391</v>
      </c>
      <c r="E253" s="49" t="s">
        <v>4260</v>
      </c>
      <c r="F253" s="51">
        <v>46211</v>
      </c>
      <c r="G253" s="49">
        <v>1254</v>
      </c>
      <c r="H253" s="49" t="s">
        <v>20</v>
      </c>
      <c r="I253" s="51">
        <v>46211</v>
      </c>
      <c r="J253" s="54">
        <f>INT(Cobros[[#This Row],[Fecha Cargo]])</f>
        <v>46211</v>
      </c>
      <c r="K253" s="54">
        <f>INT(Cobros[[#This Row],[Fecha Aplicacion]])</f>
        <v>46211</v>
      </c>
      <c r="L253" s="55">
        <f>INDEX(Clientes[Días Plazo],MATCH(Cobros[[#This Row],[Cod. Cliente]],Clientes[Codigo],0),1)</f>
        <v>0</v>
      </c>
      <c r="M253" s="45" t="str">
        <f>IF(Cobros[[#This Row],[Dias de Credito]]&lt;=0,"Contado","Credito")</f>
        <v>Contado</v>
      </c>
      <c r="N253" s="45">
        <f>Cobros[[#This Row],[Fecha Aplicación S]]-Cobros[[#This Row],[Fecha Cargo S]]</f>
        <v>0</v>
      </c>
      <c r="O253" s="45">
        <f>Cobros[[#This Row],[Dias al pago]]-Cobros[[#This Row],[Dias de Credito]]</f>
        <v>0</v>
      </c>
      <c r="P253" s="45">
        <f>SUMIFS(TablaDias[Porcentaje],TablaDias[Tipo],Cobros[[#This Row],[Tipo]],TablaDias[Desde ],"&lt;="&amp;MAX(0,Cobros[[#This Row],[Dias pasado]]),TablaDias[Hasta ],"&gt;="&amp;Cobros[[#This Row],[Dias pasado]])</f>
        <v>100</v>
      </c>
      <c r="Q2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3">
        <f>IF(COUNTIF(PAPEL[Numero],Cobros[[#This Row],[Doc. Cargo]])&gt;0,1,0)</f>
        <v>0</v>
      </c>
      <c r="S253" s="46">
        <f t="array" ref="S2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53" s="46">
        <f t="array" ref="T253">INDEX(Ventas[[Unidades]:[2]],MATCH("Gerente de Venta",Ventas[Vendedor %],0),6+Cobros[[#This Row],[Mes]])</f>
        <v>0.005</v>
      </c>
      <c r="U253" s="34">
        <f>IF(Cobros[[#This Row],[Tipo]]="Credito",IF(60&gt;=Cobros[[#This Row],[Dias al pago]],1,0),IF(Cobros[[#This Row],[Dias al pago]]&lt;=3,1,0))</f>
        <v>1</v>
      </c>
      <c r="V253" s="46">
        <f>(Cobros[[#This Row],[% A pagar Vendedor]]/100)*Cobros[[#This Row],[Valor Pagado]]*Cobros[[#This Row],[Vencido]]*(Cobros[[#This Row],[% aplicar]]/100)*IF(Cobros[[#This Row],[% A pagar Vendedor]]&gt;0,1,0)</f>
        <v>15.675</v>
      </c>
      <c r="W253" s="46">
        <f>0.5%*Cobros[[#This Row],[Valor Pagado]]</f>
        <v>6.27</v>
      </c>
    </row>
    <row r="254" ht="30" spans="1:24">
      <c r="A254" s="49" t="s">
        <v>3860</v>
      </c>
      <c r="B254" s="49" t="s">
        <v>4261</v>
      </c>
      <c r="C254" s="49" t="s">
        <v>3301</v>
      </c>
      <c r="D254" s="49" t="s">
        <v>3302</v>
      </c>
      <c r="E254" s="49" t="s">
        <v>4262</v>
      </c>
      <c r="F254" s="51">
        <v>46211</v>
      </c>
      <c r="G254" s="49">
        <v>298.6</v>
      </c>
      <c r="H254" s="49" t="s">
        <v>3865</v>
      </c>
      <c r="I254" s="51">
        <v>46211</v>
      </c>
      <c r="J254" s="54">
        <f>INT(Cobros[[#This Row],[Fecha Cargo]])</f>
        <v>46211</v>
      </c>
      <c r="K254" s="54">
        <f>INT(Cobros[[#This Row],[Fecha Aplicacion]])</f>
        <v>46211</v>
      </c>
      <c r="L254" s="55">
        <f>INDEX(Clientes[Días Plazo],MATCH(Cobros[[#This Row],[Cod. Cliente]],Clientes[Codigo],0),1)</f>
        <v>0</v>
      </c>
      <c r="M254" s="45" t="str">
        <f>IF(Cobros[[#This Row],[Dias de Credito]]&lt;=0,"Contado","Credito")</f>
        <v>Contado</v>
      </c>
      <c r="N254" s="45">
        <f>Cobros[[#This Row],[Fecha Aplicación S]]-Cobros[[#This Row],[Fecha Cargo S]]</f>
        <v>0</v>
      </c>
      <c r="O254" s="45">
        <f>Cobros[[#This Row],[Dias al pago]]-Cobros[[#This Row],[Dias de Credito]]</f>
        <v>0</v>
      </c>
      <c r="P254" s="45">
        <f>SUMIFS(TablaDias[Porcentaje],TablaDias[Tipo],Cobros[[#This Row],[Tipo]],TablaDias[Desde ],"&lt;="&amp;MAX(0,Cobros[[#This Row],[Dias pasado]]),TablaDias[Hasta ],"&gt;="&amp;Cobros[[#This Row],[Dias pasado]])</f>
        <v>100</v>
      </c>
      <c r="Q2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4">
        <f>IF(COUNTIF(PAPEL[Numero],Cobros[[#This Row],[Doc. Cargo]])&gt;0,1,0)</f>
        <v>0</v>
      </c>
      <c r="S254" s="46">
        <v>1</v>
      </c>
      <c r="T254" s="46">
        <f t="array" ref="T254">INDEX(Ventas[[Unidades]:[2]],MATCH("Gerente de Venta",Ventas[Vendedor %],0),6+Cobros[[#This Row],[Mes]])</f>
        <v>0.005</v>
      </c>
      <c r="U254" s="34">
        <f>IF(Cobros[[#This Row],[Tipo]]="Credito",IF(60&gt;=Cobros[[#This Row],[Dias al pago]],1,0),IF(Cobros[[#This Row],[Dias al pago]]&lt;=3,1,0))</f>
        <v>1</v>
      </c>
      <c r="V254" s="46">
        <f>(Cobros[[#This Row],[% A pagar Vendedor]]/100)*Cobros[[#This Row],[Valor Pagado]]*Cobros[[#This Row],[Vencido]]*(Cobros[[#This Row],[% aplicar]]/100)*IF(Cobros[[#This Row],[% A pagar Vendedor]]&gt;0,1,0)</f>
        <v>2.986</v>
      </c>
      <c r="W254" s="46">
        <f>0.5%*Cobros[[#This Row],[Valor Pagado]]</f>
        <v>1.493</v>
      </c>
      <c r="X254" s="34"/>
    </row>
    <row r="255" spans="1:23">
      <c r="A255" s="49" t="s">
        <v>3860</v>
      </c>
      <c r="B255" s="49" t="s">
        <v>4263</v>
      </c>
      <c r="C255" s="49" t="s">
        <v>1419</v>
      </c>
      <c r="D255" s="49" t="s">
        <v>1420</v>
      </c>
      <c r="E255" s="49" t="s">
        <v>4264</v>
      </c>
      <c r="F255" s="51">
        <v>46185</v>
      </c>
      <c r="G255" s="49">
        <v>8397.72</v>
      </c>
      <c r="H255" s="49" t="s">
        <v>18</v>
      </c>
      <c r="I255" s="51">
        <v>46211</v>
      </c>
      <c r="J255" s="54">
        <f>INT(Cobros[[#This Row],[Fecha Cargo]])</f>
        <v>46185</v>
      </c>
      <c r="K255" s="54">
        <f>INT(Cobros[[#This Row],[Fecha Aplicacion]])</f>
        <v>46211</v>
      </c>
      <c r="L255" s="55" t="str">
        <f>INDEX(Clientes[Días Plazo],MATCH(Cobros[[#This Row],[Cod. Cliente]],Clientes[Codigo],0),1)</f>
        <v>21</v>
      </c>
      <c r="M255" s="45" t="str">
        <f>IF(Cobros[[#This Row],[Dias de Credito]]&lt;=0,"Contado","Credito")</f>
        <v>Credito</v>
      </c>
      <c r="N255" s="45">
        <f>Cobros[[#This Row],[Fecha Aplicación S]]-Cobros[[#This Row],[Fecha Cargo S]]</f>
        <v>26</v>
      </c>
      <c r="O255" s="45">
        <f>Cobros[[#This Row],[Dias al pago]]-Cobros[[#This Row],[Dias de Credito]]</f>
        <v>5</v>
      </c>
      <c r="P255" s="45">
        <f>SUMIFS(TablaDias[Porcentaje],TablaDias[Tipo],Cobros[[#This Row],[Tipo]],TablaDias[Desde ],"&lt;="&amp;MAX(0,Cobros[[#This Row],[Dias pasado]]),TablaDias[Hasta ],"&gt;="&amp;Cobros[[#This Row],[Dias pasado]])</f>
        <v>100</v>
      </c>
      <c r="Q2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55">
        <f>IF(COUNTIF(PAPEL[Numero],Cobros[[#This Row],[Doc. Cargo]])&gt;0,1,0)</f>
        <v>0</v>
      </c>
      <c r="S255" s="46">
        <f t="array" ref="S2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55" s="46">
        <f t="array" ref="T255">INDEX(Ventas[[Unidades]:[2]],MATCH("Gerente de Venta",Ventas[Vendedor %],0),6+Cobros[[#This Row],[Mes]])</f>
        <v>0.005</v>
      </c>
      <c r="U255" s="34">
        <f>IF(Cobros[[#This Row],[Tipo]]="Credito",IF(60&gt;=Cobros[[#This Row],[Dias al pago]],1,0),IF(Cobros[[#This Row],[Dias al pago]]&lt;=3,1,0))</f>
        <v>1</v>
      </c>
      <c r="V255" s="46">
        <f>(Cobros[[#This Row],[% A pagar Vendedor]]/100)*Cobros[[#This Row],[Valor Pagado]]*Cobros[[#This Row],[Vencido]]*(Cobros[[#This Row],[% aplicar]]/100)*IF(Cobros[[#This Row],[% A pagar Vendedor]]&gt;0,1,0)</f>
        <v>83.9772</v>
      </c>
      <c r="W255" s="46">
        <f>0.5%*Cobros[[#This Row],[Valor Pagado]]</f>
        <v>41.9886</v>
      </c>
    </row>
    <row r="256" ht="30" spans="1:23">
      <c r="A256" s="49" t="s">
        <v>3860</v>
      </c>
      <c r="B256" s="49" t="s">
        <v>4265</v>
      </c>
      <c r="C256" s="49" t="s">
        <v>534</v>
      </c>
      <c r="D256" s="49" t="s">
        <v>535</v>
      </c>
      <c r="E256" s="49" t="s">
        <v>4266</v>
      </c>
      <c r="F256" s="51">
        <v>46176</v>
      </c>
      <c r="G256" s="49">
        <v>1000</v>
      </c>
      <c r="H256" s="49" t="s">
        <v>3865</v>
      </c>
      <c r="I256" s="51">
        <v>46211</v>
      </c>
      <c r="J256" s="54">
        <f>INT(Cobros[[#This Row],[Fecha Cargo]])</f>
        <v>46176</v>
      </c>
      <c r="K256" s="54">
        <f>INT(Cobros[[#This Row],[Fecha Aplicacion]])</f>
        <v>46211</v>
      </c>
      <c r="L256" s="55" t="str">
        <f>INDEX(Clientes[Días Plazo],MATCH(Cobros[[#This Row],[Cod. Cliente]],Clientes[Codigo],0),1)</f>
        <v>21</v>
      </c>
      <c r="M256" s="45" t="str">
        <f>IF(Cobros[[#This Row],[Dias de Credito]]&lt;=0,"Contado","Credito")</f>
        <v>Credito</v>
      </c>
      <c r="N256" s="45">
        <f>Cobros[[#This Row],[Fecha Aplicación S]]-Cobros[[#This Row],[Fecha Cargo S]]</f>
        <v>35</v>
      </c>
      <c r="O256" s="45">
        <f>Cobros[[#This Row],[Dias al pago]]-Cobros[[#This Row],[Dias de Credito]]</f>
        <v>14</v>
      </c>
      <c r="P256" s="45">
        <f>SUMIFS(TablaDias[Porcentaje],TablaDias[Tipo],Cobros[[#This Row],[Tipo]],TablaDias[Desde ],"&lt;="&amp;MAX(0,Cobros[[#This Row],[Dias pasado]]),TablaDias[Hasta ],"&gt;="&amp;Cobros[[#This Row],[Dias pasado]])</f>
        <v>100</v>
      </c>
      <c r="Q2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56">
        <f>IF(COUNTIF(PAPEL[Numero],Cobros[[#This Row],[Doc. Cargo]])&gt;0,1,0)</f>
        <v>0</v>
      </c>
      <c r="S256" s="46">
        <v>1</v>
      </c>
      <c r="T256" s="46">
        <f t="array" ref="T256">INDEX(Ventas[[Unidades]:[2]],MATCH("Gerente de Venta",Ventas[Vendedor %],0),6+Cobros[[#This Row],[Mes]])</f>
        <v>0.005</v>
      </c>
      <c r="U256" s="34">
        <f>IF(Cobros[[#This Row],[Tipo]]="Credito",IF(60&gt;=Cobros[[#This Row],[Dias al pago]],1,0),IF(Cobros[[#This Row],[Dias al pago]]&lt;=3,1,0))</f>
        <v>1</v>
      </c>
      <c r="V256" s="46">
        <f>(Cobros[[#This Row],[% A pagar Vendedor]]/100)*Cobros[[#This Row],[Valor Pagado]]*Cobros[[#This Row],[Vencido]]*(Cobros[[#This Row],[% aplicar]]/100)*IF(Cobros[[#This Row],[% A pagar Vendedor]]&gt;0,1,0)</f>
        <v>10</v>
      </c>
      <c r="W256" s="46">
        <f>0.5%*Cobros[[#This Row],[Valor Pagado]]</f>
        <v>5</v>
      </c>
    </row>
    <row r="257" spans="1:23">
      <c r="A257" s="49" t="s">
        <v>3860</v>
      </c>
      <c r="B257" s="49" t="s">
        <v>4267</v>
      </c>
      <c r="C257" s="49" t="s">
        <v>2570</v>
      </c>
      <c r="D257" s="49" t="s">
        <v>2571</v>
      </c>
      <c r="E257" s="49" t="s">
        <v>4079</v>
      </c>
      <c r="F257" s="51">
        <v>46164</v>
      </c>
      <c r="G257" s="49">
        <v>587.3</v>
      </c>
      <c r="H257" s="49" t="s">
        <v>18</v>
      </c>
      <c r="I257" s="51">
        <v>46211</v>
      </c>
      <c r="J257" s="54">
        <f>INT(Cobros[[#This Row],[Fecha Cargo]])</f>
        <v>46164</v>
      </c>
      <c r="K257" s="54">
        <f>INT(Cobros[[#This Row],[Fecha Aplicacion]])</f>
        <v>46211</v>
      </c>
      <c r="L257" s="55" t="str">
        <f>INDEX(Clientes[Días Plazo],MATCH(Cobros[[#This Row],[Cod. Cliente]],Clientes[Codigo],0),1)</f>
        <v>10</v>
      </c>
      <c r="M257" s="45" t="str">
        <f>IF(Cobros[[#This Row],[Dias de Credito]]&lt;=0,"Contado","Credito")</f>
        <v>Credito</v>
      </c>
      <c r="N257" s="45">
        <f>Cobros[[#This Row],[Fecha Aplicación S]]-Cobros[[#This Row],[Fecha Cargo S]]</f>
        <v>47</v>
      </c>
      <c r="O257" s="45">
        <f>Cobros[[#This Row],[Dias al pago]]-Cobros[[#This Row],[Dias de Credito]]</f>
        <v>37</v>
      </c>
      <c r="P257" s="45">
        <f>SUMIFS(TablaDias[Porcentaje],TablaDias[Tipo],Cobros[[#This Row],[Tipo]],TablaDias[Desde ],"&lt;="&amp;MAX(0,Cobros[[#This Row],[Dias pasado]]),TablaDias[Hasta ],"&gt;="&amp;Cobros[[#This Row],[Dias pasado]])</f>
        <v>30</v>
      </c>
      <c r="Q2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57">
        <f>IF(COUNTIF(PAPEL[Numero],Cobros[[#This Row],[Doc. Cargo]])&gt;0,1,0)</f>
        <v>0</v>
      </c>
      <c r="S257" s="46">
        <v>1</v>
      </c>
      <c r="T257" s="46">
        <f t="array" ref="T257">INDEX(Ventas[[Unidades]:[2]],MATCH("Gerente de Venta",Ventas[Vendedor %],0),6+Cobros[[#This Row],[Mes]])</f>
        <v>0.005</v>
      </c>
      <c r="U257" s="34">
        <f>IF(Cobros[[#This Row],[Tipo]]="Credito",IF(60&gt;=Cobros[[#This Row],[Dias al pago]],1,0),IF(Cobros[[#This Row],[Dias al pago]]&lt;=3,1,0))</f>
        <v>1</v>
      </c>
      <c r="V257" s="46">
        <f>(Cobros[[#This Row],[% A pagar Vendedor]]/100)*Cobros[[#This Row],[Valor Pagado]]*Cobros[[#This Row],[Vencido]]*(Cobros[[#This Row],[% aplicar]]/100)*IF(Cobros[[#This Row],[% A pagar Vendedor]]&gt;0,1,0)</f>
        <v>1.7619</v>
      </c>
      <c r="W257" s="46">
        <v>2.9365</v>
      </c>
    </row>
    <row r="258" ht="30" spans="1:23">
      <c r="A258" s="49" t="s">
        <v>3931</v>
      </c>
      <c r="B258" s="49" t="s">
        <v>4268</v>
      </c>
      <c r="C258" s="49" t="s">
        <v>1790</v>
      </c>
      <c r="D258" s="49" t="s">
        <v>1791</v>
      </c>
      <c r="E258" s="49" t="s">
        <v>4269</v>
      </c>
      <c r="F258" s="51">
        <v>46195</v>
      </c>
      <c r="G258" s="49">
        <v>198.3</v>
      </c>
      <c r="H258" s="49" t="s">
        <v>22</v>
      </c>
      <c r="I258" s="51">
        <v>46211</v>
      </c>
      <c r="J258" s="54">
        <f>INT(Cobros[[#This Row],[Fecha Cargo]])</f>
        <v>46195</v>
      </c>
      <c r="K258" s="54">
        <f>INT(Cobros[[#This Row],[Fecha Aplicacion]])</f>
        <v>46211</v>
      </c>
      <c r="L258" s="55" t="str">
        <f>INDEX(Clientes[Días Plazo],MATCH(Cobros[[#This Row],[Cod. Cliente]],Clientes[Codigo],0),1)</f>
        <v>15</v>
      </c>
      <c r="M258" s="45" t="str">
        <f>IF(Cobros[[#This Row],[Dias de Credito]]&lt;=0,"Contado","Credito")</f>
        <v>Credito</v>
      </c>
      <c r="N258" s="45">
        <f>Cobros[[#This Row],[Fecha Aplicación S]]-Cobros[[#This Row],[Fecha Cargo S]]</f>
        <v>16</v>
      </c>
      <c r="O258" s="45">
        <f>Cobros[[#This Row],[Dias al pago]]-Cobros[[#This Row],[Dias de Credito]]</f>
        <v>1</v>
      </c>
      <c r="P258" s="45">
        <f>SUMIFS(TablaDias[Porcentaje],TablaDias[Tipo],Cobros[[#This Row],[Tipo]],TablaDias[Desde ],"&lt;="&amp;MAX(0,Cobros[[#This Row],[Dias pasado]]),TablaDias[Hasta ],"&gt;="&amp;Cobros[[#This Row],[Dias pasado]])</f>
        <v>100</v>
      </c>
      <c r="Q2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58">
        <f>IF(COUNTIF(PAPEL[Numero],Cobros[[#This Row],[Doc. Cargo]])&gt;0,1,0)</f>
        <v>0</v>
      </c>
      <c r="S258" s="46">
        <f t="array" ref="S2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58" s="46">
        <f t="array" ref="T258">INDEX(Ventas[[Unidades]:[2]],MATCH("Gerente de Venta",Ventas[Vendedor %],0),6+Cobros[[#This Row],[Mes]])</f>
        <v>0.005</v>
      </c>
      <c r="U258" s="34">
        <f>IF(Cobros[[#This Row],[Tipo]]="Credito",IF(60&gt;=Cobros[[#This Row],[Dias al pago]],1,0),IF(Cobros[[#This Row],[Dias al pago]]&lt;=3,1,0))</f>
        <v>1</v>
      </c>
      <c r="V258" s="46">
        <f>(Cobros[[#This Row],[% A pagar Vendedor]]/100)*Cobros[[#This Row],[Valor Pagado]]*Cobros[[#This Row],[Vencido]]*(Cobros[[#This Row],[% aplicar]]/100)*IF(Cobros[[#This Row],[% A pagar Vendedor]]&gt;0,1,0)</f>
        <v>1.983</v>
      </c>
      <c r="W258" s="46">
        <f>0.5%*Cobros[[#This Row],[Valor Pagado]]</f>
        <v>0.9915</v>
      </c>
    </row>
    <row r="259" ht="30" spans="1:23">
      <c r="A259" s="49" t="s">
        <v>3931</v>
      </c>
      <c r="B259" s="49" t="s">
        <v>4268</v>
      </c>
      <c r="C259" s="49" t="s">
        <v>1790</v>
      </c>
      <c r="D259" s="49" t="s">
        <v>1791</v>
      </c>
      <c r="E259" s="49" t="s">
        <v>4270</v>
      </c>
      <c r="F259" s="51">
        <v>46209</v>
      </c>
      <c r="G259" s="49">
        <v>5</v>
      </c>
      <c r="H259" s="49" t="s">
        <v>22</v>
      </c>
      <c r="I259" s="51">
        <v>46211</v>
      </c>
      <c r="J259" s="54">
        <f>INT(Cobros[[#This Row],[Fecha Cargo]])</f>
        <v>46209</v>
      </c>
      <c r="K259" s="54">
        <f>INT(Cobros[[#This Row],[Fecha Aplicacion]])</f>
        <v>46211</v>
      </c>
      <c r="L259" s="55" t="str">
        <f>INDEX(Clientes[Días Plazo],MATCH(Cobros[[#This Row],[Cod. Cliente]],Clientes[Codigo],0),1)</f>
        <v>15</v>
      </c>
      <c r="M259" s="45" t="str">
        <f>IF(Cobros[[#This Row],[Dias de Credito]]&lt;=0,"Contado","Credito")</f>
        <v>Credito</v>
      </c>
      <c r="N259" s="45">
        <f>Cobros[[#This Row],[Fecha Aplicación S]]-Cobros[[#This Row],[Fecha Cargo S]]</f>
        <v>2</v>
      </c>
      <c r="O259" s="45">
        <f>Cobros[[#This Row],[Dias al pago]]-Cobros[[#This Row],[Dias de Credito]]</f>
        <v>-13</v>
      </c>
      <c r="P259" s="45">
        <f>SUMIFS(TablaDias[Porcentaje],TablaDias[Tipo],Cobros[[#This Row],[Tipo]],TablaDias[Desde ],"&lt;="&amp;MAX(0,Cobros[[#This Row],[Dias pasado]]),TablaDias[Hasta ],"&gt;="&amp;Cobros[[#This Row],[Dias pasado]])</f>
        <v>100</v>
      </c>
      <c r="Q2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59">
        <f>IF(COUNTIF(PAPEL[Numero],Cobros[[#This Row],[Doc. Cargo]])&gt;0,1,0)</f>
        <v>0</v>
      </c>
      <c r="S259" s="46">
        <f t="array" ref="S2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59" s="46">
        <f t="array" ref="T259">INDEX(Ventas[[Unidades]:[2]],MATCH("Gerente de Venta",Ventas[Vendedor %],0),6+Cobros[[#This Row],[Mes]])</f>
        <v>0.005</v>
      </c>
      <c r="U259" s="34">
        <f>IF(Cobros[[#This Row],[Tipo]]="Credito",IF(60&gt;=Cobros[[#This Row],[Dias al pago]],1,0),IF(Cobros[[#This Row],[Dias al pago]]&lt;=3,1,0))</f>
        <v>1</v>
      </c>
      <c r="V259" s="46">
        <f>(Cobros[[#This Row],[% A pagar Vendedor]]/100)*Cobros[[#This Row],[Valor Pagado]]*Cobros[[#This Row],[Vencido]]*(Cobros[[#This Row],[% aplicar]]/100)*IF(Cobros[[#This Row],[% A pagar Vendedor]]&gt;0,1,0)</f>
        <v>0.05</v>
      </c>
      <c r="W259" s="46">
        <f>0.5%*Cobros[[#This Row],[Valor Pagado]]</f>
        <v>0.025</v>
      </c>
    </row>
    <row r="260" spans="1:23">
      <c r="A260" s="49" t="s">
        <v>3931</v>
      </c>
      <c r="B260" s="49" t="s">
        <v>4271</v>
      </c>
      <c r="C260" s="49" t="s">
        <v>819</v>
      </c>
      <c r="D260" s="49" t="s">
        <v>820</v>
      </c>
      <c r="E260" s="49" t="s">
        <v>4272</v>
      </c>
      <c r="F260" s="51">
        <v>46169</v>
      </c>
      <c r="G260" s="49">
        <v>335.1</v>
      </c>
      <c r="H260" s="49" t="s">
        <v>16</v>
      </c>
      <c r="I260" s="51">
        <v>46211</v>
      </c>
      <c r="J260" s="54">
        <f>INT(Cobros[[#This Row],[Fecha Cargo]])</f>
        <v>46169</v>
      </c>
      <c r="K260" s="54">
        <f>INT(Cobros[[#This Row],[Fecha Aplicacion]])</f>
        <v>46211</v>
      </c>
      <c r="L260" s="55" t="str">
        <f>INDEX(Clientes[Días Plazo],MATCH(Cobros[[#This Row],[Cod. Cliente]],Clientes[Codigo],0),1)</f>
        <v>45</v>
      </c>
      <c r="M260" s="45" t="str">
        <f>IF(Cobros[[#This Row],[Dias de Credito]]&lt;=0,"Contado","Credito")</f>
        <v>Credito</v>
      </c>
      <c r="N260" s="45">
        <f>Cobros[[#This Row],[Fecha Aplicación S]]-Cobros[[#This Row],[Fecha Cargo S]]</f>
        <v>42</v>
      </c>
      <c r="O260" s="45">
        <f>Cobros[[#This Row],[Dias al pago]]-Cobros[[#This Row],[Dias de Credito]]</f>
        <v>-3</v>
      </c>
      <c r="P260" s="45">
        <f>SUMIFS(TablaDias[Porcentaje],TablaDias[Tipo],Cobros[[#This Row],[Tipo]],TablaDias[Desde ],"&lt;="&amp;MAX(0,Cobros[[#This Row],[Dias pasado]]),TablaDias[Hasta ],"&gt;="&amp;Cobros[[#This Row],[Dias pasado]])</f>
        <v>100</v>
      </c>
      <c r="Q2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60">
        <f>IF(COUNTIF(PAPEL[Numero],Cobros[[#This Row],[Doc. Cargo]])&gt;0,1,0)</f>
        <v>0</v>
      </c>
      <c r="S260" s="46">
        <f t="array" ref="S2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60" s="47">
        <v>0.005</v>
      </c>
      <c r="U260" s="34">
        <f>IF(Cobros[[#This Row],[Tipo]]="Credito",IF(60&gt;=Cobros[[#This Row],[Dias al pago]],1,0),IF(Cobros[[#This Row],[Dias al pago]]&lt;=3,1,0))</f>
        <v>1</v>
      </c>
      <c r="V260" s="46">
        <f>(Cobros[[#This Row],[% A pagar Vendedor]]/100)*Cobros[[#This Row],[Valor Pagado]]*Cobros[[#This Row],[Vencido]]*(Cobros[[#This Row],[% aplicar]]/100)*IF(Cobros[[#This Row],[% A pagar Vendedor]]&gt;0,1,0)</f>
        <v>3.351</v>
      </c>
      <c r="W260" s="46">
        <f>0.5%*Cobros[[#This Row],[Valor Pagado]]</f>
        <v>1.6755</v>
      </c>
    </row>
    <row r="261" spans="1:23">
      <c r="A261" s="49" t="s">
        <v>3931</v>
      </c>
      <c r="B261" s="49" t="s">
        <v>4271</v>
      </c>
      <c r="C261" s="49" t="s">
        <v>819</v>
      </c>
      <c r="D261" s="49" t="s">
        <v>820</v>
      </c>
      <c r="E261" s="49" t="s">
        <v>4273</v>
      </c>
      <c r="F261" s="51">
        <v>46170</v>
      </c>
      <c r="G261" s="49">
        <v>4062</v>
      </c>
      <c r="H261" s="49" t="s">
        <v>16</v>
      </c>
      <c r="I261" s="51">
        <v>46211</v>
      </c>
      <c r="J261" s="54">
        <f>INT(Cobros[[#This Row],[Fecha Cargo]])</f>
        <v>46170</v>
      </c>
      <c r="K261" s="54">
        <f>INT(Cobros[[#This Row],[Fecha Aplicacion]])</f>
        <v>46211</v>
      </c>
      <c r="L261" s="55" t="str">
        <f>INDEX(Clientes[Días Plazo],MATCH(Cobros[[#This Row],[Cod. Cliente]],Clientes[Codigo],0),1)</f>
        <v>45</v>
      </c>
      <c r="M261" s="45" t="str">
        <f>IF(Cobros[[#This Row],[Dias de Credito]]&lt;=0,"Contado","Credito")</f>
        <v>Credito</v>
      </c>
      <c r="N261" s="45">
        <f>Cobros[[#This Row],[Fecha Aplicación S]]-Cobros[[#This Row],[Fecha Cargo S]]</f>
        <v>41</v>
      </c>
      <c r="O261" s="45">
        <f>Cobros[[#This Row],[Dias al pago]]-Cobros[[#This Row],[Dias de Credito]]</f>
        <v>-4</v>
      </c>
      <c r="P261" s="45">
        <f>SUMIFS(TablaDias[Porcentaje],TablaDias[Tipo],Cobros[[#This Row],[Tipo]],TablaDias[Desde ],"&lt;="&amp;MAX(0,Cobros[[#This Row],[Dias pasado]]),TablaDias[Hasta ],"&gt;="&amp;Cobros[[#This Row],[Dias pasado]])</f>
        <v>100</v>
      </c>
      <c r="Q2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61">
        <f>IF(COUNTIF(PAPEL[Numero],Cobros[[#This Row],[Doc. Cargo]])&gt;0,1,0)</f>
        <v>0</v>
      </c>
      <c r="S261" s="46">
        <f t="array" ref="S2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61" s="47">
        <v>0.005</v>
      </c>
      <c r="U261" s="34">
        <f>IF(Cobros[[#This Row],[Tipo]]="Credito",IF(60&gt;=Cobros[[#This Row],[Dias al pago]],1,0),IF(Cobros[[#This Row],[Dias al pago]]&lt;=3,1,0))</f>
        <v>1</v>
      </c>
      <c r="V261" s="46">
        <f>(Cobros[[#This Row],[% A pagar Vendedor]]/100)*Cobros[[#This Row],[Valor Pagado]]*Cobros[[#This Row],[Vencido]]*(Cobros[[#This Row],[% aplicar]]/100)*IF(Cobros[[#This Row],[% A pagar Vendedor]]&gt;0,1,0)</f>
        <v>40.62</v>
      </c>
      <c r="W261" s="46">
        <f>0.5%*Cobros[[#This Row],[Valor Pagado]]</f>
        <v>20.31</v>
      </c>
    </row>
    <row r="262" spans="1:23">
      <c r="A262" s="49" t="s">
        <v>3860</v>
      </c>
      <c r="B262" s="49" t="s">
        <v>4274</v>
      </c>
      <c r="C262" s="49" t="s">
        <v>3715</v>
      </c>
      <c r="D262" s="49" t="s">
        <v>3716</v>
      </c>
      <c r="E262" s="49" t="s">
        <v>4049</v>
      </c>
      <c r="F262" s="51">
        <v>46206</v>
      </c>
      <c r="G262" s="49">
        <v>253.44</v>
      </c>
      <c r="H262" s="49" t="s">
        <v>16</v>
      </c>
      <c r="I262" s="51">
        <v>46212</v>
      </c>
      <c r="J262" s="54">
        <f>INT(Cobros[[#This Row],[Fecha Cargo]])</f>
        <v>46206</v>
      </c>
      <c r="K262" s="54">
        <f>INT(Cobros[[#This Row],[Fecha Aplicacion]])</f>
        <v>46212</v>
      </c>
      <c r="L262" s="55" t="str">
        <f>INDEX(Clientes[Días Plazo],MATCH(Cobros[[#This Row],[Cod. Cliente]],Clientes[Codigo],0),1)</f>
        <v>7</v>
      </c>
      <c r="M262" s="45" t="str">
        <f>IF(Cobros[[#This Row],[Dias de Credito]]&lt;=0,"Contado","Credito")</f>
        <v>Credito</v>
      </c>
      <c r="N262" s="45">
        <f>Cobros[[#This Row],[Fecha Aplicación S]]-Cobros[[#This Row],[Fecha Cargo S]]</f>
        <v>6</v>
      </c>
      <c r="O262" s="45">
        <f>Cobros[[#This Row],[Dias al pago]]-Cobros[[#This Row],[Dias de Credito]]</f>
        <v>-1</v>
      </c>
      <c r="P262" s="45">
        <f>SUMIFS(TablaDias[Porcentaje],TablaDias[Tipo],Cobros[[#This Row],[Tipo]],TablaDias[Desde ],"&lt;="&amp;MAX(0,Cobros[[#This Row],[Dias pasado]]),TablaDias[Hasta ],"&gt;="&amp;Cobros[[#This Row],[Dias pasado]])</f>
        <v>100</v>
      </c>
      <c r="Q2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2">
        <f>IF(COUNTIF(PAPEL[Numero],Cobros[[#This Row],[Doc. Cargo]])&gt;0,1,0)</f>
        <v>0</v>
      </c>
      <c r="S262" s="46">
        <f t="array" ref="S2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2" s="47">
        <v>0.005</v>
      </c>
      <c r="U262" s="34">
        <f>IF(Cobros[[#This Row],[Tipo]]="Credito",IF(60&gt;=Cobros[[#This Row],[Dias al pago]],1,0),IF(Cobros[[#This Row],[Dias al pago]]&lt;=3,1,0))</f>
        <v>1</v>
      </c>
      <c r="V262" s="46">
        <f>(Cobros[[#This Row],[% A pagar Vendedor]]/100)*Cobros[[#This Row],[Valor Pagado]]*Cobros[[#This Row],[Vencido]]*(Cobros[[#This Row],[% aplicar]]/100)*IF(Cobros[[#This Row],[% A pagar Vendedor]]&gt;0,1,0)</f>
        <v>3.168</v>
      </c>
      <c r="W262" s="46">
        <f>0.5%*Cobros[[#This Row],[Valor Pagado]]</f>
        <v>1.2672</v>
      </c>
    </row>
    <row r="263" spans="1:23">
      <c r="A263" s="49" t="s">
        <v>3860</v>
      </c>
      <c r="B263" s="49" t="s">
        <v>4275</v>
      </c>
      <c r="C263" s="49" t="s">
        <v>255</v>
      </c>
      <c r="D263" s="49" t="s">
        <v>256</v>
      </c>
      <c r="E263" s="49" t="s">
        <v>4214</v>
      </c>
      <c r="F263" s="51">
        <v>46191</v>
      </c>
      <c r="G263" s="49">
        <v>300</v>
      </c>
      <c r="H263" s="49" t="s">
        <v>16</v>
      </c>
      <c r="I263" s="51">
        <v>46212</v>
      </c>
      <c r="J263" s="54">
        <f>INT(Cobros[[#This Row],[Fecha Cargo]])</f>
        <v>46191</v>
      </c>
      <c r="K263" s="54">
        <f>INT(Cobros[[#This Row],[Fecha Aplicacion]])</f>
        <v>46212</v>
      </c>
      <c r="L263" s="55" t="str">
        <f>INDEX(Clientes[Días Plazo],MATCH(Cobros[[#This Row],[Cod. Cliente]],Clientes[Codigo],0),1)</f>
        <v>15</v>
      </c>
      <c r="M263" s="45" t="str">
        <f>IF(Cobros[[#This Row],[Dias de Credito]]&lt;=0,"Contado","Credito")</f>
        <v>Credito</v>
      </c>
      <c r="N263" s="45">
        <f>Cobros[[#This Row],[Fecha Aplicación S]]-Cobros[[#This Row],[Fecha Cargo S]]</f>
        <v>21</v>
      </c>
      <c r="O263" s="45">
        <f>Cobros[[#This Row],[Dias al pago]]-Cobros[[#This Row],[Dias de Credito]]</f>
        <v>6</v>
      </c>
      <c r="P263" s="45">
        <f>SUMIFS(TablaDias[Porcentaje],TablaDias[Tipo],Cobros[[#This Row],[Tipo]],TablaDias[Desde ],"&lt;="&amp;MAX(0,Cobros[[#This Row],[Dias pasado]]),TablaDias[Hasta ],"&gt;="&amp;Cobros[[#This Row],[Dias pasado]])</f>
        <v>100</v>
      </c>
      <c r="Q2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63">
        <f>IF(COUNTIF(PAPEL[Numero],Cobros[[#This Row],[Doc. Cargo]])&gt;0,1,0)</f>
        <v>0</v>
      </c>
      <c r="S263" s="46">
        <f t="array" ref="S2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63" s="47">
        <v>0.005</v>
      </c>
      <c r="U263" s="34">
        <f>IF(Cobros[[#This Row],[Tipo]]="Credito",IF(60&gt;=Cobros[[#This Row],[Dias al pago]],1,0),IF(Cobros[[#This Row],[Dias al pago]]&lt;=3,1,0))</f>
        <v>1</v>
      </c>
      <c r="V263" s="46">
        <f>(Cobros[[#This Row],[% A pagar Vendedor]]/100)*Cobros[[#This Row],[Valor Pagado]]*Cobros[[#This Row],[Vencido]]*(Cobros[[#This Row],[% aplicar]]/100)*IF(Cobros[[#This Row],[% A pagar Vendedor]]&gt;0,1,0)</f>
        <v>3</v>
      </c>
      <c r="W263" s="46">
        <f>0.5%*Cobros[[#This Row],[Valor Pagado]]</f>
        <v>1.5</v>
      </c>
    </row>
    <row r="264" spans="1:23">
      <c r="A264" s="49" t="s">
        <v>3860</v>
      </c>
      <c r="B264" s="49" t="s">
        <v>4276</v>
      </c>
      <c r="C264" s="49" t="s">
        <v>3715</v>
      </c>
      <c r="D264" s="49" t="s">
        <v>3716</v>
      </c>
      <c r="E264" s="49" t="s">
        <v>4277</v>
      </c>
      <c r="F264" s="51">
        <v>46211</v>
      </c>
      <c r="G264" s="49">
        <v>321</v>
      </c>
      <c r="H264" s="49" t="s">
        <v>16</v>
      </c>
      <c r="I264" s="51">
        <v>46212</v>
      </c>
      <c r="J264" s="54">
        <f>INT(Cobros[[#This Row],[Fecha Cargo]])</f>
        <v>46211</v>
      </c>
      <c r="K264" s="54">
        <f>INT(Cobros[[#This Row],[Fecha Aplicacion]])</f>
        <v>46212</v>
      </c>
      <c r="L264" s="55" t="str">
        <f>INDEX(Clientes[Días Plazo],MATCH(Cobros[[#This Row],[Cod. Cliente]],Clientes[Codigo],0),1)</f>
        <v>7</v>
      </c>
      <c r="M264" s="45" t="str">
        <f>IF(Cobros[[#This Row],[Dias de Credito]]&lt;=0,"Contado","Credito")</f>
        <v>Credito</v>
      </c>
      <c r="N264" s="45">
        <f>Cobros[[#This Row],[Fecha Aplicación S]]-Cobros[[#This Row],[Fecha Cargo S]]</f>
        <v>1</v>
      </c>
      <c r="O264" s="45">
        <f>Cobros[[#This Row],[Dias al pago]]-Cobros[[#This Row],[Dias de Credito]]</f>
        <v>-6</v>
      </c>
      <c r="P264" s="45">
        <f>SUMIFS(TablaDias[Porcentaje],TablaDias[Tipo],Cobros[[#This Row],[Tipo]],TablaDias[Desde ],"&lt;="&amp;MAX(0,Cobros[[#This Row],[Dias pasado]]),TablaDias[Hasta ],"&gt;="&amp;Cobros[[#This Row],[Dias pasado]])</f>
        <v>100</v>
      </c>
      <c r="Q2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4">
        <f>IF(COUNTIF(PAPEL[Numero],Cobros[[#This Row],[Doc. Cargo]])&gt;0,1,0)</f>
        <v>0</v>
      </c>
      <c r="S264" s="46">
        <f t="array" ref="S2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4" s="47">
        <v>0.005</v>
      </c>
      <c r="U264" s="34">
        <f>IF(Cobros[[#This Row],[Tipo]]="Credito",IF(60&gt;=Cobros[[#This Row],[Dias al pago]],1,0),IF(Cobros[[#This Row],[Dias al pago]]&lt;=3,1,0))</f>
        <v>1</v>
      </c>
      <c r="V264" s="46">
        <f>(Cobros[[#This Row],[% A pagar Vendedor]]/100)*Cobros[[#This Row],[Valor Pagado]]*Cobros[[#This Row],[Vencido]]*(Cobros[[#This Row],[% aplicar]]/100)*IF(Cobros[[#This Row],[% A pagar Vendedor]]&gt;0,1,0)</f>
        <v>4.0125</v>
      </c>
      <c r="W264" s="46">
        <f>0.5%*Cobros[[#This Row],[Valor Pagado]]</f>
        <v>1.605</v>
      </c>
    </row>
    <row r="265" spans="1:23">
      <c r="A265" s="49" t="s">
        <v>3860</v>
      </c>
      <c r="B265" s="49" t="s">
        <v>4278</v>
      </c>
      <c r="C265" s="49" t="s">
        <v>334</v>
      </c>
      <c r="D265" s="49" t="s">
        <v>335</v>
      </c>
      <c r="E265" s="49" t="s">
        <v>4279</v>
      </c>
      <c r="F265" s="51">
        <v>46211</v>
      </c>
      <c r="G265" s="49">
        <v>291.95</v>
      </c>
      <c r="H265" s="49" t="s">
        <v>19</v>
      </c>
      <c r="I265" s="51">
        <v>46212</v>
      </c>
      <c r="J265" s="54">
        <f>INT(Cobros[[#This Row],[Fecha Cargo]])</f>
        <v>46211</v>
      </c>
      <c r="K265" s="54">
        <f>INT(Cobros[[#This Row],[Fecha Aplicacion]])</f>
        <v>46212</v>
      </c>
      <c r="L265" s="55">
        <f>INDEX(Clientes[Días Plazo],MATCH(Cobros[[#This Row],[Cod. Cliente]],Clientes[Codigo],0),1)</f>
        <v>0</v>
      </c>
      <c r="M265" s="45" t="str">
        <f>IF(Cobros[[#This Row],[Dias de Credito]]&lt;=0,"Contado","Credito")</f>
        <v>Contado</v>
      </c>
      <c r="N265" s="45">
        <f>Cobros[[#This Row],[Fecha Aplicación S]]-Cobros[[#This Row],[Fecha Cargo S]]</f>
        <v>1</v>
      </c>
      <c r="O265" s="45">
        <f>Cobros[[#This Row],[Dias al pago]]-Cobros[[#This Row],[Dias de Credito]]</f>
        <v>1</v>
      </c>
      <c r="P265" s="45">
        <f>SUMIFS(TablaDias[Porcentaje],TablaDias[Tipo],Cobros[[#This Row],[Tipo]],TablaDias[Desde ],"&lt;="&amp;MAX(0,Cobros[[#This Row],[Dias pasado]]),TablaDias[Hasta ],"&gt;="&amp;Cobros[[#This Row],[Dias pasado]])</f>
        <v>100</v>
      </c>
      <c r="Q2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5">
        <f>IF(COUNTIF(PAPEL[Numero],Cobros[[#This Row],[Doc. Cargo]])&gt;0,1,0)</f>
        <v>0</v>
      </c>
      <c r="S265" s="46">
        <f t="array" ref="S2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5" s="46">
        <f t="array" ref="T265">INDEX(Ventas[[Unidades]:[2]],MATCH("Gerente de Venta",Ventas[Vendedor %],0),6+Cobros[[#This Row],[Mes]])</f>
        <v>0.005</v>
      </c>
      <c r="U265" s="34">
        <f>IF(Cobros[[#This Row],[Tipo]]="Credito",IF(60&gt;=Cobros[[#This Row],[Dias al pago]],1,0),IF(Cobros[[#This Row],[Dias al pago]]&lt;=3,1,0))</f>
        <v>1</v>
      </c>
      <c r="V265" s="46">
        <f>(Cobros[[#This Row],[% A pagar Vendedor]]/100)*Cobros[[#This Row],[Valor Pagado]]*Cobros[[#This Row],[Vencido]]*(Cobros[[#This Row],[% aplicar]]/100)*IF(Cobros[[#This Row],[% A pagar Vendedor]]&gt;0,1,0)</f>
        <v>3.649375</v>
      </c>
      <c r="W265" s="46">
        <f>0.5%*Cobros[[#This Row],[Valor Pagado]]</f>
        <v>1.45975</v>
      </c>
    </row>
    <row r="266" spans="1:24">
      <c r="A266" s="49" t="s">
        <v>3860</v>
      </c>
      <c r="B266" s="49" t="s">
        <v>4280</v>
      </c>
      <c r="C266" s="49" t="s">
        <v>2023</v>
      </c>
      <c r="D266" s="49" t="s">
        <v>2024</v>
      </c>
      <c r="E266" s="49" t="s">
        <v>4281</v>
      </c>
      <c r="F266" s="51">
        <v>46212</v>
      </c>
      <c r="G266" s="49">
        <v>32</v>
      </c>
      <c r="H266" s="49" t="s">
        <v>18</v>
      </c>
      <c r="I266" s="51">
        <v>46212</v>
      </c>
      <c r="J266" s="54">
        <f>INT(Cobros[[#This Row],[Fecha Cargo]])</f>
        <v>46212</v>
      </c>
      <c r="K266" s="54">
        <f>INT(Cobros[[#This Row],[Fecha Aplicacion]])</f>
        <v>46212</v>
      </c>
      <c r="L266" s="55">
        <f>INDEX(Clientes[Días Plazo],MATCH(Cobros[[#This Row],[Cod. Cliente]],Clientes[Codigo],0),1)</f>
        <v>0</v>
      </c>
      <c r="M266" s="45" t="str">
        <f>IF(Cobros[[#This Row],[Dias de Credito]]&lt;=0,"Contado","Credito")</f>
        <v>Contado</v>
      </c>
      <c r="N266" s="45">
        <f>Cobros[[#This Row],[Fecha Aplicación S]]-Cobros[[#This Row],[Fecha Cargo S]]</f>
        <v>0</v>
      </c>
      <c r="O266" s="45">
        <f>Cobros[[#This Row],[Dias al pago]]-Cobros[[#This Row],[Dias de Credito]]</f>
        <v>0</v>
      </c>
      <c r="P266" s="45">
        <f>SUMIFS(TablaDias[Porcentaje],TablaDias[Tipo],Cobros[[#This Row],[Tipo]],TablaDias[Desde ],"&lt;="&amp;MAX(0,Cobros[[#This Row],[Dias pasado]]),TablaDias[Hasta ],"&gt;="&amp;Cobros[[#This Row],[Dias pasado]])</f>
        <v>100</v>
      </c>
      <c r="Q2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6">
        <f>IF(COUNTIF(PAPEL[Numero],Cobros[[#This Row],[Doc. Cargo]])&gt;0,1,0)</f>
        <v>0</v>
      </c>
      <c r="S266" s="46">
        <f t="array" ref="S2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6" s="46">
        <f t="array" ref="T266">INDEX(Ventas[[Unidades]:[2]],MATCH("Gerente de Venta",Ventas[Vendedor %],0),6+Cobros[[#This Row],[Mes]])</f>
        <v>0.005</v>
      </c>
      <c r="U266" s="34">
        <f>IF(Cobros[[#This Row],[Tipo]]="Credito",IF(60&gt;=Cobros[[#This Row],[Dias al pago]],1,0),IF(Cobros[[#This Row],[Dias al pago]]&lt;=3,1,0))</f>
        <v>1</v>
      </c>
      <c r="V266" s="46">
        <f>(Cobros[[#This Row],[% A pagar Vendedor]]/100)*Cobros[[#This Row],[Valor Pagado]]*Cobros[[#This Row],[Vencido]]*(Cobros[[#This Row],[% aplicar]]/100)*IF(Cobros[[#This Row],[% A pagar Vendedor]]&gt;0,1,0)</f>
        <v>0.4</v>
      </c>
      <c r="W266" s="46">
        <f>0.5%*Cobros[[#This Row],[Valor Pagado]]</f>
        <v>0.16</v>
      </c>
      <c r="X266" s="60"/>
    </row>
    <row r="267" spans="1:23">
      <c r="A267" s="49" t="s">
        <v>3860</v>
      </c>
      <c r="B267" s="49" t="s">
        <v>4190</v>
      </c>
      <c r="C267" s="49" t="s">
        <v>2023</v>
      </c>
      <c r="D267" s="49" t="s">
        <v>2024</v>
      </c>
      <c r="E267" s="49" t="s">
        <v>4281</v>
      </c>
      <c r="F267" s="51">
        <v>46212</v>
      </c>
      <c r="G267" s="49">
        <v>1</v>
      </c>
      <c r="H267" s="49" t="s">
        <v>18</v>
      </c>
      <c r="I267" s="51">
        <v>46210</v>
      </c>
      <c r="J267" s="54">
        <f>INT(Cobros[[#This Row],[Fecha Cargo]])</f>
        <v>46212</v>
      </c>
      <c r="K267" s="54">
        <f>INT(Cobros[[#This Row],[Fecha Aplicacion]])</f>
        <v>46210</v>
      </c>
      <c r="L267" s="55">
        <f>INDEX(Clientes[Días Plazo],MATCH(Cobros[[#This Row],[Cod. Cliente]],Clientes[Codigo],0),1)</f>
        <v>0</v>
      </c>
      <c r="M267" s="45" t="str">
        <f>IF(Cobros[[#This Row],[Dias de Credito]]&lt;=0,"Contado","Credito")</f>
        <v>Contado</v>
      </c>
      <c r="N267" s="45">
        <f>Cobros[[#This Row],[Fecha Aplicación S]]-Cobros[[#This Row],[Fecha Cargo S]]</f>
        <v>-2</v>
      </c>
      <c r="O267" s="45">
        <f>Cobros[[#This Row],[Dias al pago]]-Cobros[[#This Row],[Dias de Credito]]</f>
        <v>-2</v>
      </c>
      <c r="P267" s="45">
        <f>SUMIFS(TablaDias[Porcentaje],TablaDias[Tipo],Cobros[[#This Row],[Tipo]],TablaDias[Desde ],"&lt;="&amp;MAX(0,Cobros[[#This Row],[Dias pasado]]),TablaDias[Hasta ],"&gt;="&amp;Cobros[[#This Row],[Dias pasado]])</f>
        <v>100</v>
      </c>
      <c r="Q26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7">
        <f>IF(COUNTIF(PAPEL[Numero],Cobros[[#This Row],[Doc. Cargo]])&gt;0,1,0)</f>
        <v>0</v>
      </c>
      <c r="S267" s="46">
        <f t="array" ref="S2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7" s="46">
        <f t="array" ref="T267">INDEX(Ventas[[Unidades]:[2]],MATCH("Gerente de Venta",Ventas[Vendedor %],0),6+Cobros[[#This Row],[Mes]])</f>
        <v>0.005</v>
      </c>
      <c r="U267" s="34">
        <f>IF(Cobros[[#This Row],[Tipo]]="Credito",IF(60&gt;=Cobros[[#This Row],[Dias al pago]],1,0),IF(Cobros[[#This Row],[Dias al pago]]&lt;=3,1,0))</f>
        <v>1</v>
      </c>
      <c r="V267" s="46">
        <f>(Cobros[[#This Row],[% A pagar Vendedor]]/100)*Cobros[[#This Row],[Valor Pagado]]*Cobros[[#This Row],[Vencido]]*(Cobros[[#This Row],[% aplicar]]/100)*IF(Cobros[[#This Row],[% A pagar Vendedor]]&gt;0,1,0)</f>
        <v>0.0125</v>
      </c>
      <c r="W267" s="46">
        <f>0.5%*Cobros[[#This Row],[Valor Pagado]]</f>
        <v>0.005</v>
      </c>
    </row>
    <row r="268" spans="1:23">
      <c r="A268" s="49" t="s">
        <v>3875</v>
      </c>
      <c r="B268" s="49" t="s">
        <v>4282</v>
      </c>
      <c r="C268" s="49" t="s">
        <v>2023</v>
      </c>
      <c r="D268" s="49" t="s">
        <v>2024</v>
      </c>
      <c r="E268" s="49" t="s">
        <v>4281</v>
      </c>
      <c r="F268" s="51">
        <v>46212</v>
      </c>
      <c r="G268" s="49">
        <v>699</v>
      </c>
      <c r="H268" s="49" t="s">
        <v>18</v>
      </c>
      <c r="I268" s="51">
        <v>46212</v>
      </c>
      <c r="J268" s="54">
        <f>INT(Cobros[[#This Row],[Fecha Cargo]])</f>
        <v>46212</v>
      </c>
      <c r="K268" s="54">
        <f>INT(Cobros[[#This Row],[Fecha Aplicacion]])</f>
        <v>46212</v>
      </c>
      <c r="L268" s="55">
        <f>INDEX(Clientes[Días Plazo],MATCH(Cobros[[#This Row],[Cod. Cliente]],Clientes[Codigo],0),1)</f>
        <v>0</v>
      </c>
      <c r="M268" s="45" t="str">
        <f>IF(Cobros[[#This Row],[Dias de Credito]]&lt;=0,"Contado","Credito")</f>
        <v>Contado</v>
      </c>
      <c r="N268" s="45">
        <f>Cobros[[#This Row],[Fecha Aplicación S]]-Cobros[[#This Row],[Fecha Cargo S]]</f>
        <v>0</v>
      </c>
      <c r="O268" s="45">
        <f>Cobros[[#This Row],[Dias al pago]]-Cobros[[#This Row],[Dias de Credito]]</f>
        <v>0</v>
      </c>
      <c r="P268" s="45">
        <f>SUMIFS(TablaDias[Porcentaje],TablaDias[Tipo],Cobros[[#This Row],[Tipo]],TablaDias[Desde ],"&lt;="&amp;MAX(0,Cobros[[#This Row],[Dias pasado]]),TablaDias[Hasta ],"&gt;="&amp;Cobros[[#This Row],[Dias pasado]])</f>
        <v>100</v>
      </c>
      <c r="Q2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68">
        <f>IF(COUNTIF(PAPEL[Numero],Cobros[[#This Row],[Doc. Cargo]])&gt;0,1,0)</f>
        <v>0</v>
      </c>
      <c r="S268" s="46">
        <f t="array" ref="S2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68" s="46">
        <f t="array" ref="T268">INDEX(Ventas[[Unidades]:[2]],MATCH("Gerente de Venta",Ventas[Vendedor %],0),6+Cobros[[#This Row],[Mes]])</f>
        <v>0.005</v>
      </c>
      <c r="U268" s="34">
        <f>IF(Cobros[[#This Row],[Tipo]]="Credito",IF(60&gt;=Cobros[[#This Row],[Dias al pago]],1,0),IF(Cobros[[#This Row],[Dias al pago]]&lt;=3,1,0))</f>
        <v>1</v>
      </c>
      <c r="V268" s="46">
        <f>(Cobros[[#This Row],[% A pagar Vendedor]]/100)*Cobros[[#This Row],[Valor Pagado]]*Cobros[[#This Row],[Vencido]]*(Cobros[[#This Row],[% aplicar]]/100)*IF(Cobros[[#This Row],[% A pagar Vendedor]]&gt;0,1,0)</f>
        <v>8.7375</v>
      </c>
      <c r="W268" s="46">
        <f>0.5%*Cobros[[#This Row],[Valor Pagado]]</f>
        <v>3.495</v>
      </c>
    </row>
    <row r="269" spans="1:23">
      <c r="A269" s="49" t="s">
        <v>3904</v>
      </c>
      <c r="B269" s="49" t="s">
        <v>4283</v>
      </c>
      <c r="C269" s="49" t="s">
        <v>572</v>
      </c>
      <c r="D269" s="49" t="s">
        <v>573</v>
      </c>
      <c r="E269" s="49" t="s">
        <v>4284</v>
      </c>
      <c r="F269" s="51">
        <v>46196</v>
      </c>
      <c r="G269" s="49">
        <v>329</v>
      </c>
      <c r="H269" s="49" t="s">
        <v>16</v>
      </c>
      <c r="I269" s="51">
        <v>46212</v>
      </c>
      <c r="J269" s="54">
        <f>INT(Cobros[[#This Row],[Fecha Cargo]])</f>
        <v>46196</v>
      </c>
      <c r="K269" s="54">
        <f>INT(Cobros[[#This Row],[Fecha Aplicacion]])</f>
        <v>46212</v>
      </c>
      <c r="L269" s="55" t="str">
        <f>INDEX(Clientes[Días Plazo],MATCH(Cobros[[#This Row],[Cod. Cliente]],Clientes[Codigo],0),1)</f>
        <v>15</v>
      </c>
      <c r="M269" s="45" t="str">
        <f>IF(Cobros[[#This Row],[Dias de Credito]]&lt;=0,"Contado","Credito")</f>
        <v>Credito</v>
      </c>
      <c r="N269" s="45">
        <f>Cobros[[#This Row],[Fecha Aplicación S]]-Cobros[[#This Row],[Fecha Cargo S]]</f>
        <v>16</v>
      </c>
      <c r="O269" s="45">
        <f>Cobros[[#This Row],[Dias al pago]]-Cobros[[#This Row],[Dias de Credito]]</f>
        <v>1</v>
      </c>
      <c r="P269" s="45">
        <f>SUMIFS(TablaDias[Porcentaje],TablaDias[Tipo],Cobros[[#This Row],[Tipo]],TablaDias[Desde ],"&lt;="&amp;MAX(0,Cobros[[#This Row],[Dias pasado]]),TablaDias[Hasta ],"&gt;="&amp;Cobros[[#This Row],[Dias pasado]])</f>
        <v>100</v>
      </c>
      <c r="Q2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69">
        <f>IF(COUNTIF(PAPEL[Numero],Cobros[[#This Row],[Doc. Cargo]])&gt;0,1,0)</f>
        <v>0</v>
      </c>
      <c r="S269" s="46">
        <f t="array" ref="S2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69" s="47">
        <v>0.005</v>
      </c>
      <c r="U269" s="34">
        <f>IF(Cobros[[#This Row],[Tipo]]="Credito",IF(60&gt;=Cobros[[#This Row],[Dias al pago]],1,0),IF(Cobros[[#This Row],[Dias al pago]]&lt;=3,1,0))</f>
        <v>1</v>
      </c>
      <c r="V269" s="46">
        <f>(Cobros[[#This Row],[% A pagar Vendedor]]/100)*Cobros[[#This Row],[Valor Pagado]]*Cobros[[#This Row],[Vencido]]*(Cobros[[#This Row],[% aplicar]]/100)*IF(Cobros[[#This Row],[% A pagar Vendedor]]&gt;0,1,0)</f>
        <v>3.29</v>
      </c>
      <c r="W269" s="46">
        <f>0.5%*Cobros[[#This Row],[Valor Pagado]]</f>
        <v>1.645</v>
      </c>
    </row>
    <row r="270" ht="30" spans="1:24">
      <c r="A270" s="49" t="s">
        <v>3875</v>
      </c>
      <c r="B270" s="49" t="s">
        <v>4285</v>
      </c>
      <c r="C270" s="49" t="s">
        <v>692</v>
      </c>
      <c r="D270" s="49" t="s">
        <v>693</v>
      </c>
      <c r="E270" s="49" t="s">
        <v>4286</v>
      </c>
      <c r="F270" s="51">
        <v>46211</v>
      </c>
      <c r="G270" s="49">
        <v>210</v>
      </c>
      <c r="H270" s="49" t="s">
        <v>16</v>
      </c>
      <c r="I270" s="51">
        <v>46212</v>
      </c>
      <c r="J270" s="54">
        <f>INT(Cobros[[#This Row],[Fecha Cargo]])</f>
        <v>46211</v>
      </c>
      <c r="K270" s="54">
        <f>INT(Cobros[[#This Row],[Fecha Aplicacion]])</f>
        <v>46212</v>
      </c>
      <c r="L270" s="55">
        <f>INDEX(Clientes[Días Plazo],MATCH(Cobros[[#This Row],[Cod. Cliente]],Clientes[Codigo],0),1)</f>
        <v>0</v>
      </c>
      <c r="M270" s="45" t="str">
        <f>IF(Cobros[[#This Row],[Dias de Credito]]&lt;=0,"Contado","Credito")</f>
        <v>Contado</v>
      </c>
      <c r="N270" s="45">
        <f>Cobros[[#This Row],[Fecha Aplicación S]]-Cobros[[#This Row],[Fecha Cargo S]]</f>
        <v>1</v>
      </c>
      <c r="O270" s="45">
        <f>Cobros[[#This Row],[Dias al pago]]-Cobros[[#This Row],[Dias de Credito]]</f>
        <v>1</v>
      </c>
      <c r="P270" s="45">
        <f>SUMIFS(TablaDias[Porcentaje],TablaDias[Tipo],Cobros[[#This Row],[Tipo]],TablaDias[Desde ],"&lt;="&amp;MAX(0,Cobros[[#This Row],[Dias pasado]]),TablaDias[Hasta ],"&gt;="&amp;Cobros[[#This Row],[Dias pasado]])</f>
        <v>100</v>
      </c>
      <c r="Q2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0">
        <f>IF(COUNTIF(PAPEL[Numero],Cobros[[#This Row],[Doc. Cargo]])&gt;0,1,0)</f>
        <v>0</v>
      </c>
      <c r="S270" s="46">
        <f t="array" ref="S2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70" s="47">
        <v>0.005</v>
      </c>
      <c r="U270" s="34">
        <f>IF(Cobros[[#This Row],[Tipo]]="Credito",IF(60&gt;=Cobros[[#This Row],[Dias al pago]],1,0),IF(Cobros[[#This Row],[Dias al pago]]&lt;=3,1,0))</f>
        <v>1</v>
      </c>
      <c r="V270" s="46">
        <f>(Cobros[[#This Row],[% A pagar Vendedor]]/100)*Cobros[[#This Row],[Valor Pagado]]*Cobros[[#This Row],[Vencido]]*(Cobros[[#This Row],[% aplicar]]/100)*IF(Cobros[[#This Row],[% A pagar Vendedor]]&gt;0,1,0)</f>
        <v>2.625</v>
      </c>
      <c r="W270" s="46">
        <f>0.5%*Cobros[[#This Row],[Valor Pagado]]</f>
        <v>1.05</v>
      </c>
      <c r="X270" s="60"/>
    </row>
    <row r="271" ht="30" spans="1:24">
      <c r="A271" s="49" t="s">
        <v>3860</v>
      </c>
      <c r="B271" s="49" t="s">
        <v>4287</v>
      </c>
      <c r="C271" s="49" t="s">
        <v>411</v>
      </c>
      <c r="D271" s="49" t="s">
        <v>412</v>
      </c>
      <c r="E271" s="49" t="s">
        <v>4288</v>
      </c>
      <c r="F271" s="51">
        <v>46206</v>
      </c>
      <c r="G271" s="49">
        <v>209.95</v>
      </c>
      <c r="H271" s="49" t="s">
        <v>1355</v>
      </c>
      <c r="I271" s="51">
        <v>46206</v>
      </c>
      <c r="J271" s="54">
        <f>INT(Cobros[[#This Row],[Fecha Cargo]])</f>
        <v>46206</v>
      </c>
      <c r="K271" s="54">
        <f>INT(Cobros[[#This Row],[Fecha Aplicacion]])</f>
        <v>46206</v>
      </c>
      <c r="L271" s="55">
        <f>INDEX(Clientes[Días Plazo],MATCH(Cobros[[#This Row],[Cod. Cliente]],Clientes[Codigo],0),1)</f>
        <v>0</v>
      </c>
      <c r="M271" s="45" t="str">
        <f>IF(Cobros[[#This Row],[Dias de Credito]]&lt;=0,"Contado","Credito")</f>
        <v>Contado</v>
      </c>
      <c r="N271" s="45">
        <f>Cobros[[#This Row],[Fecha Aplicación S]]-Cobros[[#This Row],[Fecha Cargo S]]</f>
        <v>0</v>
      </c>
      <c r="O271" s="45">
        <f>Cobros[[#This Row],[Dias al pago]]-Cobros[[#This Row],[Dias de Credito]]</f>
        <v>0</v>
      </c>
      <c r="P271" s="45">
        <f>SUMIFS(TablaDias[Porcentaje],TablaDias[Tipo],Cobros[[#This Row],[Tipo]],TablaDias[Desde ],"&lt;="&amp;MAX(0,Cobros[[#This Row],[Dias pasado]]),TablaDias[Hasta ],"&gt;="&amp;Cobros[[#This Row],[Dias pasado]])</f>
        <v>100</v>
      </c>
      <c r="Q2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1">
        <f>IF(COUNTIF(PAPEL[Numero],Cobros[[#This Row],[Doc. Cargo]])&gt;0,1,0)</f>
        <v>0</v>
      </c>
      <c r="S271" s="46">
        <v>1</v>
      </c>
      <c r="T271" s="46">
        <f t="array" ref="T271">INDEX(Ventas[[Unidades]:[2]],MATCH("Gerente de Venta",Ventas[Vendedor %],0),6+Cobros[[#This Row],[Mes]])</f>
        <v>0.005</v>
      </c>
      <c r="U271" s="34">
        <f>IF(Cobros[[#This Row],[Tipo]]="Credito",IF(60&gt;=Cobros[[#This Row],[Dias al pago]],1,0),IF(Cobros[[#This Row],[Dias al pago]]&lt;=3,1,0))</f>
        <v>1</v>
      </c>
      <c r="V271" s="46">
        <f>(Cobros[[#This Row],[% A pagar Vendedor]]/100)*Cobros[[#This Row],[Valor Pagado]]*Cobros[[#This Row],[Vencido]]*(Cobros[[#This Row],[% aplicar]]/100)*IF(Cobros[[#This Row],[% A pagar Vendedor]]&gt;0,1,0)</f>
        <v>2.0995</v>
      </c>
      <c r="W271" s="46">
        <f>0.5%*Cobros[[#This Row],[Valor Pagado]]</f>
        <v>1.04975</v>
      </c>
      <c r="X271" s="34"/>
    </row>
    <row r="272" ht="30" spans="1:23">
      <c r="A272" s="49" t="s">
        <v>3860</v>
      </c>
      <c r="B272" s="49" t="s">
        <v>4289</v>
      </c>
      <c r="C272" s="49" t="s">
        <v>614</v>
      </c>
      <c r="D272" s="49" t="s">
        <v>615</v>
      </c>
      <c r="E272" s="49" t="s">
        <v>4290</v>
      </c>
      <c r="F272" s="51">
        <v>46178</v>
      </c>
      <c r="G272" s="49">
        <v>2985</v>
      </c>
      <c r="H272" s="49" t="s">
        <v>1355</v>
      </c>
      <c r="I272" s="51">
        <v>46212</v>
      </c>
      <c r="J272" s="54">
        <f>INT(Cobros[[#This Row],[Fecha Cargo]])</f>
        <v>46178</v>
      </c>
      <c r="K272" s="54">
        <f>INT(Cobros[[#This Row],[Fecha Aplicacion]])</f>
        <v>46212</v>
      </c>
      <c r="L272" s="55" t="str">
        <f>INDEX(Clientes[Días Plazo],MATCH(Cobros[[#This Row],[Cod. Cliente]],Clientes[Codigo],0),1)</f>
        <v>15</v>
      </c>
      <c r="M272" s="45" t="str">
        <f>IF(Cobros[[#This Row],[Dias de Credito]]&lt;=0,"Contado","Credito")</f>
        <v>Credito</v>
      </c>
      <c r="N272" s="45">
        <f>Cobros[[#This Row],[Fecha Aplicación S]]-Cobros[[#This Row],[Fecha Cargo S]]</f>
        <v>34</v>
      </c>
      <c r="O272" s="45">
        <f>Cobros[[#This Row],[Dias al pago]]-Cobros[[#This Row],[Dias de Credito]]</f>
        <v>19</v>
      </c>
      <c r="P272" s="45">
        <f>SUMIFS(TablaDias[Porcentaje],TablaDias[Tipo],Cobros[[#This Row],[Tipo]],TablaDias[Desde ],"&lt;="&amp;MAX(0,Cobros[[#This Row],[Dias pasado]]),TablaDias[Hasta ],"&gt;="&amp;Cobros[[#This Row],[Dias pasado]])</f>
        <v>50</v>
      </c>
      <c r="Q2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72">
        <f>IF(COUNTIF(PAPEL[Numero],Cobros[[#This Row],[Doc. Cargo]])&gt;0,1,0)</f>
        <v>0</v>
      </c>
      <c r="S272" s="46">
        <v>1</v>
      </c>
      <c r="T272" s="46">
        <f t="array" ref="T272">INDEX(Ventas[[Unidades]:[2]],MATCH("Gerente de Venta",Ventas[Vendedor %],0),6+Cobros[[#This Row],[Mes]])</f>
        <v>0.005</v>
      </c>
      <c r="U272" s="34">
        <f>IF(Cobros[[#This Row],[Tipo]]="Credito",IF(60&gt;=Cobros[[#This Row],[Dias al pago]],1,0),IF(Cobros[[#This Row],[Dias al pago]]&lt;=3,1,0))</f>
        <v>1</v>
      </c>
      <c r="V272" s="46">
        <f>(Cobros[[#This Row],[% A pagar Vendedor]]/100)*Cobros[[#This Row],[Valor Pagado]]*Cobros[[#This Row],[Vencido]]*(Cobros[[#This Row],[% aplicar]]/100)*IF(Cobros[[#This Row],[% A pagar Vendedor]]&gt;0,1,0)</f>
        <v>14.925</v>
      </c>
      <c r="W272" s="46">
        <f>0.5%*Cobros[[#This Row],[Valor Pagado]]</f>
        <v>14.925</v>
      </c>
    </row>
    <row r="273" ht="30" spans="1:24">
      <c r="A273" s="49" t="s">
        <v>3884</v>
      </c>
      <c r="B273" s="49" t="s">
        <v>4291</v>
      </c>
      <c r="C273" s="49" t="s">
        <v>1323</v>
      </c>
      <c r="D273" s="49" t="s">
        <v>1324</v>
      </c>
      <c r="E273" s="49" t="s">
        <v>4292</v>
      </c>
      <c r="F273" s="51">
        <v>46206</v>
      </c>
      <c r="G273" s="49">
        <v>56.7</v>
      </c>
      <c r="H273" s="49" t="s">
        <v>1355</v>
      </c>
      <c r="I273" s="51">
        <v>46205</v>
      </c>
      <c r="J273" s="54">
        <f>INT(Cobros[[#This Row],[Fecha Cargo]])</f>
        <v>46206</v>
      </c>
      <c r="K273" s="54">
        <f>INT(Cobros[[#This Row],[Fecha Aplicacion]])</f>
        <v>46205</v>
      </c>
      <c r="L273" s="55">
        <f>INDEX(Clientes[Días Plazo],MATCH(Cobros[[#This Row],[Cod. Cliente]],Clientes[Codigo],0),1)</f>
        <v>0</v>
      </c>
      <c r="M273" s="45" t="str">
        <f>IF(Cobros[[#This Row],[Dias de Credito]]&lt;=0,"Contado","Credito")</f>
        <v>Contado</v>
      </c>
      <c r="N273" s="45">
        <f>Cobros[[#This Row],[Fecha Aplicación S]]-Cobros[[#This Row],[Fecha Cargo S]]</f>
        <v>-1</v>
      </c>
      <c r="O273" s="45">
        <f>Cobros[[#This Row],[Dias al pago]]-Cobros[[#This Row],[Dias de Credito]]</f>
        <v>-1</v>
      </c>
      <c r="P273" s="45">
        <f>SUMIFS(TablaDias[Porcentaje],TablaDias[Tipo],Cobros[[#This Row],[Tipo]],TablaDias[Desde ],"&lt;="&amp;MAX(0,Cobros[[#This Row],[Dias pasado]]),TablaDias[Hasta ],"&gt;="&amp;Cobros[[#This Row],[Dias pasado]])</f>
        <v>100</v>
      </c>
      <c r="Q27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3">
        <f>IF(COUNTIF(PAPEL[Numero],Cobros[[#This Row],[Doc. Cargo]])&gt;0,1,0)</f>
        <v>0</v>
      </c>
      <c r="S273" s="46">
        <v>1</v>
      </c>
      <c r="T273" s="46">
        <f t="array" ref="T273">INDEX(Ventas[[Unidades]:[2]],MATCH("Gerente de Venta",Ventas[Vendedor %],0),6+Cobros[[#This Row],[Mes]])</f>
        <v>0.005</v>
      </c>
      <c r="U273" s="34">
        <f>IF(Cobros[[#This Row],[Tipo]]="Credito",IF(60&gt;=Cobros[[#This Row],[Dias al pago]],1,0),IF(Cobros[[#This Row],[Dias al pago]]&lt;=3,1,0))</f>
        <v>1</v>
      </c>
      <c r="V273" s="46">
        <f>(Cobros[[#This Row],[% A pagar Vendedor]]/100)*Cobros[[#This Row],[Valor Pagado]]*Cobros[[#This Row],[Vencido]]*(Cobros[[#This Row],[% aplicar]]/100)*IF(Cobros[[#This Row],[% A pagar Vendedor]]&gt;0,1,0)</f>
        <v>0.567</v>
      </c>
      <c r="W273" s="46">
        <f>0.5%*Cobros[[#This Row],[Valor Pagado]]</f>
        <v>0.2835</v>
      </c>
      <c r="X273" s="34"/>
    </row>
    <row r="274" ht="30" spans="1:23">
      <c r="A274" s="49" t="s">
        <v>3860</v>
      </c>
      <c r="B274" s="49" t="s">
        <v>4293</v>
      </c>
      <c r="C274" s="49" t="s">
        <v>2515</v>
      </c>
      <c r="D274" s="49" t="s">
        <v>2516</v>
      </c>
      <c r="E274" s="49" t="s">
        <v>4294</v>
      </c>
      <c r="F274" s="51">
        <v>46204</v>
      </c>
      <c r="G274" s="49">
        <v>44.55</v>
      </c>
      <c r="H274" s="49" t="s">
        <v>1355</v>
      </c>
      <c r="I274" s="51">
        <v>46204</v>
      </c>
      <c r="J274" s="54">
        <f>INT(Cobros[[#This Row],[Fecha Cargo]])</f>
        <v>46204</v>
      </c>
      <c r="K274" s="54">
        <f>INT(Cobros[[#This Row],[Fecha Aplicacion]])</f>
        <v>46204</v>
      </c>
      <c r="L274" s="55">
        <f>INDEX(Clientes[Días Plazo],MATCH(Cobros[[#This Row],[Cod. Cliente]],Clientes[Codigo],0),1)</f>
        <v>0</v>
      </c>
      <c r="M274" s="45" t="str">
        <f>IF(Cobros[[#This Row],[Dias de Credito]]&lt;=0,"Contado","Credito")</f>
        <v>Contado</v>
      </c>
      <c r="N274" s="45">
        <f>Cobros[[#This Row],[Fecha Aplicación S]]-Cobros[[#This Row],[Fecha Cargo S]]</f>
        <v>0</v>
      </c>
      <c r="O274" s="45">
        <f>Cobros[[#This Row],[Dias al pago]]-Cobros[[#This Row],[Dias de Credito]]</f>
        <v>0</v>
      </c>
      <c r="P274" s="45">
        <f>SUMIFS(TablaDias[Porcentaje],TablaDias[Tipo],Cobros[[#This Row],[Tipo]],TablaDias[Desde ],"&lt;="&amp;MAX(0,Cobros[[#This Row],[Dias pasado]]),TablaDias[Hasta ],"&gt;="&amp;Cobros[[#This Row],[Dias pasado]])</f>
        <v>100</v>
      </c>
      <c r="Q274">
        <v>0</v>
      </c>
      <c r="R274">
        <f>IF(COUNTIF(PAPEL[Numero],Cobros[[#This Row],[Doc. Cargo]])&gt;0,1,0)</f>
        <v>0</v>
      </c>
      <c r="S274" s="46">
        <v>1</v>
      </c>
      <c r="T274" s="46">
        <f t="array" ref="T274">INDEX(Ventas[[Unidades]:[2]],MATCH("Gerente de Venta",Ventas[Vendedor %],0),6+Cobros[[#This Row],[Mes]])</f>
        <v>0.005</v>
      </c>
      <c r="U274" s="34">
        <f>IF(Cobros[[#This Row],[Tipo]]="Credito",IF(60&gt;=Cobros[[#This Row],[Dias al pago]],1,0),IF(Cobros[[#This Row],[Dias al pago]]&lt;=3,1,0))</f>
        <v>1</v>
      </c>
      <c r="V274" s="46">
        <f>(Cobros[[#This Row],[% A pagar Vendedor]]/100)*Cobros[[#This Row],[Valor Pagado]]*Cobros[[#This Row],[Vencido]]*(Cobros[[#This Row],[% aplicar]]/100)*IF(Cobros[[#This Row],[% A pagar Vendedor]]&gt;0,1,0)</f>
        <v>0.4455</v>
      </c>
      <c r="W274" s="46">
        <f>0.5%*Cobros[[#This Row],[Valor Pagado]]</f>
        <v>0.22275</v>
      </c>
    </row>
    <row r="275" ht="30" spans="1:23">
      <c r="A275" s="49" t="s">
        <v>3860</v>
      </c>
      <c r="B275" s="49" t="s">
        <v>4295</v>
      </c>
      <c r="C275" s="49" t="s">
        <v>3492</v>
      </c>
      <c r="D275" s="49" t="s">
        <v>3493</v>
      </c>
      <c r="E275" s="49" t="s">
        <v>4296</v>
      </c>
      <c r="F275" s="51">
        <v>46206</v>
      </c>
      <c r="G275" s="49">
        <v>92</v>
      </c>
      <c r="H275" s="49" t="s">
        <v>1355</v>
      </c>
      <c r="I275" s="51">
        <v>46206</v>
      </c>
      <c r="J275" s="54">
        <f>INT(Cobros[[#This Row],[Fecha Cargo]])</f>
        <v>46206</v>
      </c>
      <c r="K275" s="54">
        <f>INT(Cobros[[#This Row],[Fecha Aplicacion]])</f>
        <v>46206</v>
      </c>
      <c r="L275" s="55">
        <f>INDEX(Clientes[Días Plazo],MATCH(Cobros[[#This Row],[Cod. Cliente]],Clientes[Codigo],0),1)</f>
        <v>0</v>
      </c>
      <c r="M275" s="45" t="str">
        <f>IF(Cobros[[#This Row],[Dias de Credito]]&lt;=0,"Contado","Credito")</f>
        <v>Contado</v>
      </c>
      <c r="N275" s="45">
        <f>Cobros[[#This Row],[Fecha Aplicación S]]-Cobros[[#This Row],[Fecha Cargo S]]</f>
        <v>0</v>
      </c>
      <c r="O275" s="45">
        <f>Cobros[[#This Row],[Dias al pago]]-Cobros[[#This Row],[Dias de Credito]]</f>
        <v>0</v>
      </c>
      <c r="P275" s="45">
        <f>SUMIFS(TablaDias[Porcentaje],TablaDias[Tipo],Cobros[[#This Row],[Tipo]],TablaDias[Desde ],"&lt;="&amp;MAX(0,Cobros[[#This Row],[Dias pasado]]),TablaDias[Hasta ],"&gt;="&amp;Cobros[[#This Row],[Dias pasado]])</f>
        <v>100</v>
      </c>
      <c r="Q2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5">
        <f>IF(COUNTIF(PAPEL[Numero],Cobros[[#This Row],[Doc. Cargo]])&gt;0,1,0)</f>
        <v>0</v>
      </c>
      <c r="S275" s="46">
        <v>1</v>
      </c>
      <c r="T275" s="46">
        <f t="array" ref="T275">INDEX(Ventas[[Unidades]:[2]],MATCH("Gerente de Venta",Ventas[Vendedor %],0),6+Cobros[[#This Row],[Mes]])</f>
        <v>0.005</v>
      </c>
      <c r="U275" s="34">
        <f>IF(Cobros[[#This Row],[Tipo]]="Credito",IF(60&gt;=Cobros[[#This Row],[Dias al pago]],1,0),IF(Cobros[[#This Row],[Dias al pago]]&lt;=3,1,0))</f>
        <v>1</v>
      </c>
      <c r="V275" s="46">
        <f>(Cobros[[#This Row],[% A pagar Vendedor]]/100)*Cobros[[#This Row],[Valor Pagado]]*Cobros[[#This Row],[Vencido]]*(Cobros[[#This Row],[% aplicar]]/100)*IF(Cobros[[#This Row],[% A pagar Vendedor]]&gt;0,1,0)</f>
        <v>0.92</v>
      </c>
      <c r="W275" s="46">
        <f>0.5%*Cobros[[#This Row],[Valor Pagado]]</f>
        <v>0.46</v>
      </c>
    </row>
    <row r="276" spans="1:23">
      <c r="A276" s="49" t="s">
        <v>3875</v>
      </c>
      <c r="B276" s="49" t="s">
        <v>4297</v>
      </c>
      <c r="C276" s="49" t="s">
        <v>1476</v>
      </c>
      <c r="D276" s="49" t="s">
        <v>1477</v>
      </c>
      <c r="E276" s="49" t="s">
        <v>4298</v>
      </c>
      <c r="F276" s="51">
        <v>46212</v>
      </c>
      <c r="G276" s="49">
        <v>45.5</v>
      </c>
      <c r="H276" s="49" t="s">
        <v>19</v>
      </c>
      <c r="I276" s="51">
        <v>46212</v>
      </c>
      <c r="J276" s="54">
        <f>INT(Cobros[[#This Row],[Fecha Cargo]])</f>
        <v>46212</v>
      </c>
      <c r="K276" s="54">
        <f>INT(Cobros[[#This Row],[Fecha Aplicacion]])</f>
        <v>46212</v>
      </c>
      <c r="L276" s="55">
        <f>INDEX(Clientes[Días Plazo],MATCH(Cobros[[#This Row],[Cod. Cliente]],Clientes[Codigo],0),1)</f>
        <v>0</v>
      </c>
      <c r="M276" s="45" t="str">
        <f>IF(Cobros[[#This Row],[Dias de Credito]]&lt;=0,"Contado","Credito")</f>
        <v>Contado</v>
      </c>
      <c r="N276" s="45">
        <f>Cobros[[#This Row],[Fecha Aplicación S]]-Cobros[[#This Row],[Fecha Cargo S]]</f>
        <v>0</v>
      </c>
      <c r="O276" s="45">
        <f>Cobros[[#This Row],[Dias al pago]]-Cobros[[#This Row],[Dias de Credito]]</f>
        <v>0</v>
      </c>
      <c r="P276" s="45">
        <f>SUMIFS(TablaDias[Porcentaje],TablaDias[Tipo],Cobros[[#This Row],[Tipo]],TablaDias[Desde ],"&lt;="&amp;MAX(0,Cobros[[#This Row],[Dias pasado]]),TablaDias[Hasta ],"&gt;="&amp;Cobros[[#This Row],[Dias pasado]])</f>
        <v>100</v>
      </c>
      <c r="Q2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6">
        <f>IF(COUNTIF(PAPEL[Numero],Cobros[[#This Row],[Doc. Cargo]])&gt;0,1,0)</f>
        <v>0</v>
      </c>
      <c r="S276" s="46">
        <f t="array" ref="S2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76" s="46">
        <f t="array" ref="T276">INDEX(Ventas[[Unidades]:[2]],MATCH("Gerente de Venta",Ventas[Vendedor %],0),6+Cobros[[#This Row],[Mes]])</f>
        <v>0.005</v>
      </c>
      <c r="U276" s="34">
        <f>IF(Cobros[[#This Row],[Tipo]]="Credito",IF(60&gt;=Cobros[[#This Row],[Dias al pago]],1,0),IF(Cobros[[#This Row],[Dias al pago]]&lt;=3,1,0))</f>
        <v>1</v>
      </c>
      <c r="V276" s="46">
        <f>(Cobros[[#This Row],[% A pagar Vendedor]]/100)*Cobros[[#This Row],[Valor Pagado]]*Cobros[[#This Row],[Vencido]]*(Cobros[[#This Row],[% aplicar]]/100)*IF(Cobros[[#This Row],[% A pagar Vendedor]]&gt;0,1,0)</f>
        <v>0.56875</v>
      </c>
      <c r="W276" s="46">
        <f>0.5%*Cobros[[#This Row],[Valor Pagado]]</f>
        <v>0.2275</v>
      </c>
    </row>
    <row r="277" spans="1:23">
      <c r="A277" s="49" t="s">
        <v>3875</v>
      </c>
      <c r="B277" s="49" t="s">
        <v>4092</v>
      </c>
      <c r="C277" s="49" t="s">
        <v>1220</v>
      </c>
      <c r="D277" s="49" t="s">
        <v>1221</v>
      </c>
      <c r="E277" s="49" t="s">
        <v>4299</v>
      </c>
      <c r="F277" s="51">
        <v>46212</v>
      </c>
      <c r="G277" s="49">
        <v>1</v>
      </c>
      <c r="H277" s="49" t="s">
        <v>20</v>
      </c>
      <c r="I277" s="51">
        <v>46209</v>
      </c>
      <c r="J277" s="54">
        <f>INT(Cobros[[#This Row],[Fecha Cargo]])</f>
        <v>46212</v>
      </c>
      <c r="K277" s="54">
        <f>INT(Cobros[[#This Row],[Fecha Aplicacion]])</f>
        <v>46209</v>
      </c>
      <c r="L277" s="55">
        <f>INDEX(Clientes[Días Plazo],MATCH(Cobros[[#This Row],[Cod. Cliente]],Clientes[Codigo],0),1)</f>
        <v>0</v>
      </c>
      <c r="M277" s="45" t="str">
        <f>IF(Cobros[[#This Row],[Dias de Credito]]&lt;=0,"Contado","Credito")</f>
        <v>Contado</v>
      </c>
      <c r="N277" s="45">
        <f>Cobros[[#This Row],[Fecha Aplicación S]]-Cobros[[#This Row],[Fecha Cargo S]]</f>
        <v>-3</v>
      </c>
      <c r="O277" s="45">
        <f>Cobros[[#This Row],[Dias al pago]]-Cobros[[#This Row],[Dias de Credito]]</f>
        <v>-3</v>
      </c>
      <c r="P277" s="45">
        <f>SUMIFS(TablaDias[Porcentaje],TablaDias[Tipo],Cobros[[#This Row],[Tipo]],TablaDias[Desde ],"&lt;="&amp;MAX(0,Cobros[[#This Row],[Dias pasado]]),TablaDias[Hasta ],"&gt;="&amp;Cobros[[#This Row],[Dias pasado]])</f>
        <v>100</v>
      </c>
      <c r="Q2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7">
        <f>IF(COUNTIF(PAPEL[Numero],Cobros[[#This Row],[Doc. Cargo]])&gt;0,1,0)</f>
        <v>0</v>
      </c>
      <c r="S277" s="46">
        <f t="array" ref="S2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77" s="46">
        <f t="array" ref="T277">INDEX(Ventas[[Unidades]:[2]],MATCH("Gerente de Venta",Ventas[Vendedor %],0),6+Cobros[[#This Row],[Mes]])</f>
        <v>0.005</v>
      </c>
      <c r="U277" s="34">
        <f>IF(Cobros[[#This Row],[Tipo]]="Credito",IF(60&gt;=Cobros[[#This Row],[Dias al pago]],1,0),IF(Cobros[[#This Row],[Dias al pago]]&lt;=3,1,0))</f>
        <v>1</v>
      </c>
      <c r="V277" s="46">
        <f>(Cobros[[#This Row],[% A pagar Vendedor]]/100)*Cobros[[#This Row],[Valor Pagado]]*Cobros[[#This Row],[Vencido]]*(Cobros[[#This Row],[% aplicar]]/100)*IF(Cobros[[#This Row],[% A pagar Vendedor]]&gt;0,1,0)</f>
        <v>0.0125</v>
      </c>
      <c r="W277" s="46">
        <f>0.5%*Cobros[[#This Row],[Valor Pagado]]</f>
        <v>0.005</v>
      </c>
    </row>
    <row r="278" spans="1:24">
      <c r="A278" s="49" t="s">
        <v>3875</v>
      </c>
      <c r="B278" s="49" t="s">
        <v>4300</v>
      </c>
      <c r="C278" s="49" t="s">
        <v>1220</v>
      </c>
      <c r="D278" s="49" t="s">
        <v>1221</v>
      </c>
      <c r="E278" s="49" t="s">
        <v>4299</v>
      </c>
      <c r="F278" s="51">
        <v>46212</v>
      </c>
      <c r="G278" s="49">
        <v>209.6</v>
      </c>
      <c r="H278" s="49" t="s">
        <v>20</v>
      </c>
      <c r="I278" s="51">
        <v>46212</v>
      </c>
      <c r="J278" s="54">
        <f>INT(Cobros[[#This Row],[Fecha Cargo]])</f>
        <v>46212</v>
      </c>
      <c r="K278" s="54">
        <f>INT(Cobros[[#This Row],[Fecha Aplicacion]])</f>
        <v>46212</v>
      </c>
      <c r="L278" s="55">
        <f>INDEX(Clientes[Días Plazo],MATCH(Cobros[[#This Row],[Cod. Cliente]],Clientes[Codigo],0),1)</f>
        <v>0</v>
      </c>
      <c r="M278" s="45" t="str">
        <f>IF(Cobros[[#This Row],[Dias de Credito]]&lt;=0,"Contado","Credito")</f>
        <v>Contado</v>
      </c>
      <c r="N278" s="45">
        <f>Cobros[[#This Row],[Fecha Aplicación S]]-Cobros[[#This Row],[Fecha Cargo S]]</f>
        <v>0</v>
      </c>
      <c r="O278" s="45">
        <f>Cobros[[#This Row],[Dias al pago]]-Cobros[[#This Row],[Dias de Credito]]</f>
        <v>0</v>
      </c>
      <c r="P278" s="45">
        <f>SUMIFS(TablaDias[Porcentaje],TablaDias[Tipo],Cobros[[#This Row],[Tipo]],TablaDias[Desde ],"&lt;="&amp;MAX(0,Cobros[[#This Row],[Dias pasado]]),TablaDias[Hasta ],"&gt;="&amp;Cobros[[#This Row],[Dias pasado]])</f>
        <v>100</v>
      </c>
      <c r="Q2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78">
        <f>IF(COUNTIF(PAPEL[Numero],Cobros[[#This Row],[Doc. Cargo]])&gt;0,1,0)</f>
        <v>0</v>
      </c>
      <c r="S278" s="46">
        <f t="array" ref="S2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78" s="46">
        <f t="array" ref="T278">INDEX(Ventas[[Unidades]:[2]],MATCH("Gerente de Venta",Ventas[Vendedor %],0),6+Cobros[[#This Row],[Mes]])</f>
        <v>0.005</v>
      </c>
      <c r="U278" s="34">
        <f>IF(Cobros[[#This Row],[Tipo]]="Credito",IF(60&gt;=Cobros[[#This Row],[Dias al pago]],1,0),IF(Cobros[[#This Row],[Dias al pago]]&lt;=3,1,0))</f>
        <v>1</v>
      </c>
      <c r="V278" s="46">
        <f>(Cobros[[#This Row],[% A pagar Vendedor]]/100)*Cobros[[#This Row],[Valor Pagado]]*Cobros[[#This Row],[Vencido]]*(Cobros[[#This Row],[% aplicar]]/100)*IF(Cobros[[#This Row],[% A pagar Vendedor]]&gt;0,1,0)</f>
        <v>2.62</v>
      </c>
      <c r="W278" s="46">
        <f>0.5%*Cobros[[#This Row],[Valor Pagado]]</f>
        <v>1.048</v>
      </c>
      <c r="X278" s="60"/>
    </row>
    <row r="279" ht="30" spans="1:23">
      <c r="A279" s="49" t="s">
        <v>3860</v>
      </c>
      <c r="B279" s="49" t="s">
        <v>4301</v>
      </c>
      <c r="C279" s="49" t="s">
        <v>2318</v>
      </c>
      <c r="D279" s="49" t="s">
        <v>2319</v>
      </c>
      <c r="E279" s="49" t="s">
        <v>3866</v>
      </c>
      <c r="F279" s="51">
        <v>46181</v>
      </c>
      <c r="G279" s="49">
        <v>3800</v>
      </c>
      <c r="H279" s="49" t="s">
        <v>3865</v>
      </c>
      <c r="I279" s="51">
        <v>46212</v>
      </c>
      <c r="J279" s="54">
        <f>INT(Cobros[[#This Row],[Fecha Cargo]])</f>
        <v>46181</v>
      </c>
      <c r="K279" s="54">
        <f>INT(Cobros[[#This Row],[Fecha Aplicacion]])</f>
        <v>46212</v>
      </c>
      <c r="L279" s="55" t="str">
        <f>INDEX(Clientes[Días Plazo],MATCH(Cobros[[#This Row],[Cod. Cliente]],Clientes[Codigo],0),1)</f>
        <v>15</v>
      </c>
      <c r="M279" s="45" t="str">
        <f>IF(Cobros[[#This Row],[Dias de Credito]]&lt;=0,"Contado","Credito")</f>
        <v>Credito</v>
      </c>
      <c r="N279" s="45">
        <f>Cobros[[#This Row],[Fecha Aplicación S]]-Cobros[[#This Row],[Fecha Cargo S]]</f>
        <v>31</v>
      </c>
      <c r="O279" s="45">
        <f>Cobros[[#This Row],[Dias al pago]]-Cobros[[#This Row],[Dias de Credito]]</f>
        <v>16</v>
      </c>
      <c r="P279" s="45">
        <f>SUMIFS(TablaDias[Porcentaje],TablaDias[Tipo],Cobros[[#This Row],[Tipo]],TablaDias[Desde ],"&lt;="&amp;MAX(0,Cobros[[#This Row],[Dias pasado]]),TablaDias[Hasta ],"&gt;="&amp;Cobros[[#This Row],[Dias pasado]])</f>
        <v>50</v>
      </c>
      <c r="Q2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79">
        <f>IF(COUNTIF(PAPEL[Numero],Cobros[[#This Row],[Doc. Cargo]])&gt;0,1,0)</f>
        <v>0</v>
      </c>
      <c r="S279" s="46">
        <v>1</v>
      </c>
      <c r="T279" s="46">
        <f t="array" ref="T279">INDEX(Ventas[[Unidades]:[2]],MATCH("Gerente de Venta",Ventas[Vendedor %],0),6+Cobros[[#This Row],[Mes]])</f>
        <v>0.005</v>
      </c>
      <c r="U279" s="34">
        <f>IF(Cobros[[#This Row],[Tipo]]="Credito",IF(60&gt;=Cobros[[#This Row],[Dias al pago]],1,0),IF(Cobros[[#This Row],[Dias al pago]]&lt;=3,1,0))</f>
        <v>1</v>
      </c>
      <c r="V279" s="46">
        <f>(Cobros[[#This Row],[% A pagar Vendedor]]/100)*Cobros[[#This Row],[Valor Pagado]]*Cobros[[#This Row],[Vencido]]*(Cobros[[#This Row],[% aplicar]]/100)*IF(Cobros[[#This Row],[% A pagar Vendedor]]&gt;0,1,0)</f>
        <v>19</v>
      </c>
      <c r="W279" s="46">
        <f>0.5%*Cobros[[#This Row],[Valor Pagado]]</f>
        <v>19</v>
      </c>
    </row>
    <row r="280" spans="1:23">
      <c r="A280" s="49" t="s">
        <v>3860</v>
      </c>
      <c r="B280" s="49" t="s">
        <v>4302</v>
      </c>
      <c r="C280" s="49" t="s">
        <v>1467</v>
      </c>
      <c r="D280" s="49" t="s">
        <v>1468</v>
      </c>
      <c r="E280" s="49" t="s">
        <v>4303</v>
      </c>
      <c r="F280" s="51">
        <v>46211</v>
      </c>
      <c r="G280" s="49">
        <v>269.1</v>
      </c>
      <c r="H280" s="49" t="s">
        <v>20</v>
      </c>
      <c r="I280" s="51">
        <v>46212</v>
      </c>
      <c r="J280" s="54">
        <f>INT(Cobros[[#This Row],[Fecha Cargo]])</f>
        <v>46211</v>
      </c>
      <c r="K280" s="54">
        <f>INT(Cobros[[#This Row],[Fecha Aplicacion]])</f>
        <v>46212</v>
      </c>
      <c r="L280" s="55">
        <f>INDEX(Clientes[Días Plazo],MATCH(Cobros[[#This Row],[Cod. Cliente]],Clientes[Codigo],0),1)</f>
        <v>0</v>
      </c>
      <c r="M280" s="45" t="str">
        <f>IF(Cobros[[#This Row],[Dias de Credito]]&lt;=0,"Contado","Credito")</f>
        <v>Contado</v>
      </c>
      <c r="N280" s="45">
        <f>Cobros[[#This Row],[Fecha Aplicación S]]-Cobros[[#This Row],[Fecha Cargo S]]</f>
        <v>1</v>
      </c>
      <c r="O280" s="45">
        <f>Cobros[[#This Row],[Dias al pago]]-Cobros[[#This Row],[Dias de Credito]]</f>
        <v>1</v>
      </c>
      <c r="P280" s="45">
        <f>SUMIFS(TablaDias[Porcentaje],TablaDias[Tipo],Cobros[[#This Row],[Tipo]],TablaDias[Desde ],"&lt;="&amp;MAX(0,Cobros[[#This Row],[Dias pasado]]),TablaDias[Hasta ],"&gt;="&amp;Cobros[[#This Row],[Dias pasado]])</f>
        <v>100</v>
      </c>
      <c r="Q2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0">
        <f>IF(COUNTIF(PAPEL[Numero],Cobros[[#This Row],[Doc. Cargo]])&gt;0,1,0)</f>
        <v>0</v>
      </c>
      <c r="S280" s="46">
        <f t="array" ref="S2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80" s="46">
        <f t="array" ref="T280">INDEX(Ventas[[Unidades]:[2]],MATCH("Gerente de Venta",Ventas[Vendedor %],0),6+Cobros[[#This Row],[Mes]])</f>
        <v>0.005</v>
      </c>
      <c r="U280" s="34">
        <f>IF(Cobros[[#This Row],[Tipo]]="Credito",IF(60&gt;=Cobros[[#This Row],[Dias al pago]],1,0),IF(Cobros[[#This Row],[Dias al pago]]&lt;=3,1,0))</f>
        <v>1</v>
      </c>
      <c r="V280" s="46">
        <f>(Cobros[[#This Row],[% A pagar Vendedor]]/100)*Cobros[[#This Row],[Valor Pagado]]*Cobros[[#This Row],[Vencido]]*(Cobros[[#This Row],[% aplicar]]/100)*IF(Cobros[[#This Row],[% A pagar Vendedor]]&gt;0,1,0)</f>
        <v>3.36375</v>
      </c>
      <c r="W280" s="46">
        <f>0.5%*Cobros[[#This Row],[Valor Pagado]]</f>
        <v>1.3455</v>
      </c>
    </row>
    <row r="281" spans="1:24">
      <c r="A281" s="49" t="s">
        <v>3860</v>
      </c>
      <c r="B281" s="49" t="s">
        <v>4304</v>
      </c>
      <c r="C281" s="49" t="s">
        <v>1583</v>
      </c>
      <c r="D281" s="49" t="s">
        <v>1584</v>
      </c>
      <c r="E281" s="49" t="s">
        <v>4305</v>
      </c>
      <c r="F281" s="51">
        <v>46212</v>
      </c>
      <c r="G281" s="49">
        <v>501.75</v>
      </c>
      <c r="H281" s="49" t="s">
        <v>19</v>
      </c>
      <c r="I281" s="51">
        <v>46212</v>
      </c>
      <c r="J281" s="54">
        <f>INT(Cobros[[#This Row],[Fecha Cargo]])</f>
        <v>46212</v>
      </c>
      <c r="K281" s="54">
        <f>INT(Cobros[[#This Row],[Fecha Aplicacion]])</f>
        <v>46212</v>
      </c>
      <c r="L281" s="55">
        <f>INDEX(Clientes[Días Plazo],MATCH(Cobros[[#This Row],[Cod. Cliente]],Clientes[Codigo],0),1)</f>
        <v>0</v>
      </c>
      <c r="M281" s="45" t="str">
        <f>IF(Cobros[[#This Row],[Dias de Credito]]&lt;=0,"Contado","Credito")</f>
        <v>Contado</v>
      </c>
      <c r="N281" s="45">
        <f>Cobros[[#This Row],[Fecha Aplicación S]]-Cobros[[#This Row],[Fecha Cargo S]]</f>
        <v>0</v>
      </c>
      <c r="O281" s="45">
        <f>Cobros[[#This Row],[Dias al pago]]-Cobros[[#This Row],[Dias de Credito]]</f>
        <v>0</v>
      </c>
      <c r="P281" s="45">
        <f>SUMIFS(TablaDias[Porcentaje],TablaDias[Tipo],Cobros[[#This Row],[Tipo]],TablaDias[Desde ],"&lt;="&amp;MAX(0,Cobros[[#This Row],[Dias pasado]]),TablaDias[Hasta ],"&gt;="&amp;Cobros[[#This Row],[Dias pasado]])</f>
        <v>100</v>
      </c>
      <c r="Q2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1">
        <f>IF(COUNTIF(PAPEL[Numero],Cobros[[#This Row],[Doc. Cargo]])&gt;0,1,0)</f>
        <v>0</v>
      </c>
      <c r="S281" s="46">
        <f t="array" ref="S2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81" s="46">
        <f t="array" ref="T281">INDEX(Ventas[[Unidades]:[2]],MATCH("Gerente de Venta",Ventas[Vendedor %],0),6+Cobros[[#This Row],[Mes]])</f>
        <v>0.005</v>
      </c>
      <c r="U281" s="34">
        <f>IF(Cobros[[#This Row],[Tipo]]="Credito",IF(60&gt;=Cobros[[#This Row],[Dias al pago]],1,0),IF(Cobros[[#This Row],[Dias al pago]]&lt;=3,1,0))</f>
        <v>1</v>
      </c>
      <c r="V281" s="46">
        <f>(Cobros[[#This Row],[% A pagar Vendedor]]/100)*Cobros[[#This Row],[Valor Pagado]]*Cobros[[#This Row],[Vencido]]*(Cobros[[#This Row],[% aplicar]]/100)*IF(Cobros[[#This Row],[% A pagar Vendedor]]&gt;0,1,0)</f>
        <v>6.271875</v>
      </c>
      <c r="W281" s="46">
        <f>0.5%*Cobros[[#This Row],[Valor Pagado]]</f>
        <v>2.50875</v>
      </c>
      <c r="X281" s="34"/>
    </row>
    <row r="282" spans="1:23">
      <c r="A282" s="49" t="s">
        <v>3860</v>
      </c>
      <c r="B282" s="49" t="s">
        <v>4306</v>
      </c>
      <c r="C282" s="49" t="s">
        <v>3747</v>
      </c>
      <c r="D282" s="49" t="s">
        <v>3748</v>
      </c>
      <c r="E282" s="49" t="s">
        <v>4307</v>
      </c>
      <c r="F282" s="51">
        <v>46171</v>
      </c>
      <c r="G282" s="49">
        <v>1240</v>
      </c>
      <c r="H282" s="49" t="s">
        <v>19</v>
      </c>
      <c r="I282" s="51">
        <v>46212</v>
      </c>
      <c r="J282" s="54">
        <f>INT(Cobros[[#This Row],[Fecha Cargo]])</f>
        <v>46171</v>
      </c>
      <c r="K282" s="54">
        <f>INT(Cobros[[#This Row],[Fecha Aplicacion]])</f>
        <v>46212</v>
      </c>
      <c r="L282" s="55" t="str">
        <f>INDEX(Clientes[Días Plazo],MATCH(Cobros[[#This Row],[Cod. Cliente]],Clientes[Codigo],0),1)</f>
        <v>21</v>
      </c>
      <c r="M282" s="45" t="str">
        <f>IF(Cobros[[#This Row],[Dias de Credito]]&lt;=0,"Contado","Credito")</f>
        <v>Credito</v>
      </c>
      <c r="N282" s="45">
        <f>Cobros[[#This Row],[Fecha Aplicación S]]-Cobros[[#This Row],[Fecha Cargo S]]</f>
        <v>41</v>
      </c>
      <c r="O282" s="45">
        <f>Cobros[[#This Row],[Dias al pago]]-Cobros[[#This Row],[Dias de Credito]]</f>
        <v>20</v>
      </c>
      <c r="P282" s="45">
        <f>SUMIFS(TablaDias[Porcentaje],TablaDias[Tipo],Cobros[[#This Row],[Tipo]],TablaDias[Desde ],"&lt;="&amp;MAX(0,Cobros[[#This Row],[Dias pasado]]),TablaDias[Hasta ],"&gt;="&amp;Cobros[[#This Row],[Dias pasado]])</f>
        <v>50</v>
      </c>
      <c r="Q2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282">
        <f>IF(COUNTIF(PAPEL[Numero],Cobros[[#This Row],[Doc. Cargo]])&gt;0,1,0)</f>
        <v>0</v>
      </c>
      <c r="S282" s="46">
        <f t="array" ref="S2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2" s="46">
        <f t="array" ref="T282">INDEX(Ventas[[Unidades]:[2]],MATCH("Gerente de Venta",Ventas[Vendedor %],0),6+Cobros[[#This Row],[Mes]])</f>
        <v>0.005</v>
      </c>
      <c r="U282" s="34">
        <f>IF(Cobros[[#This Row],[Tipo]]="Credito",IF(60&gt;=Cobros[[#This Row],[Dias al pago]],1,0),IF(Cobros[[#This Row],[Dias al pago]]&lt;=3,1,0))</f>
        <v>1</v>
      </c>
      <c r="V282" s="46">
        <f>(Cobros[[#This Row],[% A pagar Vendedor]]/100)*Cobros[[#This Row],[Valor Pagado]]*Cobros[[#This Row],[Vencido]]*(Cobros[[#This Row],[% aplicar]]/100)*IF(Cobros[[#This Row],[% A pagar Vendedor]]&gt;0,1,0)</f>
        <v>6.2</v>
      </c>
      <c r="W282" s="46">
        <f>0.5%*Cobros[[#This Row],[Valor Pagado]]</f>
        <v>6.2</v>
      </c>
    </row>
    <row r="283" spans="1:23">
      <c r="A283" s="49" t="s">
        <v>3860</v>
      </c>
      <c r="B283" s="49" t="s">
        <v>4308</v>
      </c>
      <c r="C283" s="49" t="s">
        <v>2849</v>
      </c>
      <c r="D283" s="49" t="s">
        <v>2850</v>
      </c>
      <c r="E283" s="49" t="s">
        <v>4071</v>
      </c>
      <c r="F283" s="51">
        <v>46195</v>
      </c>
      <c r="G283" s="49">
        <v>2388</v>
      </c>
      <c r="H283" s="49" t="s">
        <v>18</v>
      </c>
      <c r="I283" s="51">
        <v>46212</v>
      </c>
      <c r="J283" s="54">
        <f>INT(Cobros[[#This Row],[Fecha Cargo]])</f>
        <v>46195</v>
      </c>
      <c r="K283" s="54">
        <f>INT(Cobros[[#This Row],[Fecha Aplicacion]])</f>
        <v>46212</v>
      </c>
      <c r="L283" s="55" t="str">
        <f>INDEX(Clientes[Días Plazo],MATCH(Cobros[[#This Row],[Cod. Cliente]],Clientes[Codigo],0),1)</f>
        <v>21</v>
      </c>
      <c r="M283" s="45" t="str">
        <f>IF(Cobros[[#This Row],[Dias de Credito]]&lt;=0,"Contado","Credito")</f>
        <v>Credito</v>
      </c>
      <c r="N283" s="45">
        <f>Cobros[[#This Row],[Fecha Aplicación S]]-Cobros[[#This Row],[Fecha Cargo S]]</f>
        <v>17</v>
      </c>
      <c r="O283" s="45">
        <f>Cobros[[#This Row],[Dias al pago]]-Cobros[[#This Row],[Dias de Credito]]</f>
        <v>-4</v>
      </c>
      <c r="P283" s="45">
        <f>SUMIFS(TablaDias[Porcentaje],TablaDias[Tipo],Cobros[[#This Row],[Tipo]],TablaDias[Desde ],"&lt;="&amp;MAX(0,Cobros[[#This Row],[Dias pasado]]),TablaDias[Hasta ],"&gt;="&amp;Cobros[[#This Row],[Dias pasado]])</f>
        <v>100</v>
      </c>
      <c r="Q2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83">
        <f>IF(COUNTIF(PAPEL[Numero],Cobros[[#This Row],[Doc. Cargo]])&gt;0,1,0)</f>
        <v>0</v>
      </c>
      <c r="S283" s="46">
        <f t="array" ref="S2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3" s="46">
        <f t="array" ref="T283">INDEX(Ventas[[Unidades]:[2]],MATCH("Gerente de Venta",Ventas[Vendedor %],0),6+Cobros[[#This Row],[Mes]])</f>
        <v>0.005</v>
      </c>
      <c r="U283" s="34">
        <f>IF(Cobros[[#This Row],[Tipo]]="Credito",IF(60&gt;=Cobros[[#This Row],[Dias al pago]],1,0),IF(Cobros[[#This Row],[Dias al pago]]&lt;=3,1,0))</f>
        <v>1</v>
      </c>
      <c r="V283" s="46">
        <f>(Cobros[[#This Row],[% A pagar Vendedor]]/100)*Cobros[[#This Row],[Valor Pagado]]*Cobros[[#This Row],[Vencido]]*(Cobros[[#This Row],[% aplicar]]/100)*IF(Cobros[[#This Row],[% A pagar Vendedor]]&gt;0,1,0)</f>
        <v>23.88</v>
      </c>
      <c r="W283" s="46">
        <f>0.5%*Cobros[[#This Row],[Valor Pagado]]</f>
        <v>11.94</v>
      </c>
    </row>
    <row r="284" ht="30" spans="1:23">
      <c r="A284" s="49" t="s">
        <v>3860</v>
      </c>
      <c r="B284" s="49" t="s">
        <v>4309</v>
      </c>
      <c r="C284" s="49" t="s">
        <v>2708</v>
      </c>
      <c r="D284" s="49" t="s">
        <v>2709</v>
      </c>
      <c r="E284" s="49" t="s">
        <v>4310</v>
      </c>
      <c r="F284" s="51">
        <v>46212</v>
      </c>
      <c r="G284" s="49">
        <v>150</v>
      </c>
      <c r="H284" s="49" t="s">
        <v>22</v>
      </c>
      <c r="I284" s="51">
        <v>46212</v>
      </c>
      <c r="J284" s="54">
        <f>INT(Cobros[[#This Row],[Fecha Cargo]])</f>
        <v>46212</v>
      </c>
      <c r="K284" s="54">
        <f>INT(Cobros[[#This Row],[Fecha Aplicacion]])</f>
        <v>46212</v>
      </c>
      <c r="L284" s="55">
        <f>INDEX(Clientes[Días Plazo],MATCH(Cobros[[#This Row],[Cod. Cliente]],Clientes[Codigo],0),1)</f>
        <v>0</v>
      </c>
      <c r="M284" s="45" t="str">
        <f>IF(Cobros[[#This Row],[Dias de Credito]]&lt;=0,"Contado","Credito")</f>
        <v>Contado</v>
      </c>
      <c r="N284" s="45">
        <f>Cobros[[#This Row],[Fecha Aplicación S]]-Cobros[[#This Row],[Fecha Cargo S]]</f>
        <v>0</v>
      </c>
      <c r="O284" s="45">
        <f>Cobros[[#This Row],[Dias al pago]]-Cobros[[#This Row],[Dias de Credito]]</f>
        <v>0</v>
      </c>
      <c r="P284" s="45">
        <f>SUMIFS(TablaDias[Porcentaje],TablaDias[Tipo],Cobros[[#This Row],[Tipo]],TablaDias[Desde ],"&lt;="&amp;MAX(0,Cobros[[#This Row],[Dias pasado]]),TablaDias[Hasta ],"&gt;="&amp;Cobros[[#This Row],[Dias pasado]])</f>
        <v>100</v>
      </c>
      <c r="Q2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4">
        <f>IF(COUNTIF(PAPEL[Numero],Cobros[[#This Row],[Doc. Cargo]])&gt;0,1,0)</f>
        <v>0</v>
      </c>
      <c r="S284" s="46">
        <f t="array" ref="S2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4" s="46">
        <f t="array" ref="T284">INDEX(Ventas[[Unidades]:[2]],MATCH("Gerente de Venta",Ventas[Vendedor %],0),6+Cobros[[#This Row],[Mes]])</f>
        <v>0.005</v>
      </c>
      <c r="U284" s="34">
        <f>IF(Cobros[[#This Row],[Tipo]]="Credito",IF(60&gt;=Cobros[[#This Row],[Dias al pago]],1,0),IF(Cobros[[#This Row],[Dias al pago]]&lt;=3,1,0))</f>
        <v>1</v>
      </c>
      <c r="V284" s="46">
        <f>(Cobros[[#This Row],[% A pagar Vendedor]]/100)*Cobros[[#This Row],[Valor Pagado]]*Cobros[[#This Row],[Vencido]]*(Cobros[[#This Row],[% aplicar]]/100)*IF(Cobros[[#This Row],[% A pagar Vendedor]]&gt;0,1,0)</f>
        <v>1.5</v>
      </c>
      <c r="W284" s="46">
        <f>0.5%*Cobros[[#This Row],[Valor Pagado]]</f>
        <v>0.75</v>
      </c>
    </row>
    <row r="285" ht="30" spans="1:23">
      <c r="A285" s="49" t="s">
        <v>3884</v>
      </c>
      <c r="B285" s="49" t="s">
        <v>4311</v>
      </c>
      <c r="C285" s="49" t="s">
        <v>2708</v>
      </c>
      <c r="D285" s="49" t="s">
        <v>2709</v>
      </c>
      <c r="E285" s="49" t="s">
        <v>4310</v>
      </c>
      <c r="F285" s="51">
        <v>46212</v>
      </c>
      <c r="G285" s="49">
        <v>600</v>
      </c>
      <c r="H285" s="49" t="s">
        <v>22</v>
      </c>
      <c r="I285" s="51">
        <v>46212</v>
      </c>
      <c r="J285" s="54">
        <f>INT(Cobros[[#This Row],[Fecha Cargo]])</f>
        <v>46212</v>
      </c>
      <c r="K285" s="54">
        <f>INT(Cobros[[#This Row],[Fecha Aplicacion]])</f>
        <v>46212</v>
      </c>
      <c r="L285" s="55">
        <f>INDEX(Clientes[Días Plazo],MATCH(Cobros[[#This Row],[Cod. Cliente]],Clientes[Codigo],0),1)</f>
        <v>0</v>
      </c>
      <c r="M285" s="45" t="str">
        <f>IF(Cobros[[#This Row],[Dias de Credito]]&lt;=0,"Contado","Credito")</f>
        <v>Contado</v>
      </c>
      <c r="N285" s="45">
        <f>Cobros[[#This Row],[Fecha Aplicación S]]-Cobros[[#This Row],[Fecha Cargo S]]</f>
        <v>0</v>
      </c>
      <c r="O285" s="45">
        <f>Cobros[[#This Row],[Dias al pago]]-Cobros[[#This Row],[Dias de Credito]]</f>
        <v>0</v>
      </c>
      <c r="P285" s="45">
        <f>SUMIFS(TablaDias[Porcentaje],TablaDias[Tipo],Cobros[[#This Row],[Tipo]],TablaDias[Desde ],"&lt;="&amp;MAX(0,Cobros[[#This Row],[Dias pasado]]),TablaDias[Hasta ],"&gt;="&amp;Cobros[[#This Row],[Dias pasado]])</f>
        <v>100</v>
      </c>
      <c r="Q2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5">
        <f>IF(COUNTIF(PAPEL[Numero],Cobros[[#This Row],[Doc. Cargo]])&gt;0,1,0)</f>
        <v>0</v>
      </c>
      <c r="S285" s="46">
        <f t="array" ref="S2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5" s="46">
        <f t="array" ref="T285">INDEX(Ventas[[Unidades]:[2]],MATCH("Gerente de Venta",Ventas[Vendedor %],0),6+Cobros[[#This Row],[Mes]])</f>
        <v>0.005</v>
      </c>
      <c r="U285" s="34">
        <f>IF(Cobros[[#This Row],[Tipo]]="Credito",IF(60&gt;=Cobros[[#This Row],[Dias al pago]],1,0),IF(Cobros[[#This Row],[Dias al pago]]&lt;=3,1,0))</f>
        <v>1</v>
      </c>
      <c r="V285" s="46">
        <f>(Cobros[[#This Row],[% A pagar Vendedor]]/100)*Cobros[[#This Row],[Valor Pagado]]*Cobros[[#This Row],[Vencido]]*(Cobros[[#This Row],[% aplicar]]/100)*IF(Cobros[[#This Row],[% A pagar Vendedor]]&gt;0,1,0)</f>
        <v>6</v>
      </c>
      <c r="W285" s="46">
        <f>0.5%*Cobros[[#This Row],[Valor Pagado]]</f>
        <v>3</v>
      </c>
    </row>
    <row r="286" ht="30" spans="1:23">
      <c r="A286" s="49" t="s">
        <v>3860</v>
      </c>
      <c r="B286" s="49" t="s">
        <v>4312</v>
      </c>
      <c r="C286" s="49" t="s">
        <v>2025</v>
      </c>
      <c r="D286" s="49" t="s">
        <v>2026</v>
      </c>
      <c r="E286" s="49" t="s">
        <v>4313</v>
      </c>
      <c r="F286" s="51">
        <v>46212</v>
      </c>
      <c r="G286" s="49">
        <v>458.76</v>
      </c>
      <c r="H286" s="49" t="s">
        <v>3865</v>
      </c>
      <c r="I286" s="51">
        <v>46212</v>
      </c>
      <c r="J286" s="54">
        <f>INT(Cobros[[#This Row],[Fecha Cargo]])</f>
        <v>46212</v>
      </c>
      <c r="K286" s="54">
        <f>INT(Cobros[[#This Row],[Fecha Aplicacion]])</f>
        <v>46212</v>
      </c>
      <c r="L286" s="55">
        <f>INDEX(Clientes[Días Plazo],MATCH(Cobros[[#This Row],[Cod. Cliente]],Clientes[Codigo],0),1)</f>
        <v>0</v>
      </c>
      <c r="M286" s="45" t="str">
        <f>IF(Cobros[[#This Row],[Dias de Credito]]&lt;=0,"Contado","Credito")</f>
        <v>Contado</v>
      </c>
      <c r="N286" s="45">
        <f>Cobros[[#This Row],[Fecha Aplicación S]]-Cobros[[#This Row],[Fecha Cargo S]]</f>
        <v>0</v>
      </c>
      <c r="O286" s="45">
        <f>Cobros[[#This Row],[Dias al pago]]-Cobros[[#This Row],[Dias de Credito]]</f>
        <v>0</v>
      </c>
      <c r="P286" s="45">
        <f>SUMIFS(TablaDias[Porcentaje],TablaDias[Tipo],Cobros[[#This Row],[Tipo]],TablaDias[Desde ],"&lt;="&amp;MAX(0,Cobros[[#This Row],[Dias pasado]]),TablaDias[Hasta ],"&gt;="&amp;Cobros[[#This Row],[Dias pasado]])</f>
        <v>100</v>
      </c>
      <c r="Q2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6">
        <f>IF(COUNTIF(PAPEL[Numero],Cobros[[#This Row],[Doc. Cargo]])&gt;0,1,0)</f>
        <v>0</v>
      </c>
      <c r="S286" s="46">
        <v>1</v>
      </c>
      <c r="T286" s="46">
        <f t="array" ref="T286">INDEX(Ventas[[Unidades]:[2]],MATCH("Gerente de Venta",Ventas[Vendedor %],0),6+Cobros[[#This Row],[Mes]])</f>
        <v>0.005</v>
      </c>
      <c r="U286" s="34">
        <f>IF(Cobros[[#This Row],[Tipo]]="Credito",IF(60&gt;=Cobros[[#This Row],[Dias al pago]],1,0),IF(Cobros[[#This Row],[Dias al pago]]&lt;=3,1,0))</f>
        <v>1</v>
      </c>
      <c r="V286" s="46">
        <f>(Cobros[[#This Row],[% A pagar Vendedor]]/100)*Cobros[[#This Row],[Valor Pagado]]*Cobros[[#This Row],[Vencido]]*(Cobros[[#This Row],[% aplicar]]/100)*IF(Cobros[[#This Row],[% A pagar Vendedor]]&gt;0,1,0)</f>
        <v>4.5876</v>
      </c>
      <c r="W286" s="46">
        <f>0.5%*Cobros[[#This Row],[Valor Pagado]]</f>
        <v>2.2938</v>
      </c>
    </row>
    <row r="287" spans="1:23">
      <c r="A287" s="49" t="s">
        <v>3860</v>
      </c>
      <c r="B287" s="49" t="s">
        <v>4314</v>
      </c>
      <c r="C287" s="49" t="s">
        <v>1756</v>
      </c>
      <c r="D287" s="49" t="s">
        <v>1757</v>
      </c>
      <c r="E287" s="49" t="s">
        <v>4065</v>
      </c>
      <c r="F287" s="51">
        <v>46206</v>
      </c>
      <c r="G287" s="49">
        <v>90</v>
      </c>
      <c r="H287" s="49" t="s">
        <v>19</v>
      </c>
      <c r="I287" s="51">
        <v>46212</v>
      </c>
      <c r="J287" s="54">
        <f>INT(Cobros[[#This Row],[Fecha Cargo]])</f>
        <v>46206</v>
      </c>
      <c r="K287" s="54">
        <f>INT(Cobros[[#This Row],[Fecha Aplicacion]])</f>
        <v>46212</v>
      </c>
      <c r="L287" s="55" t="str">
        <f>INDEX(Clientes[Días Plazo],MATCH(Cobros[[#This Row],[Cod. Cliente]],Clientes[Codigo],0),1)</f>
        <v>7</v>
      </c>
      <c r="M287" s="45" t="str">
        <f>IF(Cobros[[#This Row],[Dias de Credito]]&lt;=0,"Contado","Credito")</f>
        <v>Credito</v>
      </c>
      <c r="N287" s="45">
        <f>Cobros[[#This Row],[Fecha Aplicación S]]-Cobros[[#This Row],[Fecha Cargo S]]</f>
        <v>6</v>
      </c>
      <c r="O287" s="45">
        <f>Cobros[[#This Row],[Dias al pago]]-Cobros[[#This Row],[Dias de Credito]]</f>
        <v>-1</v>
      </c>
      <c r="P287" s="45">
        <f>SUMIFS(TablaDias[Porcentaje],TablaDias[Tipo],Cobros[[#This Row],[Tipo]],TablaDias[Desde ],"&lt;="&amp;MAX(0,Cobros[[#This Row],[Dias pasado]]),TablaDias[Hasta ],"&gt;="&amp;Cobros[[#This Row],[Dias pasado]])</f>
        <v>100</v>
      </c>
      <c r="Q2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87">
        <f>IF(COUNTIF(PAPEL[Numero],Cobros[[#This Row],[Doc. Cargo]])&gt;0,1,0)</f>
        <v>0</v>
      </c>
      <c r="S287" s="46">
        <f t="array" ref="S2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87" s="46">
        <f t="array" ref="T287">INDEX(Ventas[[Unidades]:[2]],MATCH("Gerente de Venta",Ventas[Vendedor %],0),6+Cobros[[#This Row],[Mes]])</f>
        <v>0.005</v>
      </c>
      <c r="U287" s="34">
        <f>IF(Cobros[[#This Row],[Tipo]]="Credito",IF(60&gt;=Cobros[[#This Row],[Dias al pago]],1,0),IF(Cobros[[#This Row],[Dias al pago]]&lt;=3,1,0))</f>
        <v>1</v>
      </c>
      <c r="V287" s="46">
        <f>(Cobros[[#This Row],[% A pagar Vendedor]]/100)*Cobros[[#This Row],[Valor Pagado]]*Cobros[[#This Row],[Vencido]]*(Cobros[[#This Row],[% aplicar]]/100)*IF(Cobros[[#This Row],[% A pagar Vendedor]]&gt;0,1,0)</f>
        <v>1.125</v>
      </c>
      <c r="W287" s="46">
        <f>0.5%*Cobros[[#This Row],[Valor Pagado]]</f>
        <v>0.45</v>
      </c>
    </row>
    <row r="288" spans="1:24">
      <c r="A288" s="49" t="s">
        <v>3860</v>
      </c>
      <c r="B288" s="49" t="s">
        <v>4315</v>
      </c>
      <c r="C288" s="49" t="s">
        <v>1984</v>
      </c>
      <c r="D288" s="49" t="s">
        <v>1985</v>
      </c>
      <c r="E288" s="49" t="s">
        <v>4316</v>
      </c>
      <c r="F288" s="51">
        <v>46181</v>
      </c>
      <c r="G288" s="49">
        <v>2427.23</v>
      </c>
      <c r="H288" s="49" t="s">
        <v>16</v>
      </c>
      <c r="I288" s="51">
        <v>46212</v>
      </c>
      <c r="J288" s="54">
        <f>INT(Cobros[[#This Row],[Fecha Cargo]])</f>
        <v>46181</v>
      </c>
      <c r="K288" s="54">
        <f>INT(Cobros[[#This Row],[Fecha Aplicacion]])</f>
        <v>46212</v>
      </c>
      <c r="L288" s="55" t="str">
        <f>INDEX(Clientes[Días Plazo],MATCH(Cobros[[#This Row],[Cod. Cliente]],Clientes[Codigo],0),1)</f>
        <v>15</v>
      </c>
      <c r="M288" s="45" t="str">
        <f>IF(Cobros[[#This Row],[Dias de Credito]]&lt;=0,"Contado","Credito")</f>
        <v>Credito</v>
      </c>
      <c r="N288" s="45">
        <f>Cobros[[#This Row],[Fecha Aplicación S]]-Cobros[[#This Row],[Fecha Cargo S]]</f>
        <v>31</v>
      </c>
      <c r="O288" s="45">
        <f>Cobros[[#This Row],[Dias al pago]]-Cobros[[#This Row],[Dias de Credito]]</f>
        <v>16</v>
      </c>
      <c r="P288" s="45">
        <f>SUMIFS(TablaDias[Porcentaje],TablaDias[Tipo],Cobros[[#This Row],[Tipo]],TablaDias[Desde ],"&lt;="&amp;MAX(0,Cobros[[#This Row],[Dias pasado]]),TablaDias[Hasta ],"&gt;="&amp;Cobros[[#This Row],[Dias pasado]])</f>
        <v>50</v>
      </c>
      <c r="Q2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88">
        <f>IF(COUNTIF(PAPEL[Numero],Cobros[[#This Row],[Doc. Cargo]])&gt;0,1,0)</f>
        <v>0</v>
      </c>
      <c r="S288" s="46">
        <f t="array" ref="S2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8" s="47">
        <v>0.005</v>
      </c>
      <c r="U288" s="34">
        <f>IF(Cobros[[#This Row],[Tipo]]="Credito",IF(60&gt;=Cobros[[#This Row],[Dias al pago]],1,0),IF(Cobros[[#This Row],[Dias al pago]]&lt;=3,1,0))</f>
        <v>1</v>
      </c>
      <c r="V288" s="46">
        <f>(Cobros[[#This Row],[% A pagar Vendedor]]/100)*Cobros[[#This Row],[Valor Pagado]]*Cobros[[#This Row],[Vencido]]*(Cobros[[#This Row],[% aplicar]]/100)*IF(Cobros[[#This Row],[% A pagar Vendedor]]&gt;0,1,0)</f>
        <v>12.13615</v>
      </c>
      <c r="W288" s="46">
        <f>0.5%*Cobros[[#This Row],[Valor Pagado]]</f>
        <v>12.13615</v>
      </c>
      <c r="X288" s="34"/>
    </row>
    <row r="289" spans="1:23">
      <c r="A289" s="49" t="s">
        <v>3860</v>
      </c>
      <c r="B289" s="49" t="s">
        <v>4315</v>
      </c>
      <c r="C289" s="49" t="s">
        <v>1984</v>
      </c>
      <c r="D289" s="49" t="s">
        <v>1985</v>
      </c>
      <c r="E289" s="49" t="s">
        <v>4317</v>
      </c>
      <c r="F289" s="51">
        <v>46185</v>
      </c>
      <c r="G289" s="49">
        <v>72.77</v>
      </c>
      <c r="H289" s="49" t="s">
        <v>16</v>
      </c>
      <c r="I289" s="51">
        <v>46212</v>
      </c>
      <c r="J289" s="54">
        <f>INT(Cobros[[#This Row],[Fecha Cargo]])</f>
        <v>46185</v>
      </c>
      <c r="K289" s="54">
        <f>INT(Cobros[[#This Row],[Fecha Aplicacion]])</f>
        <v>46212</v>
      </c>
      <c r="L289" s="55" t="str">
        <f>INDEX(Clientes[Días Plazo],MATCH(Cobros[[#This Row],[Cod. Cliente]],Clientes[Codigo],0),1)</f>
        <v>15</v>
      </c>
      <c r="M289" s="45" t="str">
        <f>IF(Cobros[[#This Row],[Dias de Credito]]&lt;=0,"Contado","Credito")</f>
        <v>Credito</v>
      </c>
      <c r="N289" s="45">
        <f>Cobros[[#This Row],[Fecha Aplicación S]]-Cobros[[#This Row],[Fecha Cargo S]]</f>
        <v>27</v>
      </c>
      <c r="O289" s="45">
        <f>Cobros[[#This Row],[Dias al pago]]-Cobros[[#This Row],[Dias de Credito]]</f>
        <v>12</v>
      </c>
      <c r="P289" s="45">
        <f>SUMIFS(TablaDias[Porcentaje],TablaDias[Tipo],Cobros[[#This Row],[Tipo]],TablaDias[Desde ],"&lt;="&amp;MAX(0,Cobros[[#This Row],[Dias pasado]]),TablaDias[Hasta ],"&gt;="&amp;Cobros[[#This Row],[Dias pasado]])</f>
        <v>100</v>
      </c>
      <c r="Q28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89">
        <f>IF(COUNTIF(PAPEL[Numero],Cobros[[#This Row],[Doc. Cargo]])&gt;0,1,0)</f>
        <v>0</v>
      </c>
      <c r="S289" s="46">
        <f t="array" ref="S2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89" s="47">
        <v>0.005</v>
      </c>
      <c r="U289" s="34">
        <f>IF(Cobros[[#This Row],[Tipo]]="Credito",IF(60&gt;=Cobros[[#This Row],[Dias al pago]],1,0),IF(Cobros[[#This Row],[Dias al pago]]&lt;=3,1,0))</f>
        <v>1</v>
      </c>
      <c r="V289" s="46">
        <f>(Cobros[[#This Row],[% A pagar Vendedor]]/100)*Cobros[[#This Row],[Valor Pagado]]*Cobros[[#This Row],[Vencido]]*(Cobros[[#This Row],[% aplicar]]/100)*IF(Cobros[[#This Row],[% A pagar Vendedor]]&gt;0,1,0)</f>
        <v>0.7277</v>
      </c>
      <c r="W289" s="46">
        <f>0.5%*Cobros[[#This Row],[Valor Pagado]]</f>
        <v>0.36385</v>
      </c>
    </row>
    <row r="290" spans="1:23">
      <c r="A290" s="49" t="s">
        <v>3860</v>
      </c>
      <c r="B290" s="49" t="s">
        <v>4318</v>
      </c>
      <c r="C290" s="49" t="s">
        <v>1662</v>
      </c>
      <c r="D290" s="49" t="s">
        <v>1663</v>
      </c>
      <c r="E290" s="49" t="s">
        <v>4319</v>
      </c>
      <c r="F290" s="51">
        <v>46212</v>
      </c>
      <c r="G290" s="49">
        <v>103.5</v>
      </c>
      <c r="H290" s="49" t="s">
        <v>16</v>
      </c>
      <c r="I290" s="51">
        <v>46212</v>
      </c>
      <c r="J290" s="54">
        <f>INT(Cobros[[#This Row],[Fecha Cargo]])</f>
        <v>46212</v>
      </c>
      <c r="K290" s="54">
        <f>INT(Cobros[[#This Row],[Fecha Aplicacion]])</f>
        <v>46212</v>
      </c>
      <c r="L290" s="55">
        <f>INDEX(Clientes[Días Plazo],MATCH(Cobros[[#This Row],[Cod. Cliente]],Clientes[Codigo],0),1)</f>
        <v>0</v>
      </c>
      <c r="M290" s="45" t="str">
        <f>IF(Cobros[[#This Row],[Dias de Credito]]&lt;=0,"Contado","Credito")</f>
        <v>Contado</v>
      </c>
      <c r="N290" s="45">
        <f>Cobros[[#This Row],[Fecha Aplicación S]]-Cobros[[#This Row],[Fecha Cargo S]]</f>
        <v>0</v>
      </c>
      <c r="O290" s="45">
        <f>Cobros[[#This Row],[Dias al pago]]-Cobros[[#This Row],[Dias de Credito]]</f>
        <v>0</v>
      </c>
      <c r="P290" s="45">
        <f>SUMIFS(TablaDias[Porcentaje],TablaDias[Tipo],Cobros[[#This Row],[Tipo]],TablaDias[Desde ],"&lt;="&amp;MAX(0,Cobros[[#This Row],[Dias pasado]]),TablaDias[Hasta ],"&gt;="&amp;Cobros[[#This Row],[Dias pasado]])</f>
        <v>100</v>
      </c>
      <c r="Q2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0">
        <f>IF(COUNTIF(PAPEL[Numero],Cobros[[#This Row],[Doc. Cargo]])&gt;0,1,0)</f>
        <v>0</v>
      </c>
      <c r="S290" s="46">
        <f t="array" ref="S2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90" s="47">
        <v>0.005</v>
      </c>
      <c r="U290" s="34">
        <f>IF(Cobros[[#This Row],[Tipo]]="Credito",IF(60&gt;=Cobros[[#This Row],[Dias al pago]],1,0),IF(Cobros[[#This Row],[Dias al pago]]&lt;=3,1,0))</f>
        <v>1</v>
      </c>
      <c r="V290" s="46">
        <f>(Cobros[[#This Row],[% A pagar Vendedor]]/100)*Cobros[[#This Row],[Valor Pagado]]*Cobros[[#This Row],[Vencido]]*(Cobros[[#This Row],[% aplicar]]/100)*IF(Cobros[[#This Row],[% A pagar Vendedor]]&gt;0,1,0)</f>
        <v>1.29375</v>
      </c>
      <c r="W290" s="46">
        <f>0.5%*Cobros[[#This Row],[Valor Pagado]]</f>
        <v>0.5175</v>
      </c>
    </row>
    <row r="291" ht="30" spans="1:24">
      <c r="A291" s="49" t="s">
        <v>3860</v>
      </c>
      <c r="B291" s="49" t="s">
        <v>4320</v>
      </c>
      <c r="C291" s="49" t="s">
        <v>66</v>
      </c>
      <c r="D291" s="49" t="s">
        <v>67</v>
      </c>
      <c r="E291" s="49" t="s">
        <v>4321</v>
      </c>
      <c r="F291" s="51">
        <v>46178</v>
      </c>
      <c r="G291" s="49">
        <v>1579</v>
      </c>
      <c r="H291" s="49" t="s">
        <v>3865</v>
      </c>
      <c r="I291" s="51">
        <v>46212</v>
      </c>
      <c r="J291" s="54">
        <f>INT(Cobros[[#This Row],[Fecha Cargo]])</f>
        <v>46178</v>
      </c>
      <c r="K291" s="54">
        <f>INT(Cobros[[#This Row],[Fecha Aplicacion]])</f>
        <v>46212</v>
      </c>
      <c r="L291" s="55" t="str">
        <f>INDEX(Clientes[Días Plazo],MATCH(Cobros[[#This Row],[Cod. Cliente]],Clientes[Codigo],0),1)</f>
        <v>7</v>
      </c>
      <c r="M291" s="45" t="str">
        <f>IF(Cobros[[#This Row],[Dias de Credito]]&lt;=0,"Contado","Credito")</f>
        <v>Credito</v>
      </c>
      <c r="N291" s="45">
        <f>Cobros[[#This Row],[Fecha Aplicación S]]-Cobros[[#This Row],[Fecha Cargo S]]</f>
        <v>34</v>
      </c>
      <c r="O291" s="45">
        <f>Cobros[[#This Row],[Dias al pago]]-Cobros[[#This Row],[Dias de Credito]]</f>
        <v>27</v>
      </c>
      <c r="P291" s="45">
        <f>SUMIFS(TablaDias[Porcentaje],TablaDias[Tipo],Cobros[[#This Row],[Tipo]],TablaDias[Desde ],"&lt;="&amp;MAX(0,Cobros[[#This Row],[Dias pasado]]),TablaDias[Hasta ],"&gt;="&amp;Cobros[[#This Row],[Dias pasado]])</f>
        <v>50</v>
      </c>
      <c r="Q2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91">
        <f>IF(COUNTIF(PAPEL[Numero],Cobros[[#This Row],[Doc. Cargo]])&gt;0,1,0)</f>
        <v>0</v>
      </c>
      <c r="S291" s="46">
        <v>1</v>
      </c>
      <c r="T291" s="46">
        <f t="array" ref="T291">INDEX(Ventas[[Unidades]:[2]],MATCH("Gerente de Venta",Ventas[Vendedor %],0),6+Cobros[[#This Row],[Mes]])</f>
        <v>0.005</v>
      </c>
      <c r="U291" s="34">
        <f>IF(Cobros[[#This Row],[Tipo]]="Credito",IF(60&gt;=Cobros[[#This Row],[Dias al pago]],1,0),IF(Cobros[[#This Row],[Dias al pago]]&lt;=3,1,0))</f>
        <v>1</v>
      </c>
      <c r="V291" s="46">
        <f>(Cobros[[#This Row],[% A pagar Vendedor]]/100)*Cobros[[#This Row],[Valor Pagado]]*Cobros[[#This Row],[Vencido]]*(Cobros[[#This Row],[% aplicar]]/100)*IF(Cobros[[#This Row],[% A pagar Vendedor]]&gt;0,1,0)</f>
        <v>7.895</v>
      </c>
      <c r="W291" s="46">
        <f>0.5%*Cobros[[#This Row],[Valor Pagado]]</f>
        <v>7.895</v>
      </c>
      <c r="X291" s="60"/>
    </row>
    <row r="292" ht="30" spans="1:23">
      <c r="A292" s="49" t="s">
        <v>3860</v>
      </c>
      <c r="B292" s="49" t="s">
        <v>4322</v>
      </c>
      <c r="C292" s="49" t="s">
        <v>719</v>
      </c>
      <c r="D292" s="49" t="s">
        <v>720</v>
      </c>
      <c r="E292" s="49" t="s">
        <v>4323</v>
      </c>
      <c r="F292" s="51">
        <v>46178</v>
      </c>
      <c r="G292" s="49">
        <v>2899</v>
      </c>
      <c r="H292" s="49" t="s">
        <v>3865</v>
      </c>
      <c r="I292" s="51">
        <v>46212</v>
      </c>
      <c r="J292" s="54">
        <f>INT(Cobros[[#This Row],[Fecha Cargo]])</f>
        <v>46178</v>
      </c>
      <c r="K292" s="54">
        <f>INT(Cobros[[#This Row],[Fecha Aplicacion]])</f>
        <v>46212</v>
      </c>
      <c r="L292" s="55" t="str">
        <f>INDEX(Clientes[Días Plazo],MATCH(Cobros[[#This Row],[Cod. Cliente]],Clientes[Codigo],0),1)</f>
        <v>7</v>
      </c>
      <c r="M292" s="45" t="str">
        <f>IF(Cobros[[#This Row],[Dias de Credito]]&lt;=0,"Contado","Credito")</f>
        <v>Credito</v>
      </c>
      <c r="N292" s="45">
        <f>Cobros[[#This Row],[Fecha Aplicación S]]-Cobros[[#This Row],[Fecha Cargo S]]</f>
        <v>34</v>
      </c>
      <c r="O292" s="45">
        <f>Cobros[[#This Row],[Dias al pago]]-Cobros[[#This Row],[Dias de Credito]]</f>
        <v>27</v>
      </c>
      <c r="P292" s="45">
        <f>SUMIFS(TablaDias[Porcentaje],TablaDias[Tipo],Cobros[[#This Row],[Tipo]],TablaDias[Desde ],"&lt;="&amp;MAX(0,Cobros[[#This Row],[Dias pasado]]),TablaDias[Hasta ],"&gt;="&amp;Cobros[[#This Row],[Dias pasado]])</f>
        <v>50</v>
      </c>
      <c r="Q2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92">
        <f>IF(COUNTIF(PAPEL[Numero],Cobros[[#This Row],[Doc. Cargo]])&gt;0,1,0)</f>
        <v>0</v>
      </c>
      <c r="S292" s="46">
        <v>1</v>
      </c>
      <c r="T292" s="46">
        <f t="array" ref="T292">INDEX(Ventas[[Unidades]:[2]],MATCH("Gerente de Venta",Ventas[Vendedor %],0),6+Cobros[[#This Row],[Mes]])</f>
        <v>0.005</v>
      </c>
      <c r="U292" s="34">
        <f>IF(Cobros[[#This Row],[Tipo]]="Credito",IF(60&gt;=Cobros[[#This Row],[Dias al pago]],1,0),IF(Cobros[[#This Row],[Dias al pago]]&lt;=3,1,0))</f>
        <v>1</v>
      </c>
      <c r="V292" s="46">
        <f>(Cobros[[#This Row],[% A pagar Vendedor]]/100)*Cobros[[#This Row],[Valor Pagado]]*Cobros[[#This Row],[Vencido]]*(Cobros[[#This Row],[% aplicar]]/100)*IF(Cobros[[#This Row],[% A pagar Vendedor]]&gt;0,1,0)</f>
        <v>14.495</v>
      </c>
      <c r="W292" s="46">
        <f>0.5%*Cobros[[#This Row],[Valor Pagado]]</f>
        <v>14.495</v>
      </c>
    </row>
    <row r="293" ht="30" spans="1:23">
      <c r="A293" s="49" t="s">
        <v>3860</v>
      </c>
      <c r="B293" s="49" t="s">
        <v>4324</v>
      </c>
      <c r="C293" s="49" t="s">
        <v>160</v>
      </c>
      <c r="D293" s="49" t="s">
        <v>161</v>
      </c>
      <c r="E293" s="49" t="s">
        <v>4325</v>
      </c>
      <c r="F293" s="51">
        <v>46212</v>
      </c>
      <c r="G293" s="49">
        <v>1304</v>
      </c>
      <c r="H293" s="49" t="s">
        <v>22</v>
      </c>
      <c r="I293" s="51">
        <v>46212</v>
      </c>
      <c r="J293" s="54">
        <f>INT(Cobros[[#This Row],[Fecha Cargo]])</f>
        <v>46212</v>
      </c>
      <c r="K293" s="54">
        <f>INT(Cobros[[#This Row],[Fecha Aplicacion]])</f>
        <v>46212</v>
      </c>
      <c r="L293" s="55">
        <f>INDEX(Clientes[Días Plazo],MATCH(Cobros[[#This Row],[Cod. Cliente]],Clientes[Codigo],0),1)</f>
        <v>0</v>
      </c>
      <c r="M293" s="45" t="str">
        <f>IF(Cobros[[#This Row],[Dias de Credito]]&lt;=0,"Contado","Credito")</f>
        <v>Contado</v>
      </c>
      <c r="N293" s="45">
        <f>Cobros[[#This Row],[Fecha Aplicación S]]-Cobros[[#This Row],[Fecha Cargo S]]</f>
        <v>0</v>
      </c>
      <c r="O293" s="45">
        <f>Cobros[[#This Row],[Dias al pago]]-Cobros[[#This Row],[Dias de Credito]]</f>
        <v>0</v>
      </c>
      <c r="P293" s="45">
        <f>SUMIFS(TablaDias[Porcentaje],TablaDias[Tipo],Cobros[[#This Row],[Tipo]],TablaDias[Desde ],"&lt;="&amp;MAX(0,Cobros[[#This Row],[Dias pasado]]),TablaDias[Hasta ],"&gt;="&amp;Cobros[[#This Row],[Dias pasado]])</f>
        <v>100</v>
      </c>
      <c r="Q2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3">
        <f>IF(COUNTIF(PAPEL[Numero],Cobros[[#This Row],[Doc. Cargo]])&gt;0,1,0)</f>
        <v>0</v>
      </c>
      <c r="S293" s="46">
        <f t="array" ref="S2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93" s="46">
        <f t="array" ref="T293">INDEX(Ventas[[Unidades]:[2]],MATCH("Gerente de Venta",Ventas[Vendedor %],0),6+Cobros[[#This Row],[Mes]])</f>
        <v>0.005</v>
      </c>
      <c r="U293" s="34">
        <f>IF(Cobros[[#This Row],[Tipo]]="Credito",IF(60&gt;=Cobros[[#This Row],[Dias al pago]],1,0),IF(Cobros[[#This Row],[Dias al pago]]&lt;=3,1,0))</f>
        <v>1</v>
      </c>
      <c r="V293" s="46">
        <f>(Cobros[[#This Row],[% A pagar Vendedor]]/100)*Cobros[[#This Row],[Valor Pagado]]*Cobros[[#This Row],[Vencido]]*(Cobros[[#This Row],[% aplicar]]/100)*IF(Cobros[[#This Row],[% A pagar Vendedor]]&gt;0,1,0)</f>
        <v>13.04</v>
      </c>
      <c r="W293" s="46">
        <f>0.5%*Cobros[[#This Row],[Valor Pagado]]</f>
        <v>6.52</v>
      </c>
    </row>
    <row r="294" ht="30" spans="1:23">
      <c r="A294" s="49" t="s">
        <v>3860</v>
      </c>
      <c r="B294" s="49" t="s">
        <v>4326</v>
      </c>
      <c r="C294" s="49" t="s">
        <v>2845</v>
      </c>
      <c r="D294" s="49" t="s">
        <v>2846</v>
      </c>
      <c r="E294" s="49" t="s">
        <v>4327</v>
      </c>
      <c r="F294" s="51">
        <v>46212</v>
      </c>
      <c r="G294" s="49">
        <v>168.3</v>
      </c>
      <c r="H294" s="49" t="s">
        <v>22</v>
      </c>
      <c r="I294" s="51">
        <v>46212</v>
      </c>
      <c r="J294" s="54">
        <f>INT(Cobros[[#This Row],[Fecha Cargo]])</f>
        <v>46212</v>
      </c>
      <c r="K294" s="54">
        <f>INT(Cobros[[#This Row],[Fecha Aplicacion]])</f>
        <v>46212</v>
      </c>
      <c r="L294" s="55">
        <f>INDEX(Clientes[Días Plazo],MATCH(Cobros[[#This Row],[Cod. Cliente]],Clientes[Codigo],0),1)</f>
        <v>0</v>
      </c>
      <c r="M294" s="45" t="str">
        <f>IF(Cobros[[#This Row],[Dias de Credito]]&lt;=0,"Contado","Credito")</f>
        <v>Contado</v>
      </c>
      <c r="N294" s="45">
        <f>Cobros[[#This Row],[Fecha Aplicación S]]-Cobros[[#This Row],[Fecha Cargo S]]</f>
        <v>0</v>
      </c>
      <c r="O294" s="45">
        <f>Cobros[[#This Row],[Dias al pago]]-Cobros[[#This Row],[Dias de Credito]]</f>
        <v>0</v>
      </c>
      <c r="P294" s="45">
        <f>SUMIFS(TablaDias[Porcentaje],TablaDias[Tipo],Cobros[[#This Row],[Tipo]],TablaDias[Desde ],"&lt;="&amp;MAX(0,Cobros[[#This Row],[Dias pasado]]),TablaDias[Hasta ],"&gt;="&amp;Cobros[[#This Row],[Dias pasado]])</f>
        <v>100</v>
      </c>
      <c r="Q2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4">
        <f>IF(COUNTIF(PAPEL[Numero],Cobros[[#This Row],[Doc. Cargo]])&gt;0,1,0)</f>
        <v>0</v>
      </c>
      <c r="S294" s="46">
        <f t="array" ref="S2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94" s="46">
        <f t="array" ref="T294">INDEX(Ventas[[Unidades]:[2]],MATCH("Gerente de Venta",Ventas[Vendedor %],0),6+Cobros[[#This Row],[Mes]])</f>
        <v>0.005</v>
      </c>
      <c r="U294" s="34">
        <f>IF(Cobros[[#This Row],[Tipo]]="Credito",IF(60&gt;=Cobros[[#This Row],[Dias al pago]],1,0),IF(Cobros[[#This Row],[Dias al pago]]&lt;=3,1,0))</f>
        <v>1</v>
      </c>
      <c r="V294" s="46">
        <f>(Cobros[[#This Row],[% A pagar Vendedor]]/100)*Cobros[[#This Row],[Valor Pagado]]*Cobros[[#This Row],[Vencido]]*(Cobros[[#This Row],[% aplicar]]/100)*IF(Cobros[[#This Row],[% A pagar Vendedor]]&gt;0,1,0)</f>
        <v>1.683</v>
      </c>
      <c r="W294" s="46">
        <f>0.5%*Cobros[[#This Row],[Valor Pagado]]</f>
        <v>0.8415</v>
      </c>
    </row>
    <row r="295" spans="1:23">
      <c r="A295" s="49" t="s">
        <v>3860</v>
      </c>
      <c r="B295" s="49" t="s">
        <v>4328</v>
      </c>
      <c r="C295" s="49" t="s">
        <v>1984</v>
      </c>
      <c r="D295" s="49" t="s">
        <v>1985</v>
      </c>
      <c r="E295" s="49" t="s">
        <v>4317</v>
      </c>
      <c r="F295" s="51">
        <v>46185</v>
      </c>
      <c r="G295" s="49">
        <v>544</v>
      </c>
      <c r="H295" s="49" t="s">
        <v>16</v>
      </c>
      <c r="I295" s="51">
        <v>46212</v>
      </c>
      <c r="J295" s="54">
        <f>INT(Cobros[[#This Row],[Fecha Cargo]])</f>
        <v>46185</v>
      </c>
      <c r="K295" s="54">
        <f>INT(Cobros[[#This Row],[Fecha Aplicacion]])</f>
        <v>46212</v>
      </c>
      <c r="L295" s="55" t="str">
        <f>INDEX(Clientes[Días Plazo],MATCH(Cobros[[#This Row],[Cod. Cliente]],Clientes[Codigo],0),1)</f>
        <v>15</v>
      </c>
      <c r="M295" s="45" t="str">
        <f>IF(Cobros[[#This Row],[Dias de Credito]]&lt;=0,"Contado","Credito")</f>
        <v>Credito</v>
      </c>
      <c r="N295" s="45">
        <f>Cobros[[#This Row],[Fecha Aplicación S]]-Cobros[[#This Row],[Fecha Cargo S]]</f>
        <v>27</v>
      </c>
      <c r="O295" s="45">
        <f>Cobros[[#This Row],[Dias al pago]]-Cobros[[#This Row],[Dias de Credito]]</f>
        <v>12</v>
      </c>
      <c r="P295" s="45">
        <f>SUMIFS(TablaDias[Porcentaje],TablaDias[Tipo],Cobros[[#This Row],[Tipo]],TablaDias[Desde ],"&lt;="&amp;MAX(0,Cobros[[#This Row],[Dias pasado]]),TablaDias[Hasta ],"&gt;="&amp;Cobros[[#This Row],[Dias pasado]])</f>
        <v>100</v>
      </c>
      <c r="Q2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295">
        <f>IF(COUNTIF(PAPEL[Numero],Cobros[[#This Row],[Doc. Cargo]])&gt;0,1,0)</f>
        <v>0</v>
      </c>
      <c r="S295" s="46">
        <f t="array" ref="S2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95" s="47">
        <v>0.005</v>
      </c>
      <c r="U295" s="34">
        <f>IF(Cobros[[#This Row],[Tipo]]="Credito",IF(60&gt;=Cobros[[#This Row],[Dias al pago]],1,0),IF(Cobros[[#This Row],[Dias al pago]]&lt;=3,1,0))</f>
        <v>1</v>
      </c>
      <c r="V295" s="46">
        <f>(Cobros[[#This Row],[% A pagar Vendedor]]/100)*Cobros[[#This Row],[Valor Pagado]]*Cobros[[#This Row],[Vencido]]*(Cobros[[#This Row],[% aplicar]]/100)*IF(Cobros[[#This Row],[% A pagar Vendedor]]&gt;0,1,0)</f>
        <v>5.44</v>
      </c>
      <c r="W295" s="46">
        <f>0.5%*Cobros[[#This Row],[Valor Pagado]]</f>
        <v>2.72</v>
      </c>
    </row>
    <row r="296" spans="1:23">
      <c r="A296" s="49" t="s">
        <v>3875</v>
      </c>
      <c r="B296" s="49" t="s">
        <v>4329</v>
      </c>
      <c r="C296" s="49" t="s">
        <v>1467</v>
      </c>
      <c r="D296" s="49" t="s">
        <v>1468</v>
      </c>
      <c r="E296" s="49" t="s">
        <v>4303</v>
      </c>
      <c r="F296" s="51">
        <v>46211</v>
      </c>
      <c r="G296" s="49">
        <v>400</v>
      </c>
      <c r="H296" s="49" t="s">
        <v>20</v>
      </c>
      <c r="I296" s="51">
        <v>46212</v>
      </c>
      <c r="J296" s="54">
        <f>INT(Cobros[[#This Row],[Fecha Cargo]])</f>
        <v>46211</v>
      </c>
      <c r="K296" s="54">
        <f>INT(Cobros[[#This Row],[Fecha Aplicacion]])</f>
        <v>46212</v>
      </c>
      <c r="L296" s="55">
        <f>INDEX(Clientes[Días Plazo],MATCH(Cobros[[#This Row],[Cod. Cliente]],Clientes[Codigo],0),1)</f>
        <v>0</v>
      </c>
      <c r="M296" s="45" t="str">
        <f>IF(Cobros[[#This Row],[Dias de Credito]]&lt;=0,"Contado","Credito")</f>
        <v>Contado</v>
      </c>
      <c r="N296" s="45">
        <f>Cobros[[#This Row],[Fecha Aplicación S]]-Cobros[[#This Row],[Fecha Cargo S]]</f>
        <v>1</v>
      </c>
      <c r="O296" s="45">
        <f>Cobros[[#This Row],[Dias al pago]]-Cobros[[#This Row],[Dias de Credito]]</f>
        <v>1</v>
      </c>
      <c r="P296" s="45">
        <f>SUMIFS(TablaDias[Porcentaje],TablaDias[Tipo],Cobros[[#This Row],[Tipo]],TablaDias[Desde ],"&lt;="&amp;MAX(0,Cobros[[#This Row],[Dias pasado]]),TablaDias[Hasta ],"&gt;="&amp;Cobros[[#This Row],[Dias pasado]])</f>
        <v>100</v>
      </c>
      <c r="Q2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6">
        <f>IF(COUNTIF(PAPEL[Numero],Cobros[[#This Row],[Doc. Cargo]])&gt;0,1,0)</f>
        <v>0</v>
      </c>
      <c r="S296" s="46">
        <f t="array" ref="S2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296" s="46">
        <f t="array" ref="T296">INDEX(Ventas[[Unidades]:[2]],MATCH("Gerente de Venta",Ventas[Vendedor %],0),6+Cobros[[#This Row],[Mes]])</f>
        <v>0.005</v>
      </c>
      <c r="U296" s="34">
        <f>IF(Cobros[[#This Row],[Tipo]]="Credito",IF(60&gt;=Cobros[[#This Row],[Dias al pago]],1,0),IF(Cobros[[#This Row],[Dias al pago]]&lt;=3,1,0))</f>
        <v>1</v>
      </c>
      <c r="V296" s="46">
        <f>(Cobros[[#This Row],[% A pagar Vendedor]]/100)*Cobros[[#This Row],[Valor Pagado]]*Cobros[[#This Row],[Vencido]]*(Cobros[[#This Row],[% aplicar]]/100)*IF(Cobros[[#This Row],[% A pagar Vendedor]]&gt;0,1,0)</f>
        <v>5</v>
      </c>
      <c r="W296" s="46">
        <f>0.5%*Cobros[[#This Row],[Valor Pagado]]</f>
        <v>2</v>
      </c>
    </row>
    <row r="297" ht="30" spans="1:23">
      <c r="A297" s="49" t="s">
        <v>3860</v>
      </c>
      <c r="B297" s="49" t="s">
        <v>4330</v>
      </c>
      <c r="C297" s="49" t="s">
        <v>1125</v>
      </c>
      <c r="D297" s="49" t="s">
        <v>1126</v>
      </c>
      <c r="E297" s="49" t="s">
        <v>4331</v>
      </c>
      <c r="F297" s="51">
        <v>46212</v>
      </c>
      <c r="G297" s="49">
        <v>140</v>
      </c>
      <c r="H297" s="49" t="s">
        <v>3865</v>
      </c>
      <c r="I297" s="51">
        <v>46212</v>
      </c>
      <c r="J297" s="54">
        <f>INT(Cobros[[#This Row],[Fecha Cargo]])</f>
        <v>46212</v>
      </c>
      <c r="K297" s="54">
        <f>INT(Cobros[[#This Row],[Fecha Aplicacion]])</f>
        <v>46212</v>
      </c>
      <c r="L297" s="55">
        <f>INDEX(Clientes[Días Plazo],MATCH(Cobros[[#This Row],[Cod. Cliente]],Clientes[Codigo],0),1)</f>
        <v>0</v>
      </c>
      <c r="M297" s="45" t="str">
        <f>IF(Cobros[[#This Row],[Dias de Credito]]&lt;=0,"Contado","Credito")</f>
        <v>Contado</v>
      </c>
      <c r="N297" s="45">
        <f>Cobros[[#This Row],[Fecha Aplicación S]]-Cobros[[#This Row],[Fecha Cargo S]]</f>
        <v>0</v>
      </c>
      <c r="O297" s="45">
        <f>Cobros[[#This Row],[Dias al pago]]-Cobros[[#This Row],[Dias de Credito]]</f>
        <v>0</v>
      </c>
      <c r="P297" s="45">
        <f>SUMIFS(TablaDias[Porcentaje],TablaDias[Tipo],Cobros[[#This Row],[Tipo]],TablaDias[Desde ],"&lt;="&amp;MAX(0,Cobros[[#This Row],[Dias pasado]]),TablaDias[Hasta ],"&gt;="&amp;Cobros[[#This Row],[Dias pasado]])</f>
        <v>100</v>
      </c>
      <c r="Q2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7">
        <f>IF(COUNTIF(PAPEL[Numero],Cobros[[#This Row],[Doc. Cargo]])&gt;0,1,0)</f>
        <v>0</v>
      </c>
      <c r="S297" s="46">
        <v>1</v>
      </c>
      <c r="T297" s="46">
        <f t="array" ref="T297">INDEX(Ventas[[Unidades]:[2]],MATCH("Gerente de Venta",Ventas[Vendedor %],0),6+Cobros[[#This Row],[Mes]])</f>
        <v>0.005</v>
      </c>
      <c r="U297" s="34">
        <f>IF(Cobros[[#This Row],[Tipo]]="Credito",IF(60&gt;=Cobros[[#This Row],[Dias al pago]],1,0),IF(Cobros[[#This Row],[Dias al pago]]&lt;=3,1,0))</f>
        <v>1</v>
      </c>
      <c r="V297" s="46">
        <f>(Cobros[[#This Row],[% A pagar Vendedor]]/100)*Cobros[[#This Row],[Valor Pagado]]*Cobros[[#This Row],[Vencido]]*(Cobros[[#This Row],[% aplicar]]/100)*IF(Cobros[[#This Row],[% A pagar Vendedor]]&gt;0,1,0)</f>
        <v>1.4</v>
      </c>
      <c r="W297" s="46">
        <f>0.5%*Cobros[[#This Row],[Valor Pagado]]</f>
        <v>0.7</v>
      </c>
    </row>
    <row r="298" ht="30" spans="1:23">
      <c r="A298" s="49" t="s">
        <v>3904</v>
      </c>
      <c r="B298" s="49" t="s">
        <v>4332</v>
      </c>
      <c r="C298" s="49" t="s">
        <v>160</v>
      </c>
      <c r="D298" s="49" t="s">
        <v>161</v>
      </c>
      <c r="E298" s="49" t="s">
        <v>4333</v>
      </c>
      <c r="F298" s="51">
        <v>46212</v>
      </c>
      <c r="G298" s="49">
        <v>214</v>
      </c>
      <c r="H298" s="49" t="s">
        <v>22</v>
      </c>
      <c r="I298" s="51">
        <v>46212</v>
      </c>
      <c r="J298" s="54">
        <f>INT(Cobros[[#This Row],[Fecha Cargo]])</f>
        <v>46212</v>
      </c>
      <c r="K298" s="54">
        <f>INT(Cobros[[#This Row],[Fecha Aplicacion]])</f>
        <v>46212</v>
      </c>
      <c r="L298" s="55">
        <f>INDEX(Clientes[Días Plazo],MATCH(Cobros[[#This Row],[Cod. Cliente]],Clientes[Codigo],0),1)</f>
        <v>0</v>
      </c>
      <c r="M298" s="45" t="str">
        <f>IF(Cobros[[#This Row],[Dias de Credito]]&lt;=0,"Contado","Credito")</f>
        <v>Contado</v>
      </c>
      <c r="N298" s="45">
        <f>Cobros[[#This Row],[Fecha Aplicación S]]-Cobros[[#This Row],[Fecha Cargo S]]</f>
        <v>0</v>
      </c>
      <c r="O298" s="45">
        <f>Cobros[[#This Row],[Dias al pago]]-Cobros[[#This Row],[Dias de Credito]]</f>
        <v>0</v>
      </c>
      <c r="P298" s="45">
        <f>SUMIFS(TablaDias[Porcentaje],TablaDias[Tipo],Cobros[[#This Row],[Tipo]],TablaDias[Desde ],"&lt;="&amp;MAX(0,Cobros[[#This Row],[Dias pasado]]),TablaDias[Hasta ],"&gt;="&amp;Cobros[[#This Row],[Dias pasado]])</f>
        <v>100</v>
      </c>
      <c r="Q2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8">
        <f>IF(COUNTIF(PAPEL[Numero],Cobros[[#This Row],[Doc. Cargo]])&gt;0,1,0)</f>
        <v>0</v>
      </c>
      <c r="S298" s="46">
        <f t="array" ref="S2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98" s="46">
        <f t="array" ref="T298">INDEX(Ventas[[Unidades]:[2]],MATCH("Gerente de Venta",Ventas[Vendedor %],0),6+Cobros[[#This Row],[Mes]])</f>
        <v>0.005</v>
      </c>
      <c r="U298" s="34">
        <f>IF(Cobros[[#This Row],[Tipo]]="Credito",IF(60&gt;=Cobros[[#This Row],[Dias al pago]],1,0),IF(Cobros[[#This Row],[Dias al pago]]&lt;=3,1,0))</f>
        <v>1</v>
      </c>
      <c r="V298" s="46">
        <f>(Cobros[[#This Row],[% A pagar Vendedor]]/100)*Cobros[[#This Row],[Valor Pagado]]*Cobros[[#This Row],[Vencido]]*(Cobros[[#This Row],[% aplicar]]/100)*IF(Cobros[[#This Row],[% A pagar Vendedor]]&gt;0,1,0)</f>
        <v>2.14</v>
      </c>
      <c r="W298" s="46">
        <f>0.5%*Cobros[[#This Row],[Valor Pagado]]</f>
        <v>1.07</v>
      </c>
    </row>
    <row r="299" ht="30" spans="1:23">
      <c r="A299" s="49" t="s">
        <v>3884</v>
      </c>
      <c r="B299" s="49" t="s">
        <v>4334</v>
      </c>
      <c r="C299" s="49" t="s">
        <v>1006</v>
      </c>
      <c r="D299" s="49" t="s">
        <v>1007</v>
      </c>
      <c r="E299" s="49" t="s">
        <v>4335</v>
      </c>
      <c r="F299" s="51">
        <v>46212</v>
      </c>
      <c r="G299" s="49">
        <v>37.5</v>
      </c>
      <c r="H299" s="49" t="s">
        <v>22</v>
      </c>
      <c r="I299" s="51">
        <v>46212</v>
      </c>
      <c r="J299" s="54">
        <f>INT(Cobros[[#This Row],[Fecha Cargo]])</f>
        <v>46212</v>
      </c>
      <c r="K299" s="54">
        <f>INT(Cobros[[#This Row],[Fecha Aplicacion]])</f>
        <v>46212</v>
      </c>
      <c r="L299" s="55">
        <v>30</v>
      </c>
      <c r="M299" s="45" t="str">
        <f>IF(Cobros[[#This Row],[Dias de Credito]]&lt;=0,"Contado","Credito")</f>
        <v>Credito</v>
      </c>
      <c r="N299" s="45">
        <f>Cobros[[#This Row],[Fecha Aplicación S]]-Cobros[[#This Row],[Fecha Cargo S]]</f>
        <v>0</v>
      </c>
      <c r="O299" s="45">
        <f>Cobros[[#This Row],[Dias al pago]]-Cobros[[#This Row],[Dias de Credito]]</f>
        <v>-30</v>
      </c>
      <c r="P299" s="45">
        <f>SUMIFS(TablaDias[Porcentaje],TablaDias[Tipo],Cobros[[#This Row],[Tipo]],TablaDias[Desde ],"&lt;="&amp;MAX(0,Cobros[[#This Row],[Dias pasado]]),TablaDias[Hasta ],"&gt;="&amp;Cobros[[#This Row],[Dias pasado]])</f>
        <v>100</v>
      </c>
      <c r="Q2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299">
        <f>IF(COUNTIF(PAPEL[Numero],Cobros[[#This Row],[Doc. Cargo]])&gt;0,1,0)</f>
        <v>0</v>
      </c>
      <c r="S299" s="46">
        <f t="array" ref="S2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299" s="46">
        <f t="array" ref="T299">INDEX(Ventas[[Unidades]:[2]],MATCH("Gerente de Venta",Ventas[Vendedor %],0),6+Cobros[[#This Row],[Mes]])</f>
        <v>0.005</v>
      </c>
      <c r="U299" s="34">
        <f>IF(Cobros[[#This Row],[Tipo]]="Credito",IF(60&gt;=Cobros[[#This Row],[Dias al pago]],1,0),IF(Cobros[[#This Row],[Dias al pago]]&lt;=3,1,0))</f>
        <v>1</v>
      </c>
      <c r="V299" s="46">
        <f>(Cobros[[#This Row],[% A pagar Vendedor]]/100)*Cobros[[#This Row],[Valor Pagado]]*Cobros[[#This Row],[Vencido]]*(Cobros[[#This Row],[% aplicar]]/100)*IF(Cobros[[#This Row],[% A pagar Vendedor]]&gt;0,1,0)</f>
        <v>0.375</v>
      </c>
      <c r="W299" s="46">
        <f>0.5%*Cobros[[#This Row],[Valor Pagado]]</f>
        <v>0.1875</v>
      </c>
    </row>
    <row r="300" ht="30" spans="1:23">
      <c r="A300" s="49" t="s">
        <v>3904</v>
      </c>
      <c r="B300" s="49" t="s">
        <v>4336</v>
      </c>
      <c r="C300" s="49" t="s">
        <v>1006</v>
      </c>
      <c r="D300" s="49" t="s">
        <v>1007</v>
      </c>
      <c r="E300" s="49" t="s">
        <v>4337</v>
      </c>
      <c r="F300" s="51">
        <v>46206</v>
      </c>
      <c r="G300" s="49">
        <v>882.12</v>
      </c>
      <c r="H300" s="49" t="s">
        <v>22</v>
      </c>
      <c r="I300" s="51">
        <v>46206</v>
      </c>
      <c r="J300" s="54">
        <f>INT(Cobros[[#This Row],[Fecha Cargo]])</f>
        <v>46206</v>
      </c>
      <c r="K300" s="54">
        <f>INT(Cobros[[#This Row],[Fecha Aplicacion]])</f>
        <v>46206</v>
      </c>
      <c r="L300" s="55">
        <f>INDEX(Clientes[Días Plazo],MATCH(Cobros[[#This Row],[Cod. Cliente]],Clientes[Codigo],0),1)</f>
        <v>0</v>
      </c>
      <c r="M300" s="45" t="str">
        <f>IF(Cobros[[#This Row],[Dias de Credito]]&lt;=0,"Contado","Credito")</f>
        <v>Contado</v>
      </c>
      <c r="N300" s="45">
        <f>Cobros[[#This Row],[Fecha Aplicación S]]-Cobros[[#This Row],[Fecha Cargo S]]</f>
        <v>0</v>
      </c>
      <c r="O300" s="45">
        <f>Cobros[[#This Row],[Dias al pago]]-Cobros[[#This Row],[Dias de Credito]]</f>
        <v>0</v>
      </c>
      <c r="P300" s="45">
        <f>SUMIFS(TablaDias[Porcentaje],TablaDias[Tipo],Cobros[[#This Row],[Tipo]],TablaDias[Desde ],"&lt;="&amp;MAX(0,Cobros[[#This Row],[Dias pasado]]),TablaDias[Hasta ],"&gt;="&amp;Cobros[[#This Row],[Dias pasado]])</f>
        <v>100</v>
      </c>
      <c r="Q3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00">
        <f>IF(COUNTIF(PAPEL[Numero],Cobros[[#This Row],[Doc. Cargo]])&gt;0,1,0)</f>
        <v>0</v>
      </c>
      <c r="S300" s="46">
        <f t="array" ref="S3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0" s="46">
        <f t="array" ref="T300">INDEX(Ventas[[Unidades]:[2]],MATCH("Gerente de Venta",Ventas[Vendedor %],0),6+Cobros[[#This Row],[Mes]])</f>
        <v>0.005</v>
      </c>
      <c r="U300" s="34">
        <f>IF(Cobros[[#This Row],[Tipo]]="Credito",IF(60&gt;=Cobros[[#This Row],[Dias al pago]],1,0),IF(Cobros[[#This Row],[Dias al pago]]&lt;=3,1,0))</f>
        <v>1</v>
      </c>
      <c r="V300" s="46">
        <f>(Cobros[[#This Row],[% A pagar Vendedor]]/100)*Cobros[[#This Row],[Valor Pagado]]*Cobros[[#This Row],[Vencido]]*(Cobros[[#This Row],[% aplicar]]/100)*IF(Cobros[[#This Row],[% A pagar Vendedor]]&gt;0,1,0)</f>
        <v>8.8212</v>
      </c>
      <c r="W300" s="46">
        <f>0.5%*Cobros[[#This Row],[Valor Pagado]]</f>
        <v>4.4106</v>
      </c>
    </row>
    <row r="301" ht="30" spans="1:23">
      <c r="A301" s="49" t="s">
        <v>3904</v>
      </c>
      <c r="B301" s="49" t="s">
        <v>4106</v>
      </c>
      <c r="C301" s="49" t="s">
        <v>1006</v>
      </c>
      <c r="D301" s="49" t="s">
        <v>1007</v>
      </c>
      <c r="E301" s="49" t="s">
        <v>4337</v>
      </c>
      <c r="F301" s="51">
        <v>46206</v>
      </c>
      <c r="G301" s="49">
        <v>44.95</v>
      </c>
      <c r="H301" s="49" t="s">
        <v>22</v>
      </c>
      <c r="I301" s="51">
        <v>46206</v>
      </c>
      <c r="J301" s="54">
        <f>INT(Cobros[[#This Row],[Fecha Cargo]])</f>
        <v>46206</v>
      </c>
      <c r="K301" s="54">
        <f>INT(Cobros[[#This Row],[Fecha Aplicacion]])</f>
        <v>46206</v>
      </c>
      <c r="L301" s="55">
        <f>INDEX(Clientes[Días Plazo],MATCH(Cobros[[#This Row],[Cod. Cliente]],Clientes[Codigo],0),1)</f>
        <v>0</v>
      </c>
      <c r="M301" s="45" t="str">
        <f>IF(Cobros[[#This Row],[Dias de Credito]]&lt;=0,"Contado","Credito")</f>
        <v>Contado</v>
      </c>
      <c r="N301" s="45">
        <f>Cobros[[#This Row],[Fecha Aplicación S]]-Cobros[[#This Row],[Fecha Cargo S]]</f>
        <v>0</v>
      </c>
      <c r="O301" s="45">
        <f>Cobros[[#This Row],[Dias al pago]]-Cobros[[#This Row],[Dias de Credito]]</f>
        <v>0</v>
      </c>
      <c r="P301" s="45">
        <f>SUMIFS(TablaDias[Porcentaje],TablaDias[Tipo],Cobros[[#This Row],[Tipo]],TablaDias[Desde ],"&lt;="&amp;MAX(0,Cobros[[#This Row],[Dias pasado]]),TablaDias[Hasta ],"&gt;="&amp;Cobros[[#This Row],[Dias pasado]])</f>
        <v>100</v>
      </c>
      <c r="Q30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01">
        <f>IF(COUNTIF(PAPEL[Numero],Cobros[[#This Row],[Doc. Cargo]])&gt;0,1,0)</f>
        <v>0</v>
      </c>
      <c r="S301" s="46">
        <f t="array" ref="S3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1" s="46">
        <f t="array" ref="T301">INDEX(Ventas[[Unidades]:[2]],MATCH("Gerente de Venta",Ventas[Vendedor %],0),6+Cobros[[#This Row],[Mes]])</f>
        <v>0.005</v>
      </c>
      <c r="U301" s="34">
        <f>IF(Cobros[[#This Row],[Tipo]]="Credito",IF(60&gt;=Cobros[[#This Row],[Dias al pago]],1,0),IF(Cobros[[#This Row],[Dias al pago]]&lt;=3,1,0))</f>
        <v>1</v>
      </c>
      <c r="V301" s="46">
        <f>(Cobros[[#This Row],[% A pagar Vendedor]]/100)*Cobros[[#This Row],[Valor Pagado]]*Cobros[[#This Row],[Vencido]]*(Cobros[[#This Row],[% aplicar]]/100)*IF(Cobros[[#This Row],[% A pagar Vendedor]]&gt;0,1,0)</f>
        <v>0.4495</v>
      </c>
      <c r="W301" s="46">
        <f>0.5%*Cobros[[#This Row],[Valor Pagado]]</f>
        <v>0.22475</v>
      </c>
    </row>
    <row r="302" spans="1:23">
      <c r="A302" s="49" t="s">
        <v>3860</v>
      </c>
      <c r="B302" s="49" t="s">
        <v>4338</v>
      </c>
      <c r="C302" s="49" t="s">
        <v>912</v>
      </c>
      <c r="D302" s="49" t="s">
        <v>913</v>
      </c>
      <c r="E302" s="49" t="s">
        <v>4339</v>
      </c>
      <c r="F302" s="51">
        <v>46212</v>
      </c>
      <c r="G302" s="49">
        <v>481</v>
      </c>
      <c r="H302" s="49" t="s">
        <v>20</v>
      </c>
      <c r="I302" s="51">
        <v>46212</v>
      </c>
      <c r="J302" s="54">
        <f>INT(Cobros[[#This Row],[Fecha Cargo]])</f>
        <v>46212</v>
      </c>
      <c r="K302" s="54">
        <f>INT(Cobros[[#This Row],[Fecha Aplicacion]])</f>
        <v>46212</v>
      </c>
      <c r="L302" s="55">
        <f>INDEX(Clientes[Días Plazo],MATCH(Cobros[[#This Row],[Cod. Cliente]],Clientes[Codigo],0),1)</f>
        <v>0</v>
      </c>
      <c r="M302" s="45" t="str">
        <f>IF(Cobros[[#This Row],[Dias de Credito]]&lt;=0,"Contado","Credito")</f>
        <v>Contado</v>
      </c>
      <c r="N302" s="45">
        <f>Cobros[[#This Row],[Fecha Aplicación S]]-Cobros[[#This Row],[Fecha Cargo S]]</f>
        <v>0</v>
      </c>
      <c r="O302" s="45">
        <f>Cobros[[#This Row],[Dias al pago]]-Cobros[[#This Row],[Dias de Credito]]</f>
        <v>0</v>
      </c>
      <c r="P302" s="45">
        <f>SUMIFS(TablaDias[Porcentaje],TablaDias[Tipo],Cobros[[#This Row],[Tipo]],TablaDias[Desde ],"&lt;="&amp;MAX(0,Cobros[[#This Row],[Dias pasado]]),TablaDias[Hasta ],"&gt;="&amp;Cobros[[#This Row],[Dias pasado]])</f>
        <v>100</v>
      </c>
      <c r="Q3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02">
        <f>IF(COUNTIF(PAPEL[Numero],Cobros[[#This Row],[Doc. Cargo]])&gt;0,1,0)</f>
        <v>0</v>
      </c>
      <c r="S302" s="46">
        <f t="array" ref="S3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02" s="46">
        <f t="array" ref="T302">INDEX(Ventas[[Unidades]:[2]],MATCH("Gerente de Venta",Ventas[Vendedor %],0),6+Cobros[[#This Row],[Mes]])</f>
        <v>0.005</v>
      </c>
      <c r="U302" s="34">
        <f>IF(Cobros[[#This Row],[Tipo]]="Credito",IF(60&gt;=Cobros[[#This Row],[Dias al pago]],1,0),IF(Cobros[[#This Row],[Dias al pago]]&lt;=3,1,0))</f>
        <v>1</v>
      </c>
      <c r="V302" s="46">
        <f>(Cobros[[#This Row],[% A pagar Vendedor]]/100)*Cobros[[#This Row],[Valor Pagado]]*Cobros[[#This Row],[Vencido]]*(Cobros[[#This Row],[% aplicar]]/100)*IF(Cobros[[#This Row],[% A pagar Vendedor]]&gt;0,1,0)</f>
        <v>6.0125</v>
      </c>
      <c r="W302" s="46">
        <f>0.5%*Cobros[[#This Row],[Valor Pagado]]</f>
        <v>2.405</v>
      </c>
    </row>
    <row r="303" spans="1:23">
      <c r="A303" s="49" t="s">
        <v>3954</v>
      </c>
      <c r="B303" s="49" t="s">
        <v>4340</v>
      </c>
      <c r="C303" s="49" t="s">
        <v>3145</v>
      </c>
      <c r="D303" s="49" t="s">
        <v>3146</v>
      </c>
      <c r="E303" s="49" t="s">
        <v>4341</v>
      </c>
      <c r="F303" s="51">
        <v>46181</v>
      </c>
      <c r="G303" s="49">
        <v>481</v>
      </c>
      <c r="H303" s="49" t="s">
        <v>16</v>
      </c>
      <c r="I303" s="51">
        <v>46213</v>
      </c>
      <c r="J303" s="54">
        <f>INT(Cobros[[#This Row],[Fecha Cargo]])</f>
        <v>46181</v>
      </c>
      <c r="K303" s="54">
        <f>INT(Cobros[[#This Row],[Fecha Aplicacion]])</f>
        <v>46213</v>
      </c>
      <c r="L303" s="55" t="str">
        <f>INDEX(Clientes[Días Plazo],MATCH(Cobros[[#This Row],[Cod. Cliente]],Clientes[Codigo],0),1)</f>
        <v>15</v>
      </c>
      <c r="M303" s="45" t="str">
        <f>IF(Cobros[[#This Row],[Dias de Credito]]&lt;=0,"Contado","Credito")</f>
        <v>Credito</v>
      </c>
      <c r="N303" s="45">
        <f>Cobros[[#This Row],[Fecha Aplicación S]]-Cobros[[#This Row],[Fecha Cargo S]]</f>
        <v>32</v>
      </c>
      <c r="O303" s="45">
        <f>Cobros[[#This Row],[Dias al pago]]-Cobros[[#This Row],[Dias de Credito]]</f>
        <v>17</v>
      </c>
      <c r="P303" s="45">
        <f>SUMIFS(TablaDias[Porcentaje],TablaDias[Tipo],Cobros[[#This Row],[Tipo]],TablaDias[Desde ],"&lt;="&amp;MAX(0,Cobros[[#This Row],[Dias pasado]]),TablaDias[Hasta ],"&gt;="&amp;Cobros[[#This Row],[Dias pasado]])</f>
        <v>50</v>
      </c>
      <c r="Q3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3">
        <f>IF(COUNTIF(PAPEL[Numero],Cobros[[#This Row],[Doc. Cargo]])&gt;0,1,0)</f>
        <v>0</v>
      </c>
      <c r="S303" s="46">
        <f t="array" ref="S3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3" s="47">
        <v>0.005</v>
      </c>
      <c r="U303" s="34">
        <f>IF(Cobros[[#This Row],[Tipo]]="Credito",IF(60&gt;=Cobros[[#This Row],[Dias al pago]],1,0),IF(Cobros[[#This Row],[Dias al pago]]&lt;=3,1,0))</f>
        <v>1</v>
      </c>
      <c r="V303" s="46">
        <f>(Cobros[[#This Row],[% A pagar Vendedor]]/100)*Cobros[[#This Row],[Valor Pagado]]*Cobros[[#This Row],[Vencido]]*(Cobros[[#This Row],[% aplicar]]/100)*IF(Cobros[[#This Row],[% A pagar Vendedor]]&gt;0,1,0)</f>
        <v>2.405</v>
      </c>
      <c r="W303" s="46">
        <f>0.5%*Cobros[[#This Row],[Valor Pagado]]</f>
        <v>2.405</v>
      </c>
    </row>
    <row r="304" spans="1:23">
      <c r="A304" s="49" t="s">
        <v>3954</v>
      </c>
      <c r="B304" s="49" t="s">
        <v>4340</v>
      </c>
      <c r="C304" s="49" t="s">
        <v>3145</v>
      </c>
      <c r="D304" s="49" t="s">
        <v>3146</v>
      </c>
      <c r="E304" s="49" t="s">
        <v>4342</v>
      </c>
      <c r="F304" s="51">
        <v>46181</v>
      </c>
      <c r="G304" s="49">
        <v>1358</v>
      </c>
      <c r="H304" s="49" t="s">
        <v>16</v>
      </c>
      <c r="I304" s="51">
        <v>46213</v>
      </c>
      <c r="J304" s="54">
        <f>INT(Cobros[[#This Row],[Fecha Cargo]])</f>
        <v>46181</v>
      </c>
      <c r="K304" s="54">
        <f>INT(Cobros[[#This Row],[Fecha Aplicacion]])</f>
        <v>46213</v>
      </c>
      <c r="L304" s="55" t="str">
        <f>INDEX(Clientes[Días Plazo],MATCH(Cobros[[#This Row],[Cod. Cliente]],Clientes[Codigo],0),1)</f>
        <v>15</v>
      </c>
      <c r="M304" s="45" t="str">
        <f>IF(Cobros[[#This Row],[Dias de Credito]]&lt;=0,"Contado","Credito")</f>
        <v>Credito</v>
      </c>
      <c r="N304" s="45">
        <f>Cobros[[#This Row],[Fecha Aplicación S]]-Cobros[[#This Row],[Fecha Cargo S]]</f>
        <v>32</v>
      </c>
      <c r="O304" s="45">
        <f>Cobros[[#This Row],[Dias al pago]]-Cobros[[#This Row],[Dias de Credito]]</f>
        <v>17</v>
      </c>
      <c r="P304" s="45">
        <f>SUMIFS(TablaDias[Porcentaje],TablaDias[Tipo],Cobros[[#This Row],[Tipo]],TablaDias[Desde ],"&lt;="&amp;MAX(0,Cobros[[#This Row],[Dias pasado]]),TablaDias[Hasta ],"&gt;="&amp;Cobros[[#This Row],[Dias pasado]])</f>
        <v>50</v>
      </c>
      <c r="Q3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4">
        <f>IF(COUNTIF(PAPEL[Numero],Cobros[[#This Row],[Doc. Cargo]])&gt;0,1,0)</f>
        <v>0</v>
      </c>
      <c r="S304" s="46">
        <f t="array" ref="S3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4" s="47">
        <v>0.005</v>
      </c>
      <c r="U304" s="34">
        <f>IF(Cobros[[#This Row],[Tipo]]="Credito",IF(60&gt;=Cobros[[#This Row],[Dias al pago]],1,0),IF(Cobros[[#This Row],[Dias al pago]]&lt;=3,1,0))</f>
        <v>1</v>
      </c>
      <c r="V304" s="46">
        <f>(Cobros[[#This Row],[% A pagar Vendedor]]/100)*Cobros[[#This Row],[Valor Pagado]]*Cobros[[#This Row],[Vencido]]*(Cobros[[#This Row],[% aplicar]]/100)*IF(Cobros[[#This Row],[% A pagar Vendedor]]&gt;0,1,0)</f>
        <v>6.79</v>
      </c>
      <c r="W304" s="46">
        <f>0.5%*Cobros[[#This Row],[Valor Pagado]]</f>
        <v>6.79</v>
      </c>
    </row>
    <row r="305" spans="1:23">
      <c r="A305" s="49" t="s">
        <v>3954</v>
      </c>
      <c r="B305" s="49" t="s">
        <v>4340</v>
      </c>
      <c r="C305" s="49" t="s">
        <v>3145</v>
      </c>
      <c r="D305" s="49" t="s">
        <v>3146</v>
      </c>
      <c r="E305" s="49" t="s">
        <v>4343</v>
      </c>
      <c r="F305" s="51">
        <v>46185</v>
      </c>
      <c r="G305" s="49">
        <v>564.35</v>
      </c>
      <c r="H305" s="49" t="s">
        <v>16</v>
      </c>
      <c r="I305" s="51">
        <v>46213</v>
      </c>
      <c r="J305" s="54">
        <f>INT(Cobros[[#This Row],[Fecha Cargo]])</f>
        <v>46185</v>
      </c>
      <c r="K305" s="54">
        <f>INT(Cobros[[#This Row],[Fecha Aplicacion]])</f>
        <v>46213</v>
      </c>
      <c r="L305" s="55" t="str">
        <f>INDEX(Clientes[Días Plazo],MATCH(Cobros[[#This Row],[Cod. Cliente]],Clientes[Codigo],0),1)</f>
        <v>15</v>
      </c>
      <c r="M305" s="45" t="str">
        <f>IF(Cobros[[#This Row],[Dias de Credito]]&lt;=0,"Contado","Credito")</f>
        <v>Credito</v>
      </c>
      <c r="N305" s="45">
        <f>Cobros[[#This Row],[Fecha Aplicación S]]-Cobros[[#This Row],[Fecha Cargo S]]</f>
        <v>28</v>
      </c>
      <c r="O305" s="45">
        <f>Cobros[[#This Row],[Dias al pago]]-Cobros[[#This Row],[Dias de Credito]]</f>
        <v>13</v>
      </c>
      <c r="P305" s="45">
        <f>SUMIFS(TablaDias[Porcentaje],TablaDias[Tipo],Cobros[[#This Row],[Tipo]],TablaDias[Desde ],"&lt;="&amp;MAX(0,Cobros[[#This Row],[Dias pasado]]),TablaDias[Hasta ],"&gt;="&amp;Cobros[[#This Row],[Dias pasado]])</f>
        <v>100</v>
      </c>
      <c r="Q3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5">
        <f>IF(COUNTIF(PAPEL[Numero],Cobros[[#This Row],[Doc. Cargo]])&gt;0,1,0)</f>
        <v>0</v>
      </c>
      <c r="S305" s="46">
        <f t="array" ref="S3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5" s="47">
        <v>0.005</v>
      </c>
      <c r="U305" s="34">
        <f>IF(Cobros[[#This Row],[Tipo]]="Credito",IF(60&gt;=Cobros[[#This Row],[Dias al pago]],1,0),IF(Cobros[[#This Row],[Dias al pago]]&lt;=3,1,0))</f>
        <v>1</v>
      </c>
      <c r="V305" s="46">
        <f>(Cobros[[#This Row],[% A pagar Vendedor]]/100)*Cobros[[#This Row],[Valor Pagado]]*Cobros[[#This Row],[Vencido]]*(Cobros[[#This Row],[% aplicar]]/100)*IF(Cobros[[#This Row],[% A pagar Vendedor]]&gt;0,1,0)</f>
        <v>5.6435</v>
      </c>
      <c r="W305" s="46">
        <f>0.5%*Cobros[[#This Row],[Valor Pagado]]</f>
        <v>2.82175</v>
      </c>
    </row>
    <row r="306" spans="1:23">
      <c r="A306" s="49" t="s">
        <v>3954</v>
      </c>
      <c r="B306" s="49" t="s">
        <v>4344</v>
      </c>
      <c r="C306" s="49" t="s">
        <v>148</v>
      </c>
      <c r="D306" s="49" t="s">
        <v>149</v>
      </c>
      <c r="E306" s="49" t="s">
        <v>4345</v>
      </c>
      <c r="F306" s="51">
        <v>46162</v>
      </c>
      <c r="G306" s="49">
        <v>4788.6</v>
      </c>
      <c r="H306" s="49" t="s">
        <v>18</v>
      </c>
      <c r="I306" s="51">
        <v>46213</v>
      </c>
      <c r="J306" s="54">
        <f>INT(Cobros[[#This Row],[Fecha Cargo]])</f>
        <v>46162</v>
      </c>
      <c r="K306" s="54">
        <f>INT(Cobros[[#This Row],[Fecha Aplicacion]])</f>
        <v>46213</v>
      </c>
      <c r="L306" s="55" t="str">
        <f>INDEX(Clientes[Días Plazo],MATCH(Cobros[[#This Row],[Cod. Cliente]],Clientes[Codigo],0),1)</f>
        <v>45</v>
      </c>
      <c r="M306" s="45" t="str">
        <f>IF(Cobros[[#This Row],[Dias de Credito]]&lt;=0,"Contado","Credito")</f>
        <v>Credito</v>
      </c>
      <c r="N306" s="45">
        <f>Cobros[[#This Row],[Fecha Aplicación S]]-Cobros[[#This Row],[Fecha Cargo S]]</f>
        <v>51</v>
      </c>
      <c r="O306" s="45">
        <f>Cobros[[#This Row],[Dias al pago]]-Cobros[[#This Row],[Dias de Credito]]</f>
        <v>6</v>
      </c>
      <c r="P306" s="45">
        <f>SUMIFS(TablaDias[Porcentaje],TablaDias[Tipo],Cobros[[#This Row],[Tipo]],TablaDias[Desde ],"&lt;="&amp;MAX(0,Cobros[[#This Row],[Dias pasado]]),TablaDias[Hasta ],"&gt;="&amp;Cobros[[#This Row],[Dias pasado]])</f>
        <v>100</v>
      </c>
      <c r="Q3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06">
        <f>IF(COUNTIF(PAPEL[Numero],Cobros[[#This Row],[Doc. Cargo]])&gt;0,1,0)</f>
        <v>0</v>
      </c>
      <c r="S306" s="46">
        <v>1</v>
      </c>
      <c r="T306" s="46">
        <f t="array" ref="T306">INDEX(Ventas[[Unidades]:[2]],MATCH("Gerente de Venta",Ventas[Vendedor %],0),6+Cobros[[#This Row],[Mes]])</f>
        <v>0.005</v>
      </c>
      <c r="U306" s="34">
        <f>IF(Cobros[[#This Row],[Tipo]]="Credito",IF(60&gt;=Cobros[[#This Row],[Dias al pago]],1,0),IF(Cobros[[#This Row],[Dias al pago]]&lt;=3,1,0))</f>
        <v>1</v>
      </c>
      <c r="V306" s="46">
        <f>(Cobros[[#This Row],[% A pagar Vendedor]]/100)*Cobros[[#This Row],[Valor Pagado]]*Cobros[[#This Row],[Vencido]]*(Cobros[[#This Row],[% aplicar]]/100)*IF(Cobros[[#This Row],[% A pagar Vendedor]]&gt;0,1,0)</f>
        <v>47.886</v>
      </c>
      <c r="W306" s="46">
        <f>0.5%*Cobros[[#This Row],[Valor Pagado]]</f>
        <v>23.943</v>
      </c>
    </row>
    <row r="307" spans="1:24">
      <c r="A307" s="49" t="s">
        <v>3954</v>
      </c>
      <c r="B307" s="49" t="s">
        <v>4344</v>
      </c>
      <c r="C307" s="49" t="s">
        <v>148</v>
      </c>
      <c r="D307" s="49" t="s">
        <v>149</v>
      </c>
      <c r="E307" s="49" t="s">
        <v>4346</v>
      </c>
      <c r="F307" s="51">
        <v>46181</v>
      </c>
      <c r="G307" s="49">
        <v>41.4</v>
      </c>
      <c r="H307" s="49" t="s">
        <v>18</v>
      </c>
      <c r="I307" s="51">
        <v>46213</v>
      </c>
      <c r="J307" s="54">
        <f>INT(Cobros[[#This Row],[Fecha Cargo]])</f>
        <v>46181</v>
      </c>
      <c r="K307" s="54">
        <f>INT(Cobros[[#This Row],[Fecha Aplicacion]])</f>
        <v>46213</v>
      </c>
      <c r="L307" s="55" t="str">
        <f>INDEX(Clientes[Días Plazo],MATCH(Cobros[[#This Row],[Cod. Cliente]],Clientes[Codigo],0),1)</f>
        <v>45</v>
      </c>
      <c r="M307" s="45" t="str">
        <f>IF(Cobros[[#This Row],[Dias de Credito]]&lt;=0,"Contado","Credito")</f>
        <v>Credito</v>
      </c>
      <c r="N307" s="45">
        <f>Cobros[[#This Row],[Fecha Aplicación S]]-Cobros[[#This Row],[Fecha Cargo S]]</f>
        <v>32</v>
      </c>
      <c r="O307" s="45">
        <f>Cobros[[#This Row],[Dias al pago]]-Cobros[[#This Row],[Dias de Credito]]</f>
        <v>-13</v>
      </c>
      <c r="P307" s="45">
        <f>SUMIFS(TablaDias[Porcentaje],TablaDias[Tipo],Cobros[[#This Row],[Tipo]],TablaDias[Desde ],"&lt;="&amp;MAX(0,Cobros[[#This Row],[Dias pasado]]),TablaDias[Hasta ],"&gt;="&amp;Cobros[[#This Row],[Dias pasado]])</f>
        <v>100</v>
      </c>
      <c r="Q3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7">
        <f>IF(COUNTIF(PAPEL[Numero],Cobros[[#This Row],[Doc. Cargo]])&gt;0,1,0)</f>
        <v>0</v>
      </c>
      <c r="S307" s="46">
        <f t="array" ref="S3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7" s="46">
        <f t="array" ref="T307">INDEX(Ventas[[Unidades]:[2]],MATCH("Gerente de Venta",Ventas[Vendedor %],0),6+Cobros[[#This Row],[Mes]])</f>
        <v>0.005</v>
      </c>
      <c r="U307" s="34">
        <f>IF(Cobros[[#This Row],[Tipo]]="Credito",IF(60&gt;=Cobros[[#This Row],[Dias al pago]],1,0),IF(Cobros[[#This Row],[Dias al pago]]&lt;=3,1,0))</f>
        <v>1</v>
      </c>
      <c r="V307" s="46">
        <f>(Cobros[[#This Row],[% A pagar Vendedor]]/100)*Cobros[[#This Row],[Valor Pagado]]*Cobros[[#This Row],[Vencido]]*(Cobros[[#This Row],[% aplicar]]/100)*IF(Cobros[[#This Row],[% A pagar Vendedor]]&gt;0,1,0)</f>
        <v>0.414</v>
      </c>
      <c r="W307" s="46">
        <f>0.5%*Cobros[[#This Row],[Valor Pagado]]</f>
        <v>0.207</v>
      </c>
      <c r="X307" s="34"/>
    </row>
    <row r="308" spans="1:24">
      <c r="A308" s="49" t="s">
        <v>3954</v>
      </c>
      <c r="B308" s="49" t="s">
        <v>4347</v>
      </c>
      <c r="C308" s="49" t="s">
        <v>3531</v>
      </c>
      <c r="D308" s="49" t="s">
        <v>3532</v>
      </c>
      <c r="E308" s="49" t="s">
        <v>4348</v>
      </c>
      <c r="F308" s="51">
        <v>46169</v>
      </c>
      <c r="G308" s="49">
        <v>0.5</v>
      </c>
      <c r="H308" s="49" t="s">
        <v>16</v>
      </c>
      <c r="I308" s="51">
        <v>46213</v>
      </c>
      <c r="J308" s="54">
        <f>INT(Cobros[[#This Row],[Fecha Cargo]])</f>
        <v>46169</v>
      </c>
      <c r="K308" s="54">
        <f>INT(Cobros[[#This Row],[Fecha Aplicacion]])</f>
        <v>46213</v>
      </c>
      <c r="L308" s="55" t="str">
        <f>INDEX(Clientes[Días Plazo],MATCH(Cobros[[#This Row],[Cod. Cliente]],Clientes[Codigo],0),1)</f>
        <v>15</v>
      </c>
      <c r="M308" s="45" t="str">
        <f>IF(Cobros[[#This Row],[Dias de Credito]]&lt;=0,"Contado","Credito")</f>
        <v>Credito</v>
      </c>
      <c r="N308" s="45">
        <f>Cobros[[#This Row],[Fecha Aplicación S]]-Cobros[[#This Row],[Fecha Cargo S]]</f>
        <v>44</v>
      </c>
      <c r="O308" s="45">
        <f>Cobros[[#This Row],[Dias al pago]]-Cobros[[#This Row],[Dias de Credito]]</f>
        <v>29</v>
      </c>
      <c r="P308" s="45">
        <f>SUMIFS(TablaDias[Porcentaje],TablaDias[Tipo],Cobros[[#This Row],[Tipo]],TablaDias[Desde ],"&lt;="&amp;MAX(0,Cobros[[#This Row],[Dias pasado]]),TablaDias[Hasta ],"&gt;="&amp;Cobros[[#This Row],[Dias pasado]])</f>
        <v>50</v>
      </c>
      <c r="Q3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08">
        <f>IF(COUNTIF(PAPEL[Numero],Cobros[[#This Row],[Doc. Cargo]])&gt;0,1,0)</f>
        <v>0</v>
      </c>
      <c r="S308" s="46">
        <f t="array" ref="S3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8" s="47">
        <v>0.005</v>
      </c>
      <c r="U308" s="34">
        <f>IF(Cobros[[#This Row],[Tipo]]="Credito",IF(60&gt;=Cobros[[#This Row],[Dias al pago]],1,0),IF(Cobros[[#This Row],[Dias al pago]]&lt;=3,1,0))</f>
        <v>1</v>
      </c>
      <c r="V308" s="46">
        <f>(Cobros[[#This Row],[% A pagar Vendedor]]/100)*Cobros[[#This Row],[Valor Pagado]]*Cobros[[#This Row],[Vencido]]*(Cobros[[#This Row],[% aplicar]]/100)*IF(Cobros[[#This Row],[% A pagar Vendedor]]&gt;0,1,0)</f>
        <v>0.0025</v>
      </c>
      <c r="W308" s="46">
        <f>0.5%*Cobros[[#This Row],[Valor Pagado]]</f>
        <v>0.0025</v>
      </c>
      <c r="X308" s="34"/>
    </row>
    <row r="309" spans="1:24">
      <c r="A309" s="49" t="s">
        <v>3954</v>
      </c>
      <c r="B309" s="49" t="s">
        <v>4347</v>
      </c>
      <c r="C309" s="49" t="s">
        <v>3531</v>
      </c>
      <c r="D309" s="49" t="s">
        <v>3532</v>
      </c>
      <c r="E309" s="49" t="s">
        <v>4349</v>
      </c>
      <c r="F309" s="51">
        <v>46183</v>
      </c>
      <c r="G309" s="49">
        <v>850</v>
      </c>
      <c r="H309" s="49" t="s">
        <v>16</v>
      </c>
      <c r="I309" s="51">
        <v>46213</v>
      </c>
      <c r="J309" s="54">
        <f>INT(Cobros[[#This Row],[Fecha Cargo]])</f>
        <v>46183</v>
      </c>
      <c r="K309" s="54">
        <f>INT(Cobros[[#This Row],[Fecha Aplicacion]])</f>
        <v>46213</v>
      </c>
      <c r="L309" s="55" t="str">
        <f>INDEX(Clientes[Días Plazo],MATCH(Cobros[[#This Row],[Cod. Cliente]],Clientes[Codigo],0),1)</f>
        <v>15</v>
      </c>
      <c r="M309" s="45" t="str">
        <f>IF(Cobros[[#This Row],[Dias de Credito]]&lt;=0,"Contado","Credito")</f>
        <v>Credito</v>
      </c>
      <c r="N309" s="45">
        <f>Cobros[[#This Row],[Fecha Aplicación S]]-Cobros[[#This Row],[Fecha Cargo S]]</f>
        <v>30</v>
      </c>
      <c r="O309" s="45">
        <f>Cobros[[#This Row],[Dias al pago]]-Cobros[[#This Row],[Dias de Credito]]</f>
        <v>15</v>
      </c>
      <c r="P309" s="45">
        <f>SUMIFS(TablaDias[Porcentaje],TablaDias[Tipo],Cobros[[#This Row],[Tipo]],TablaDias[Desde ],"&lt;="&amp;MAX(0,Cobros[[#This Row],[Dias pasado]]),TablaDias[Hasta ],"&gt;="&amp;Cobros[[#This Row],[Dias pasado]])</f>
        <v>100</v>
      </c>
      <c r="Q3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09">
        <f>IF(COUNTIF(PAPEL[Numero],Cobros[[#This Row],[Doc. Cargo]])&gt;0,1,0)</f>
        <v>0</v>
      </c>
      <c r="S309" s="46">
        <f t="array" ref="S3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09" s="47">
        <v>0.005</v>
      </c>
      <c r="U309" s="34">
        <f>IF(Cobros[[#This Row],[Tipo]]="Credito",IF(60&gt;=Cobros[[#This Row],[Dias al pago]],1,0),IF(Cobros[[#This Row],[Dias al pago]]&lt;=3,1,0))</f>
        <v>1</v>
      </c>
      <c r="V309" s="46">
        <f>(Cobros[[#This Row],[% A pagar Vendedor]]/100)*Cobros[[#This Row],[Valor Pagado]]*Cobros[[#This Row],[Vencido]]*(Cobros[[#This Row],[% aplicar]]/100)*IF(Cobros[[#This Row],[% A pagar Vendedor]]&gt;0,1,0)</f>
        <v>8.5</v>
      </c>
      <c r="W309" s="46">
        <f>0.5%*Cobros[[#This Row],[Valor Pagado]]</f>
        <v>4.25</v>
      </c>
      <c r="X309" s="34"/>
    </row>
    <row r="310" ht="30" spans="1:24">
      <c r="A310" s="49" t="s">
        <v>3954</v>
      </c>
      <c r="B310" s="49" t="s">
        <v>4350</v>
      </c>
      <c r="C310" s="49" t="s">
        <v>444</v>
      </c>
      <c r="D310" s="49" t="s">
        <v>445</v>
      </c>
      <c r="E310" s="49" t="s">
        <v>4351</v>
      </c>
      <c r="F310" s="51">
        <v>46210</v>
      </c>
      <c r="G310" s="49">
        <v>845</v>
      </c>
      <c r="H310" s="49" t="s">
        <v>3865</v>
      </c>
      <c r="I310" s="51">
        <v>46213</v>
      </c>
      <c r="J310" s="54">
        <f>INT(Cobros[[#This Row],[Fecha Cargo]])</f>
        <v>46210</v>
      </c>
      <c r="K310" s="54">
        <f>INT(Cobros[[#This Row],[Fecha Aplicacion]])</f>
        <v>46213</v>
      </c>
      <c r="L310" s="55">
        <f>INDEX(Clientes[Días Plazo],MATCH(Cobros[[#This Row],[Cod. Cliente]],Clientes[Codigo],0),1)</f>
        <v>0</v>
      </c>
      <c r="M310" s="45" t="str">
        <f>IF(Cobros[[#This Row],[Dias de Credito]]&lt;=0,"Contado","Credito")</f>
        <v>Contado</v>
      </c>
      <c r="N310" s="45">
        <f>Cobros[[#This Row],[Fecha Aplicación S]]-Cobros[[#This Row],[Fecha Cargo S]]</f>
        <v>3</v>
      </c>
      <c r="O310" s="45">
        <f>Cobros[[#This Row],[Dias al pago]]-Cobros[[#This Row],[Dias de Credito]]</f>
        <v>3</v>
      </c>
      <c r="P310" s="45">
        <f>SUMIFS(TablaDias[Porcentaje],TablaDias[Tipo],Cobros[[#This Row],[Tipo]],TablaDias[Desde ],"&lt;="&amp;MAX(0,Cobros[[#This Row],[Dias pasado]]),TablaDias[Hasta ],"&gt;="&amp;Cobros[[#This Row],[Dias pasado]])</f>
        <v>100</v>
      </c>
      <c r="Q3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10">
        <f>IF(COUNTIF(PAPEL[Numero],Cobros[[#This Row],[Doc. Cargo]])&gt;0,1,0)</f>
        <v>0</v>
      </c>
      <c r="S310" s="46">
        <v>1</v>
      </c>
      <c r="T310" s="46">
        <f t="array" ref="T310">INDEX(Ventas[[Unidades]:[2]],MATCH("Gerente de Venta",Ventas[Vendedor %],0),6+Cobros[[#This Row],[Mes]])</f>
        <v>0.005</v>
      </c>
      <c r="U310" s="34">
        <f>IF(Cobros[[#This Row],[Tipo]]="Credito",IF(60&gt;=Cobros[[#This Row],[Dias al pago]],1,0),IF(Cobros[[#This Row],[Dias al pago]]&lt;=3,1,0))</f>
        <v>1</v>
      </c>
      <c r="V310" s="46">
        <f>(Cobros[[#This Row],[% A pagar Vendedor]]/100)*Cobros[[#This Row],[Valor Pagado]]*Cobros[[#This Row],[Vencido]]*(Cobros[[#This Row],[% aplicar]]/100)*IF(Cobros[[#This Row],[% A pagar Vendedor]]&gt;0,1,0)</f>
        <v>8.45</v>
      </c>
      <c r="W310" s="46">
        <f>0.5%*Cobros[[#This Row],[Valor Pagado]]</f>
        <v>4.225</v>
      </c>
      <c r="X310" s="34"/>
    </row>
    <row r="311" spans="1:24">
      <c r="A311" s="49" t="s">
        <v>3931</v>
      </c>
      <c r="B311" s="49" t="s">
        <v>4352</v>
      </c>
      <c r="C311" s="49" t="s">
        <v>1504</v>
      </c>
      <c r="D311" s="49" t="s">
        <v>1505</v>
      </c>
      <c r="E311" s="49" t="s">
        <v>4353</v>
      </c>
      <c r="F311" s="51">
        <v>46212</v>
      </c>
      <c r="G311" s="49">
        <v>1899.86</v>
      </c>
      <c r="H311" s="49" t="s">
        <v>16</v>
      </c>
      <c r="I311" s="51">
        <v>46213</v>
      </c>
      <c r="J311" s="54">
        <f>INT(Cobros[[#This Row],[Fecha Cargo]])</f>
        <v>46212</v>
      </c>
      <c r="K311" s="54">
        <f>INT(Cobros[[#This Row],[Fecha Aplicacion]])</f>
        <v>46213</v>
      </c>
      <c r="L311" s="55">
        <f>INDEX(Clientes[Días Plazo],MATCH(Cobros[[#This Row],[Cod. Cliente]],Clientes[Codigo],0),1)</f>
        <v>0</v>
      </c>
      <c r="M311" s="45" t="str">
        <f>IF(Cobros[[#This Row],[Dias de Credito]]&lt;=0,"Contado","Credito")</f>
        <v>Contado</v>
      </c>
      <c r="N311" s="45">
        <f>Cobros[[#This Row],[Fecha Aplicación S]]-Cobros[[#This Row],[Fecha Cargo S]]</f>
        <v>1</v>
      </c>
      <c r="O311" s="45">
        <f>Cobros[[#This Row],[Dias al pago]]-Cobros[[#This Row],[Dias de Credito]]</f>
        <v>1</v>
      </c>
      <c r="P311" s="45">
        <f>SUMIFS(TablaDias[Porcentaje],TablaDias[Tipo],Cobros[[#This Row],[Tipo]],TablaDias[Desde ],"&lt;="&amp;MAX(0,Cobros[[#This Row],[Dias pasado]]),TablaDias[Hasta ],"&gt;="&amp;Cobros[[#This Row],[Dias pasado]])</f>
        <v>100</v>
      </c>
      <c r="Q3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11">
        <f>IF(COUNTIF(PAPEL[Numero],Cobros[[#This Row],[Doc. Cargo]])&gt;0,1,0)</f>
        <v>0</v>
      </c>
      <c r="S311" s="46">
        <f t="array" ref="S3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11" s="47">
        <v>0.005</v>
      </c>
      <c r="U311" s="34">
        <f>IF(Cobros[[#This Row],[Tipo]]="Credito",IF(60&gt;=Cobros[[#This Row],[Dias al pago]],1,0),IF(Cobros[[#This Row],[Dias al pago]]&lt;=3,1,0))</f>
        <v>1</v>
      </c>
      <c r="V311" s="46">
        <f>(Cobros[[#This Row],[% A pagar Vendedor]]/100)*Cobros[[#This Row],[Valor Pagado]]*Cobros[[#This Row],[Vencido]]*(Cobros[[#This Row],[% aplicar]]/100)*IF(Cobros[[#This Row],[% A pagar Vendedor]]&gt;0,1,0)</f>
        <v>23.74825</v>
      </c>
      <c r="W311" s="46">
        <f>0.5%*Cobros[[#This Row],[Valor Pagado]]</f>
        <v>9.4993</v>
      </c>
      <c r="X311" s="34"/>
    </row>
    <row r="312" ht="30" spans="1:24">
      <c r="A312" s="49" t="s">
        <v>3931</v>
      </c>
      <c r="B312" s="49" t="s">
        <v>4354</v>
      </c>
      <c r="C312" s="49" t="s">
        <v>2521</v>
      </c>
      <c r="D312" s="49" t="s">
        <v>2522</v>
      </c>
      <c r="E312" s="49" t="s">
        <v>4355</v>
      </c>
      <c r="F312" s="51">
        <v>46196</v>
      </c>
      <c r="G312" s="49">
        <v>2990</v>
      </c>
      <c r="H312" s="49" t="s">
        <v>22</v>
      </c>
      <c r="I312" s="51">
        <v>46213</v>
      </c>
      <c r="J312" s="54">
        <f>INT(Cobros[[#This Row],[Fecha Cargo]])</f>
        <v>46196</v>
      </c>
      <c r="K312" s="54">
        <f>INT(Cobros[[#This Row],[Fecha Aplicacion]])</f>
        <v>46213</v>
      </c>
      <c r="L312" s="65">
        <v>20</v>
      </c>
      <c r="M312" s="45" t="str">
        <f>IF(Cobros[[#This Row],[Dias de Credito]]&lt;=0,"Contado","Credito")</f>
        <v>Credito</v>
      </c>
      <c r="N312" s="45">
        <f>Cobros[[#This Row],[Fecha Aplicación S]]-Cobros[[#This Row],[Fecha Cargo S]]</f>
        <v>17</v>
      </c>
      <c r="O312" s="45">
        <f>Cobros[[#This Row],[Dias al pago]]-Cobros[[#This Row],[Dias de Credito]]</f>
        <v>-3</v>
      </c>
      <c r="P312" s="45">
        <f>SUMIFS(TablaDias[Porcentaje],TablaDias[Tipo],Cobros[[#This Row],[Tipo]],TablaDias[Desde ],"&lt;="&amp;MAX(0,Cobros[[#This Row],[Dias pasado]]),TablaDias[Hasta ],"&gt;="&amp;Cobros[[#This Row],[Dias pasado]])</f>
        <v>100</v>
      </c>
      <c r="Q3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12">
        <f>IF(COUNTIF(PAPEL[Numero],Cobros[[#This Row],[Doc. Cargo]])&gt;0,1,0)</f>
        <v>0</v>
      </c>
      <c r="S312" s="46">
        <v>1</v>
      </c>
      <c r="T312" s="46">
        <f t="array" ref="T312">INDEX(Ventas[[Unidades]:[2]],MATCH("Gerente de Venta",Ventas[Vendedor %],0),6+Cobros[[#This Row],[Mes]])</f>
        <v>0.005</v>
      </c>
      <c r="U312" s="34">
        <v>1</v>
      </c>
      <c r="V312" s="46">
        <f>(Cobros[[#This Row],[% A pagar Vendedor]]/100)*Cobros[[#This Row],[Valor Pagado]]*Cobros[[#This Row],[Vencido]]*(Cobros[[#This Row],[% aplicar]]/100)*IF(Cobros[[#This Row],[% A pagar Vendedor]]&gt;0,1,0)</f>
        <v>29.9</v>
      </c>
      <c r="W312" s="46">
        <f>0.5%*Cobros[[#This Row],[Valor Pagado]]</f>
        <v>14.95</v>
      </c>
      <c r="X312" s="34"/>
    </row>
    <row r="313" ht="30" spans="1:24">
      <c r="A313" s="49" t="s">
        <v>3931</v>
      </c>
      <c r="B313" s="49" t="s">
        <v>4356</v>
      </c>
      <c r="C313" s="49" t="s">
        <v>1415</v>
      </c>
      <c r="D313" s="49" t="s">
        <v>1416</v>
      </c>
      <c r="E313" s="49" t="s">
        <v>4357</v>
      </c>
      <c r="F313" s="51">
        <v>46167</v>
      </c>
      <c r="G313" s="49">
        <v>6050</v>
      </c>
      <c r="H313" s="49" t="s">
        <v>22</v>
      </c>
      <c r="I313" s="51">
        <v>46213</v>
      </c>
      <c r="J313" s="54">
        <f>INT(Cobros[[#This Row],[Fecha Cargo]])</f>
        <v>46167</v>
      </c>
      <c r="K313" s="54">
        <f>INT(Cobros[[#This Row],[Fecha Aplicacion]])</f>
        <v>46213</v>
      </c>
      <c r="L313" s="55" t="str">
        <f>INDEX(Clientes[Días Plazo],MATCH(Cobros[[#This Row],[Cod. Cliente]],Clientes[Codigo],0),1)</f>
        <v>21</v>
      </c>
      <c r="M313" s="45" t="str">
        <f>IF(Cobros[[#This Row],[Dias de Credito]]&lt;=0,"Contado","Credito")</f>
        <v>Credito</v>
      </c>
      <c r="N313" s="45">
        <f>Cobros[[#This Row],[Fecha Aplicación S]]-Cobros[[#This Row],[Fecha Cargo S]]</f>
        <v>46</v>
      </c>
      <c r="O313" s="45">
        <f>Cobros[[#This Row],[Dias al pago]]-Cobros[[#This Row],[Dias de Credito]]</f>
        <v>25</v>
      </c>
      <c r="P313" s="45">
        <f>SUMIFS(TablaDias[Porcentaje],TablaDias[Tipo],Cobros[[#This Row],[Tipo]],TablaDias[Desde ],"&lt;="&amp;MAX(0,Cobros[[#This Row],[Dias pasado]]),TablaDias[Hasta ],"&gt;="&amp;Cobros[[#This Row],[Dias pasado]])</f>
        <v>50</v>
      </c>
      <c r="Q3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13">
        <f>IF(COUNTIF(PAPEL[Numero],Cobros[[#This Row],[Doc. Cargo]])&gt;0,1,0)</f>
        <v>0</v>
      </c>
      <c r="S313" s="46">
        <f t="array" ref="S3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3" s="46">
        <f t="array" ref="T313">INDEX(Ventas[[Unidades]:[2]],MATCH("Gerente de Venta",Ventas[Vendedor %],0),6+Cobros[[#This Row],[Mes]])</f>
        <v>0.005</v>
      </c>
      <c r="U313" s="34">
        <f>IF(Cobros[[#This Row],[Tipo]]="Credito",IF(60&gt;=Cobros[[#This Row],[Dias al pago]],1,0),IF(Cobros[[#This Row],[Dias al pago]]&lt;=3,1,0))</f>
        <v>1</v>
      </c>
      <c r="V313" s="46">
        <f>(Cobros[[#This Row],[% A pagar Vendedor]]/100)*Cobros[[#This Row],[Valor Pagado]]*Cobros[[#This Row],[Vencido]]*(Cobros[[#This Row],[% aplicar]]/100)*IF(Cobros[[#This Row],[% A pagar Vendedor]]&gt;0,1,0)</f>
        <v>30.25</v>
      </c>
      <c r="W313" s="46">
        <f>0.5%*Cobros[[#This Row],[Valor Pagado]]</f>
        <v>30.25</v>
      </c>
      <c r="X313" s="34"/>
    </row>
    <row r="314" ht="30" spans="1:23">
      <c r="A314" s="49" t="s">
        <v>3931</v>
      </c>
      <c r="B314" s="49" t="s">
        <v>4356</v>
      </c>
      <c r="C314" s="49" t="s">
        <v>1415</v>
      </c>
      <c r="D314" s="49" t="s">
        <v>1416</v>
      </c>
      <c r="E314" s="49" t="s">
        <v>4358</v>
      </c>
      <c r="F314" s="51">
        <v>46171</v>
      </c>
      <c r="G314" s="49">
        <v>8950</v>
      </c>
      <c r="H314" s="49" t="s">
        <v>22</v>
      </c>
      <c r="I314" s="51">
        <v>46213</v>
      </c>
      <c r="J314" s="54">
        <f>INT(Cobros[[#This Row],[Fecha Cargo]])</f>
        <v>46171</v>
      </c>
      <c r="K314" s="54">
        <f>INT(Cobros[[#This Row],[Fecha Aplicacion]])</f>
        <v>46213</v>
      </c>
      <c r="L314" s="55" t="str">
        <f>INDEX(Clientes[Días Plazo],MATCH(Cobros[[#This Row],[Cod. Cliente]],Clientes[Codigo],0),1)</f>
        <v>21</v>
      </c>
      <c r="M314" s="45" t="str">
        <f>IF(Cobros[[#This Row],[Dias de Credito]]&lt;=0,"Contado","Credito")</f>
        <v>Credito</v>
      </c>
      <c r="N314" s="45">
        <f>Cobros[[#This Row],[Fecha Aplicación S]]-Cobros[[#This Row],[Fecha Cargo S]]</f>
        <v>42</v>
      </c>
      <c r="O314" s="45">
        <f>Cobros[[#This Row],[Dias al pago]]-Cobros[[#This Row],[Dias de Credito]]</f>
        <v>21</v>
      </c>
      <c r="P314" s="45">
        <f>SUMIFS(TablaDias[Porcentaje],TablaDias[Tipo],Cobros[[#This Row],[Tipo]],TablaDias[Desde ],"&lt;="&amp;MAX(0,Cobros[[#This Row],[Dias pasado]]),TablaDias[Hasta ],"&gt;="&amp;Cobros[[#This Row],[Dias pasado]])</f>
        <v>50</v>
      </c>
      <c r="Q3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14">
        <f>IF(COUNTIF(PAPEL[Numero],Cobros[[#This Row],[Doc. Cargo]])&gt;0,1,0)</f>
        <v>0</v>
      </c>
      <c r="S314" s="46">
        <f t="array" ref="S3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4" s="46">
        <f t="array" ref="T314">INDEX(Ventas[[Unidades]:[2]],MATCH("Gerente de Venta",Ventas[Vendedor %],0),6+Cobros[[#This Row],[Mes]])</f>
        <v>0.005</v>
      </c>
      <c r="U314" s="34">
        <f>IF(Cobros[[#This Row],[Tipo]]="Credito",IF(60&gt;=Cobros[[#This Row],[Dias al pago]],1,0),IF(Cobros[[#This Row],[Dias al pago]]&lt;=3,1,0))</f>
        <v>1</v>
      </c>
      <c r="V314" s="46">
        <f>(Cobros[[#This Row],[% A pagar Vendedor]]/100)*Cobros[[#This Row],[Valor Pagado]]*Cobros[[#This Row],[Vencido]]*(Cobros[[#This Row],[% aplicar]]/100)*IF(Cobros[[#This Row],[% A pagar Vendedor]]&gt;0,1,0)</f>
        <v>44.75</v>
      </c>
      <c r="W314" s="46">
        <f>0.5%*Cobros[[#This Row],[Valor Pagado]]</f>
        <v>44.75</v>
      </c>
    </row>
    <row r="315" spans="1:24">
      <c r="A315" s="49" t="s">
        <v>3931</v>
      </c>
      <c r="B315" s="49" t="s">
        <v>4359</v>
      </c>
      <c r="C315" s="49" t="s">
        <v>1419</v>
      </c>
      <c r="D315" s="49" t="s">
        <v>1420</v>
      </c>
      <c r="E315" s="49" t="s">
        <v>4264</v>
      </c>
      <c r="F315" s="51">
        <v>46185</v>
      </c>
      <c r="G315" s="49">
        <v>3000</v>
      </c>
      <c r="H315" s="49" t="s">
        <v>18</v>
      </c>
      <c r="I315" s="51">
        <v>46213</v>
      </c>
      <c r="J315" s="54">
        <f>INT(Cobros[[#This Row],[Fecha Cargo]])</f>
        <v>46185</v>
      </c>
      <c r="K315" s="54">
        <f>INT(Cobros[[#This Row],[Fecha Aplicacion]])</f>
        <v>46213</v>
      </c>
      <c r="L315" s="55" t="str">
        <f>INDEX(Clientes[Días Plazo],MATCH(Cobros[[#This Row],[Cod. Cliente]],Clientes[Codigo],0),1)</f>
        <v>21</v>
      </c>
      <c r="M315" s="45" t="str">
        <f>IF(Cobros[[#This Row],[Dias de Credito]]&lt;=0,"Contado","Credito")</f>
        <v>Credito</v>
      </c>
      <c r="N315" s="45">
        <f>Cobros[[#This Row],[Fecha Aplicación S]]-Cobros[[#This Row],[Fecha Cargo S]]</f>
        <v>28</v>
      </c>
      <c r="O315" s="45">
        <f>Cobros[[#This Row],[Dias al pago]]-Cobros[[#This Row],[Dias de Credito]]</f>
        <v>7</v>
      </c>
      <c r="P315" s="45">
        <f>SUMIFS(TablaDias[Porcentaje],TablaDias[Tipo],Cobros[[#This Row],[Tipo]],TablaDias[Desde ],"&lt;="&amp;MAX(0,Cobros[[#This Row],[Dias pasado]]),TablaDias[Hasta ],"&gt;="&amp;Cobros[[#This Row],[Dias pasado]])</f>
        <v>100</v>
      </c>
      <c r="Q3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15">
        <f>IF(COUNTIF(PAPEL[Numero],Cobros[[#This Row],[Doc. Cargo]])&gt;0,1,0)</f>
        <v>0</v>
      </c>
      <c r="S315" s="46">
        <f t="array" ref="S3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5" s="46">
        <f t="array" ref="T315">INDEX(Ventas[[Unidades]:[2]],MATCH("Gerente de Venta",Ventas[Vendedor %],0),6+Cobros[[#This Row],[Mes]])</f>
        <v>0.005</v>
      </c>
      <c r="U315" s="34">
        <f>IF(Cobros[[#This Row],[Tipo]]="Credito",IF(60&gt;=Cobros[[#This Row],[Dias al pago]],1,0),IF(Cobros[[#This Row],[Dias al pago]]&lt;=3,1,0))</f>
        <v>1</v>
      </c>
      <c r="V315" s="46">
        <f>(Cobros[[#This Row],[% A pagar Vendedor]]/100)*Cobros[[#This Row],[Valor Pagado]]*Cobros[[#This Row],[Vencido]]*(Cobros[[#This Row],[% aplicar]]/100)*IF(Cobros[[#This Row],[% A pagar Vendedor]]&gt;0,1,0)</f>
        <v>30</v>
      </c>
      <c r="W315" s="46">
        <f>0.5%*Cobros[[#This Row],[Valor Pagado]]</f>
        <v>15</v>
      </c>
      <c r="X315" s="34"/>
    </row>
    <row r="316" spans="1:24">
      <c r="A316" s="49" t="s">
        <v>3931</v>
      </c>
      <c r="B316" s="49" t="s">
        <v>4360</v>
      </c>
      <c r="C316" s="49" t="s">
        <v>530</v>
      </c>
      <c r="D316" s="49" t="s">
        <v>531</v>
      </c>
      <c r="E316" s="49" t="s">
        <v>4133</v>
      </c>
      <c r="F316" s="51">
        <v>46188</v>
      </c>
      <c r="G316" s="49">
        <v>1198.95</v>
      </c>
      <c r="H316" s="49" t="s">
        <v>18</v>
      </c>
      <c r="I316" s="51">
        <v>46213</v>
      </c>
      <c r="J316" s="54">
        <f>INT(Cobros[[#This Row],[Fecha Cargo]])</f>
        <v>46188</v>
      </c>
      <c r="K316" s="54">
        <f>INT(Cobros[[#This Row],[Fecha Aplicacion]])</f>
        <v>46213</v>
      </c>
      <c r="L316" s="55" t="str">
        <f>INDEX(Clientes[Días Plazo],MATCH(Cobros[[#This Row],[Cod. Cliente]],Clientes[Codigo],0),1)</f>
        <v>15</v>
      </c>
      <c r="M316" s="45" t="str">
        <f>IF(Cobros[[#This Row],[Dias de Credito]]&lt;=0,"Contado","Credito")</f>
        <v>Credito</v>
      </c>
      <c r="N316" s="45">
        <f>Cobros[[#This Row],[Fecha Aplicación S]]-Cobros[[#This Row],[Fecha Cargo S]]</f>
        <v>25</v>
      </c>
      <c r="O316" s="45">
        <f>Cobros[[#This Row],[Dias al pago]]-Cobros[[#This Row],[Dias de Credito]]</f>
        <v>10</v>
      </c>
      <c r="P316" s="45">
        <f>SUMIFS(TablaDias[Porcentaje],TablaDias[Tipo],Cobros[[#This Row],[Tipo]],TablaDias[Desde ],"&lt;="&amp;MAX(0,Cobros[[#This Row],[Dias pasado]]),TablaDias[Hasta ],"&gt;="&amp;Cobros[[#This Row],[Dias pasado]])</f>
        <v>100</v>
      </c>
      <c r="Q3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16">
        <f>IF(COUNTIF(PAPEL[Numero],Cobros[[#This Row],[Doc. Cargo]])&gt;0,1,0)</f>
        <v>0</v>
      </c>
      <c r="S316" s="46">
        <f t="array" ref="S3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6" s="46">
        <f t="array" ref="T316">INDEX(Ventas[[Unidades]:[2]],MATCH("Gerente de Venta",Ventas[Vendedor %],0),6+Cobros[[#This Row],[Mes]])</f>
        <v>0.005</v>
      </c>
      <c r="U316" s="34">
        <f>IF(Cobros[[#This Row],[Tipo]]="Credito",IF(60&gt;=Cobros[[#This Row],[Dias al pago]],1,0),IF(Cobros[[#This Row],[Dias al pago]]&lt;=3,1,0))</f>
        <v>1</v>
      </c>
      <c r="V316" s="46">
        <f>(Cobros[[#This Row],[% A pagar Vendedor]]/100)*Cobros[[#This Row],[Valor Pagado]]*Cobros[[#This Row],[Vencido]]*(Cobros[[#This Row],[% aplicar]]/100)*IF(Cobros[[#This Row],[% A pagar Vendedor]]&gt;0,1,0)</f>
        <v>11.9895</v>
      </c>
      <c r="W316" s="46">
        <f>0.5%*Cobros[[#This Row],[Valor Pagado]]</f>
        <v>5.99475</v>
      </c>
      <c r="X316" s="34"/>
    </row>
    <row r="317" ht="30" spans="1:23">
      <c r="A317" s="49" t="s">
        <v>3904</v>
      </c>
      <c r="B317" s="49" t="s">
        <v>4361</v>
      </c>
      <c r="C317" s="49" t="s">
        <v>2667</v>
      </c>
      <c r="D317" s="49" t="s">
        <v>2668</v>
      </c>
      <c r="E317" s="49" t="s">
        <v>4362</v>
      </c>
      <c r="F317" s="51">
        <v>46212</v>
      </c>
      <c r="G317" s="49">
        <v>197.04</v>
      </c>
      <c r="H317" s="49" t="s">
        <v>22</v>
      </c>
      <c r="I317" s="51">
        <v>46213</v>
      </c>
      <c r="J317" s="54">
        <f>INT(Cobros[[#This Row],[Fecha Cargo]])</f>
        <v>46212</v>
      </c>
      <c r="K317" s="54">
        <f>INT(Cobros[[#This Row],[Fecha Aplicacion]])</f>
        <v>46213</v>
      </c>
      <c r="L317" s="55">
        <f>INDEX(Clientes[Días Plazo],MATCH(Cobros[[#This Row],[Cod. Cliente]],Clientes[Codigo],0),1)</f>
        <v>0</v>
      </c>
      <c r="M317" s="45" t="str">
        <f>IF(Cobros[[#This Row],[Dias de Credito]]&lt;=0,"Contado","Credito")</f>
        <v>Contado</v>
      </c>
      <c r="N317" s="45">
        <f>Cobros[[#This Row],[Fecha Aplicación S]]-Cobros[[#This Row],[Fecha Cargo S]]</f>
        <v>1</v>
      </c>
      <c r="O317" s="45">
        <f>Cobros[[#This Row],[Dias al pago]]-Cobros[[#This Row],[Dias de Credito]]</f>
        <v>1</v>
      </c>
      <c r="P317" s="45">
        <f>SUMIFS(TablaDias[Porcentaje],TablaDias[Tipo],Cobros[[#This Row],[Tipo]],TablaDias[Desde ],"&lt;="&amp;MAX(0,Cobros[[#This Row],[Dias pasado]]),TablaDias[Hasta ],"&gt;="&amp;Cobros[[#This Row],[Dias pasado]])</f>
        <v>100</v>
      </c>
      <c r="Q3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17">
        <f>IF(COUNTIF(PAPEL[Numero],Cobros[[#This Row],[Doc. Cargo]])&gt;0,1,0)</f>
        <v>0</v>
      </c>
      <c r="S317" s="46">
        <f t="array" ref="S3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7" s="46">
        <f t="array" ref="T317">INDEX(Ventas[[Unidades]:[2]],MATCH("Gerente de Venta",Ventas[Vendedor %],0),6+Cobros[[#This Row],[Mes]])</f>
        <v>0.005</v>
      </c>
      <c r="U317" s="34">
        <f>IF(Cobros[[#This Row],[Tipo]]="Credito",IF(60&gt;=Cobros[[#This Row],[Dias al pago]],1,0),IF(Cobros[[#This Row],[Dias al pago]]&lt;=3,1,0))</f>
        <v>1</v>
      </c>
      <c r="V317" s="46">
        <f>(Cobros[[#This Row],[% A pagar Vendedor]]/100)*Cobros[[#This Row],[Valor Pagado]]*Cobros[[#This Row],[Vencido]]*(Cobros[[#This Row],[% aplicar]]/100)*IF(Cobros[[#This Row],[% A pagar Vendedor]]&gt;0,1,0)</f>
        <v>1.9704</v>
      </c>
      <c r="W317" s="46">
        <f>0.5%*Cobros[[#This Row],[Valor Pagado]]</f>
        <v>0.9852</v>
      </c>
    </row>
    <row r="318" ht="30" spans="1:24">
      <c r="A318" s="49" t="s">
        <v>3904</v>
      </c>
      <c r="B318" s="49" t="s">
        <v>4363</v>
      </c>
      <c r="C318" s="49" t="s">
        <v>2667</v>
      </c>
      <c r="D318" s="49" t="s">
        <v>2668</v>
      </c>
      <c r="E318" s="49" t="s">
        <v>4362</v>
      </c>
      <c r="F318" s="51">
        <v>46212</v>
      </c>
      <c r="G318" s="49">
        <v>334.18</v>
      </c>
      <c r="H318" s="49" t="s">
        <v>22</v>
      </c>
      <c r="I318" s="51">
        <v>46212</v>
      </c>
      <c r="J318" s="54">
        <f>INT(Cobros[[#This Row],[Fecha Cargo]])</f>
        <v>46212</v>
      </c>
      <c r="K318" s="54">
        <f>INT(Cobros[[#This Row],[Fecha Aplicacion]])</f>
        <v>46212</v>
      </c>
      <c r="L318" s="55">
        <f>INDEX(Clientes[Días Plazo],MATCH(Cobros[[#This Row],[Cod. Cliente]],Clientes[Codigo],0),1)</f>
        <v>0</v>
      </c>
      <c r="M318" s="45" t="str">
        <f>IF(Cobros[[#This Row],[Dias de Credito]]&lt;=0,"Contado","Credito")</f>
        <v>Contado</v>
      </c>
      <c r="N318" s="45">
        <f>Cobros[[#This Row],[Fecha Aplicación S]]-Cobros[[#This Row],[Fecha Cargo S]]</f>
        <v>0</v>
      </c>
      <c r="O318" s="45">
        <f>Cobros[[#This Row],[Dias al pago]]-Cobros[[#This Row],[Dias de Credito]]</f>
        <v>0</v>
      </c>
      <c r="P318" s="45">
        <f>SUMIFS(TablaDias[Porcentaje],TablaDias[Tipo],Cobros[[#This Row],[Tipo]],TablaDias[Desde ],"&lt;="&amp;MAX(0,Cobros[[#This Row],[Dias pasado]]),TablaDias[Hasta ],"&gt;="&amp;Cobros[[#This Row],[Dias pasado]])</f>
        <v>100</v>
      </c>
      <c r="Q3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18">
        <f>IF(COUNTIF(PAPEL[Numero],Cobros[[#This Row],[Doc. Cargo]])&gt;0,1,0)</f>
        <v>0</v>
      </c>
      <c r="S318" s="46">
        <f t="array" ref="S3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18" s="46">
        <f t="array" ref="T318">INDEX(Ventas[[Unidades]:[2]],MATCH("Gerente de Venta",Ventas[Vendedor %],0),6+Cobros[[#This Row],[Mes]])</f>
        <v>0.005</v>
      </c>
      <c r="U318" s="34">
        <f>IF(Cobros[[#This Row],[Tipo]]="Credito",IF(60&gt;=Cobros[[#This Row],[Dias al pago]],1,0),IF(Cobros[[#This Row],[Dias al pago]]&lt;=3,1,0))</f>
        <v>1</v>
      </c>
      <c r="V318" s="46">
        <f>(Cobros[[#This Row],[% A pagar Vendedor]]/100)*Cobros[[#This Row],[Valor Pagado]]*Cobros[[#This Row],[Vencido]]*(Cobros[[#This Row],[% aplicar]]/100)*IF(Cobros[[#This Row],[% A pagar Vendedor]]&gt;0,1,0)</f>
        <v>3.3418</v>
      </c>
      <c r="W318" s="46">
        <f>0.5%*Cobros[[#This Row],[Valor Pagado]]</f>
        <v>1.6709</v>
      </c>
      <c r="X318" s="62"/>
    </row>
    <row r="319" spans="1:23">
      <c r="A319" s="49" t="s">
        <v>3904</v>
      </c>
      <c r="B319" s="49" t="s">
        <v>4364</v>
      </c>
      <c r="C319" s="49" t="s">
        <v>660</v>
      </c>
      <c r="D319" s="49" t="s">
        <v>661</v>
      </c>
      <c r="E319" s="49" t="s">
        <v>4365</v>
      </c>
      <c r="F319" s="51">
        <v>46212</v>
      </c>
      <c r="G319" s="49">
        <v>243.6</v>
      </c>
      <c r="H319" s="49" t="s">
        <v>19</v>
      </c>
      <c r="I319" s="51">
        <v>46212</v>
      </c>
      <c r="J319" s="54">
        <f>INT(Cobros[[#This Row],[Fecha Cargo]])</f>
        <v>46212</v>
      </c>
      <c r="K319" s="54">
        <f>INT(Cobros[[#This Row],[Fecha Aplicacion]])</f>
        <v>46212</v>
      </c>
      <c r="L319" s="55">
        <f>INDEX(Clientes[Días Plazo],MATCH(Cobros[[#This Row],[Cod. Cliente]],Clientes[Codigo],0),1)</f>
        <v>0</v>
      </c>
      <c r="M319" s="45" t="str">
        <f>IF(Cobros[[#This Row],[Dias de Credito]]&lt;=0,"Contado","Credito")</f>
        <v>Contado</v>
      </c>
      <c r="N319" s="45">
        <f>Cobros[[#This Row],[Fecha Aplicación S]]-Cobros[[#This Row],[Fecha Cargo S]]</f>
        <v>0</v>
      </c>
      <c r="O319" s="45">
        <f>Cobros[[#This Row],[Dias al pago]]-Cobros[[#This Row],[Dias de Credito]]</f>
        <v>0</v>
      </c>
      <c r="P319" s="45">
        <f>SUMIFS(TablaDias[Porcentaje],TablaDias[Tipo],Cobros[[#This Row],[Tipo]],TablaDias[Desde ],"&lt;="&amp;MAX(0,Cobros[[#This Row],[Dias pasado]]),TablaDias[Hasta ],"&gt;="&amp;Cobros[[#This Row],[Dias pasado]])</f>
        <v>100</v>
      </c>
      <c r="Q3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19">
        <f>IF(COUNTIF(PAPEL[Numero],Cobros[[#This Row],[Doc. Cargo]])&gt;0,1,0)</f>
        <v>0</v>
      </c>
      <c r="S319" s="46">
        <f t="array" ref="S3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19" s="46">
        <f t="array" ref="T319">INDEX(Ventas[[Unidades]:[2]],MATCH("Gerente de Venta",Ventas[Vendedor %],0),6+Cobros[[#This Row],[Mes]])</f>
        <v>0.005</v>
      </c>
      <c r="U319" s="34">
        <f>IF(Cobros[[#This Row],[Tipo]]="Credito",IF(60&gt;=Cobros[[#This Row],[Dias al pago]],1,0),IF(Cobros[[#This Row],[Dias al pago]]&lt;=3,1,0))</f>
        <v>1</v>
      </c>
      <c r="V319" s="46">
        <f>(Cobros[[#This Row],[% A pagar Vendedor]]/100)*Cobros[[#This Row],[Valor Pagado]]*Cobros[[#This Row],[Vencido]]*(Cobros[[#This Row],[% aplicar]]/100)*IF(Cobros[[#This Row],[% A pagar Vendedor]]&gt;0,1,0)</f>
        <v>3.045</v>
      </c>
      <c r="W319" s="46">
        <f>0.5%*Cobros[[#This Row],[Valor Pagado]]</f>
        <v>1.218</v>
      </c>
    </row>
    <row r="320" ht="30" spans="1:23">
      <c r="A320" s="49" t="s">
        <v>3860</v>
      </c>
      <c r="B320" s="49" t="s">
        <v>4366</v>
      </c>
      <c r="C320" s="49" t="s">
        <v>582</v>
      </c>
      <c r="D320" s="49" t="s">
        <v>583</v>
      </c>
      <c r="E320" s="49" t="s">
        <v>4367</v>
      </c>
      <c r="F320" s="51">
        <v>46213</v>
      </c>
      <c r="G320" s="49">
        <v>1185</v>
      </c>
      <c r="H320" s="49" t="s">
        <v>1355</v>
      </c>
      <c r="I320" s="51">
        <v>46213</v>
      </c>
      <c r="J320" s="54">
        <f>INT(Cobros[[#This Row],[Fecha Cargo]])</f>
        <v>46213</v>
      </c>
      <c r="K320" s="54">
        <f>INT(Cobros[[#This Row],[Fecha Aplicacion]])</f>
        <v>46213</v>
      </c>
      <c r="L320" s="55">
        <v>0</v>
      </c>
      <c r="M320" s="45" t="str">
        <f>IF(Cobros[[#This Row],[Dias de Credito]]&lt;=0,"Contado","Credito")</f>
        <v>Contado</v>
      </c>
      <c r="N320" s="45">
        <f>Cobros[[#This Row],[Fecha Aplicación S]]-Cobros[[#This Row],[Fecha Cargo S]]</f>
        <v>0</v>
      </c>
      <c r="O320" s="45">
        <f>Cobros[[#This Row],[Dias al pago]]-Cobros[[#This Row],[Dias de Credito]]</f>
        <v>0</v>
      </c>
      <c r="P320" s="45">
        <f>SUMIFS(TablaDias[Porcentaje],TablaDias[Tipo],Cobros[[#This Row],[Tipo]],TablaDias[Desde ],"&lt;="&amp;MAX(0,Cobros[[#This Row],[Dias pasado]]),TablaDias[Hasta ],"&gt;="&amp;Cobros[[#This Row],[Dias pasado]])</f>
        <v>100</v>
      </c>
      <c r="Q3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0">
        <f>IF(COUNTIF(PAPEL[Numero],Cobros[[#This Row],[Doc. Cargo]])&gt;0,1,0)</f>
        <v>0</v>
      </c>
      <c r="S320" s="46">
        <v>1</v>
      </c>
      <c r="T320" s="46">
        <f t="array" ref="T320">INDEX(Ventas[[Unidades]:[2]],MATCH("Gerente de Venta",Ventas[Vendedor %],0),6+Cobros[[#This Row],[Mes]])</f>
        <v>0.005</v>
      </c>
      <c r="U320" s="34">
        <f>IF(Cobros[[#This Row],[Tipo]]="Credito",IF(60&gt;=Cobros[[#This Row],[Dias al pago]],1,0),IF(Cobros[[#This Row],[Dias al pago]]&lt;=3,1,0))</f>
        <v>1</v>
      </c>
      <c r="V320" s="46">
        <f>(Cobros[[#This Row],[% A pagar Vendedor]]/100)*Cobros[[#This Row],[Valor Pagado]]*Cobros[[#This Row],[Vencido]]*(Cobros[[#This Row],[% aplicar]]/100)*IF(Cobros[[#This Row],[% A pagar Vendedor]]&gt;0,1,0)</f>
        <v>11.85</v>
      </c>
      <c r="W320" s="46">
        <f>0.5%*Cobros[[#This Row],[Valor Pagado]]</f>
        <v>5.925</v>
      </c>
    </row>
    <row r="321" ht="30" spans="1:23">
      <c r="A321" s="49" t="s">
        <v>3860</v>
      </c>
      <c r="B321" s="49" t="s">
        <v>4368</v>
      </c>
      <c r="C321" s="49" t="s">
        <v>3807</v>
      </c>
      <c r="D321" s="49" t="s">
        <v>3808</v>
      </c>
      <c r="E321" s="49" t="s">
        <v>4369</v>
      </c>
      <c r="F321" s="51">
        <v>46171</v>
      </c>
      <c r="G321" s="49">
        <v>900</v>
      </c>
      <c r="H321" s="49" t="s">
        <v>22</v>
      </c>
      <c r="I321" s="51">
        <v>46213</v>
      </c>
      <c r="J321" s="54">
        <f>INT(Cobros[[#This Row],[Fecha Cargo]])</f>
        <v>46171</v>
      </c>
      <c r="K321" s="54">
        <f>INT(Cobros[[#This Row],[Fecha Aplicacion]])</f>
        <v>46213</v>
      </c>
      <c r="L321" s="55" t="str">
        <f>INDEX(Clientes[Días Plazo],MATCH(Cobros[[#This Row],[Cod. Cliente]],Clientes[Codigo],0),1)</f>
        <v>30</v>
      </c>
      <c r="M321" s="45" t="str">
        <f>IF(Cobros[[#This Row],[Dias de Credito]]&lt;=0,"Contado","Credito")</f>
        <v>Credito</v>
      </c>
      <c r="N321" s="45">
        <f>Cobros[[#This Row],[Fecha Aplicación S]]-Cobros[[#This Row],[Fecha Cargo S]]</f>
        <v>42</v>
      </c>
      <c r="O321" s="45">
        <f>Cobros[[#This Row],[Dias al pago]]-Cobros[[#This Row],[Dias de Credito]]</f>
        <v>12</v>
      </c>
      <c r="P321" s="45">
        <f>SUMIFS(TablaDias[Porcentaje],TablaDias[Tipo],Cobros[[#This Row],[Tipo]],TablaDias[Desde ],"&lt;="&amp;MAX(0,Cobros[[#This Row],[Dias pasado]]),TablaDias[Hasta ],"&gt;="&amp;Cobros[[#This Row],[Dias pasado]])</f>
        <v>100</v>
      </c>
      <c r="Q3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21">
        <f>IF(COUNTIF(PAPEL[Numero],Cobros[[#This Row],[Doc. Cargo]])&gt;0,1,0)</f>
        <v>0</v>
      </c>
      <c r="S321" s="46">
        <f t="array" ref="S3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21" s="46">
        <f t="array" ref="T321">INDEX(Ventas[[Unidades]:[2]],MATCH("Gerente de Venta",Ventas[Vendedor %],0),6+Cobros[[#This Row],[Mes]])</f>
        <v>0.005</v>
      </c>
      <c r="U321" s="34">
        <f>IF(Cobros[[#This Row],[Tipo]]="Credito",IF(60&gt;=Cobros[[#This Row],[Dias al pago]],1,0),IF(Cobros[[#This Row],[Dias al pago]]&lt;=3,1,0))</f>
        <v>1</v>
      </c>
      <c r="V321" s="46">
        <f>(Cobros[[#This Row],[% A pagar Vendedor]]/100)*Cobros[[#This Row],[Valor Pagado]]*Cobros[[#This Row],[Vencido]]*(Cobros[[#This Row],[% aplicar]]/100)*IF(Cobros[[#This Row],[% A pagar Vendedor]]&gt;0,1,0)</f>
        <v>9</v>
      </c>
      <c r="W321" s="46">
        <f>0.5%*Cobros[[#This Row],[Valor Pagado]]</f>
        <v>4.5</v>
      </c>
    </row>
    <row r="322" spans="1:23">
      <c r="A322" s="49" t="s">
        <v>3875</v>
      </c>
      <c r="B322" s="49" t="s">
        <v>4370</v>
      </c>
      <c r="C322" s="49" t="s">
        <v>3693</v>
      </c>
      <c r="D322" s="49" t="s">
        <v>3694</v>
      </c>
      <c r="E322" s="49" t="s">
        <v>4371</v>
      </c>
      <c r="F322" s="51">
        <v>46213</v>
      </c>
      <c r="G322" s="49">
        <v>156.3</v>
      </c>
      <c r="H322" s="49" t="s">
        <v>16</v>
      </c>
      <c r="I322" s="51">
        <v>46213</v>
      </c>
      <c r="J322" s="54">
        <f>INT(Cobros[[#This Row],[Fecha Cargo]])</f>
        <v>46213</v>
      </c>
      <c r="K322" s="54">
        <f>INT(Cobros[[#This Row],[Fecha Aplicacion]])</f>
        <v>46213</v>
      </c>
      <c r="L322" s="55">
        <f>INDEX(Clientes[Días Plazo],MATCH(Cobros[[#This Row],[Cod. Cliente]],Clientes[Codigo],0),1)</f>
        <v>0</v>
      </c>
      <c r="M322" s="45" t="str">
        <f>IF(Cobros[[#This Row],[Dias de Credito]]&lt;=0,"Contado","Credito")</f>
        <v>Contado</v>
      </c>
      <c r="N322" s="45">
        <f>Cobros[[#This Row],[Fecha Aplicación S]]-Cobros[[#This Row],[Fecha Cargo S]]</f>
        <v>0</v>
      </c>
      <c r="O322" s="45">
        <f>Cobros[[#This Row],[Dias al pago]]-Cobros[[#This Row],[Dias de Credito]]</f>
        <v>0</v>
      </c>
      <c r="P322" s="45">
        <f>SUMIFS(TablaDias[Porcentaje],TablaDias[Tipo],Cobros[[#This Row],[Tipo]],TablaDias[Desde ],"&lt;="&amp;MAX(0,Cobros[[#This Row],[Dias pasado]]),TablaDias[Hasta ],"&gt;="&amp;Cobros[[#This Row],[Dias pasado]])</f>
        <v>100</v>
      </c>
      <c r="Q32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2">
        <f>IF(COUNTIF(PAPEL[Numero],Cobros[[#This Row],[Doc. Cargo]])&gt;0,1,0)</f>
        <v>0</v>
      </c>
      <c r="S322" s="46">
        <f t="array" ref="S3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22" s="47">
        <v>0.005</v>
      </c>
      <c r="U322" s="34">
        <f>IF(Cobros[[#This Row],[Tipo]]="Credito",IF(60&gt;=Cobros[[#This Row],[Dias al pago]],1,0),IF(Cobros[[#This Row],[Dias al pago]]&lt;=3,1,0))</f>
        <v>1</v>
      </c>
      <c r="V322" s="46">
        <f>(Cobros[[#This Row],[% A pagar Vendedor]]/100)*Cobros[[#This Row],[Valor Pagado]]*Cobros[[#This Row],[Vencido]]*(Cobros[[#This Row],[% aplicar]]/100)*IF(Cobros[[#This Row],[% A pagar Vendedor]]&gt;0,1,0)</f>
        <v>1.95375</v>
      </c>
      <c r="W322" s="46">
        <f>0.5%*Cobros[[#This Row],[Valor Pagado]]</f>
        <v>0.7815</v>
      </c>
    </row>
    <row r="323" ht="30" spans="1:23">
      <c r="A323" s="49" t="s">
        <v>3860</v>
      </c>
      <c r="B323" s="49" t="s">
        <v>4372</v>
      </c>
      <c r="C323" s="49" t="s">
        <v>1260</v>
      </c>
      <c r="D323" s="49" t="s">
        <v>1261</v>
      </c>
      <c r="E323" s="49" t="s">
        <v>4373</v>
      </c>
      <c r="F323" s="51">
        <v>46192</v>
      </c>
      <c r="G323" s="49">
        <v>2634</v>
      </c>
      <c r="H323" s="49" t="s">
        <v>3865</v>
      </c>
      <c r="I323" s="51">
        <v>46213</v>
      </c>
      <c r="J323" s="54">
        <f>INT(Cobros[[#This Row],[Fecha Cargo]])</f>
        <v>46192</v>
      </c>
      <c r="K323" s="54">
        <f>INT(Cobros[[#This Row],[Fecha Aplicacion]])</f>
        <v>46213</v>
      </c>
      <c r="L323" s="55" t="str">
        <f>INDEX(Clientes[Días Plazo],MATCH(Cobros[[#This Row],[Cod. Cliente]],Clientes[Codigo],0),1)</f>
        <v>21</v>
      </c>
      <c r="M323" s="45" t="str">
        <f>IF(Cobros[[#This Row],[Dias de Credito]]&lt;=0,"Contado","Credito")</f>
        <v>Credito</v>
      </c>
      <c r="N323" s="45">
        <f>Cobros[[#This Row],[Fecha Aplicación S]]-Cobros[[#This Row],[Fecha Cargo S]]</f>
        <v>21</v>
      </c>
      <c r="O323" s="45">
        <f>Cobros[[#This Row],[Dias al pago]]-Cobros[[#This Row],[Dias de Credito]]</f>
        <v>0</v>
      </c>
      <c r="P323" s="45">
        <f>SUMIFS(TablaDias[Porcentaje],TablaDias[Tipo],Cobros[[#This Row],[Tipo]],TablaDias[Desde ],"&lt;="&amp;MAX(0,Cobros[[#This Row],[Dias pasado]]),TablaDias[Hasta ],"&gt;="&amp;Cobros[[#This Row],[Dias pasado]])</f>
        <v>100</v>
      </c>
      <c r="Q32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23">
        <f>IF(COUNTIF(PAPEL[Numero],Cobros[[#This Row],[Doc. Cargo]])&gt;0,1,0)</f>
        <v>0</v>
      </c>
      <c r="S323" s="46">
        <v>1</v>
      </c>
      <c r="T323" s="46">
        <f t="array" ref="T323">INDEX(Ventas[[Unidades]:[2]],MATCH("Gerente de Venta",Ventas[Vendedor %],0),6+Cobros[[#This Row],[Mes]])</f>
        <v>0.005</v>
      </c>
      <c r="U323" s="34">
        <f>IF(Cobros[[#This Row],[Tipo]]="Credito",IF(60&gt;=Cobros[[#This Row],[Dias al pago]],1,0),IF(Cobros[[#This Row],[Dias al pago]]&lt;=3,1,0))</f>
        <v>1</v>
      </c>
      <c r="V323" s="46">
        <f>(Cobros[[#This Row],[% A pagar Vendedor]]/100)*Cobros[[#This Row],[Valor Pagado]]*Cobros[[#This Row],[Vencido]]*(Cobros[[#This Row],[% aplicar]]/100)*IF(Cobros[[#This Row],[% A pagar Vendedor]]&gt;0,1,0)</f>
        <v>26.34</v>
      </c>
      <c r="W323" s="46">
        <f>0.5%*Cobros[[#This Row],[Valor Pagado]]</f>
        <v>13.17</v>
      </c>
    </row>
    <row r="324" ht="30" spans="1:23">
      <c r="A324" s="49" t="s">
        <v>3860</v>
      </c>
      <c r="B324" s="49" t="s">
        <v>4374</v>
      </c>
      <c r="C324" s="49" t="s">
        <v>166</v>
      </c>
      <c r="D324" s="49" t="s">
        <v>167</v>
      </c>
      <c r="E324" s="49" t="s">
        <v>4375</v>
      </c>
      <c r="F324" s="51">
        <v>46213</v>
      </c>
      <c r="G324" s="49">
        <v>366.3</v>
      </c>
      <c r="H324" s="49" t="s">
        <v>1355</v>
      </c>
      <c r="I324" s="51">
        <v>46213</v>
      </c>
      <c r="J324" s="54">
        <f>INT(Cobros[[#This Row],[Fecha Cargo]])</f>
        <v>46213</v>
      </c>
      <c r="K324" s="54">
        <f>INT(Cobros[[#This Row],[Fecha Aplicacion]])</f>
        <v>46213</v>
      </c>
      <c r="L324" s="55">
        <f>INDEX(Clientes[Días Plazo],MATCH(Cobros[[#This Row],[Cod. Cliente]],Clientes[Codigo],0),1)</f>
        <v>0</v>
      </c>
      <c r="M324" s="45" t="str">
        <f>IF(Cobros[[#This Row],[Dias de Credito]]&lt;=0,"Contado","Credito")</f>
        <v>Contado</v>
      </c>
      <c r="N324" s="45">
        <f>Cobros[[#This Row],[Fecha Aplicación S]]-Cobros[[#This Row],[Fecha Cargo S]]</f>
        <v>0</v>
      </c>
      <c r="O324" s="45">
        <f>Cobros[[#This Row],[Dias al pago]]-Cobros[[#This Row],[Dias de Credito]]</f>
        <v>0</v>
      </c>
      <c r="P324" s="45">
        <f>SUMIFS(TablaDias[Porcentaje],TablaDias[Tipo],Cobros[[#This Row],[Tipo]],TablaDias[Desde ],"&lt;="&amp;MAX(0,Cobros[[#This Row],[Dias pasado]]),TablaDias[Hasta ],"&gt;="&amp;Cobros[[#This Row],[Dias pasado]])</f>
        <v>100</v>
      </c>
      <c r="Q3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4">
        <f>IF(COUNTIF(PAPEL[Numero],Cobros[[#This Row],[Doc. Cargo]])&gt;0,1,0)</f>
        <v>0</v>
      </c>
      <c r="S324" s="46">
        <v>1</v>
      </c>
      <c r="T324" s="46">
        <f t="array" ref="T324">INDEX(Ventas[[Unidades]:[2]],MATCH("Gerente de Venta",Ventas[Vendedor %],0),6+Cobros[[#This Row],[Mes]])</f>
        <v>0.005</v>
      </c>
      <c r="U324" s="34">
        <f>IF(Cobros[[#This Row],[Tipo]]="Credito",IF(60&gt;=Cobros[[#This Row],[Dias al pago]],1,0),IF(Cobros[[#This Row],[Dias al pago]]&lt;=3,1,0))</f>
        <v>1</v>
      </c>
      <c r="V324" s="46">
        <f>(Cobros[[#This Row],[% A pagar Vendedor]]/100)*Cobros[[#This Row],[Valor Pagado]]*Cobros[[#This Row],[Vencido]]*(Cobros[[#This Row],[% aplicar]]/100)*IF(Cobros[[#This Row],[% A pagar Vendedor]]&gt;0,1,0)</f>
        <v>3.663</v>
      </c>
      <c r="W324" s="46">
        <f>0.5%*Cobros[[#This Row],[Valor Pagado]]</f>
        <v>1.8315</v>
      </c>
    </row>
    <row r="325" spans="1:23">
      <c r="A325" s="49" t="s">
        <v>3860</v>
      </c>
      <c r="B325" s="49" t="s">
        <v>4376</v>
      </c>
      <c r="C325" s="49" t="s">
        <v>255</v>
      </c>
      <c r="D325" s="49" t="s">
        <v>256</v>
      </c>
      <c r="E325" s="49" t="s">
        <v>4214</v>
      </c>
      <c r="F325" s="51">
        <v>46191</v>
      </c>
      <c r="G325" s="49">
        <v>361.25</v>
      </c>
      <c r="H325" s="49" t="s">
        <v>16</v>
      </c>
      <c r="I325" s="51">
        <v>46213</v>
      </c>
      <c r="J325" s="54">
        <f>INT(Cobros[[#This Row],[Fecha Cargo]])</f>
        <v>46191</v>
      </c>
      <c r="K325" s="54">
        <f>INT(Cobros[[#This Row],[Fecha Aplicacion]])</f>
        <v>46213</v>
      </c>
      <c r="L325" s="55" t="str">
        <f>INDEX(Clientes[Días Plazo],MATCH(Cobros[[#This Row],[Cod. Cliente]],Clientes[Codigo],0),1)</f>
        <v>15</v>
      </c>
      <c r="M325" s="45" t="str">
        <f>IF(Cobros[[#This Row],[Dias de Credito]]&lt;=0,"Contado","Credito")</f>
        <v>Credito</v>
      </c>
      <c r="N325" s="45">
        <f>Cobros[[#This Row],[Fecha Aplicación S]]-Cobros[[#This Row],[Fecha Cargo S]]</f>
        <v>22</v>
      </c>
      <c r="O325" s="45">
        <f>Cobros[[#This Row],[Dias al pago]]-Cobros[[#This Row],[Dias de Credito]]</f>
        <v>7</v>
      </c>
      <c r="P325" s="45">
        <f>SUMIFS(TablaDias[Porcentaje],TablaDias[Tipo],Cobros[[#This Row],[Tipo]],TablaDias[Desde ],"&lt;="&amp;MAX(0,Cobros[[#This Row],[Dias pasado]]),TablaDias[Hasta ],"&gt;="&amp;Cobros[[#This Row],[Dias pasado]])</f>
        <v>100</v>
      </c>
      <c r="Q3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25">
        <f>IF(COUNTIF(PAPEL[Numero],Cobros[[#This Row],[Doc. Cargo]])&gt;0,1,0)</f>
        <v>0</v>
      </c>
      <c r="S325" s="46">
        <f t="array" ref="S3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25" s="47">
        <v>0.005</v>
      </c>
      <c r="U325" s="34">
        <f>IF(Cobros[[#This Row],[Tipo]]="Credito",IF(60&gt;=Cobros[[#This Row],[Dias al pago]],1,0),IF(Cobros[[#This Row],[Dias al pago]]&lt;=3,1,0))</f>
        <v>1</v>
      </c>
      <c r="V325" s="46">
        <f>(Cobros[[#This Row],[% A pagar Vendedor]]/100)*Cobros[[#This Row],[Valor Pagado]]*Cobros[[#This Row],[Vencido]]*(Cobros[[#This Row],[% aplicar]]/100)*IF(Cobros[[#This Row],[% A pagar Vendedor]]&gt;0,1,0)</f>
        <v>3.6125</v>
      </c>
      <c r="W325" s="46">
        <f>0.5%*Cobros[[#This Row],[Valor Pagado]]</f>
        <v>1.80625</v>
      </c>
    </row>
    <row r="326" spans="1:23">
      <c r="A326" s="49" t="s">
        <v>3860</v>
      </c>
      <c r="B326" s="49" t="s">
        <v>4376</v>
      </c>
      <c r="C326" s="49" t="s">
        <v>255</v>
      </c>
      <c r="D326" s="49" t="s">
        <v>256</v>
      </c>
      <c r="E326" s="49" t="s">
        <v>4377</v>
      </c>
      <c r="F326" s="51">
        <v>46213</v>
      </c>
      <c r="G326" s="49">
        <v>0.75</v>
      </c>
      <c r="H326" s="49" t="s">
        <v>16</v>
      </c>
      <c r="I326" s="51">
        <v>46213</v>
      </c>
      <c r="J326" s="54">
        <f>INT(Cobros[[#This Row],[Fecha Cargo]])</f>
        <v>46213</v>
      </c>
      <c r="K326" s="54">
        <f>INT(Cobros[[#This Row],[Fecha Aplicacion]])</f>
        <v>46213</v>
      </c>
      <c r="L326" s="55" t="str">
        <f>INDEX(Clientes[Días Plazo],MATCH(Cobros[[#This Row],[Cod. Cliente]],Clientes[Codigo],0),1)</f>
        <v>15</v>
      </c>
      <c r="M326" s="45" t="str">
        <f>IF(Cobros[[#This Row],[Dias de Credito]]&lt;=0,"Contado","Credito")</f>
        <v>Credito</v>
      </c>
      <c r="N326" s="45">
        <f>Cobros[[#This Row],[Fecha Aplicación S]]-Cobros[[#This Row],[Fecha Cargo S]]</f>
        <v>0</v>
      </c>
      <c r="O326" s="45">
        <f>Cobros[[#This Row],[Dias al pago]]-Cobros[[#This Row],[Dias de Credito]]</f>
        <v>-15</v>
      </c>
      <c r="P326" s="45">
        <f>SUMIFS(TablaDias[Porcentaje],TablaDias[Tipo],Cobros[[#This Row],[Tipo]],TablaDias[Desde ],"&lt;="&amp;MAX(0,Cobros[[#This Row],[Dias pasado]]),TablaDias[Hasta ],"&gt;="&amp;Cobros[[#This Row],[Dias pasado]])</f>
        <v>100</v>
      </c>
      <c r="Q3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6">
        <f>IF(COUNTIF(PAPEL[Numero],Cobros[[#This Row],[Doc. Cargo]])&gt;0,1,0)</f>
        <v>0</v>
      </c>
      <c r="S326" s="46">
        <f t="array" ref="S3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26" s="47">
        <v>0.005</v>
      </c>
      <c r="U326" s="34">
        <f>IF(Cobros[[#This Row],[Tipo]]="Credito",IF(60&gt;=Cobros[[#This Row],[Dias al pago]],1,0),IF(Cobros[[#This Row],[Dias al pago]]&lt;=3,1,0))</f>
        <v>1</v>
      </c>
      <c r="V326" s="46">
        <f>(Cobros[[#This Row],[% A pagar Vendedor]]/100)*Cobros[[#This Row],[Valor Pagado]]*Cobros[[#This Row],[Vencido]]*(Cobros[[#This Row],[% aplicar]]/100)*IF(Cobros[[#This Row],[% A pagar Vendedor]]&gt;0,1,0)</f>
        <v>0.009375</v>
      </c>
      <c r="W326" s="46">
        <f>0.5%*Cobros[[#This Row],[Valor Pagado]]</f>
        <v>0.00375</v>
      </c>
    </row>
    <row r="327" spans="1:23">
      <c r="A327" s="49" t="s">
        <v>3860</v>
      </c>
      <c r="B327" s="49" t="s">
        <v>4378</v>
      </c>
      <c r="C327" s="49" t="s">
        <v>1222</v>
      </c>
      <c r="D327" s="49" t="s">
        <v>1223</v>
      </c>
      <c r="E327" s="49" t="s">
        <v>4258</v>
      </c>
      <c r="F327" s="51">
        <v>46211</v>
      </c>
      <c r="G327" s="49">
        <v>700</v>
      </c>
      <c r="H327" s="49" t="s">
        <v>20</v>
      </c>
      <c r="I327" s="51">
        <v>46213</v>
      </c>
      <c r="J327" s="54">
        <f>INT(Cobros[[#This Row],[Fecha Cargo]])</f>
        <v>46211</v>
      </c>
      <c r="K327" s="54">
        <f>INT(Cobros[[#This Row],[Fecha Aplicacion]])</f>
        <v>46213</v>
      </c>
      <c r="L327" s="55" t="str">
        <f>INDEX(Clientes[Días Plazo],MATCH(Cobros[[#This Row],[Cod. Cliente]],Clientes[Codigo],0),1)</f>
        <v>7</v>
      </c>
      <c r="M327" s="45" t="str">
        <f>IF(Cobros[[#This Row],[Dias de Credito]]&lt;=0,"Contado","Credito")</f>
        <v>Credito</v>
      </c>
      <c r="N327" s="45">
        <f>Cobros[[#This Row],[Fecha Aplicación S]]-Cobros[[#This Row],[Fecha Cargo S]]</f>
        <v>2</v>
      </c>
      <c r="O327" s="45">
        <f>Cobros[[#This Row],[Dias al pago]]-Cobros[[#This Row],[Dias de Credito]]</f>
        <v>-5</v>
      </c>
      <c r="P327" s="45">
        <f>SUMIFS(TablaDias[Porcentaje],TablaDias[Tipo],Cobros[[#This Row],[Tipo]],TablaDias[Desde ],"&lt;="&amp;MAX(0,Cobros[[#This Row],[Dias pasado]]),TablaDias[Hasta ],"&gt;="&amp;Cobros[[#This Row],[Dias pasado]])</f>
        <v>100</v>
      </c>
      <c r="Q32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7">
        <f>IF(COUNTIF(PAPEL[Numero],Cobros[[#This Row],[Doc. Cargo]])&gt;0,1,0)</f>
        <v>0</v>
      </c>
      <c r="S327" s="46">
        <f t="array" ref="S3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27" s="46">
        <f t="array" ref="T327">INDEX(Ventas[[Unidades]:[2]],MATCH("Gerente de Venta",Ventas[Vendedor %],0),6+Cobros[[#This Row],[Mes]])</f>
        <v>0.005</v>
      </c>
      <c r="U327" s="34">
        <f>IF(Cobros[[#This Row],[Tipo]]="Credito",IF(60&gt;=Cobros[[#This Row],[Dias al pago]],1,0),IF(Cobros[[#This Row],[Dias al pago]]&lt;=3,1,0))</f>
        <v>1</v>
      </c>
      <c r="V327" s="46">
        <f>(Cobros[[#This Row],[% A pagar Vendedor]]/100)*Cobros[[#This Row],[Valor Pagado]]*Cobros[[#This Row],[Vencido]]*(Cobros[[#This Row],[% aplicar]]/100)*IF(Cobros[[#This Row],[% A pagar Vendedor]]&gt;0,1,0)</f>
        <v>8.75</v>
      </c>
      <c r="W327" s="46">
        <f>0.5%*Cobros[[#This Row],[Valor Pagado]]</f>
        <v>3.5</v>
      </c>
    </row>
    <row r="328" ht="30" spans="1:23">
      <c r="A328" s="49" t="s">
        <v>3884</v>
      </c>
      <c r="B328" s="49" t="s">
        <v>4379</v>
      </c>
      <c r="C328" s="49" t="s">
        <v>179</v>
      </c>
      <c r="D328" s="49" t="s">
        <v>180</v>
      </c>
      <c r="E328" s="49" t="s">
        <v>4380</v>
      </c>
      <c r="F328" s="51">
        <v>46213</v>
      </c>
      <c r="G328" s="49">
        <v>54</v>
      </c>
      <c r="H328" s="49" t="s">
        <v>3865</v>
      </c>
      <c r="I328" s="51">
        <v>46213</v>
      </c>
      <c r="J328" s="54">
        <f>INT(Cobros[[#This Row],[Fecha Cargo]])</f>
        <v>46213</v>
      </c>
      <c r="K328" s="54">
        <f>INT(Cobros[[#This Row],[Fecha Aplicacion]])</f>
        <v>46213</v>
      </c>
      <c r="L328" s="55">
        <f>INDEX(Clientes[Días Plazo],MATCH(Cobros[[#This Row],[Cod. Cliente]],Clientes[Codigo],0),1)</f>
        <v>0</v>
      </c>
      <c r="M328" s="45" t="str">
        <f>IF(Cobros[[#This Row],[Dias de Credito]]&lt;=0,"Contado","Credito")</f>
        <v>Contado</v>
      </c>
      <c r="N328" s="45">
        <f>Cobros[[#This Row],[Fecha Aplicación S]]-Cobros[[#This Row],[Fecha Cargo S]]</f>
        <v>0</v>
      </c>
      <c r="O328" s="45">
        <f>Cobros[[#This Row],[Dias al pago]]-Cobros[[#This Row],[Dias de Credito]]</f>
        <v>0</v>
      </c>
      <c r="P328" s="45">
        <f>SUMIFS(TablaDias[Porcentaje],TablaDias[Tipo],Cobros[[#This Row],[Tipo]],TablaDias[Desde ],"&lt;="&amp;MAX(0,Cobros[[#This Row],[Dias pasado]]),TablaDias[Hasta ],"&gt;="&amp;Cobros[[#This Row],[Dias pasado]])</f>
        <v>100</v>
      </c>
      <c r="Q32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28">
        <f>IF(COUNTIF(PAPEL[Numero],Cobros[[#This Row],[Doc. Cargo]])&gt;0,1,0)</f>
        <v>0</v>
      </c>
      <c r="S328" s="46">
        <v>0</v>
      </c>
      <c r="T328" s="46">
        <f t="array" ref="T328">INDEX(Ventas[[Unidades]:[2]],MATCH("Gerente de Venta",Ventas[Vendedor %],0),6+Cobros[[#This Row],[Mes]])</f>
        <v>0.005</v>
      </c>
      <c r="U328" s="34">
        <f>IF(Cobros[[#This Row],[Tipo]]="Credito",IF(60&gt;=Cobros[[#This Row],[Dias al pago]],1,0),IF(Cobros[[#This Row],[Dias al pago]]&lt;=3,1,0))</f>
        <v>1</v>
      </c>
      <c r="V328" s="46">
        <f>(Cobros[[#This Row],[% A pagar Vendedor]]/100)*Cobros[[#This Row],[Valor Pagado]]*Cobros[[#This Row],[Vencido]]*(Cobros[[#This Row],[% aplicar]]/100)*IF(Cobros[[#This Row],[% A pagar Vendedor]]&gt;0,1,0)</f>
        <v>0</v>
      </c>
      <c r="W328" s="46">
        <f>0.5%*Cobros[[#This Row],[Valor Pagado]]</f>
        <v>0.27</v>
      </c>
    </row>
    <row r="329" ht="30" spans="1:23">
      <c r="A329" s="49" t="s">
        <v>3884</v>
      </c>
      <c r="B329" s="49" t="s">
        <v>4381</v>
      </c>
      <c r="C329" s="49" t="s">
        <v>3110</v>
      </c>
      <c r="D329" s="49" t="s">
        <v>3111</v>
      </c>
      <c r="E329" s="49" t="s">
        <v>4382</v>
      </c>
      <c r="F329" s="51">
        <v>46183</v>
      </c>
      <c r="G329" s="49">
        <v>49.5</v>
      </c>
      <c r="H329" s="49" t="s">
        <v>22</v>
      </c>
      <c r="I329" s="51">
        <v>46213</v>
      </c>
      <c r="J329" s="54">
        <f>INT(Cobros[[#This Row],[Fecha Cargo]])</f>
        <v>46183</v>
      </c>
      <c r="K329" s="54">
        <f>INT(Cobros[[#This Row],[Fecha Aplicacion]])</f>
        <v>46213</v>
      </c>
      <c r="L329" s="55" t="str">
        <f>INDEX(Clientes[Días Plazo],MATCH(Cobros[[#This Row],[Cod. Cliente]],Clientes[Codigo],0),1)</f>
        <v>15</v>
      </c>
      <c r="M329" s="45" t="str">
        <f>IF(Cobros[[#This Row],[Dias de Credito]]&lt;=0,"Contado","Credito")</f>
        <v>Credito</v>
      </c>
      <c r="N329" s="45">
        <f>Cobros[[#This Row],[Fecha Aplicación S]]-Cobros[[#This Row],[Fecha Cargo S]]</f>
        <v>30</v>
      </c>
      <c r="O329" s="45">
        <f>Cobros[[#This Row],[Dias al pago]]-Cobros[[#This Row],[Dias de Credito]]</f>
        <v>15</v>
      </c>
      <c r="P329" s="45">
        <f>SUMIFS(TablaDias[Porcentaje],TablaDias[Tipo],Cobros[[#This Row],[Tipo]],TablaDias[Desde ],"&lt;="&amp;MAX(0,Cobros[[#This Row],[Dias pasado]]),TablaDias[Hasta ],"&gt;="&amp;Cobros[[#This Row],[Dias pasado]])</f>
        <v>100</v>
      </c>
      <c r="Q3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29">
        <f>IF(COUNTIF(PAPEL[Numero],Cobros[[#This Row],[Doc. Cargo]])&gt;0,1,0)</f>
        <v>0</v>
      </c>
      <c r="S329" s="46">
        <f t="array" ref="S3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29" s="46">
        <f t="array" ref="T329">INDEX(Ventas[[Unidades]:[2]],MATCH("Gerente de Venta",Ventas[Vendedor %],0),6+Cobros[[#This Row],[Mes]])</f>
        <v>0.005</v>
      </c>
      <c r="U329" s="34">
        <f>IF(Cobros[[#This Row],[Tipo]]="Credito",IF(60&gt;=Cobros[[#This Row],[Dias al pago]],1,0),IF(Cobros[[#This Row],[Dias al pago]]&lt;=3,1,0))</f>
        <v>1</v>
      </c>
      <c r="V329" s="46">
        <f>(Cobros[[#This Row],[% A pagar Vendedor]]/100)*Cobros[[#This Row],[Valor Pagado]]*Cobros[[#This Row],[Vencido]]*(Cobros[[#This Row],[% aplicar]]/100)*IF(Cobros[[#This Row],[% A pagar Vendedor]]&gt;0,1,0)</f>
        <v>0.495</v>
      </c>
      <c r="W329" s="46">
        <f>0.5%*Cobros[[#This Row],[Valor Pagado]]</f>
        <v>0.2475</v>
      </c>
    </row>
    <row r="330" ht="30" spans="1:24">
      <c r="A330" s="49" t="s">
        <v>3884</v>
      </c>
      <c r="B330" s="49" t="s">
        <v>4381</v>
      </c>
      <c r="C330" s="49" t="s">
        <v>3110</v>
      </c>
      <c r="D330" s="49" t="s">
        <v>3111</v>
      </c>
      <c r="E330" s="49" t="s">
        <v>4383</v>
      </c>
      <c r="F330" s="51">
        <v>46211</v>
      </c>
      <c r="G330" s="49">
        <v>0.5</v>
      </c>
      <c r="H330" s="49" t="s">
        <v>22</v>
      </c>
      <c r="I330" s="51">
        <v>46213</v>
      </c>
      <c r="J330" s="54">
        <f>INT(Cobros[[#This Row],[Fecha Cargo]])</f>
        <v>46211</v>
      </c>
      <c r="K330" s="54">
        <f>INT(Cobros[[#This Row],[Fecha Aplicacion]])</f>
        <v>46213</v>
      </c>
      <c r="L330" s="55" t="str">
        <f>INDEX(Clientes[Días Plazo],MATCH(Cobros[[#This Row],[Cod. Cliente]],Clientes[Codigo],0),1)</f>
        <v>15</v>
      </c>
      <c r="M330" s="45" t="str">
        <f>IF(Cobros[[#This Row],[Dias de Credito]]&lt;=0,"Contado","Credito")</f>
        <v>Credito</v>
      </c>
      <c r="N330" s="45">
        <f>Cobros[[#This Row],[Fecha Aplicación S]]-Cobros[[#This Row],[Fecha Cargo S]]</f>
        <v>2</v>
      </c>
      <c r="O330" s="45">
        <f>Cobros[[#This Row],[Dias al pago]]-Cobros[[#This Row],[Dias de Credito]]</f>
        <v>-13</v>
      </c>
      <c r="P330" s="45">
        <f>SUMIFS(TablaDias[Porcentaje],TablaDias[Tipo],Cobros[[#This Row],[Tipo]],TablaDias[Desde ],"&lt;="&amp;MAX(0,Cobros[[#This Row],[Dias pasado]]),TablaDias[Hasta ],"&gt;="&amp;Cobros[[#This Row],[Dias pasado]])</f>
        <v>100</v>
      </c>
      <c r="Q3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0">
        <f>IF(COUNTIF(PAPEL[Numero],Cobros[[#This Row],[Doc. Cargo]])&gt;0,1,0)</f>
        <v>0</v>
      </c>
      <c r="S330" s="46">
        <f t="array" ref="S3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30" s="46">
        <f t="array" ref="T330">INDEX(Ventas[[Unidades]:[2]],MATCH("Gerente de Venta",Ventas[Vendedor %],0),6+Cobros[[#This Row],[Mes]])</f>
        <v>0.005</v>
      </c>
      <c r="U330" s="34">
        <f>IF(Cobros[[#This Row],[Tipo]]="Credito",IF(60&gt;=Cobros[[#This Row],[Dias al pago]],1,0),IF(Cobros[[#This Row],[Dias al pago]]&lt;=3,1,0))</f>
        <v>1</v>
      </c>
      <c r="V330" s="46">
        <f>(Cobros[[#This Row],[% A pagar Vendedor]]/100)*Cobros[[#This Row],[Valor Pagado]]*Cobros[[#This Row],[Vencido]]*(Cobros[[#This Row],[% aplicar]]/100)*IF(Cobros[[#This Row],[% A pagar Vendedor]]&gt;0,1,0)</f>
        <v>0.005</v>
      </c>
      <c r="W330" s="46">
        <f>0.5%*Cobros[[#This Row],[Valor Pagado]]</f>
        <v>0.0025</v>
      </c>
      <c r="X330" s="34"/>
    </row>
    <row r="331" ht="30" spans="1:24">
      <c r="A331" s="49" t="s">
        <v>3904</v>
      </c>
      <c r="B331" s="49" t="s">
        <v>4384</v>
      </c>
      <c r="C331" s="49" t="s">
        <v>1272</v>
      </c>
      <c r="D331" s="49" t="s">
        <v>1273</v>
      </c>
      <c r="E331" s="49" t="s">
        <v>4385</v>
      </c>
      <c r="F331" s="51">
        <v>46213</v>
      </c>
      <c r="G331" s="49">
        <v>901.42</v>
      </c>
      <c r="H331" s="49" t="s">
        <v>3865</v>
      </c>
      <c r="I331" s="51">
        <v>46213</v>
      </c>
      <c r="J331" s="54">
        <f>INT(Cobros[[#This Row],[Fecha Cargo]])</f>
        <v>46213</v>
      </c>
      <c r="K331" s="54">
        <f>INT(Cobros[[#This Row],[Fecha Aplicacion]])</f>
        <v>46213</v>
      </c>
      <c r="L331" s="55">
        <f>INDEX(Clientes[Días Plazo],MATCH(Cobros[[#This Row],[Cod. Cliente]],Clientes[Codigo],0),1)</f>
        <v>0</v>
      </c>
      <c r="M331" s="45" t="str">
        <f>IF(Cobros[[#This Row],[Dias de Credito]]&lt;=0,"Contado","Credito")</f>
        <v>Contado</v>
      </c>
      <c r="N331" s="45">
        <f>Cobros[[#This Row],[Fecha Aplicación S]]-Cobros[[#This Row],[Fecha Cargo S]]</f>
        <v>0</v>
      </c>
      <c r="O331" s="45">
        <f>Cobros[[#This Row],[Dias al pago]]-Cobros[[#This Row],[Dias de Credito]]</f>
        <v>0</v>
      </c>
      <c r="P331" s="45">
        <f>SUMIFS(TablaDias[Porcentaje],TablaDias[Tipo],Cobros[[#This Row],[Tipo]],TablaDias[Desde ],"&lt;="&amp;MAX(0,Cobros[[#This Row],[Dias pasado]]),TablaDias[Hasta ],"&gt;="&amp;Cobros[[#This Row],[Dias pasado]])</f>
        <v>100</v>
      </c>
      <c r="Q3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1">
        <f>IF(COUNTIF(PAPEL[Numero],Cobros[[#This Row],[Doc. Cargo]])&gt;0,1,0)</f>
        <v>0</v>
      </c>
      <c r="S331" s="46">
        <v>1</v>
      </c>
      <c r="T331" s="46">
        <f t="array" ref="T331">INDEX(Ventas[[Unidades]:[2]],MATCH("Gerente de Venta",Ventas[Vendedor %],0),6+Cobros[[#This Row],[Mes]])</f>
        <v>0.005</v>
      </c>
      <c r="U331" s="34">
        <f>IF(Cobros[[#This Row],[Tipo]]="Credito",IF(60&gt;=Cobros[[#This Row],[Dias al pago]],1,0),IF(Cobros[[#This Row],[Dias al pago]]&lt;=3,1,0))</f>
        <v>1</v>
      </c>
      <c r="V331" s="46">
        <f>(Cobros[[#This Row],[% A pagar Vendedor]]/100)*Cobros[[#This Row],[Valor Pagado]]*Cobros[[#This Row],[Vencido]]*(Cobros[[#This Row],[% aplicar]]/100)*IF(Cobros[[#This Row],[% A pagar Vendedor]]&gt;0,1,0)</f>
        <v>9.0142</v>
      </c>
      <c r="W331" s="46">
        <f>0.5%*Cobros[[#This Row],[Valor Pagado]]</f>
        <v>4.5071</v>
      </c>
      <c r="X331" s="34"/>
    </row>
    <row r="332" ht="30" spans="1:23">
      <c r="A332" s="49" t="s">
        <v>3884</v>
      </c>
      <c r="B332" s="49" t="s">
        <v>4386</v>
      </c>
      <c r="C332" s="49" t="s">
        <v>354</v>
      </c>
      <c r="D332" s="49" t="s">
        <v>355</v>
      </c>
      <c r="E332" s="49" t="s">
        <v>4387</v>
      </c>
      <c r="F332" s="51">
        <v>46213</v>
      </c>
      <c r="G332" s="49">
        <v>179.5</v>
      </c>
      <c r="H332" s="49" t="s">
        <v>22</v>
      </c>
      <c r="I332" s="51">
        <v>46213</v>
      </c>
      <c r="J332" s="54">
        <f>INT(Cobros[[#This Row],[Fecha Cargo]])</f>
        <v>46213</v>
      </c>
      <c r="K332" s="54">
        <f>INT(Cobros[[#This Row],[Fecha Aplicacion]])</f>
        <v>46213</v>
      </c>
      <c r="L332" s="55">
        <f>INDEX(Clientes[Días Plazo],MATCH(Cobros[[#This Row],[Cod. Cliente]],Clientes[Codigo],0),1)</f>
        <v>0</v>
      </c>
      <c r="M332" s="45" t="str">
        <f>IF(Cobros[[#This Row],[Dias de Credito]]&lt;=0,"Contado","Credito")</f>
        <v>Contado</v>
      </c>
      <c r="N332" s="45">
        <f>Cobros[[#This Row],[Fecha Aplicación S]]-Cobros[[#This Row],[Fecha Cargo S]]</f>
        <v>0</v>
      </c>
      <c r="O332" s="45">
        <f>Cobros[[#This Row],[Dias al pago]]-Cobros[[#This Row],[Dias de Credito]]</f>
        <v>0</v>
      </c>
      <c r="P332" s="45">
        <f>SUMIFS(TablaDias[Porcentaje],TablaDias[Tipo],Cobros[[#This Row],[Tipo]],TablaDias[Desde ],"&lt;="&amp;MAX(0,Cobros[[#This Row],[Dias pasado]]),TablaDias[Hasta ],"&gt;="&amp;Cobros[[#This Row],[Dias pasado]])</f>
        <v>100</v>
      </c>
      <c r="Q3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2">
        <f>IF(COUNTIF(PAPEL[Numero],Cobros[[#This Row],[Doc. Cargo]])&gt;0,1,0)</f>
        <v>0</v>
      </c>
      <c r="S332" s="46">
        <f t="array" ref="S3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32" s="46">
        <f t="array" ref="T332">INDEX(Ventas[[Unidades]:[2]],MATCH("Gerente de Venta",Ventas[Vendedor %],0),6+Cobros[[#This Row],[Mes]])</f>
        <v>0.005</v>
      </c>
      <c r="U332" s="34">
        <f>IF(Cobros[[#This Row],[Tipo]]="Credito",IF(60&gt;=Cobros[[#This Row],[Dias al pago]],1,0),IF(Cobros[[#This Row],[Dias al pago]]&lt;=3,1,0))</f>
        <v>1</v>
      </c>
      <c r="V332" s="46">
        <f>(Cobros[[#This Row],[% A pagar Vendedor]]/100)*Cobros[[#This Row],[Valor Pagado]]*Cobros[[#This Row],[Vencido]]*(Cobros[[#This Row],[% aplicar]]/100)*IF(Cobros[[#This Row],[% A pagar Vendedor]]&gt;0,1,0)</f>
        <v>1.795</v>
      </c>
      <c r="W332" s="46">
        <f>0.5%*Cobros[[#This Row],[Valor Pagado]]</f>
        <v>0.8975</v>
      </c>
    </row>
    <row r="333" spans="1:23">
      <c r="A333" s="49" t="s">
        <v>3875</v>
      </c>
      <c r="B333" s="49" t="s">
        <v>4388</v>
      </c>
      <c r="C333" s="49" t="s">
        <v>1222</v>
      </c>
      <c r="D333" s="49" t="s">
        <v>1223</v>
      </c>
      <c r="E333" s="49" t="s">
        <v>4258</v>
      </c>
      <c r="F333" s="51">
        <v>46211</v>
      </c>
      <c r="G333" s="49">
        <v>219.85</v>
      </c>
      <c r="H333" s="49" t="s">
        <v>20</v>
      </c>
      <c r="I333" s="51">
        <v>46213</v>
      </c>
      <c r="J333" s="54">
        <f>INT(Cobros[[#This Row],[Fecha Cargo]])</f>
        <v>46211</v>
      </c>
      <c r="K333" s="54">
        <f>INT(Cobros[[#This Row],[Fecha Aplicacion]])</f>
        <v>46213</v>
      </c>
      <c r="L333" s="55" t="str">
        <f>INDEX(Clientes[Días Plazo],MATCH(Cobros[[#This Row],[Cod. Cliente]],Clientes[Codigo],0),1)</f>
        <v>7</v>
      </c>
      <c r="M333" s="45" t="str">
        <f>IF(Cobros[[#This Row],[Dias de Credito]]&lt;=0,"Contado","Credito")</f>
        <v>Credito</v>
      </c>
      <c r="N333" s="45">
        <f>Cobros[[#This Row],[Fecha Aplicación S]]-Cobros[[#This Row],[Fecha Cargo S]]</f>
        <v>2</v>
      </c>
      <c r="O333" s="45">
        <f>Cobros[[#This Row],[Dias al pago]]-Cobros[[#This Row],[Dias de Credito]]</f>
        <v>-5</v>
      </c>
      <c r="P333" s="45">
        <f>SUMIFS(TablaDias[Porcentaje],TablaDias[Tipo],Cobros[[#This Row],[Tipo]],TablaDias[Desde ],"&lt;="&amp;MAX(0,Cobros[[#This Row],[Dias pasado]]),TablaDias[Hasta ],"&gt;="&amp;Cobros[[#This Row],[Dias pasado]])</f>
        <v>100</v>
      </c>
      <c r="Q3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3">
        <f>IF(COUNTIF(PAPEL[Numero],Cobros[[#This Row],[Doc. Cargo]])&gt;0,1,0)</f>
        <v>0</v>
      </c>
      <c r="S333" s="46">
        <f t="array" ref="S3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3" s="46">
        <f t="array" ref="T333">INDEX(Ventas[[Unidades]:[2]],MATCH("Gerente de Venta",Ventas[Vendedor %],0),6+Cobros[[#This Row],[Mes]])</f>
        <v>0.005</v>
      </c>
      <c r="U333" s="34">
        <f>IF(Cobros[[#This Row],[Tipo]]="Credito",IF(60&gt;=Cobros[[#This Row],[Dias al pago]],1,0),IF(Cobros[[#This Row],[Dias al pago]]&lt;=3,1,0))</f>
        <v>1</v>
      </c>
      <c r="V333" s="46">
        <f>(Cobros[[#This Row],[% A pagar Vendedor]]/100)*Cobros[[#This Row],[Valor Pagado]]*Cobros[[#This Row],[Vencido]]*(Cobros[[#This Row],[% aplicar]]/100)*IF(Cobros[[#This Row],[% A pagar Vendedor]]&gt;0,1,0)</f>
        <v>2.748125</v>
      </c>
      <c r="W333" s="46">
        <f>0.5%*Cobros[[#This Row],[Valor Pagado]]</f>
        <v>1.09925</v>
      </c>
    </row>
    <row r="334" spans="1:23">
      <c r="A334" s="49" t="s">
        <v>3875</v>
      </c>
      <c r="B334" s="49" t="s">
        <v>4388</v>
      </c>
      <c r="C334" s="49" t="s">
        <v>1222</v>
      </c>
      <c r="D334" s="49" t="s">
        <v>1223</v>
      </c>
      <c r="E334" s="49" t="s">
        <v>4389</v>
      </c>
      <c r="F334" s="51">
        <v>46211</v>
      </c>
      <c r="G334" s="49">
        <v>80.15</v>
      </c>
      <c r="H334" s="49" t="s">
        <v>20</v>
      </c>
      <c r="I334" s="51">
        <v>46213</v>
      </c>
      <c r="J334" s="54">
        <f>INT(Cobros[[#This Row],[Fecha Cargo]])</f>
        <v>46211</v>
      </c>
      <c r="K334" s="54">
        <f>INT(Cobros[[#This Row],[Fecha Aplicacion]])</f>
        <v>46213</v>
      </c>
      <c r="L334" s="55" t="str">
        <f>INDEX(Clientes[Días Plazo],MATCH(Cobros[[#This Row],[Cod. Cliente]],Clientes[Codigo],0),1)</f>
        <v>7</v>
      </c>
      <c r="M334" s="45" t="str">
        <f>IF(Cobros[[#This Row],[Dias de Credito]]&lt;=0,"Contado","Credito")</f>
        <v>Credito</v>
      </c>
      <c r="N334" s="45">
        <f>Cobros[[#This Row],[Fecha Aplicación S]]-Cobros[[#This Row],[Fecha Cargo S]]</f>
        <v>2</v>
      </c>
      <c r="O334" s="45">
        <f>Cobros[[#This Row],[Dias al pago]]-Cobros[[#This Row],[Dias de Credito]]</f>
        <v>-5</v>
      </c>
      <c r="P334" s="45">
        <f>SUMIFS(TablaDias[Porcentaje],TablaDias[Tipo],Cobros[[#This Row],[Tipo]],TablaDias[Desde ],"&lt;="&amp;MAX(0,Cobros[[#This Row],[Dias pasado]]),TablaDias[Hasta ],"&gt;="&amp;Cobros[[#This Row],[Dias pasado]])</f>
        <v>100</v>
      </c>
      <c r="Q3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4">
        <f>IF(COUNTIF(PAPEL[Numero],Cobros[[#This Row],[Doc. Cargo]])&gt;0,1,0)</f>
        <v>0</v>
      </c>
      <c r="S334" s="46">
        <f t="array" ref="S3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4" s="46">
        <f t="array" ref="T334">INDEX(Ventas[[Unidades]:[2]],MATCH("Gerente de Venta",Ventas[Vendedor %],0),6+Cobros[[#This Row],[Mes]])</f>
        <v>0.005</v>
      </c>
      <c r="U334" s="34">
        <f>IF(Cobros[[#This Row],[Tipo]]="Credito",IF(60&gt;=Cobros[[#This Row],[Dias al pago]],1,0),IF(Cobros[[#This Row],[Dias al pago]]&lt;=3,1,0))</f>
        <v>1</v>
      </c>
      <c r="V334" s="46">
        <f>(Cobros[[#This Row],[% A pagar Vendedor]]/100)*Cobros[[#This Row],[Valor Pagado]]*Cobros[[#This Row],[Vencido]]*(Cobros[[#This Row],[% aplicar]]/100)*IF(Cobros[[#This Row],[% A pagar Vendedor]]&gt;0,1,0)</f>
        <v>1.001875</v>
      </c>
      <c r="W334" s="46">
        <f>0.5%*Cobros[[#This Row],[Valor Pagado]]</f>
        <v>0.40075</v>
      </c>
    </row>
    <row r="335" spans="1:24">
      <c r="A335" s="49" t="s">
        <v>3860</v>
      </c>
      <c r="B335" s="49" t="s">
        <v>4390</v>
      </c>
      <c r="C335" s="49" t="s">
        <v>1651</v>
      </c>
      <c r="D335" s="49" t="s">
        <v>1652</v>
      </c>
      <c r="E335" s="49" t="s">
        <v>4391</v>
      </c>
      <c r="F335" s="51">
        <v>46213</v>
      </c>
      <c r="G335" s="49">
        <v>235</v>
      </c>
      <c r="H335" s="49" t="s">
        <v>16</v>
      </c>
      <c r="I335" s="51">
        <v>46213</v>
      </c>
      <c r="J335" s="54">
        <f>INT(Cobros[[#This Row],[Fecha Cargo]])</f>
        <v>46213</v>
      </c>
      <c r="K335" s="54">
        <f>INT(Cobros[[#This Row],[Fecha Aplicacion]])</f>
        <v>46213</v>
      </c>
      <c r="L335" s="55">
        <f>INDEX(Clientes[Días Plazo],MATCH(Cobros[[#This Row],[Cod. Cliente]],Clientes[Codigo],0),1)</f>
        <v>0</v>
      </c>
      <c r="M335" s="45" t="str">
        <f>IF(Cobros[[#This Row],[Dias de Credito]]&lt;=0,"Contado","Credito")</f>
        <v>Contado</v>
      </c>
      <c r="N335" s="45">
        <f>Cobros[[#This Row],[Fecha Aplicación S]]-Cobros[[#This Row],[Fecha Cargo S]]</f>
        <v>0</v>
      </c>
      <c r="O335" s="45">
        <f>Cobros[[#This Row],[Dias al pago]]-Cobros[[#This Row],[Dias de Credito]]</f>
        <v>0</v>
      </c>
      <c r="P335" s="45">
        <f>SUMIFS(TablaDias[Porcentaje],TablaDias[Tipo],Cobros[[#This Row],[Tipo]],TablaDias[Desde ],"&lt;="&amp;MAX(0,Cobros[[#This Row],[Dias pasado]]),TablaDias[Hasta ],"&gt;="&amp;Cobros[[#This Row],[Dias pasado]])</f>
        <v>100</v>
      </c>
      <c r="Q3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35">
        <f>IF(COUNTIF(PAPEL[Numero],Cobros[[#This Row],[Doc. Cargo]])&gt;0,1,0)</f>
        <v>0</v>
      </c>
      <c r="S335" s="46">
        <f t="array" ref="S33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5" s="47">
        <v>0.005</v>
      </c>
      <c r="U335" s="34">
        <f>IF(Cobros[[#This Row],[Tipo]]="Credito",IF(60&gt;=Cobros[[#This Row],[Dias al pago]],1,0),IF(Cobros[[#This Row],[Dias al pago]]&lt;=3,1,0))</f>
        <v>1</v>
      </c>
      <c r="V335" s="46">
        <f>(Cobros[[#This Row],[% A pagar Vendedor]]/100)*Cobros[[#This Row],[Valor Pagado]]*Cobros[[#This Row],[Vencido]]*(Cobros[[#This Row],[% aplicar]]/100)*IF(Cobros[[#This Row],[% A pagar Vendedor]]&gt;0,1,0)</f>
        <v>2.9375</v>
      </c>
      <c r="W335" s="46">
        <f>0.5%*Cobros[[#This Row],[Valor Pagado]]</f>
        <v>1.175</v>
      </c>
      <c r="X335" s="60"/>
    </row>
    <row r="336" ht="30" spans="1:23">
      <c r="A336" s="49" t="s">
        <v>3860</v>
      </c>
      <c r="B336" s="49" t="s">
        <v>4392</v>
      </c>
      <c r="C336" s="49" t="s">
        <v>3225</v>
      </c>
      <c r="D336" s="49" t="s">
        <v>3226</v>
      </c>
      <c r="E336" s="49" t="s">
        <v>4393</v>
      </c>
      <c r="F336" s="51">
        <v>46181</v>
      </c>
      <c r="G336" s="49">
        <v>1560.75</v>
      </c>
      <c r="H336" s="49" t="s">
        <v>1355</v>
      </c>
      <c r="I336" s="51">
        <v>46213</v>
      </c>
      <c r="J336" s="54">
        <f>INT(Cobros[[#This Row],[Fecha Cargo]])</f>
        <v>46181</v>
      </c>
      <c r="K336" s="54">
        <f>INT(Cobros[[#This Row],[Fecha Aplicacion]])</f>
        <v>46213</v>
      </c>
      <c r="L336" s="55" t="str">
        <f>INDEX(Clientes[Días Plazo],MATCH(Cobros[[#This Row],[Cod. Cliente]],Clientes[Codigo],0),1)</f>
        <v>15</v>
      </c>
      <c r="M336" s="45" t="str">
        <f>IF(Cobros[[#This Row],[Dias de Credito]]&lt;=0,"Contado","Credito")</f>
        <v>Credito</v>
      </c>
      <c r="N336" s="45">
        <f>Cobros[[#This Row],[Fecha Aplicación S]]-Cobros[[#This Row],[Fecha Cargo S]]</f>
        <v>32</v>
      </c>
      <c r="O336" s="45">
        <f>Cobros[[#This Row],[Dias al pago]]-Cobros[[#This Row],[Dias de Credito]]</f>
        <v>17</v>
      </c>
      <c r="P336" s="45">
        <f>SUMIFS(TablaDias[Porcentaje],TablaDias[Tipo],Cobros[[#This Row],[Tipo]],TablaDias[Desde ],"&lt;="&amp;MAX(0,Cobros[[#This Row],[Dias pasado]]),TablaDias[Hasta ],"&gt;="&amp;Cobros[[#This Row],[Dias pasado]])</f>
        <v>50</v>
      </c>
      <c r="Q3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36">
        <f>IF(COUNTIF(PAPEL[Numero],Cobros[[#This Row],[Doc. Cargo]])&gt;0,1,0)</f>
        <v>0</v>
      </c>
      <c r="S336" s="46">
        <v>1</v>
      </c>
      <c r="T336" s="46">
        <f t="array" ref="T336">INDEX(Ventas[[Unidades]:[2]],MATCH("Gerente de Venta",Ventas[Vendedor %],0),6+Cobros[[#This Row],[Mes]])</f>
        <v>0.005</v>
      </c>
      <c r="U336" s="34">
        <f>IF(Cobros[[#This Row],[Tipo]]="Credito",IF(60&gt;=Cobros[[#This Row],[Dias al pago]],1,0),IF(Cobros[[#This Row],[Dias al pago]]&lt;=3,1,0))</f>
        <v>1</v>
      </c>
      <c r="V336" s="46">
        <f>(Cobros[[#This Row],[% A pagar Vendedor]]/100)*Cobros[[#This Row],[Valor Pagado]]*Cobros[[#This Row],[Vencido]]*(Cobros[[#This Row],[% aplicar]]/100)*IF(Cobros[[#This Row],[% A pagar Vendedor]]&gt;0,1,0)</f>
        <v>7.80375</v>
      </c>
      <c r="W336" s="46">
        <f>0.5%*Cobros[[#This Row],[Valor Pagado]]</f>
        <v>7.80375</v>
      </c>
    </row>
    <row r="337" spans="1:23">
      <c r="A337" s="49" t="s">
        <v>3860</v>
      </c>
      <c r="B337" s="49" t="s">
        <v>4394</v>
      </c>
      <c r="C337" s="49" t="s">
        <v>3747</v>
      </c>
      <c r="D337" s="49" t="s">
        <v>3748</v>
      </c>
      <c r="E337" s="49" t="s">
        <v>4395</v>
      </c>
      <c r="F337" s="51">
        <v>46174</v>
      </c>
      <c r="G337" s="49">
        <v>1071.9</v>
      </c>
      <c r="H337" s="49" t="s">
        <v>19</v>
      </c>
      <c r="I337" s="51">
        <v>46213</v>
      </c>
      <c r="J337" s="54">
        <f>INT(Cobros[[#This Row],[Fecha Cargo]])</f>
        <v>46174</v>
      </c>
      <c r="K337" s="54">
        <f>INT(Cobros[[#This Row],[Fecha Aplicacion]])</f>
        <v>46213</v>
      </c>
      <c r="L337" s="55" t="str">
        <f>INDEX(Clientes[Días Plazo],MATCH(Cobros[[#This Row],[Cod. Cliente]],Clientes[Codigo],0),1)</f>
        <v>21</v>
      </c>
      <c r="M337" s="45" t="str">
        <f>IF(Cobros[[#This Row],[Dias de Credito]]&lt;=0,"Contado","Credito")</f>
        <v>Credito</v>
      </c>
      <c r="N337" s="45">
        <f>Cobros[[#This Row],[Fecha Aplicación S]]-Cobros[[#This Row],[Fecha Cargo S]]</f>
        <v>39</v>
      </c>
      <c r="O337" s="45">
        <f>Cobros[[#This Row],[Dias al pago]]-Cobros[[#This Row],[Dias de Credito]]</f>
        <v>18</v>
      </c>
      <c r="P337" s="45">
        <f>SUMIFS(TablaDias[Porcentaje],TablaDias[Tipo],Cobros[[#This Row],[Tipo]],TablaDias[Desde ],"&lt;="&amp;MAX(0,Cobros[[#This Row],[Dias pasado]]),TablaDias[Hasta ],"&gt;="&amp;Cobros[[#This Row],[Dias pasado]])</f>
        <v>50</v>
      </c>
      <c r="Q3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37">
        <f>IF(COUNTIF(PAPEL[Numero],Cobros[[#This Row],[Doc. Cargo]])&gt;0,1,0)</f>
        <v>0</v>
      </c>
      <c r="S337" s="46">
        <f t="array" ref="S3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7" s="46">
        <f t="array" ref="T337">INDEX(Ventas[[Unidades]:[2]],MATCH("Gerente de Venta",Ventas[Vendedor %],0),6+Cobros[[#This Row],[Mes]])</f>
        <v>0.005</v>
      </c>
      <c r="U337" s="34">
        <f>IF(Cobros[[#This Row],[Tipo]]="Credito",IF(60&gt;=Cobros[[#This Row],[Dias al pago]],1,0),IF(Cobros[[#This Row],[Dias al pago]]&lt;=3,1,0))</f>
        <v>1</v>
      </c>
      <c r="V337" s="46">
        <f>(Cobros[[#This Row],[% A pagar Vendedor]]/100)*Cobros[[#This Row],[Valor Pagado]]*Cobros[[#This Row],[Vencido]]*(Cobros[[#This Row],[% aplicar]]/100)*IF(Cobros[[#This Row],[% A pagar Vendedor]]&gt;0,1,0)</f>
        <v>6.699375</v>
      </c>
      <c r="W337" s="46">
        <f>0.5%*Cobros[[#This Row],[Valor Pagado]]</f>
        <v>5.3595</v>
      </c>
    </row>
    <row r="338" spans="1:23">
      <c r="A338" s="49" t="s">
        <v>3860</v>
      </c>
      <c r="B338" s="49" t="s">
        <v>4394</v>
      </c>
      <c r="C338" s="49" t="s">
        <v>3747</v>
      </c>
      <c r="D338" s="49" t="s">
        <v>3748</v>
      </c>
      <c r="E338" s="49" t="s">
        <v>4396</v>
      </c>
      <c r="F338" s="51">
        <v>46175</v>
      </c>
      <c r="G338" s="49">
        <v>60</v>
      </c>
      <c r="H338" s="49" t="s">
        <v>19</v>
      </c>
      <c r="I338" s="51">
        <v>46213</v>
      </c>
      <c r="J338" s="54">
        <f>INT(Cobros[[#This Row],[Fecha Cargo]])</f>
        <v>46175</v>
      </c>
      <c r="K338" s="54">
        <f>INT(Cobros[[#This Row],[Fecha Aplicacion]])</f>
        <v>46213</v>
      </c>
      <c r="L338" s="55" t="str">
        <f>INDEX(Clientes[Días Plazo],MATCH(Cobros[[#This Row],[Cod. Cliente]],Clientes[Codigo],0),1)</f>
        <v>21</v>
      </c>
      <c r="M338" s="45" t="str">
        <f>IF(Cobros[[#This Row],[Dias de Credito]]&lt;=0,"Contado","Credito")</f>
        <v>Credito</v>
      </c>
      <c r="N338" s="45">
        <f>Cobros[[#This Row],[Fecha Aplicación S]]-Cobros[[#This Row],[Fecha Cargo S]]</f>
        <v>38</v>
      </c>
      <c r="O338" s="45">
        <f>Cobros[[#This Row],[Dias al pago]]-Cobros[[#This Row],[Dias de Credito]]</f>
        <v>17</v>
      </c>
      <c r="P338" s="45">
        <f>SUMIFS(TablaDias[Porcentaje],TablaDias[Tipo],Cobros[[#This Row],[Tipo]],TablaDias[Desde ],"&lt;="&amp;MAX(0,Cobros[[#This Row],[Dias pasado]]),TablaDias[Hasta ],"&gt;="&amp;Cobros[[#This Row],[Dias pasado]])</f>
        <v>50</v>
      </c>
      <c r="Q33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38">
        <f>IF(COUNTIF(PAPEL[Numero],Cobros[[#This Row],[Doc. Cargo]])&gt;0,1,0)</f>
        <v>0</v>
      </c>
      <c r="S338" s="46">
        <f t="array" ref="S3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8" s="46">
        <f t="array" ref="T338">INDEX(Ventas[[Unidades]:[2]],MATCH("Gerente de Venta",Ventas[Vendedor %],0),6+Cobros[[#This Row],[Mes]])</f>
        <v>0.005</v>
      </c>
      <c r="U338" s="34">
        <f>IF(Cobros[[#This Row],[Tipo]]="Credito",IF(60&gt;=Cobros[[#This Row],[Dias al pago]],1,0),IF(Cobros[[#This Row],[Dias al pago]]&lt;=3,1,0))</f>
        <v>1</v>
      </c>
      <c r="V338" s="46">
        <f>(Cobros[[#This Row],[% A pagar Vendedor]]/100)*Cobros[[#This Row],[Valor Pagado]]*Cobros[[#This Row],[Vencido]]*(Cobros[[#This Row],[% aplicar]]/100)*IF(Cobros[[#This Row],[% A pagar Vendedor]]&gt;0,1,0)</f>
        <v>0.375</v>
      </c>
      <c r="W338" s="46">
        <f>0.5%*Cobros[[#This Row],[Valor Pagado]]</f>
        <v>0.3</v>
      </c>
    </row>
    <row r="339" spans="1:24">
      <c r="A339" s="49" t="s">
        <v>3860</v>
      </c>
      <c r="B339" s="49" t="s">
        <v>4394</v>
      </c>
      <c r="C339" s="49" t="s">
        <v>3747</v>
      </c>
      <c r="D339" s="49" t="s">
        <v>3748</v>
      </c>
      <c r="E339" s="49" t="s">
        <v>4397</v>
      </c>
      <c r="F339" s="51">
        <v>46177</v>
      </c>
      <c r="G339" s="49">
        <v>1069.7</v>
      </c>
      <c r="H339" s="49" t="s">
        <v>19</v>
      </c>
      <c r="I339" s="51">
        <v>46213</v>
      </c>
      <c r="J339" s="54">
        <f>INT(Cobros[[#This Row],[Fecha Cargo]])</f>
        <v>46177</v>
      </c>
      <c r="K339" s="54">
        <f>INT(Cobros[[#This Row],[Fecha Aplicacion]])</f>
        <v>46213</v>
      </c>
      <c r="L339" s="55" t="str">
        <f>INDEX(Clientes[Días Plazo],MATCH(Cobros[[#This Row],[Cod. Cliente]],Clientes[Codigo],0),1)</f>
        <v>21</v>
      </c>
      <c r="M339" s="45" t="str">
        <f>IF(Cobros[[#This Row],[Dias de Credito]]&lt;=0,"Contado","Credito")</f>
        <v>Credito</v>
      </c>
      <c r="N339" s="45">
        <f>Cobros[[#This Row],[Fecha Aplicación S]]-Cobros[[#This Row],[Fecha Cargo S]]</f>
        <v>36</v>
      </c>
      <c r="O339" s="45">
        <f>Cobros[[#This Row],[Dias al pago]]-Cobros[[#This Row],[Dias de Credito]]</f>
        <v>15</v>
      </c>
      <c r="P339" s="45">
        <f>SUMIFS(TablaDias[Porcentaje],TablaDias[Tipo],Cobros[[#This Row],[Tipo]],TablaDias[Desde ],"&lt;="&amp;MAX(0,Cobros[[#This Row],[Dias pasado]]),TablaDias[Hasta ],"&gt;="&amp;Cobros[[#This Row],[Dias pasado]])</f>
        <v>100</v>
      </c>
      <c r="Q33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39">
        <f>IF(COUNTIF(PAPEL[Numero],Cobros[[#This Row],[Doc. Cargo]])&gt;0,1,0)</f>
        <v>0</v>
      </c>
      <c r="S339" s="46">
        <f t="array" ref="S3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39" s="46">
        <f t="array" ref="T339">INDEX(Ventas[[Unidades]:[2]],MATCH("Gerente de Venta",Ventas[Vendedor %],0),6+Cobros[[#This Row],[Mes]])</f>
        <v>0.005</v>
      </c>
      <c r="U339" s="34">
        <f>IF(Cobros[[#This Row],[Tipo]]="Credito",IF(60&gt;=Cobros[[#This Row],[Dias al pago]],1,0),IF(Cobros[[#This Row],[Dias al pago]]&lt;=3,1,0))</f>
        <v>1</v>
      </c>
      <c r="V339" s="46">
        <f>(Cobros[[#This Row],[% A pagar Vendedor]]/100)*Cobros[[#This Row],[Valor Pagado]]*Cobros[[#This Row],[Vencido]]*(Cobros[[#This Row],[% aplicar]]/100)*IF(Cobros[[#This Row],[% A pagar Vendedor]]&gt;0,1,0)</f>
        <v>13.37125</v>
      </c>
      <c r="W339" s="46">
        <f>0.5%*Cobros[[#This Row],[Valor Pagado]]</f>
        <v>5.3485</v>
      </c>
      <c r="X339" s="60"/>
    </row>
    <row r="340" spans="1:24">
      <c r="A340" s="49" t="s">
        <v>3860</v>
      </c>
      <c r="B340" s="49" t="s">
        <v>4394</v>
      </c>
      <c r="C340" s="49" t="s">
        <v>3747</v>
      </c>
      <c r="D340" s="49" t="s">
        <v>3748</v>
      </c>
      <c r="E340" s="49" t="s">
        <v>4398</v>
      </c>
      <c r="F340" s="51">
        <v>46178</v>
      </c>
      <c r="G340" s="49">
        <v>1062.9</v>
      </c>
      <c r="H340" s="49" t="s">
        <v>19</v>
      </c>
      <c r="I340" s="51">
        <v>46213</v>
      </c>
      <c r="J340" s="54">
        <f>INT(Cobros[[#This Row],[Fecha Cargo]])</f>
        <v>46178</v>
      </c>
      <c r="K340" s="54">
        <f>INT(Cobros[[#This Row],[Fecha Aplicacion]])</f>
        <v>46213</v>
      </c>
      <c r="L340" s="55" t="str">
        <f>INDEX(Clientes[Días Plazo],MATCH(Cobros[[#This Row],[Cod. Cliente]],Clientes[Codigo],0),1)</f>
        <v>21</v>
      </c>
      <c r="M340" s="45" t="str">
        <f>IF(Cobros[[#This Row],[Dias de Credito]]&lt;=0,"Contado","Credito")</f>
        <v>Credito</v>
      </c>
      <c r="N340" s="45">
        <f>Cobros[[#This Row],[Fecha Aplicación S]]-Cobros[[#This Row],[Fecha Cargo S]]</f>
        <v>35</v>
      </c>
      <c r="O340" s="45">
        <f>Cobros[[#This Row],[Dias al pago]]-Cobros[[#This Row],[Dias de Credito]]</f>
        <v>14</v>
      </c>
      <c r="P340" s="45">
        <f>SUMIFS(TablaDias[Porcentaje],TablaDias[Tipo],Cobros[[#This Row],[Tipo]],TablaDias[Desde ],"&lt;="&amp;MAX(0,Cobros[[#This Row],[Dias pasado]]),TablaDias[Hasta ],"&gt;="&amp;Cobros[[#This Row],[Dias pasado]])</f>
        <v>100</v>
      </c>
      <c r="Q34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0">
        <f>IF(COUNTIF(PAPEL[Numero],Cobros[[#This Row],[Doc. Cargo]])&gt;0,1,0)</f>
        <v>0</v>
      </c>
      <c r="S340" s="46">
        <f t="array" ref="S340">1.25</f>
        <v>1.25</v>
      </c>
      <c r="T340" s="46">
        <f t="array" ref="T340">INDEX(Ventas[[Unidades]:[2]],MATCH("Gerente de Venta",Ventas[Vendedor %],0),6+Cobros[[#This Row],[Mes]])</f>
        <v>0.005</v>
      </c>
      <c r="U340" s="34">
        <f>IF(Cobros[[#This Row],[Tipo]]="Credito",IF(60&gt;=Cobros[[#This Row],[Dias al pago]],1,0),IF(Cobros[[#This Row],[Dias al pago]]&lt;=3,1,0))</f>
        <v>1</v>
      </c>
      <c r="V340" s="46">
        <f>(Cobros[[#This Row],[% A pagar Vendedor]]/100)*Cobros[[#This Row],[Valor Pagado]]*Cobros[[#This Row],[Vencido]]*(Cobros[[#This Row],[% aplicar]]/100)*IF(Cobros[[#This Row],[% A pagar Vendedor]]&gt;0,1,0)</f>
        <v>13.28625</v>
      </c>
      <c r="W340" s="46">
        <f>0.5%*Cobros[[#This Row],[Valor Pagado]]</f>
        <v>5.3145</v>
      </c>
      <c r="X340" s="60"/>
    </row>
    <row r="341" spans="1:23">
      <c r="A341" s="49" t="s">
        <v>3860</v>
      </c>
      <c r="B341" s="49" t="s">
        <v>4394</v>
      </c>
      <c r="C341" s="49" t="s">
        <v>3747</v>
      </c>
      <c r="D341" s="49" t="s">
        <v>3748</v>
      </c>
      <c r="E341" s="49" t="s">
        <v>4399</v>
      </c>
      <c r="F341" s="51">
        <v>46181</v>
      </c>
      <c r="G341" s="49">
        <v>1245</v>
      </c>
      <c r="H341" s="49" t="s">
        <v>19</v>
      </c>
      <c r="I341" s="51">
        <v>46213</v>
      </c>
      <c r="J341" s="54">
        <f>INT(Cobros[[#This Row],[Fecha Cargo]])</f>
        <v>46181</v>
      </c>
      <c r="K341" s="54">
        <f>INT(Cobros[[#This Row],[Fecha Aplicacion]])</f>
        <v>46213</v>
      </c>
      <c r="L341" s="55" t="str">
        <f>INDEX(Clientes[Días Plazo],MATCH(Cobros[[#This Row],[Cod. Cliente]],Clientes[Codigo],0),1)</f>
        <v>21</v>
      </c>
      <c r="M341" s="45" t="str">
        <f>IF(Cobros[[#This Row],[Dias de Credito]]&lt;=0,"Contado","Credito")</f>
        <v>Credito</v>
      </c>
      <c r="N341" s="45">
        <f>Cobros[[#This Row],[Fecha Aplicación S]]-Cobros[[#This Row],[Fecha Cargo S]]</f>
        <v>32</v>
      </c>
      <c r="O341" s="45">
        <f>Cobros[[#This Row],[Dias al pago]]-Cobros[[#This Row],[Dias de Credito]]</f>
        <v>11</v>
      </c>
      <c r="P341" s="45">
        <f>SUMIFS(TablaDias[Porcentaje],TablaDias[Tipo],Cobros[[#This Row],[Tipo]],TablaDias[Desde ],"&lt;="&amp;MAX(0,Cobros[[#This Row],[Dias pasado]]),TablaDias[Hasta ],"&gt;="&amp;Cobros[[#This Row],[Dias pasado]])</f>
        <v>100</v>
      </c>
      <c r="Q34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1">
        <f>IF(COUNTIF(PAPEL[Numero],Cobros[[#This Row],[Doc. Cargo]])&gt;0,1,0)</f>
        <v>0</v>
      </c>
      <c r="S341" s="46">
        <f t="array" ref="S3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1" s="46">
        <f t="array" ref="T341">INDEX(Ventas[[Unidades]:[2]],MATCH("Gerente de Venta",Ventas[Vendedor %],0),6+Cobros[[#This Row],[Mes]])</f>
        <v>0.005</v>
      </c>
      <c r="U341" s="34">
        <f>IF(Cobros[[#This Row],[Tipo]]="Credito",IF(60&gt;=Cobros[[#This Row],[Dias al pago]],1,0),IF(Cobros[[#This Row],[Dias al pago]]&lt;=3,1,0))</f>
        <v>1</v>
      </c>
      <c r="V341" s="46">
        <f>(Cobros[[#This Row],[% A pagar Vendedor]]/100)*Cobros[[#This Row],[Valor Pagado]]*Cobros[[#This Row],[Vencido]]*(Cobros[[#This Row],[% aplicar]]/100)*IF(Cobros[[#This Row],[% A pagar Vendedor]]&gt;0,1,0)</f>
        <v>15.5625</v>
      </c>
      <c r="W341" s="46">
        <f>0.5%*Cobros[[#This Row],[Valor Pagado]]</f>
        <v>6.225</v>
      </c>
    </row>
    <row r="342" spans="1:23">
      <c r="A342" s="49" t="s">
        <v>3860</v>
      </c>
      <c r="B342" s="49" t="s">
        <v>4394</v>
      </c>
      <c r="C342" s="49" t="s">
        <v>3747</v>
      </c>
      <c r="D342" s="49" t="s">
        <v>3748</v>
      </c>
      <c r="E342" s="49" t="s">
        <v>4400</v>
      </c>
      <c r="F342" s="51">
        <v>46181</v>
      </c>
      <c r="G342" s="49">
        <v>1143.1</v>
      </c>
      <c r="H342" s="49" t="s">
        <v>19</v>
      </c>
      <c r="I342" s="51">
        <v>46213</v>
      </c>
      <c r="J342" s="54">
        <f>INT(Cobros[[#This Row],[Fecha Cargo]])</f>
        <v>46181</v>
      </c>
      <c r="K342" s="54">
        <f>INT(Cobros[[#This Row],[Fecha Aplicacion]])</f>
        <v>46213</v>
      </c>
      <c r="L342" s="55">
        <v>0</v>
      </c>
      <c r="M342" s="45" t="str">
        <f>IF(Cobros[[#This Row],[Dias de Credito]]&lt;=0,"Contado","Credito")</f>
        <v>Contado</v>
      </c>
      <c r="N342" s="45">
        <f>Cobros[[#This Row],[Fecha Aplicación S]]-Cobros[[#This Row],[Fecha Cargo S]]</f>
        <v>32</v>
      </c>
      <c r="O342" s="45">
        <f>Cobros[[#This Row],[Dias al pago]]-Cobros[[#This Row],[Dias de Credito]]</f>
        <v>32</v>
      </c>
      <c r="P342" s="45">
        <f>SUMIFS(TablaDias[Porcentaje],TablaDias[Tipo],Cobros[[#This Row],[Tipo]],TablaDias[Desde ],"&lt;="&amp;MAX(0,Cobros[[#This Row],[Dias pasado]]),TablaDias[Hasta ],"&gt;="&amp;Cobros[[#This Row],[Dias pasado]])</f>
        <v>0</v>
      </c>
      <c r="Q3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2">
        <f>IF(COUNTIF(PAPEL[Numero],Cobros[[#This Row],[Doc. Cargo]])&gt;0,1,0)</f>
        <v>0</v>
      </c>
      <c r="S342" s="46">
        <f t="array" ref="S3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2" s="46">
        <f t="array" ref="T342">INDEX(Ventas[[Unidades]:[2]],MATCH("Gerente de Venta",Ventas[Vendedor %],0),6+Cobros[[#This Row],[Mes]])</f>
        <v>0.005</v>
      </c>
      <c r="U342" s="34">
        <f>IF(Cobros[[#This Row],[Tipo]]="Credito",IF(60&gt;=Cobros[[#This Row],[Dias al pago]],1,0),IF(Cobros[[#This Row],[Dias al pago]]&lt;=3,1,0))</f>
        <v>0</v>
      </c>
      <c r="V342" s="46">
        <f>(Cobros[[#This Row],[% A pagar Vendedor]]/100)*Cobros[[#This Row],[Valor Pagado]]*Cobros[[#This Row],[Vencido]]*(Cobros[[#This Row],[% aplicar]]/100)*IF(Cobros[[#This Row],[% A pagar Vendedor]]&gt;0,1,0)</f>
        <v>0</v>
      </c>
      <c r="W342" s="46">
        <f>0.5%*Cobros[[#This Row],[Valor Pagado]]</f>
        <v>5.7155</v>
      </c>
    </row>
    <row r="343" spans="1:23">
      <c r="A343" s="49" t="s">
        <v>3860</v>
      </c>
      <c r="B343" s="49" t="s">
        <v>4394</v>
      </c>
      <c r="C343" s="49" t="s">
        <v>3747</v>
      </c>
      <c r="D343" s="49" t="s">
        <v>3748</v>
      </c>
      <c r="E343" s="49" t="s">
        <v>4401</v>
      </c>
      <c r="F343" s="51">
        <v>46182</v>
      </c>
      <c r="G343" s="49">
        <v>235</v>
      </c>
      <c r="H343" s="49" t="s">
        <v>19</v>
      </c>
      <c r="I343" s="51">
        <v>46213</v>
      </c>
      <c r="J343" s="54">
        <f>INT(Cobros[[#This Row],[Fecha Cargo]])</f>
        <v>46182</v>
      </c>
      <c r="K343" s="54">
        <f>INT(Cobros[[#This Row],[Fecha Aplicacion]])</f>
        <v>46213</v>
      </c>
      <c r="L343" s="55" t="str">
        <f>INDEX(Clientes[Días Plazo],MATCH(Cobros[[#This Row],[Cod. Cliente]],Clientes[Codigo],0),1)</f>
        <v>21</v>
      </c>
      <c r="M343" s="45" t="str">
        <f>IF(Cobros[[#This Row],[Dias de Credito]]&lt;=0,"Contado","Credito")</f>
        <v>Credito</v>
      </c>
      <c r="N343" s="45">
        <f>Cobros[[#This Row],[Fecha Aplicación S]]-Cobros[[#This Row],[Fecha Cargo S]]</f>
        <v>31</v>
      </c>
      <c r="O343" s="45">
        <f>Cobros[[#This Row],[Dias al pago]]-Cobros[[#This Row],[Dias de Credito]]</f>
        <v>10</v>
      </c>
      <c r="P343" s="45">
        <f>SUMIFS(TablaDias[Porcentaje],TablaDias[Tipo],Cobros[[#This Row],[Tipo]],TablaDias[Desde ],"&lt;="&amp;MAX(0,Cobros[[#This Row],[Dias pasado]]),TablaDias[Hasta ],"&gt;="&amp;Cobros[[#This Row],[Dias pasado]])</f>
        <v>100</v>
      </c>
      <c r="Q3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3">
        <f>IF(COUNTIF(PAPEL[Numero],Cobros[[#This Row],[Doc. Cargo]])&gt;0,1,0)</f>
        <v>0</v>
      </c>
      <c r="S343" s="46">
        <f t="array" ref="S3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3" s="46">
        <f t="array" ref="T343">INDEX(Ventas[[Unidades]:[2]],MATCH("Gerente de Venta",Ventas[Vendedor %],0),6+Cobros[[#This Row],[Mes]])</f>
        <v>0.005</v>
      </c>
      <c r="U343" s="34">
        <f>IF(Cobros[[#This Row],[Tipo]]="Credito",IF(60&gt;=Cobros[[#This Row],[Dias al pago]],1,0),IF(Cobros[[#This Row],[Dias al pago]]&lt;=3,1,0))</f>
        <v>1</v>
      </c>
      <c r="V343" s="46">
        <f>(Cobros[[#This Row],[% A pagar Vendedor]]/100)*Cobros[[#This Row],[Valor Pagado]]*Cobros[[#This Row],[Vencido]]*(Cobros[[#This Row],[% aplicar]]/100)*IF(Cobros[[#This Row],[% A pagar Vendedor]]&gt;0,1,0)</f>
        <v>2.9375</v>
      </c>
      <c r="W343" s="46">
        <f>0.5%*Cobros[[#This Row],[Valor Pagado]]</f>
        <v>1.175</v>
      </c>
    </row>
    <row r="344" spans="1:23">
      <c r="A344" s="49" t="s">
        <v>3860</v>
      </c>
      <c r="B344" s="49" t="s">
        <v>4394</v>
      </c>
      <c r="C344" s="49" t="s">
        <v>3747</v>
      </c>
      <c r="D344" s="49" t="s">
        <v>3748</v>
      </c>
      <c r="E344" s="49" t="s">
        <v>4402</v>
      </c>
      <c r="F344" s="51">
        <v>46183</v>
      </c>
      <c r="G344" s="49">
        <v>1050</v>
      </c>
      <c r="H344" s="49" t="s">
        <v>19</v>
      </c>
      <c r="I344" s="51">
        <v>46213</v>
      </c>
      <c r="J344" s="54">
        <f>INT(Cobros[[#This Row],[Fecha Cargo]])</f>
        <v>46183</v>
      </c>
      <c r="K344" s="54">
        <f>INT(Cobros[[#This Row],[Fecha Aplicacion]])</f>
        <v>46213</v>
      </c>
      <c r="L344" s="55" t="str">
        <f>INDEX(Clientes[Días Plazo],MATCH(Cobros[[#This Row],[Cod. Cliente]],Clientes[Codigo],0),1)</f>
        <v>21</v>
      </c>
      <c r="M344" s="45" t="str">
        <f>IF(Cobros[[#This Row],[Dias de Credito]]&lt;=0,"Contado","Credito")</f>
        <v>Credito</v>
      </c>
      <c r="N344" s="45">
        <f>Cobros[[#This Row],[Fecha Aplicación S]]-Cobros[[#This Row],[Fecha Cargo S]]</f>
        <v>30</v>
      </c>
      <c r="O344" s="45">
        <f>Cobros[[#This Row],[Dias al pago]]-Cobros[[#This Row],[Dias de Credito]]</f>
        <v>9</v>
      </c>
      <c r="P344" s="45">
        <f>SUMIFS(TablaDias[Porcentaje],TablaDias[Tipo],Cobros[[#This Row],[Tipo]],TablaDias[Desde ],"&lt;="&amp;MAX(0,Cobros[[#This Row],[Dias pasado]]),TablaDias[Hasta ],"&gt;="&amp;Cobros[[#This Row],[Dias pasado]])</f>
        <v>100</v>
      </c>
      <c r="Q3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4">
        <f>IF(COUNTIF(PAPEL[Numero],Cobros[[#This Row],[Doc. Cargo]])&gt;0,1,0)</f>
        <v>0</v>
      </c>
      <c r="S344" s="46">
        <f t="array" ref="S3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4" s="46">
        <f t="array" ref="T344">INDEX(Ventas[[Unidades]:[2]],MATCH("Gerente de Venta",Ventas[Vendedor %],0),6+Cobros[[#This Row],[Mes]])</f>
        <v>0.005</v>
      </c>
      <c r="U344" s="34">
        <f>IF(Cobros[[#This Row],[Tipo]]="Credito",IF(60&gt;=Cobros[[#This Row],[Dias al pago]],1,0),IF(Cobros[[#This Row],[Dias al pago]]&lt;=3,1,0))</f>
        <v>1</v>
      </c>
      <c r="V344" s="46">
        <v>13.125</v>
      </c>
      <c r="W344" s="46">
        <v>5.25</v>
      </c>
    </row>
    <row r="345" spans="1:23">
      <c r="A345" s="49" t="s">
        <v>3860</v>
      </c>
      <c r="B345" s="49" t="s">
        <v>4067</v>
      </c>
      <c r="C345" s="49" t="s">
        <v>3747</v>
      </c>
      <c r="D345" s="49" t="s">
        <v>3748</v>
      </c>
      <c r="E345" s="49" t="s">
        <v>4402</v>
      </c>
      <c r="F345" s="51">
        <v>46183</v>
      </c>
      <c r="G345" s="49">
        <v>1.77</v>
      </c>
      <c r="H345" s="49" t="s">
        <v>19</v>
      </c>
      <c r="I345" s="51">
        <v>46209</v>
      </c>
      <c r="J345" s="54">
        <f>INT(Cobros[[#This Row],[Fecha Cargo]])</f>
        <v>46183</v>
      </c>
      <c r="K345" s="54">
        <f>INT(Cobros[[#This Row],[Fecha Aplicacion]])</f>
        <v>46209</v>
      </c>
      <c r="L345" s="55">
        <v>0</v>
      </c>
      <c r="M345" s="45" t="str">
        <f>IF(Cobros[[#This Row],[Dias de Credito]]&lt;=0,"Contado","Credito")</f>
        <v>Contado</v>
      </c>
      <c r="N345" s="45">
        <f>Cobros[[#This Row],[Fecha Aplicación S]]-Cobros[[#This Row],[Fecha Cargo S]]</f>
        <v>26</v>
      </c>
      <c r="O345" s="45">
        <f>Cobros[[#This Row],[Dias al pago]]-Cobros[[#This Row],[Dias de Credito]]</f>
        <v>26</v>
      </c>
      <c r="P345" s="45">
        <f>SUMIFS(TablaDias[Porcentaje],TablaDias[Tipo],Cobros[[#This Row],[Tipo]],TablaDias[Desde ],"&lt;="&amp;MAX(0,Cobros[[#This Row],[Dias pasado]]),TablaDias[Hasta ],"&gt;="&amp;Cobros[[#This Row],[Dias pasado]])</f>
        <v>0</v>
      </c>
      <c r="Q34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5">
        <f>IF(COUNTIF(PAPEL[Numero],Cobros[[#This Row],[Doc. Cargo]])&gt;0,1,0)</f>
        <v>0</v>
      </c>
      <c r="S345" s="46">
        <f t="array" ref="S3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5" s="46">
        <f t="array" ref="T345">INDEX(Ventas[[Unidades]:[2]],MATCH("Gerente de Venta",Ventas[Vendedor %],0),6+Cobros[[#This Row],[Mes]])</f>
        <v>0.005</v>
      </c>
      <c r="U345" s="34">
        <f>IF(Cobros[[#This Row],[Tipo]]="Credito",IF(60&gt;=Cobros[[#This Row],[Dias al pago]],1,0),IF(Cobros[[#This Row],[Dias al pago]]&lt;=3,1,0))</f>
        <v>0</v>
      </c>
      <c r="V345" s="46">
        <f>(Cobros[[#This Row],[% A pagar Vendedor]]/100)*Cobros[[#This Row],[Valor Pagado]]*Cobros[[#This Row],[Vencido]]*(Cobros[[#This Row],[% aplicar]]/100)*IF(Cobros[[#This Row],[% A pagar Vendedor]]&gt;0,1,0)</f>
        <v>0</v>
      </c>
      <c r="W345" s="46">
        <f>0.5%*Cobros[[#This Row],[Valor Pagado]]</f>
        <v>0.00885</v>
      </c>
    </row>
    <row r="346" spans="1:23">
      <c r="A346" s="49" t="s">
        <v>3860</v>
      </c>
      <c r="B346" s="49" t="s">
        <v>4403</v>
      </c>
      <c r="C346" s="49" t="s">
        <v>3737</v>
      </c>
      <c r="D346" s="49" t="s">
        <v>3738</v>
      </c>
      <c r="E346" s="49" t="s">
        <v>4404</v>
      </c>
      <c r="F346" s="51">
        <v>46213</v>
      </c>
      <c r="G346" s="49">
        <v>630</v>
      </c>
      <c r="H346" s="49" t="s">
        <v>16</v>
      </c>
      <c r="I346" s="51">
        <v>46213</v>
      </c>
      <c r="J346" s="54">
        <f>INT(Cobros[[#This Row],[Fecha Cargo]])</f>
        <v>46213</v>
      </c>
      <c r="K346" s="54">
        <f>INT(Cobros[[#This Row],[Fecha Aplicacion]])</f>
        <v>46213</v>
      </c>
      <c r="L346" s="55">
        <f>INDEX(Clientes[Días Plazo],MATCH(Cobros[[#This Row],[Cod. Cliente]],Clientes[Codigo],0),1)</f>
        <v>0</v>
      </c>
      <c r="M346" s="45" t="str">
        <f>IF(Cobros[[#This Row],[Dias de Credito]]&lt;=0,"Contado","Credito")</f>
        <v>Contado</v>
      </c>
      <c r="N346" s="45">
        <f>Cobros[[#This Row],[Fecha Aplicación S]]-Cobros[[#This Row],[Fecha Cargo S]]</f>
        <v>0</v>
      </c>
      <c r="O346" s="45">
        <f>Cobros[[#This Row],[Dias al pago]]-Cobros[[#This Row],[Dias de Credito]]</f>
        <v>0</v>
      </c>
      <c r="P346" s="45">
        <f>SUMIFS(TablaDias[Porcentaje],TablaDias[Tipo],Cobros[[#This Row],[Tipo]],TablaDias[Desde ],"&lt;="&amp;MAX(0,Cobros[[#This Row],[Dias pasado]]),TablaDias[Hasta ],"&gt;="&amp;Cobros[[#This Row],[Dias pasado]])</f>
        <v>100</v>
      </c>
      <c r="Q3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46">
        <f>IF(COUNTIF(PAPEL[Numero],Cobros[[#This Row],[Doc. Cargo]])&gt;0,1,0)</f>
        <v>0</v>
      </c>
      <c r="S346" s="46">
        <f t="array" ref="S3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6" s="47">
        <v>0.005</v>
      </c>
      <c r="U346" s="34">
        <f>IF(Cobros[[#This Row],[Tipo]]="Credito",IF(60&gt;=Cobros[[#This Row],[Dias al pago]],1,0),IF(Cobros[[#This Row],[Dias al pago]]&lt;=3,1,0))</f>
        <v>1</v>
      </c>
      <c r="V346" s="46">
        <f>(Cobros[[#This Row],[% A pagar Vendedor]]/100)*Cobros[[#This Row],[Valor Pagado]]*Cobros[[#This Row],[Vencido]]*(Cobros[[#This Row],[% aplicar]]/100)*IF(Cobros[[#This Row],[% A pagar Vendedor]]&gt;0,1,0)</f>
        <v>7.875</v>
      </c>
      <c r="W346" s="46">
        <f>0.5%*Cobros[[#This Row],[Valor Pagado]]</f>
        <v>3.15</v>
      </c>
    </row>
    <row r="347" ht="30" spans="1:23">
      <c r="A347" s="49" t="s">
        <v>3860</v>
      </c>
      <c r="B347" s="49" t="s">
        <v>4405</v>
      </c>
      <c r="C347" s="49" t="s">
        <v>1260</v>
      </c>
      <c r="D347" s="49" t="s">
        <v>1261</v>
      </c>
      <c r="E347" s="49" t="s">
        <v>4406</v>
      </c>
      <c r="F347" s="51">
        <v>46189</v>
      </c>
      <c r="G347" s="49">
        <v>2177.5</v>
      </c>
      <c r="H347" s="49" t="s">
        <v>3865</v>
      </c>
      <c r="I347" s="51">
        <v>46213</v>
      </c>
      <c r="J347" s="54">
        <f>INT(Cobros[[#This Row],[Fecha Cargo]])</f>
        <v>46189</v>
      </c>
      <c r="K347" s="54">
        <f>INT(Cobros[[#This Row],[Fecha Aplicacion]])</f>
        <v>46213</v>
      </c>
      <c r="L347" s="55" t="str">
        <f>INDEX(Clientes[Días Plazo],MATCH(Cobros[[#This Row],[Cod. Cliente]],Clientes[Codigo],0),1)</f>
        <v>21</v>
      </c>
      <c r="M347" s="45" t="str">
        <f>IF(Cobros[[#This Row],[Dias de Credito]]&lt;=0,"Contado","Credito")</f>
        <v>Credito</v>
      </c>
      <c r="N347" s="45">
        <f>Cobros[[#This Row],[Fecha Aplicación S]]-Cobros[[#This Row],[Fecha Cargo S]]</f>
        <v>24</v>
      </c>
      <c r="O347" s="45">
        <f>Cobros[[#This Row],[Dias al pago]]-Cobros[[#This Row],[Dias de Credito]]</f>
        <v>3</v>
      </c>
      <c r="P347" s="45">
        <f>SUMIFS(TablaDias[Porcentaje],TablaDias[Tipo],Cobros[[#This Row],[Tipo]],TablaDias[Desde ],"&lt;="&amp;MAX(0,Cobros[[#This Row],[Dias pasado]]),TablaDias[Hasta ],"&gt;="&amp;Cobros[[#This Row],[Dias pasado]])</f>
        <v>100</v>
      </c>
      <c r="Q34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7">
        <f>IF(COUNTIF(PAPEL[Numero],Cobros[[#This Row],[Doc. Cargo]])&gt;0,1,0)</f>
        <v>0</v>
      </c>
      <c r="S347" s="46">
        <v>1</v>
      </c>
      <c r="T347" s="46">
        <f t="array" ref="T347">INDEX(Ventas[[Unidades]:[2]],MATCH("Gerente de Venta",Ventas[Vendedor %],0),6+Cobros[[#This Row],[Mes]])</f>
        <v>0.005</v>
      </c>
      <c r="U347" s="34">
        <f>IF(Cobros[[#This Row],[Tipo]]="Credito",IF(60&gt;=Cobros[[#This Row],[Dias al pago]],1,0),IF(Cobros[[#This Row],[Dias al pago]]&lt;=3,1,0))</f>
        <v>1</v>
      </c>
      <c r="V347" s="46">
        <f>(Cobros[[#This Row],[% A pagar Vendedor]]/100)*Cobros[[#This Row],[Valor Pagado]]*Cobros[[#This Row],[Vencido]]*(Cobros[[#This Row],[% aplicar]]/100)*IF(Cobros[[#This Row],[% A pagar Vendedor]]&gt;0,1,0)</f>
        <v>21.775</v>
      </c>
      <c r="W347" s="46">
        <f>0.5%*Cobros[[#This Row],[Valor Pagado]]</f>
        <v>10.8875</v>
      </c>
    </row>
    <row r="348" spans="1:23">
      <c r="A348" s="49" t="s">
        <v>3860</v>
      </c>
      <c r="B348" s="49" t="s">
        <v>4407</v>
      </c>
      <c r="C348" s="49" t="s">
        <v>1222</v>
      </c>
      <c r="D348" s="49" t="s">
        <v>1223</v>
      </c>
      <c r="E348" s="49" t="s">
        <v>4389</v>
      </c>
      <c r="F348" s="51">
        <v>46211</v>
      </c>
      <c r="G348" s="49">
        <v>300</v>
      </c>
      <c r="H348" s="49" t="s">
        <v>20</v>
      </c>
      <c r="I348" s="51">
        <v>46213</v>
      </c>
      <c r="J348" s="54">
        <f>INT(Cobros[[#This Row],[Fecha Cargo]])</f>
        <v>46211</v>
      </c>
      <c r="K348" s="54">
        <f>INT(Cobros[[#This Row],[Fecha Aplicacion]])</f>
        <v>46213</v>
      </c>
      <c r="L348" s="55" t="str">
        <f>INDEX(Clientes[Días Plazo],MATCH(Cobros[[#This Row],[Cod. Cliente]],Clientes[Codigo],0),1)</f>
        <v>7</v>
      </c>
      <c r="M348" s="45" t="str">
        <f>IF(Cobros[[#This Row],[Dias de Credito]]&lt;=0,"Contado","Credito")</f>
        <v>Credito</v>
      </c>
      <c r="N348" s="45">
        <f>Cobros[[#This Row],[Fecha Aplicación S]]-Cobros[[#This Row],[Fecha Cargo S]]</f>
        <v>2</v>
      </c>
      <c r="O348" s="45">
        <f>Cobros[[#This Row],[Dias al pago]]-Cobros[[#This Row],[Dias de Credito]]</f>
        <v>-5</v>
      </c>
      <c r="P348" s="45">
        <f>SUMIFS(TablaDias[Porcentaje],TablaDias[Tipo],Cobros[[#This Row],[Tipo]],TablaDias[Desde ],"&lt;="&amp;MAX(0,Cobros[[#This Row],[Dias pasado]]),TablaDias[Hasta ],"&gt;="&amp;Cobros[[#This Row],[Dias pasado]])</f>
        <v>100</v>
      </c>
      <c r="Q34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48">
        <f>IF(COUNTIF(PAPEL[Numero],Cobros[[#This Row],[Doc. Cargo]])&gt;0,1,0)</f>
        <v>0</v>
      </c>
      <c r="S348" s="46">
        <f t="array" ref="S3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48" s="46">
        <f t="array" ref="T348">INDEX(Ventas[[Unidades]:[2]],MATCH("Gerente de Venta",Ventas[Vendedor %],0),6+Cobros[[#This Row],[Mes]])</f>
        <v>0.005</v>
      </c>
      <c r="U348" s="34">
        <f>IF(Cobros[[#This Row],[Tipo]]="Credito",IF(60&gt;=Cobros[[#This Row],[Dias al pago]],1,0),IF(Cobros[[#This Row],[Dias al pago]]&lt;=3,1,0))</f>
        <v>1</v>
      </c>
      <c r="V348" s="46">
        <f>(Cobros[[#This Row],[% A pagar Vendedor]]/100)*Cobros[[#This Row],[Valor Pagado]]*Cobros[[#This Row],[Vencido]]*(Cobros[[#This Row],[% aplicar]]/100)*IF(Cobros[[#This Row],[% A pagar Vendedor]]&gt;0,1,0)</f>
        <v>3.75</v>
      </c>
      <c r="W348" s="46">
        <f>0.5%*Cobros[[#This Row],[Valor Pagado]]</f>
        <v>1.5</v>
      </c>
    </row>
    <row r="349" spans="1:23">
      <c r="A349" s="49" t="s">
        <v>3904</v>
      </c>
      <c r="B349" s="49" t="s">
        <v>4408</v>
      </c>
      <c r="C349" s="49" t="s">
        <v>2958</v>
      </c>
      <c r="D349" s="49" t="s">
        <v>2959</v>
      </c>
      <c r="E349" s="49" t="s">
        <v>4409</v>
      </c>
      <c r="F349" s="51">
        <v>46181</v>
      </c>
      <c r="G349" s="49">
        <v>59.45</v>
      </c>
      <c r="H349" s="49" t="s">
        <v>16</v>
      </c>
      <c r="I349" s="51">
        <v>46213</v>
      </c>
      <c r="J349" s="54">
        <f>INT(Cobros[[#This Row],[Fecha Cargo]])</f>
        <v>46181</v>
      </c>
      <c r="K349" s="54">
        <f>INT(Cobros[[#This Row],[Fecha Aplicacion]])</f>
        <v>46213</v>
      </c>
      <c r="L349" s="55" t="str">
        <f>INDEX(Clientes[Días Plazo],MATCH(Cobros[[#This Row],[Cod. Cliente]],Clientes[Codigo],0),1)</f>
        <v>21</v>
      </c>
      <c r="M349" s="45" t="str">
        <f>IF(Cobros[[#This Row],[Dias de Credito]]&lt;=0,"Contado","Credito")</f>
        <v>Credito</v>
      </c>
      <c r="N349" s="45">
        <f>Cobros[[#This Row],[Fecha Aplicación S]]-Cobros[[#This Row],[Fecha Cargo S]]</f>
        <v>32</v>
      </c>
      <c r="O349" s="45">
        <f>Cobros[[#This Row],[Dias al pago]]-Cobros[[#This Row],[Dias de Credito]]</f>
        <v>11</v>
      </c>
      <c r="P349" s="45">
        <f>SUMIFS(TablaDias[Porcentaje],TablaDias[Tipo],Cobros[[#This Row],[Tipo]],TablaDias[Desde ],"&lt;="&amp;MAX(0,Cobros[[#This Row],[Dias pasado]]),TablaDias[Hasta ],"&gt;="&amp;Cobros[[#This Row],[Dias pasado]])</f>
        <v>100</v>
      </c>
      <c r="Q3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49">
        <f>IF(COUNTIF(PAPEL[Numero],Cobros[[#This Row],[Doc. Cargo]])&gt;0,1,0)</f>
        <v>0</v>
      </c>
      <c r="S349" s="46">
        <f t="array" ref="S3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49" s="47">
        <v>0.005</v>
      </c>
      <c r="U349" s="34">
        <f>IF(Cobros[[#This Row],[Tipo]]="Credito",IF(60&gt;=Cobros[[#This Row],[Dias al pago]],1,0),IF(Cobros[[#This Row],[Dias al pago]]&lt;=3,1,0))</f>
        <v>1</v>
      </c>
      <c r="V349" s="46">
        <f>(Cobros[[#This Row],[% A pagar Vendedor]]/100)*Cobros[[#This Row],[Valor Pagado]]*Cobros[[#This Row],[Vencido]]*(Cobros[[#This Row],[% aplicar]]/100)*IF(Cobros[[#This Row],[% A pagar Vendedor]]&gt;0,1,0)</f>
        <v>0.5945</v>
      </c>
      <c r="W349" s="46">
        <f>0.5%*Cobros[[#This Row],[Valor Pagado]]</f>
        <v>0.29725</v>
      </c>
    </row>
    <row r="350" spans="1:23">
      <c r="A350" s="49" t="s">
        <v>3904</v>
      </c>
      <c r="B350" s="49" t="s">
        <v>4410</v>
      </c>
      <c r="C350" s="49" t="s">
        <v>2958</v>
      </c>
      <c r="D350" s="49" t="s">
        <v>2959</v>
      </c>
      <c r="E350" s="49" t="s">
        <v>4411</v>
      </c>
      <c r="F350" s="51">
        <v>46181</v>
      </c>
      <c r="G350" s="49">
        <v>703.05</v>
      </c>
      <c r="H350" s="49" t="s">
        <v>16</v>
      </c>
      <c r="I350" s="51">
        <v>46213</v>
      </c>
      <c r="J350" s="54">
        <f>INT(Cobros[[#This Row],[Fecha Cargo]])</f>
        <v>46181</v>
      </c>
      <c r="K350" s="54">
        <f>INT(Cobros[[#This Row],[Fecha Aplicacion]])</f>
        <v>46213</v>
      </c>
      <c r="L350" s="55" t="str">
        <f>INDEX(Clientes[Días Plazo],MATCH(Cobros[[#This Row],[Cod. Cliente]],Clientes[Codigo],0),1)</f>
        <v>21</v>
      </c>
      <c r="M350" s="45" t="str">
        <f>IF(Cobros[[#This Row],[Dias de Credito]]&lt;=0,"Contado","Credito")</f>
        <v>Credito</v>
      </c>
      <c r="N350" s="45">
        <f>Cobros[[#This Row],[Fecha Aplicación S]]-Cobros[[#This Row],[Fecha Cargo S]]</f>
        <v>32</v>
      </c>
      <c r="O350" s="45">
        <f>Cobros[[#This Row],[Dias al pago]]-Cobros[[#This Row],[Dias de Credito]]</f>
        <v>11</v>
      </c>
      <c r="P350" s="45">
        <f>SUMIFS(TablaDias[Porcentaje],TablaDias[Tipo],Cobros[[#This Row],[Tipo]],TablaDias[Desde ],"&lt;="&amp;MAX(0,Cobros[[#This Row],[Dias pasado]]),TablaDias[Hasta ],"&gt;="&amp;Cobros[[#This Row],[Dias pasado]])</f>
        <v>100</v>
      </c>
      <c r="Q3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50">
        <f>IF(COUNTIF(PAPEL[Numero],Cobros[[#This Row],[Doc. Cargo]])&gt;0,1,0)</f>
        <v>0</v>
      </c>
      <c r="S350" s="46">
        <f t="array" ref="S3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50" s="47">
        <v>0.005</v>
      </c>
      <c r="U350" s="34">
        <f>IF(Cobros[[#This Row],[Tipo]]="Credito",IF(60&gt;=Cobros[[#This Row],[Dias al pago]],1,0),IF(Cobros[[#This Row],[Dias al pago]]&lt;=3,1,0))</f>
        <v>1</v>
      </c>
      <c r="V350" s="46">
        <f>(Cobros[[#This Row],[% A pagar Vendedor]]/100)*Cobros[[#This Row],[Valor Pagado]]*Cobros[[#This Row],[Vencido]]*(Cobros[[#This Row],[% aplicar]]/100)*IF(Cobros[[#This Row],[% A pagar Vendedor]]&gt;0,1,0)</f>
        <v>7.0305</v>
      </c>
      <c r="W350" s="46">
        <f>0.5%*Cobros[[#This Row],[Valor Pagado]]</f>
        <v>3.51525</v>
      </c>
    </row>
    <row r="351" ht="30" spans="1:23">
      <c r="A351" s="49" t="s">
        <v>3904</v>
      </c>
      <c r="B351" s="49" t="s">
        <v>4412</v>
      </c>
      <c r="C351" s="49" t="s">
        <v>1006</v>
      </c>
      <c r="D351" s="49" t="s">
        <v>1007</v>
      </c>
      <c r="E351" s="49" t="s">
        <v>4413</v>
      </c>
      <c r="F351" s="51">
        <v>46213</v>
      </c>
      <c r="G351" s="49">
        <v>368</v>
      </c>
      <c r="H351" s="49" t="s">
        <v>22</v>
      </c>
      <c r="I351" s="51">
        <v>46213</v>
      </c>
      <c r="J351" s="54">
        <f>INT(Cobros[[#This Row],[Fecha Cargo]])</f>
        <v>46213</v>
      </c>
      <c r="K351" s="54">
        <f>INT(Cobros[[#This Row],[Fecha Aplicacion]])</f>
        <v>46213</v>
      </c>
      <c r="L351" s="55">
        <v>0</v>
      </c>
      <c r="M351" s="45" t="str">
        <f>IF(Cobros[[#This Row],[Dias de Credito]]&lt;=0,"Contado","Credito")</f>
        <v>Contado</v>
      </c>
      <c r="N351" s="45">
        <f>Cobros[[#This Row],[Fecha Aplicación S]]-Cobros[[#This Row],[Fecha Cargo S]]</f>
        <v>0</v>
      </c>
      <c r="O351" s="45">
        <f>Cobros[[#This Row],[Dias al pago]]-Cobros[[#This Row],[Dias de Credito]]</f>
        <v>0</v>
      </c>
      <c r="P351" s="45">
        <f>SUMIFS(TablaDias[Porcentaje],TablaDias[Tipo],Cobros[[#This Row],[Tipo]],TablaDias[Desde ],"&lt;="&amp;MAX(0,Cobros[[#This Row],[Dias pasado]]),TablaDias[Hasta ],"&gt;="&amp;Cobros[[#This Row],[Dias pasado]])</f>
        <v>100</v>
      </c>
      <c r="Q3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1">
        <f>IF(COUNTIF(PAPEL[Numero],Cobros[[#This Row],[Doc. Cargo]])&gt;0,1,0)</f>
        <v>0</v>
      </c>
      <c r="S351" s="46">
        <f t="array" ref="S3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51" s="46">
        <f t="array" ref="T351">INDEX(Ventas[[Unidades]:[2]],MATCH("Gerente de Venta",Ventas[Vendedor %],0),6+Cobros[[#This Row],[Mes]])</f>
        <v>0.005</v>
      </c>
      <c r="U351" s="34">
        <v>1</v>
      </c>
      <c r="V351" s="46">
        <f>(Cobros[[#This Row],[% A pagar Vendedor]]/100)*Cobros[[#This Row],[Valor Pagado]]*Cobros[[#This Row],[Vencido]]*(Cobros[[#This Row],[% aplicar]]/100)*IF(Cobros[[#This Row],[% A pagar Vendedor]]&gt;0,1,0)</f>
        <v>3.68</v>
      </c>
      <c r="W351" s="46">
        <f>0.5%*Cobros[[#This Row],[Valor Pagado]]</f>
        <v>1.84</v>
      </c>
    </row>
    <row r="352" spans="1:24">
      <c r="A352" s="49" t="s">
        <v>3884</v>
      </c>
      <c r="B352" s="49" t="s">
        <v>4414</v>
      </c>
      <c r="C352" s="49" t="s">
        <v>606</v>
      </c>
      <c r="D352" s="49" t="s">
        <v>607</v>
      </c>
      <c r="E352" s="49" t="s">
        <v>4415</v>
      </c>
      <c r="F352" s="51">
        <v>46213</v>
      </c>
      <c r="G352" s="49">
        <v>98.85</v>
      </c>
      <c r="H352" s="49" t="s">
        <v>18</v>
      </c>
      <c r="I352" s="51">
        <v>46213</v>
      </c>
      <c r="J352" s="54">
        <f>INT(Cobros[[#This Row],[Fecha Cargo]])</f>
        <v>46213</v>
      </c>
      <c r="K352" s="54">
        <f>INT(Cobros[[#This Row],[Fecha Aplicacion]])</f>
        <v>46213</v>
      </c>
      <c r="L352" s="55">
        <v>0</v>
      </c>
      <c r="M352" s="45" t="str">
        <f>IF(Cobros[[#This Row],[Dias de Credito]]&lt;=0,"Contado","Credito")</f>
        <v>Contado</v>
      </c>
      <c r="N352" s="45">
        <f>Cobros[[#This Row],[Fecha Aplicación S]]-Cobros[[#This Row],[Fecha Cargo S]]</f>
        <v>0</v>
      </c>
      <c r="O352" s="45">
        <f>Cobros[[#This Row],[Dias al pago]]-Cobros[[#This Row],[Dias de Credito]]</f>
        <v>0</v>
      </c>
      <c r="P352" s="45">
        <f>SUMIFS(TablaDias[Porcentaje],TablaDias[Tipo],Cobros[[#This Row],[Tipo]],TablaDias[Desde ],"&lt;="&amp;MAX(0,Cobros[[#This Row],[Dias pasado]]),TablaDias[Hasta ],"&gt;="&amp;Cobros[[#This Row],[Dias pasado]])</f>
        <v>100</v>
      </c>
      <c r="Q3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2">
        <f>IF(COUNTIF(PAPEL[Numero],Cobros[[#This Row],[Doc. Cargo]])&gt;0,1,0)</f>
        <v>0</v>
      </c>
      <c r="S352" s="46">
        <f t="array" ref="S3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52" s="46">
        <f t="array" ref="T352">INDEX(Ventas[[Unidades]:[2]],MATCH("Gerente de Venta",Ventas[Vendedor %],0),6+Cobros[[#This Row],[Mes]])</f>
        <v>0.005</v>
      </c>
      <c r="U352" s="34">
        <f>IF(Cobros[[#This Row],[Tipo]]="Credito",IF(60&gt;=Cobros[[#This Row],[Dias al pago]],1,0),IF(Cobros[[#This Row],[Dias al pago]]&lt;=3,1,0))</f>
        <v>1</v>
      </c>
      <c r="V352" s="46">
        <f>(Cobros[[#This Row],[% A pagar Vendedor]]/100)*Cobros[[#This Row],[Valor Pagado]]*Cobros[[#This Row],[Vencido]]*(Cobros[[#This Row],[% aplicar]]/100)*IF(Cobros[[#This Row],[% A pagar Vendedor]]&gt;0,1,0)</f>
        <v>1.235625</v>
      </c>
      <c r="W352" s="46">
        <f>0.5%*Cobros[[#This Row],[Valor Pagado]]</f>
        <v>0.49425</v>
      </c>
      <c r="X352" s="34"/>
    </row>
    <row r="353" ht="30" spans="1:24">
      <c r="A353" s="49" t="s">
        <v>3884</v>
      </c>
      <c r="B353" s="49" t="s">
        <v>4416</v>
      </c>
      <c r="C353" s="49" t="s">
        <v>536</v>
      </c>
      <c r="D353" s="49" t="s">
        <v>537</v>
      </c>
      <c r="E353" s="49" t="s">
        <v>4417</v>
      </c>
      <c r="F353" s="51">
        <v>46213</v>
      </c>
      <c r="G353" s="49">
        <v>52.3</v>
      </c>
      <c r="H353" s="49" t="s">
        <v>22</v>
      </c>
      <c r="I353" s="51">
        <v>46213</v>
      </c>
      <c r="J353" s="54">
        <f>INT(Cobros[[#This Row],[Fecha Cargo]])</f>
        <v>46213</v>
      </c>
      <c r="K353" s="54">
        <f>INT(Cobros[[#This Row],[Fecha Aplicacion]])</f>
        <v>46213</v>
      </c>
      <c r="L353" s="55">
        <v>0</v>
      </c>
      <c r="M353" s="45" t="str">
        <f>IF(Cobros[[#This Row],[Dias de Credito]]&lt;=0,"Contado","Credito")</f>
        <v>Contado</v>
      </c>
      <c r="N353" s="45">
        <f>Cobros[[#This Row],[Fecha Aplicación S]]-Cobros[[#This Row],[Fecha Cargo S]]</f>
        <v>0</v>
      </c>
      <c r="O353" s="45">
        <f>Cobros[[#This Row],[Dias al pago]]-Cobros[[#This Row],[Dias de Credito]]</f>
        <v>0</v>
      </c>
      <c r="P353" s="45">
        <f>SUMIFS(TablaDias[Porcentaje],TablaDias[Tipo],Cobros[[#This Row],[Tipo]],TablaDias[Desde ],"&lt;="&amp;MAX(0,Cobros[[#This Row],[Dias pasado]]),TablaDias[Hasta ],"&gt;="&amp;Cobros[[#This Row],[Dias pasado]])</f>
        <v>100</v>
      </c>
      <c r="Q3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3">
        <f>IF(COUNTIF(PAPEL[Numero],Cobros[[#This Row],[Doc. Cargo]])&gt;0,1,0)</f>
        <v>0</v>
      </c>
      <c r="S353" s="46">
        <f t="array" ref="S3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53" s="46">
        <f t="array" ref="T353">INDEX(Ventas[[Unidades]:[2]],MATCH("Gerente de Venta",Ventas[Vendedor %],0),6+Cobros[[#This Row],[Mes]])</f>
        <v>0.005</v>
      </c>
      <c r="U353" s="34">
        <f>IF(Cobros[[#This Row],[Tipo]]="Credito",IF(60&gt;=Cobros[[#This Row],[Dias al pago]],1,0),IF(Cobros[[#This Row],[Dias al pago]]&lt;=3,1,0))</f>
        <v>1</v>
      </c>
      <c r="V353" s="46">
        <f>(Cobros[[#This Row],[% A pagar Vendedor]]/100)*Cobros[[#This Row],[Valor Pagado]]*Cobros[[#This Row],[Vencido]]*(Cobros[[#This Row],[% aplicar]]/100)*IF(Cobros[[#This Row],[% A pagar Vendedor]]&gt;0,1,0)</f>
        <v>0.523</v>
      </c>
      <c r="W353" s="46">
        <f>0.5%*Cobros[[#This Row],[Valor Pagado]]</f>
        <v>0.2615</v>
      </c>
      <c r="X353" s="34"/>
    </row>
    <row r="354" spans="1:23">
      <c r="A354" s="49" t="s">
        <v>3884</v>
      </c>
      <c r="B354" s="49" t="s">
        <v>4418</v>
      </c>
      <c r="C354" s="49" t="s">
        <v>1343</v>
      </c>
      <c r="D354" s="49" t="s">
        <v>1344</v>
      </c>
      <c r="E354" s="49" t="s">
        <v>4419</v>
      </c>
      <c r="F354" s="51">
        <v>46213</v>
      </c>
      <c r="G354" s="49">
        <v>32.31</v>
      </c>
      <c r="H354" s="49" t="s">
        <v>18</v>
      </c>
      <c r="I354" s="51">
        <v>46213</v>
      </c>
      <c r="J354" s="54">
        <f>INT(Cobros[[#This Row],[Fecha Cargo]])</f>
        <v>46213</v>
      </c>
      <c r="K354" s="54">
        <f>INT(Cobros[[#This Row],[Fecha Aplicacion]])</f>
        <v>46213</v>
      </c>
      <c r="L354" s="55">
        <f>INDEX(Clientes[Días Plazo],MATCH(Cobros[[#This Row],[Cod. Cliente]],Clientes[Codigo],0),1)</f>
        <v>0</v>
      </c>
      <c r="M354" s="45" t="str">
        <f>IF(Cobros[[#This Row],[Dias de Credito]]&lt;=0,"Contado","Credito")</f>
        <v>Contado</v>
      </c>
      <c r="N354" s="45">
        <f>Cobros[[#This Row],[Fecha Aplicación S]]-Cobros[[#This Row],[Fecha Cargo S]]</f>
        <v>0</v>
      </c>
      <c r="O354" s="45">
        <f>Cobros[[#This Row],[Dias al pago]]-Cobros[[#This Row],[Dias de Credito]]</f>
        <v>0</v>
      </c>
      <c r="P354" s="45">
        <f>SUMIFS(TablaDias[Porcentaje],TablaDias[Tipo],Cobros[[#This Row],[Tipo]],TablaDias[Desde ],"&lt;="&amp;MAX(0,Cobros[[#This Row],[Dias pasado]]),TablaDias[Hasta ],"&gt;="&amp;Cobros[[#This Row],[Dias pasado]])</f>
        <v>100</v>
      </c>
      <c r="Q3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4">
        <f>IF(COUNTIF(PAPEL[Numero],Cobros[[#This Row],[Doc. Cargo]])&gt;0,1,0)</f>
        <v>0</v>
      </c>
      <c r="S354" s="46">
        <f t="array" ref="S3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54" s="46">
        <f t="array" ref="T354">INDEX(Ventas[[Unidades]:[2]],MATCH("Gerente de Venta",Ventas[Vendedor %],0),6+Cobros[[#This Row],[Mes]])</f>
        <v>0.005</v>
      </c>
      <c r="U354" s="34">
        <f>IF(Cobros[[#This Row],[Tipo]]="Credito",IF(60&gt;=Cobros[[#This Row],[Dias al pago]],1,0),IF(Cobros[[#This Row],[Dias al pago]]&lt;=3,1,0))</f>
        <v>1</v>
      </c>
      <c r="V354" s="46">
        <f>(Cobros[[#This Row],[% A pagar Vendedor]]/100)*Cobros[[#This Row],[Valor Pagado]]*Cobros[[#This Row],[Vencido]]*(Cobros[[#This Row],[% aplicar]]/100)*IF(Cobros[[#This Row],[% A pagar Vendedor]]&gt;0,1,0)</f>
        <v>0.403875</v>
      </c>
      <c r="W354" s="46">
        <f>0.5%*Cobros[[#This Row],[Valor Pagado]]</f>
        <v>0.16155</v>
      </c>
    </row>
    <row r="355" ht="30" spans="1:23">
      <c r="A355" s="49" t="s">
        <v>3860</v>
      </c>
      <c r="B355" s="49" t="s">
        <v>4420</v>
      </c>
      <c r="C355" s="49" t="s">
        <v>3301</v>
      </c>
      <c r="D355" s="49" t="s">
        <v>3302</v>
      </c>
      <c r="E355" s="49" t="s">
        <v>4421</v>
      </c>
      <c r="F355" s="51">
        <v>46213</v>
      </c>
      <c r="G355" s="49">
        <v>245</v>
      </c>
      <c r="H355" s="49" t="s">
        <v>3865</v>
      </c>
      <c r="I355" s="51">
        <v>46213</v>
      </c>
      <c r="J355" s="54">
        <f>INT(Cobros[[#This Row],[Fecha Cargo]])</f>
        <v>46213</v>
      </c>
      <c r="K355" s="54">
        <f>INT(Cobros[[#This Row],[Fecha Aplicacion]])</f>
        <v>46213</v>
      </c>
      <c r="L355" s="55">
        <f>INDEX(Clientes[Días Plazo],MATCH(Cobros[[#This Row],[Cod. Cliente]],Clientes[Codigo],0),1)</f>
        <v>0</v>
      </c>
      <c r="M355" s="45" t="str">
        <f>IF(Cobros[[#This Row],[Dias de Credito]]&lt;=0,"Contado","Credito")</f>
        <v>Contado</v>
      </c>
      <c r="N355" s="45">
        <f>Cobros[[#This Row],[Fecha Aplicación S]]-Cobros[[#This Row],[Fecha Cargo S]]</f>
        <v>0</v>
      </c>
      <c r="O355" s="45">
        <f>Cobros[[#This Row],[Dias al pago]]-Cobros[[#This Row],[Dias de Credito]]</f>
        <v>0</v>
      </c>
      <c r="P355" s="45">
        <f>SUMIFS(TablaDias[Porcentaje],TablaDias[Tipo],Cobros[[#This Row],[Tipo]],TablaDias[Desde ],"&lt;="&amp;MAX(0,Cobros[[#This Row],[Dias pasado]]),TablaDias[Hasta ],"&gt;="&amp;Cobros[[#This Row],[Dias pasado]])</f>
        <v>100</v>
      </c>
      <c r="Q3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5">
        <f>IF(COUNTIF(PAPEL[Numero],Cobros[[#This Row],[Doc. Cargo]])&gt;0,1,0)</f>
        <v>0</v>
      </c>
      <c r="S355" s="46">
        <v>1</v>
      </c>
      <c r="T355" s="46">
        <f t="array" ref="T355">INDEX(Ventas[[Unidades]:[2]],MATCH("Gerente de Venta",Ventas[Vendedor %],0),6+Cobros[[#This Row],[Mes]])</f>
        <v>0.005</v>
      </c>
      <c r="U355" s="34">
        <f>IF(Cobros[[#This Row],[Tipo]]="Credito",IF(60&gt;=Cobros[[#This Row],[Dias al pago]],1,0),IF(Cobros[[#This Row],[Dias al pago]]&lt;=3,1,0))</f>
        <v>1</v>
      </c>
      <c r="V355" s="46">
        <f>(Cobros[[#This Row],[% A pagar Vendedor]]/100)*Cobros[[#This Row],[Valor Pagado]]*Cobros[[#This Row],[Vencido]]*(Cobros[[#This Row],[% aplicar]]/100)*IF(Cobros[[#This Row],[% A pagar Vendedor]]&gt;0,1,0)</f>
        <v>2.45</v>
      </c>
      <c r="W355" s="46">
        <f>0.5%*Cobros[[#This Row],[Valor Pagado]]</f>
        <v>1.225</v>
      </c>
    </row>
    <row r="356" ht="30" spans="1:23">
      <c r="A356" s="49" t="s">
        <v>3860</v>
      </c>
      <c r="B356" s="49" t="s">
        <v>4422</v>
      </c>
      <c r="C356" s="49" t="s">
        <v>1260</v>
      </c>
      <c r="D356" s="49" t="s">
        <v>1261</v>
      </c>
      <c r="E356" s="49" t="s">
        <v>4406</v>
      </c>
      <c r="F356" s="51">
        <v>46189</v>
      </c>
      <c r="G356" s="49">
        <v>1800</v>
      </c>
      <c r="H356" s="49" t="s">
        <v>3865</v>
      </c>
      <c r="I356" s="51">
        <v>46213</v>
      </c>
      <c r="J356" s="54">
        <f>INT(Cobros[[#This Row],[Fecha Cargo]])</f>
        <v>46189</v>
      </c>
      <c r="K356" s="54">
        <f>INT(Cobros[[#This Row],[Fecha Aplicacion]])</f>
        <v>46213</v>
      </c>
      <c r="L356" s="55" t="str">
        <f>INDEX(Clientes[Días Plazo],MATCH(Cobros[[#This Row],[Cod. Cliente]],Clientes[Codigo],0),1)</f>
        <v>21</v>
      </c>
      <c r="M356" s="45" t="str">
        <f>IF(Cobros[[#This Row],[Dias de Credito]]&lt;=0,"Contado","Credito")</f>
        <v>Credito</v>
      </c>
      <c r="N356" s="45">
        <f>Cobros[[#This Row],[Fecha Aplicación S]]-Cobros[[#This Row],[Fecha Cargo S]]</f>
        <v>24</v>
      </c>
      <c r="O356" s="45">
        <f>Cobros[[#This Row],[Dias al pago]]-Cobros[[#This Row],[Dias de Credito]]</f>
        <v>3</v>
      </c>
      <c r="P356" s="45">
        <f>SUMIFS(TablaDias[Porcentaje],TablaDias[Tipo],Cobros[[#This Row],[Tipo]],TablaDias[Desde ],"&lt;="&amp;MAX(0,Cobros[[#This Row],[Dias pasado]]),TablaDias[Hasta ],"&gt;="&amp;Cobros[[#This Row],[Dias pasado]])</f>
        <v>100</v>
      </c>
      <c r="Q3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56">
        <f>IF(COUNTIF(PAPEL[Numero],Cobros[[#This Row],[Doc. Cargo]])&gt;0,1,0)</f>
        <v>0</v>
      </c>
      <c r="S356" s="46">
        <v>1</v>
      </c>
      <c r="T356" s="46">
        <f t="array" ref="T356">INDEX(Ventas[[Unidades]:[2]],MATCH("Gerente de Venta",Ventas[Vendedor %],0),6+Cobros[[#This Row],[Mes]])</f>
        <v>0.005</v>
      </c>
      <c r="U356" s="34">
        <f>IF(Cobros[[#This Row],[Tipo]]="Credito",IF(60&gt;=Cobros[[#This Row],[Dias al pago]],1,0),IF(Cobros[[#This Row],[Dias al pago]]&lt;=3,1,0))</f>
        <v>1</v>
      </c>
      <c r="V356" s="46">
        <f>(Cobros[[#This Row],[% A pagar Vendedor]]/100)*Cobros[[#This Row],[Valor Pagado]]*Cobros[[#This Row],[Vencido]]*(Cobros[[#This Row],[% aplicar]]/100)*IF(Cobros[[#This Row],[% A pagar Vendedor]]&gt;0,1,0)</f>
        <v>18</v>
      </c>
      <c r="W356" s="46">
        <f>0.5%*Cobros[[#This Row],[Valor Pagado]]</f>
        <v>9</v>
      </c>
    </row>
    <row r="357" ht="30" spans="1:23">
      <c r="A357" s="49" t="s">
        <v>3875</v>
      </c>
      <c r="B357" s="49" t="s">
        <v>4423</v>
      </c>
      <c r="C357" s="49" t="s">
        <v>1260</v>
      </c>
      <c r="D357" s="49" t="s">
        <v>1261</v>
      </c>
      <c r="E357" s="49" t="s">
        <v>4406</v>
      </c>
      <c r="F357" s="51">
        <v>46189</v>
      </c>
      <c r="G357" s="49">
        <v>200</v>
      </c>
      <c r="H357" s="49" t="s">
        <v>3865</v>
      </c>
      <c r="I357" s="51">
        <v>46213</v>
      </c>
      <c r="J357" s="54">
        <f>INT(Cobros[[#This Row],[Fecha Cargo]])</f>
        <v>46189</v>
      </c>
      <c r="K357" s="54">
        <f>INT(Cobros[[#This Row],[Fecha Aplicacion]])</f>
        <v>46213</v>
      </c>
      <c r="L357" s="55" t="str">
        <f>INDEX(Clientes[Días Plazo],MATCH(Cobros[[#This Row],[Cod. Cliente]],Clientes[Codigo],0),1)</f>
        <v>21</v>
      </c>
      <c r="M357" s="45" t="str">
        <f>IF(Cobros[[#This Row],[Dias de Credito]]&lt;=0,"Contado","Credito")</f>
        <v>Credito</v>
      </c>
      <c r="N357" s="45">
        <f>Cobros[[#This Row],[Fecha Aplicación S]]-Cobros[[#This Row],[Fecha Cargo S]]</f>
        <v>24</v>
      </c>
      <c r="O357" s="45">
        <f>Cobros[[#This Row],[Dias al pago]]-Cobros[[#This Row],[Dias de Credito]]</f>
        <v>3</v>
      </c>
      <c r="P357" s="45">
        <f>SUMIFS(TablaDias[Porcentaje],TablaDias[Tipo],Cobros[[#This Row],[Tipo]],TablaDias[Desde ],"&lt;="&amp;MAX(0,Cobros[[#This Row],[Dias pasado]]),TablaDias[Hasta ],"&gt;="&amp;Cobros[[#This Row],[Dias pasado]])</f>
        <v>100</v>
      </c>
      <c r="Q3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57">
        <f>IF(COUNTIF(PAPEL[Numero],Cobros[[#This Row],[Doc. Cargo]])&gt;0,1,0)</f>
        <v>0</v>
      </c>
      <c r="S357" s="46">
        <v>1</v>
      </c>
      <c r="T357" s="46">
        <f t="array" ref="T357">INDEX(Ventas[[Unidades]:[2]],MATCH("Gerente de Venta",Ventas[Vendedor %],0),6+Cobros[[#This Row],[Mes]])</f>
        <v>0.005</v>
      </c>
      <c r="U357" s="34">
        <f>IF(Cobros[[#This Row],[Tipo]]="Credito",IF(60&gt;=Cobros[[#This Row],[Dias al pago]],1,0),IF(Cobros[[#This Row],[Dias al pago]]&lt;=3,1,0))</f>
        <v>1</v>
      </c>
      <c r="V357" s="46">
        <f>(Cobros[[#This Row],[% A pagar Vendedor]]/100)*Cobros[[#This Row],[Valor Pagado]]*Cobros[[#This Row],[Vencido]]*(Cobros[[#This Row],[% aplicar]]/100)*IF(Cobros[[#This Row],[% A pagar Vendedor]]&gt;0,1,0)</f>
        <v>2</v>
      </c>
      <c r="W357" s="46">
        <f>0.5%*Cobros[[#This Row],[Valor Pagado]]</f>
        <v>1</v>
      </c>
    </row>
    <row r="358" ht="30" spans="1:23">
      <c r="A358" s="49" t="s">
        <v>3860</v>
      </c>
      <c r="B358" s="49" t="s">
        <v>4424</v>
      </c>
      <c r="C358" s="49" t="s">
        <v>3301</v>
      </c>
      <c r="D358" s="49" t="s">
        <v>3302</v>
      </c>
      <c r="E358" s="49" t="s">
        <v>4421</v>
      </c>
      <c r="F358" s="51">
        <v>46213</v>
      </c>
      <c r="G358" s="49">
        <v>22.6</v>
      </c>
      <c r="H358" s="49" t="s">
        <v>3865</v>
      </c>
      <c r="I358" s="51">
        <v>46213</v>
      </c>
      <c r="J358" s="54">
        <f>INT(Cobros[[#This Row],[Fecha Cargo]])</f>
        <v>46213</v>
      </c>
      <c r="K358" s="54">
        <f>INT(Cobros[[#This Row],[Fecha Aplicacion]])</f>
        <v>46213</v>
      </c>
      <c r="L358" s="55">
        <f>INDEX(Clientes[Días Plazo],MATCH(Cobros[[#This Row],[Cod. Cliente]],Clientes[Codigo],0),1)</f>
        <v>0</v>
      </c>
      <c r="M358" s="45" t="str">
        <f>IF(Cobros[[#This Row],[Dias de Credito]]&lt;=0,"Contado","Credito")</f>
        <v>Contado</v>
      </c>
      <c r="N358" s="45">
        <f>Cobros[[#This Row],[Fecha Aplicación S]]-Cobros[[#This Row],[Fecha Cargo S]]</f>
        <v>0</v>
      </c>
      <c r="O358" s="45">
        <f>Cobros[[#This Row],[Dias al pago]]-Cobros[[#This Row],[Dias de Credito]]</f>
        <v>0</v>
      </c>
      <c r="P358" s="45">
        <f>SUMIFS(TablaDias[Porcentaje],TablaDias[Tipo],Cobros[[#This Row],[Tipo]],TablaDias[Desde ],"&lt;="&amp;MAX(0,Cobros[[#This Row],[Dias pasado]]),TablaDias[Hasta ],"&gt;="&amp;Cobros[[#This Row],[Dias pasado]])</f>
        <v>100</v>
      </c>
      <c r="Q3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8">
        <f>IF(COUNTIF(PAPEL[Numero],Cobros[[#This Row],[Doc. Cargo]])&gt;0,1,0)</f>
        <v>0</v>
      </c>
      <c r="S358" s="46">
        <v>1</v>
      </c>
      <c r="T358" s="46">
        <f t="array" ref="T358">INDEX(Ventas[[Unidades]:[2]],MATCH("Gerente de Venta",Ventas[Vendedor %],0),6+Cobros[[#This Row],[Mes]])</f>
        <v>0.005</v>
      </c>
      <c r="U358" s="34">
        <f>IF(Cobros[[#This Row],[Tipo]]="Credito",IF(60&gt;=Cobros[[#This Row],[Dias al pago]],1,0),IF(Cobros[[#This Row],[Dias al pago]]&lt;=3,1,0))</f>
        <v>1</v>
      </c>
      <c r="V358" s="46">
        <f>(Cobros[[#This Row],[% A pagar Vendedor]]/100)*Cobros[[#This Row],[Valor Pagado]]*Cobros[[#This Row],[Vencido]]*(Cobros[[#This Row],[% aplicar]]/100)*IF(Cobros[[#This Row],[% A pagar Vendedor]]&gt;0,1,0)</f>
        <v>0.226</v>
      </c>
      <c r="W358" s="46">
        <f>0.5%*Cobros[[#This Row],[Valor Pagado]]</f>
        <v>0.113</v>
      </c>
    </row>
    <row r="359" spans="1:23">
      <c r="A359" s="49" t="s">
        <v>3860</v>
      </c>
      <c r="B359" s="49" t="s">
        <v>4425</v>
      </c>
      <c r="C359" s="49" t="s">
        <v>1343</v>
      </c>
      <c r="D359" s="49" t="s">
        <v>1344</v>
      </c>
      <c r="E359" s="49" t="s">
        <v>4419</v>
      </c>
      <c r="F359" s="51">
        <v>46213</v>
      </c>
      <c r="G359" s="49">
        <v>32.5</v>
      </c>
      <c r="H359" s="49" t="s">
        <v>18</v>
      </c>
      <c r="I359" s="51">
        <v>46213</v>
      </c>
      <c r="J359" s="54">
        <f>INT(Cobros[[#This Row],[Fecha Cargo]])</f>
        <v>46213</v>
      </c>
      <c r="K359" s="54">
        <f>INT(Cobros[[#This Row],[Fecha Aplicacion]])</f>
        <v>46213</v>
      </c>
      <c r="L359" s="55">
        <f>INDEX(Clientes[Días Plazo],MATCH(Cobros[[#This Row],[Cod. Cliente]],Clientes[Codigo],0),1)</f>
        <v>0</v>
      </c>
      <c r="M359" s="45" t="str">
        <f>IF(Cobros[[#This Row],[Dias de Credito]]&lt;=0,"Contado","Credito")</f>
        <v>Contado</v>
      </c>
      <c r="N359" s="45">
        <f>Cobros[[#This Row],[Fecha Aplicación S]]-Cobros[[#This Row],[Fecha Cargo S]]</f>
        <v>0</v>
      </c>
      <c r="O359" s="45">
        <f>Cobros[[#This Row],[Dias al pago]]-Cobros[[#This Row],[Dias de Credito]]</f>
        <v>0</v>
      </c>
      <c r="P359" s="45">
        <f>SUMIFS(TablaDias[Porcentaje],TablaDias[Tipo],Cobros[[#This Row],[Tipo]],TablaDias[Desde ],"&lt;="&amp;MAX(0,Cobros[[#This Row],[Dias pasado]]),TablaDias[Hasta ],"&gt;="&amp;Cobros[[#This Row],[Dias pasado]])</f>
        <v>100</v>
      </c>
      <c r="Q3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59">
        <f>IF(COUNTIF(PAPEL[Numero],Cobros[[#This Row],[Doc. Cargo]])&gt;0,1,0)</f>
        <v>0</v>
      </c>
      <c r="S359" s="46">
        <f t="array" ref="S3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59" s="46">
        <f t="array" ref="T359">INDEX(Ventas[[Unidades]:[2]],MATCH("Gerente de Venta",Ventas[Vendedor %],0),6+Cobros[[#This Row],[Mes]])</f>
        <v>0.005</v>
      </c>
      <c r="U359" s="34">
        <f>IF(Cobros[[#This Row],[Tipo]]="Credito",IF(60&gt;=Cobros[[#This Row],[Dias al pago]],1,0),IF(Cobros[[#This Row],[Dias al pago]]&lt;=3,1,0))</f>
        <v>1</v>
      </c>
      <c r="V359" s="46">
        <f>(Cobros[[#This Row],[% A pagar Vendedor]]/100)*Cobros[[#This Row],[Valor Pagado]]*Cobros[[#This Row],[Vencido]]*(Cobros[[#This Row],[% aplicar]]/100)*IF(Cobros[[#This Row],[% A pagar Vendedor]]&gt;0,1,0)</f>
        <v>0.40625</v>
      </c>
      <c r="W359" s="46">
        <f>0.5%*Cobros[[#This Row],[Valor Pagado]]</f>
        <v>0.1625</v>
      </c>
    </row>
    <row r="360" spans="1:23">
      <c r="A360" s="49" t="s">
        <v>3860</v>
      </c>
      <c r="B360" s="49" t="s">
        <v>4426</v>
      </c>
      <c r="C360" s="49" t="s">
        <v>1220</v>
      </c>
      <c r="D360" s="49" t="s">
        <v>1221</v>
      </c>
      <c r="E360" s="49" t="s">
        <v>4427</v>
      </c>
      <c r="F360" s="51">
        <v>46213</v>
      </c>
      <c r="G360" s="49">
        <v>232.95</v>
      </c>
      <c r="H360" s="49" t="s">
        <v>20</v>
      </c>
      <c r="I360" s="51">
        <v>46213</v>
      </c>
      <c r="J360" s="54">
        <f>INT(Cobros[[#This Row],[Fecha Cargo]])</f>
        <v>46213</v>
      </c>
      <c r="K360" s="54">
        <f>INT(Cobros[[#This Row],[Fecha Aplicacion]])</f>
        <v>46213</v>
      </c>
      <c r="L360" s="55">
        <f>INDEX(Clientes[Días Plazo],MATCH(Cobros[[#This Row],[Cod. Cliente]],Clientes[Codigo],0),1)</f>
        <v>0</v>
      </c>
      <c r="M360" s="45" t="str">
        <f>IF(Cobros[[#This Row],[Dias de Credito]]&lt;=0,"Contado","Credito")</f>
        <v>Contado</v>
      </c>
      <c r="N360" s="45">
        <f>Cobros[[#This Row],[Fecha Aplicación S]]-Cobros[[#This Row],[Fecha Cargo S]]</f>
        <v>0</v>
      </c>
      <c r="O360" s="45">
        <f>Cobros[[#This Row],[Dias al pago]]-Cobros[[#This Row],[Dias de Credito]]</f>
        <v>0</v>
      </c>
      <c r="P360" s="45">
        <f>SUMIFS(TablaDias[Porcentaje],TablaDias[Tipo],Cobros[[#This Row],[Tipo]],TablaDias[Desde ],"&lt;="&amp;MAX(0,Cobros[[#This Row],[Dias pasado]]),TablaDias[Hasta ],"&gt;="&amp;Cobros[[#This Row],[Dias pasado]])</f>
        <v>100</v>
      </c>
      <c r="Q3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0">
        <f>IF(COUNTIF(PAPEL[Numero],Cobros[[#This Row],[Doc. Cargo]])&gt;0,1,0)</f>
        <v>0</v>
      </c>
      <c r="S360" s="46">
        <f t="array" ref="S3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0" s="46">
        <f t="array" ref="T360">INDEX(Ventas[[Unidades]:[2]],MATCH("Gerente de Venta",Ventas[Vendedor %],0),6+Cobros[[#This Row],[Mes]])</f>
        <v>0.005</v>
      </c>
      <c r="U360" s="34">
        <f>IF(Cobros[[#This Row],[Tipo]]="Credito",IF(60&gt;=Cobros[[#This Row],[Dias al pago]],1,0),IF(Cobros[[#This Row],[Dias al pago]]&lt;=3,1,0))</f>
        <v>1</v>
      </c>
      <c r="V360" s="46">
        <f>(Cobros[[#This Row],[% A pagar Vendedor]]/100)*Cobros[[#This Row],[Valor Pagado]]*Cobros[[#This Row],[Vencido]]*(Cobros[[#This Row],[% aplicar]]/100)*IF(Cobros[[#This Row],[% A pagar Vendedor]]&gt;0,1,0)</f>
        <v>2.911875</v>
      </c>
      <c r="W360" s="46">
        <f>0.5%*Cobros[[#This Row],[Valor Pagado]]</f>
        <v>1.16475</v>
      </c>
    </row>
    <row r="361" spans="1:23">
      <c r="A361" s="49" t="s">
        <v>3860</v>
      </c>
      <c r="B361" s="49" t="s">
        <v>4428</v>
      </c>
      <c r="C361" s="49" t="s">
        <v>2529</v>
      </c>
      <c r="D361" s="49" t="s">
        <v>2530</v>
      </c>
      <c r="E361" s="49" t="s">
        <v>4429</v>
      </c>
      <c r="F361" s="51">
        <v>46213</v>
      </c>
      <c r="G361" s="49">
        <v>69</v>
      </c>
      <c r="H361" s="49" t="s">
        <v>16</v>
      </c>
      <c r="I361" s="51">
        <v>46213</v>
      </c>
      <c r="J361" s="54">
        <f>INT(Cobros[[#This Row],[Fecha Cargo]])</f>
        <v>46213</v>
      </c>
      <c r="K361" s="54">
        <f>INT(Cobros[[#This Row],[Fecha Aplicacion]])</f>
        <v>46213</v>
      </c>
      <c r="L361" s="55">
        <v>30</v>
      </c>
      <c r="M361" s="45" t="str">
        <f>IF(Cobros[[#This Row],[Dias de Credito]]&lt;=0,"Contado","Credito")</f>
        <v>Credito</v>
      </c>
      <c r="N361" s="45">
        <f>Cobros[[#This Row],[Fecha Aplicación S]]-Cobros[[#This Row],[Fecha Cargo S]]</f>
        <v>0</v>
      </c>
      <c r="O361" s="45">
        <f>Cobros[[#This Row],[Dias al pago]]-Cobros[[#This Row],[Dias de Credito]]</f>
        <v>-30</v>
      </c>
      <c r="P361" s="45">
        <f>SUMIFS(TablaDias[Porcentaje],TablaDias[Tipo],Cobros[[#This Row],[Tipo]],TablaDias[Desde ],"&lt;="&amp;MAX(0,Cobros[[#This Row],[Dias pasado]]),TablaDias[Hasta ],"&gt;="&amp;Cobros[[#This Row],[Dias pasado]])</f>
        <v>100</v>
      </c>
      <c r="Q3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1">
        <f>IF(COUNTIF(PAPEL[Numero],Cobros[[#This Row],[Doc. Cargo]])&gt;0,1,0)</f>
        <v>0</v>
      </c>
      <c r="S361" s="46">
        <f t="array" ref="S3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1" s="47">
        <v>0.005</v>
      </c>
      <c r="U361" s="34">
        <f>IF(Cobros[[#This Row],[Tipo]]="Credito",IF(60&gt;=Cobros[[#This Row],[Dias al pago]],1,0),IF(Cobros[[#This Row],[Dias al pago]]&lt;=3,1,0))</f>
        <v>1</v>
      </c>
      <c r="V361" s="46">
        <f>(Cobros[[#This Row],[% A pagar Vendedor]]/100)*Cobros[[#This Row],[Valor Pagado]]*Cobros[[#This Row],[Vencido]]*(Cobros[[#This Row],[% aplicar]]/100)*IF(Cobros[[#This Row],[% A pagar Vendedor]]&gt;0,1,0)</f>
        <v>0.8625</v>
      </c>
      <c r="W361" s="46">
        <f>0.5%*Cobros[[#This Row],[Valor Pagado]]</f>
        <v>0.345</v>
      </c>
    </row>
    <row r="362" spans="1:23">
      <c r="A362" s="49" t="s">
        <v>3860</v>
      </c>
      <c r="B362" s="49" t="s">
        <v>4430</v>
      </c>
      <c r="C362" s="49" t="s">
        <v>1550</v>
      </c>
      <c r="D362" s="49" t="s">
        <v>1551</v>
      </c>
      <c r="E362" s="49" t="s">
        <v>4431</v>
      </c>
      <c r="F362" s="51">
        <v>46206</v>
      </c>
      <c r="G362" s="49">
        <v>426</v>
      </c>
      <c r="H362" s="49" t="s">
        <v>16</v>
      </c>
      <c r="I362" s="51">
        <v>46213</v>
      </c>
      <c r="J362" s="54">
        <f>INT(Cobros[[#This Row],[Fecha Cargo]])</f>
        <v>46206</v>
      </c>
      <c r="K362" s="54">
        <f>INT(Cobros[[#This Row],[Fecha Aplicacion]])</f>
        <v>46213</v>
      </c>
      <c r="L362" s="55" t="str">
        <f>INDEX(Clientes[Días Plazo],MATCH(Cobros[[#This Row],[Cod. Cliente]],Clientes[Codigo],0),1)</f>
        <v>7</v>
      </c>
      <c r="M362" s="45" t="str">
        <f>IF(Cobros[[#This Row],[Dias de Credito]]&lt;=0,"Contado","Credito")</f>
        <v>Credito</v>
      </c>
      <c r="N362" s="45">
        <f>Cobros[[#This Row],[Fecha Aplicación S]]-Cobros[[#This Row],[Fecha Cargo S]]</f>
        <v>7</v>
      </c>
      <c r="O362" s="45">
        <f>Cobros[[#This Row],[Dias al pago]]-Cobros[[#This Row],[Dias de Credito]]</f>
        <v>0</v>
      </c>
      <c r="P362" s="45">
        <f>SUMIFS(TablaDias[Porcentaje],TablaDias[Tipo],Cobros[[#This Row],[Tipo]],TablaDias[Desde ],"&lt;="&amp;MAX(0,Cobros[[#This Row],[Dias pasado]]),TablaDias[Hasta ],"&gt;="&amp;Cobros[[#This Row],[Dias pasado]])</f>
        <v>100</v>
      </c>
      <c r="Q3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2">
        <f>IF(COUNTIF(PAPEL[Numero],Cobros[[#This Row],[Doc. Cargo]])&gt;0,1,0)</f>
        <v>0</v>
      </c>
      <c r="S362" s="46">
        <f t="array" ref="S3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2" s="47">
        <v>0.005</v>
      </c>
      <c r="U362" s="34">
        <f>IF(Cobros[[#This Row],[Tipo]]="Credito",IF(60&gt;=Cobros[[#This Row],[Dias al pago]],1,0),IF(Cobros[[#This Row],[Dias al pago]]&lt;=3,1,0))</f>
        <v>1</v>
      </c>
      <c r="V362" s="46">
        <f>(Cobros[[#This Row],[% A pagar Vendedor]]/100)*Cobros[[#This Row],[Valor Pagado]]*Cobros[[#This Row],[Vencido]]*(Cobros[[#This Row],[% aplicar]]/100)*IF(Cobros[[#This Row],[% A pagar Vendedor]]&gt;0,1,0)</f>
        <v>5.325</v>
      </c>
      <c r="W362" s="46">
        <f>0.5%*Cobros[[#This Row],[Valor Pagado]]</f>
        <v>2.13</v>
      </c>
    </row>
    <row r="363" spans="1:24">
      <c r="A363" s="49" t="s">
        <v>3860</v>
      </c>
      <c r="B363" s="49" t="s">
        <v>4432</v>
      </c>
      <c r="C363" s="49" t="s">
        <v>1222</v>
      </c>
      <c r="D363" s="49" t="s">
        <v>1223</v>
      </c>
      <c r="E363" s="49" t="s">
        <v>4389</v>
      </c>
      <c r="F363" s="51">
        <v>46211</v>
      </c>
      <c r="G363" s="49">
        <v>97.4</v>
      </c>
      <c r="H363" s="49" t="s">
        <v>20</v>
      </c>
      <c r="I363" s="51">
        <v>46213</v>
      </c>
      <c r="J363" s="54">
        <f>INT(Cobros[[#This Row],[Fecha Cargo]])</f>
        <v>46211</v>
      </c>
      <c r="K363" s="54">
        <f>INT(Cobros[[#This Row],[Fecha Aplicacion]])</f>
        <v>46213</v>
      </c>
      <c r="L363" s="55" t="str">
        <f>INDEX(Clientes[Días Plazo],MATCH(Cobros[[#This Row],[Cod. Cliente]],Clientes[Codigo],0),1)</f>
        <v>7</v>
      </c>
      <c r="M363" s="45" t="str">
        <f>IF(Cobros[[#This Row],[Dias de Credito]]&lt;=0,"Contado","Credito")</f>
        <v>Credito</v>
      </c>
      <c r="N363" s="45">
        <f>Cobros[[#This Row],[Fecha Aplicación S]]-Cobros[[#This Row],[Fecha Cargo S]]</f>
        <v>2</v>
      </c>
      <c r="O363" s="45">
        <f>Cobros[[#This Row],[Dias al pago]]-Cobros[[#This Row],[Dias de Credito]]</f>
        <v>-5</v>
      </c>
      <c r="P363" s="45">
        <f>SUMIFS(TablaDias[Porcentaje],TablaDias[Tipo],Cobros[[#This Row],[Tipo]],TablaDias[Desde ],"&lt;="&amp;MAX(0,Cobros[[#This Row],[Dias pasado]]),TablaDias[Hasta ],"&gt;="&amp;Cobros[[#This Row],[Dias pasado]])</f>
        <v>100</v>
      </c>
      <c r="Q3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3">
        <f>IF(COUNTIF(PAPEL[Numero],Cobros[[#This Row],[Doc. Cargo]])&gt;0,1,0)</f>
        <v>0</v>
      </c>
      <c r="S363" s="46">
        <f t="array" ref="S3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3" s="46">
        <f t="array" ref="T363">INDEX(Ventas[[Unidades]:[2]],MATCH("Gerente de Venta",Ventas[Vendedor %],0),6+Cobros[[#This Row],[Mes]])</f>
        <v>0.005</v>
      </c>
      <c r="U363" s="34">
        <f>IF(Cobros[[#This Row],[Tipo]]="Credito",IF(60&gt;=Cobros[[#This Row],[Dias al pago]],1,0),IF(Cobros[[#This Row],[Dias al pago]]&lt;=3,1,0))</f>
        <v>1</v>
      </c>
      <c r="V363" s="46">
        <f>(Cobros[[#This Row],[% A pagar Vendedor]]/100)*Cobros[[#This Row],[Valor Pagado]]*Cobros[[#This Row],[Vencido]]*(Cobros[[#This Row],[% aplicar]]/100)*IF(Cobros[[#This Row],[% A pagar Vendedor]]&gt;0,1,0)</f>
        <v>1.2175</v>
      </c>
      <c r="W363" s="46">
        <f>0.5%*Cobros[[#This Row],[Valor Pagado]]</f>
        <v>0.487</v>
      </c>
      <c r="X363" s="34"/>
    </row>
    <row r="364" spans="1:24">
      <c r="A364" s="49" t="s">
        <v>3860</v>
      </c>
      <c r="B364" s="49" t="s">
        <v>4433</v>
      </c>
      <c r="C364" s="49" t="s">
        <v>1222</v>
      </c>
      <c r="D364" s="49" t="s">
        <v>1223</v>
      </c>
      <c r="E364" s="49" t="s">
        <v>4434</v>
      </c>
      <c r="F364" s="51">
        <v>46213</v>
      </c>
      <c r="G364" s="49">
        <v>10</v>
      </c>
      <c r="H364" s="49" t="s">
        <v>20</v>
      </c>
      <c r="I364" s="51">
        <v>46213</v>
      </c>
      <c r="J364" s="54">
        <f>INT(Cobros[[#This Row],[Fecha Cargo]])</f>
        <v>46213</v>
      </c>
      <c r="K364" s="54">
        <f>INT(Cobros[[#This Row],[Fecha Aplicacion]])</f>
        <v>46213</v>
      </c>
      <c r="L364" s="55" t="str">
        <f>INDEX(Clientes[Días Plazo],MATCH(Cobros[[#This Row],[Cod. Cliente]],Clientes[Codigo],0),1)</f>
        <v>7</v>
      </c>
      <c r="M364" s="45" t="str">
        <f>IF(Cobros[[#This Row],[Dias de Credito]]&lt;=0,"Contado","Credito")</f>
        <v>Credito</v>
      </c>
      <c r="N364" s="45">
        <f>Cobros[[#This Row],[Fecha Aplicación S]]-Cobros[[#This Row],[Fecha Cargo S]]</f>
        <v>0</v>
      </c>
      <c r="O364" s="45">
        <f>Cobros[[#This Row],[Dias al pago]]-Cobros[[#This Row],[Dias de Credito]]</f>
        <v>-7</v>
      </c>
      <c r="P364" s="45">
        <f>SUMIFS(TablaDias[Porcentaje],TablaDias[Tipo],Cobros[[#This Row],[Tipo]],TablaDias[Desde ],"&lt;="&amp;MAX(0,Cobros[[#This Row],[Dias pasado]]),TablaDias[Hasta ],"&gt;="&amp;Cobros[[#This Row],[Dias pasado]])</f>
        <v>100</v>
      </c>
      <c r="Q3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4">
        <f>IF(COUNTIF(PAPEL[Numero],Cobros[[#This Row],[Doc. Cargo]])&gt;0,1,0)</f>
        <v>0</v>
      </c>
      <c r="S364" s="46">
        <f t="array" ref="S3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4" s="46">
        <f t="array" ref="T364">INDEX(Ventas[[Unidades]:[2]],MATCH("Gerente de Venta",Ventas[Vendedor %],0),6+Cobros[[#This Row],[Mes]])</f>
        <v>0.005</v>
      </c>
      <c r="U364" s="34">
        <f>IF(Cobros[[#This Row],[Tipo]]="Credito",IF(60&gt;=Cobros[[#This Row],[Dias al pago]],1,0),IF(Cobros[[#This Row],[Dias al pago]]&lt;=3,1,0))</f>
        <v>1</v>
      </c>
      <c r="V364" s="46">
        <f>(Cobros[[#This Row],[% A pagar Vendedor]]/100)*Cobros[[#This Row],[Valor Pagado]]*Cobros[[#This Row],[Vencido]]*(Cobros[[#This Row],[% aplicar]]/100)*IF(Cobros[[#This Row],[% A pagar Vendedor]]&gt;0,1,0)</f>
        <v>0.125</v>
      </c>
      <c r="W364" s="46">
        <f>0.5%*Cobros[[#This Row],[Valor Pagado]]</f>
        <v>0.05</v>
      </c>
      <c r="X364" s="34"/>
    </row>
    <row r="365" spans="1:24">
      <c r="A365" s="49" t="s">
        <v>3860</v>
      </c>
      <c r="B365" s="49" t="s">
        <v>4435</v>
      </c>
      <c r="C365" s="49" t="s">
        <v>3715</v>
      </c>
      <c r="D365" s="49" t="s">
        <v>3716</v>
      </c>
      <c r="E365" s="49" t="s">
        <v>4049</v>
      </c>
      <c r="F365" s="51">
        <v>46206</v>
      </c>
      <c r="G365" s="49">
        <v>458.26</v>
      </c>
      <c r="H365" s="49" t="s">
        <v>16</v>
      </c>
      <c r="I365" s="51">
        <v>46213</v>
      </c>
      <c r="J365" s="54">
        <f>INT(Cobros[[#This Row],[Fecha Cargo]])</f>
        <v>46206</v>
      </c>
      <c r="K365" s="54">
        <f>INT(Cobros[[#This Row],[Fecha Aplicacion]])</f>
        <v>46213</v>
      </c>
      <c r="L365" s="55" t="str">
        <f>INDEX(Clientes[Días Plazo],MATCH(Cobros[[#This Row],[Cod. Cliente]],Clientes[Codigo],0),1)</f>
        <v>7</v>
      </c>
      <c r="M365" s="45" t="str">
        <f>IF(Cobros[[#This Row],[Dias de Credito]]&lt;=0,"Contado","Credito")</f>
        <v>Credito</v>
      </c>
      <c r="N365" s="45">
        <f>Cobros[[#This Row],[Fecha Aplicación S]]-Cobros[[#This Row],[Fecha Cargo S]]</f>
        <v>7</v>
      </c>
      <c r="O365" s="45">
        <f>Cobros[[#This Row],[Dias al pago]]-Cobros[[#This Row],[Dias de Credito]]</f>
        <v>0</v>
      </c>
      <c r="P365" s="45">
        <f>SUMIFS(TablaDias[Porcentaje],TablaDias[Tipo],Cobros[[#This Row],[Tipo]],TablaDias[Desde ],"&lt;="&amp;MAX(0,Cobros[[#This Row],[Dias pasado]]),TablaDias[Hasta ],"&gt;="&amp;Cobros[[#This Row],[Dias pasado]])</f>
        <v>100</v>
      </c>
      <c r="Q3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5">
        <f>IF(COUNTIF(PAPEL[Numero],Cobros[[#This Row],[Doc. Cargo]])&gt;0,1,0)</f>
        <v>0</v>
      </c>
      <c r="S365" s="46">
        <f t="array" ref="S3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5" s="47">
        <v>0.005</v>
      </c>
      <c r="U365" s="34">
        <f>IF(Cobros[[#This Row],[Tipo]]="Credito",IF(60&gt;=Cobros[[#This Row],[Dias al pago]],1,0),IF(Cobros[[#This Row],[Dias al pago]]&lt;=3,1,0))</f>
        <v>1</v>
      </c>
      <c r="V365" s="46">
        <f>(Cobros[[#This Row],[% A pagar Vendedor]]/100)*Cobros[[#This Row],[Valor Pagado]]*Cobros[[#This Row],[Vencido]]*(Cobros[[#This Row],[% aplicar]]/100)*IF(Cobros[[#This Row],[% A pagar Vendedor]]&gt;0,1,0)</f>
        <v>5.72825</v>
      </c>
      <c r="W365" s="46">
        <f>0.5%*Cobros[[#This Row],[Valor Pagado]]</f>
        <v>2.2913</v>
      </c>
      <c r="X365" s="34"/>
    </row>
    <row r="366" spans="1:24">
      <c r="A366" s="49" t="s">
        <v>3860</v>
      </c>
      <c r="B366" s="49" t="s">
        <v>4435</v>
      </c>
      <c r="C366" s="49" t="s">
        <v>3715</v>
      </c>
      <c r="D366" s="49" t="s">
        <v>3716</v>
      </c>
      <c r="E366" s="49" t="s">
        <v>4436</v>
      </c>
      <c r="F366" s="51">
        <v>46210</v>
      </c>
      <c r="G366" s="49">
        <v>45.5</v>
      </c>
      <c r="H366" s="49" t="s">
        <v>16</v>
      </c>
      <c r="I366" s="51">
        <v>46213</v>
      </c>
      <c r="J366" s="54">
        <f>INT(Cobros[[#This Row],[Fecha Cargo]])</f>
        <v>46210</v>
      </c>
      <c r="K366" s="54">
        <f>INT(Cobros[[#This Row],[Fecha Aplicacion]])</f>
        <v>46213</v>
      </c>
      <c r="L366" s="55" t="str">
        <f>INDEX(Clientes[Días Plazo],MATCH(Cobros[[#This Row],[Cod. Cliente]],Clientes[Codigo],0),1)</f>
        <v>7</v>
      </c>
      <c r="M366" s="45" t="str">
        <f>IF(Cobros[[#This Row],[Dias de Credito]]&lt;=0,"Contado","Credito")</f>
        <v>Credito</v>
      </c>
      <c r="N366" s="45">
        <f>Cobros[[#This Row],[Fecha Aplicación S]]-Cobros[[#This Row],[Fecha Cargo S]]</f>
        <v>3</v>
      </c>
      <c r="O366" s="45">
        <f>Cobros[[#This Row],[Dias al pago]]-Cobros[[#This Row],[Dias de Credito]]</f>
        <v>-4</v>
      </c>
      <c r="P366" s="45">
        <f>SUMIFS(TablaDias[Porcentaje],TablaDias[Tipo],Cobros[[#This Row],[Tipo]],TablaDias[Desde ],"&lt;="&amp;MAX(0,Cobros[[#This Row],[Dias pasado]]),TablaDias[Hasta ],"&gt;="&amp;Cobros[[#This Row],[Dias pasado]])</f>
        <v>100</v>
      </c>
      <c r="Q3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6">
        <f>IF(COUNTIF(PAPEL[Numero],Cobros[[#This Row],[Doc. Cargo]])&gt;0,1,0)</f>
        <v>0</v>
      </c>
      <c r="S366" s="46">
        <f t="array" ref="S3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6" s="47">
        <v>0.005</v>
      </c>
      <c r="U366" s="34">
        <f>IF(Cobros[[#This Row],[Tipo]]="Credito",IF(60&gt;=Cobros[[#This Row],[Dias al pago]],1,0),IF(Cobros[[#This Row],[Dias al pago]]&lt;=3,1,0))</f>
        <v>1</v>
      </c>
      <c r="V366" s="46">
        <f>(Cobros[[#This Row],[% A pagar Vendedor]]/100)*Cobros[[#This Row],[Valor Pagado]]*Cobros[[#This Row],[Vencido]]*(Cobros[[#This Row],[% aplicar]]/100)*IF(Cobros[[#This Row],[% A pagar Vendedor]]&gt;0,1,0)</f>
        <v>0.56875</v>
      </c>
      <c r="W366" s="46">
        <f>0.5%*Cobros[[#This Row],[Valor Pagado]]</f>
        <v>0.2275</v>
      </c>
      <c r="X366" s="34"/>
    </row>
    <row r="367" ht="30" spans="1:23">
      <c r="A367" s="49" t="s">
        <v>3860</v>
      </c>
      <c r="B367" s="49" t="s">
        <v>4437</v>
      </c>
      <c r="C367" s="49" t="s">
        <v>974</v>
      </c>
      <c r="D367" s="49" t="s">
        <v>974</v>
      </c>
      <c r="E367" s="49" t="s">
        <v>4438</v>
      </c>
      <c r="F367" s="51">
        <v>46206</v>
      </c>
      <c r="G367" s="49">
        <v>950</v>
      </c>
      <c r="H367" s="49" t="s">
        <v>16</v>
      </c>
      <c r="I367" s="51">
        <v>46213</v>
      </c>
      <c r="J367" s="54">
        <f>INT(Cobros[[#This Row],[Fecha Cargo]])</f>
        <v>46206</v>
      </c>
      <c r="K367" s="54">
        <f>INT(Cobros[[#This Row],[Fecha Aplicacion]])</f>
        <v>46213</v>
      </c>
      <c r="L367" s="55">
        <f>INDEX(Clientes[Días Plazo],MATCH(Cobros[[#This Row],[Cod. Cliente]],Clientes[Codigo],0),1)</f>
        <v>0</v>
      </c>
      <c r="M367" s="45" t="str">
        <f>IF(Cobros[[#This Row],[Dias de Credito]]&lt;=0,"Contado","Credito")</f>
        <v>Contado</v>
      </c>
      <c r="N367" s="45">
        <f>Cobros[[#This Row],[Fecha Aplicación S]]-Cobros[[#This Row],[Fecha Cargo S]]</f>
        <v>7</v>
      </c>
      <c r="O367" s="45">
        <f>Cobros[[#This Row],[Dias al pago]]-Cobros[[#This Row],[Dias de Credito]]</f>
        <v>7</v>
      </c>
      <c r="P367" s="45">
        <f>SUMIFS(TablaDias[Porcentaje],TablaDias[Tipo],Cobros[[#This Row],[Tipo]],TablaDias[Desde ],"&lt;="&amp;MAX(0,Cobros[[#This Row],[Dias pasado]]),TablaDias[Hasta ],"&gt;="&amp;Cobros[[#This Row],[Dias pasado]])</f>
        <v>0</v>
      </c>
      <c r="Q36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7">
        <f>IF(COUNTIF(PAPEL[Numero],Cobros[[#This Row],[Doc. Cargo]])&gt;0,1,0)</f>
        <v>0</v>
      </c>
      <c r="S367" s="46">
        <f t="array" ref="S3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7" s="47">
        <v>0.005</v>
      </c>
      <c r="U367" s="34">
        <f>IF(Cobros[[#This Row],[Tipo]]="Credito",IF(60&gt;=Cobros[[#This Row],[Dias al pago]],1,0),IF(Cobros[[#This Row],[Dias al pago]]&lt;=3,1,0))</f>
        <v>0</v>
      </c>
      <c r="V367" s="46">
        <f>(Cobros[[#This Row],[% A pagar Vendedor]]/100)*Cobros[[#This Row],[Valor Pagado]]*Cobros[[#This Row],[Vencido]]*(Cobros[[#This Row],[% aplicar]]/100)*IF(Cobros[[#This Row],[% A pagar Vendedor]]&gt;0,1,0)</f>
        <v>0</v>
      </c>
      <c r="W367" s="46">
        <f>0.5%*Cobros[[#This Row],[Valor Pagado]]</f>
        <v>4.75</v>
      </c>
    </row>
    <row r="368" ht="30" spans="1:24">
      <c r="A368" s="49" t="s">
        <v>3860</v>
      </c>
      <c r="B368" s="49" t="s">
        <v>4439</v>
      </c>
      <c r="C368" s="49" t="s">
        <v>74</v>
      </c>
      <c r="D368" s="49" t="s">
        <v>75</v>
      </c>
      <c r="E368" s="49" t="s">
        <v>4097</v>
      </c>
      <c r="F368" s="51">
        <v>46171</v>
      </c>
      <c r="G368" s="49">
        <v>190</v>
      </c>
      <c r="H368" s="49" t="s">
        <v>22</v>
      </c>
      <c r="I368" s="51">
        <v>46213</v>
      </c>
      <c r="J368" s="54">
        <f>INT(Cobros[[#This Row],[Fecha Cargo]])</f>
        <v>46171</v>
      </c>
      <c r="K368" s="54">
        <f>INT(Cobros[[#This Row],[Fecha Aplicacion]])</f>
        <v>46213</v>
      </c>
      <c r="L368" s="55" t="str">
        <f>INDEX(Clientes[Días Plazo],MATCH(Cobros[[#This Row],[Cod. Cliente]],Clientes[Codigo],0),1)</f>
        <v>15</v>
      </c>
      <c r="M368" s="45" t="str">
        <f>IF(Cobros[[#This Row],[Dias de Credito]]&lt;=0,"Contado","Credito")</f>
        <v>Credito</v>
      </c>
      <c r="N368" s="45">
        <f>Cobros[[#This Row],[Fecha Aplicación S]]-Cobros[[#This Row],[Fecha Cargo S]]</f>
        <v>42</v>
      </c>
      <c r="O368" s="45">
        <f>Cobros[[#This Row],[Dias al pago]]-Cobros[[#This Row],[Dias de Credito]]</f>
        <v>27</v>
      </c>
      <c r="P368" s="45">
        <f>SUMIFS(TablaDias[Porcentaje],TablaDias[Tipo],Cobros[[#This Row],[Tipo]],TablaDias[Desde ],"&lt;="&amp;MAX(0,Cobros[[#This Row],[Dias pasado]]),TablaDias[Hasta ],"&gt;="&amp;Cobros[[#This Row],[Dias pasado]])</f>
        <v>50</v>
      </c>
      <c r="Q3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68">
        <f>IF(COUNTIF(PAPEL[Numero],Cobros[[#This Row],[Doc. Cargo]])&gt;0,1,0)</f>
        <v>0</v>
      </c>
      <c r="S368" s="46">
        <f t="array" ref="S3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68" s="46">
        <f t="array" ref="T368">INDEX(Ventas[[Unidades]:[2]],MATCH("Gerente de Venta",Ventas[Vendedor %],0),6+Cobros[[#This Row],[Mes]])</f>
        <v>0.005</v>
      </c>
      <c r="U368" s="34">
        <f>IF(Cobros[[#This Row],[Tipo]]="Credito",IF(60&gt;=Cobros[[#This Row],[Dias al pago]],1,0),IF(Cobros[[#This Row],[Dias al pago]]&lt;=3,1,0))</f>
        <v>1</v>
      </c>
      <c r="V368" s="46">
        <f>(Cobros[[#This Row],[% A pagar Vendedor]]/100)*Cobros[[#This Row],[Valor Pagado]]*Cobros[[#This Row],[Vencido]]*(Cobros[[#This Row],[% aplicar]]/100)*IF(Cobros[[#This Row],[% A pagar Vendedor]]&gt;0,1,0)</f>
        <v>0.95</v>
      </c>
      <c r="W368" s="46">
        <f>0.5%*Cobros[[#This Row],[Valor Pagado]]</f>
        <v>0.95</v>
      </c>
      <c r="X368" s="34"/>
    </row>
    <row r="369" spans="1:24">
      <c r="A369" s="49" t="s">
        <v>3875</v>
      </c>
      <c r="B369" s="49" t="s">
        <v>4440</v>
      </c>
      <c r="C369" s="49" t="s">
        <v>1220</v>
      </c>
      <c r="D369" s="49" t="s">
        <v>1221</v>
      </c>
      <c r="E369" s="49" t="s">
        <v>4441</v>
      </c>
      <c r="F369" s="51">
        <v>46213</v>
      </c>
      <c r="G369" s="49">
        <v>85</v>
      </c>
      <c r="H369" s="49" t="s">
        <v>20</v>
      </c>
      <c r="I369" s="51">
        <v>46213</v>
      </c>
      <c r="J369" s="54">
        <f>INT(Cobros[[#This Row],[Fecha Cargo]])</f>
        <v>46213</v>
      </c>
      <c r="K369" s="54">
        <f>INT(Cobros[[#This Row],[Fecha Aplicacion]])</f>
        <v>46213</v>
      </c>
      <c r="L369" s="55">
        <f>INDEX(Clientes[Días Plazo],MATCH(Cobros[[#This Row],[Cod. Cliente]],Clientes[Codigo],0),1)</f>
        <v>0</v>
      </c>
      <c r="M369" s="45" t="str">
        <f>IF(Cobros[[#This Row],[Dias de Credito]]&lt;=0,"Contado","Credito")</f>
        <v>Contado</v>
      </c>
      <c r="N369" s="45">
        <f>Cobros[[#This Row],[Fecha Aplicación S]]-Cobros[[#This Row],[Fecha Cargo S]]</f>
        <v>0</v>
      </c>
      <c r="O369" s="45">
        <f>Cobros[[#This Row],[Dias al pago]]-Cobros[[#This Row],[Dias de Credito]]</f>
        <v>0</v>
      </c>
      <c r="P369" s="45">
        <f>SUMIFS(TablaDias[Porcentaje],TablaDias[Tipo],Cobros[[#This Row],[Tipo]],TablaDias[Desde ],"&lt;="&amp;MAX(0,Cobros[[#This Row],[Dias pasado]]),TablaDias[Hasta ],"&gt;="&amp;Cobros[[#This Row],[Dias pasado]])</f>
        <v>100</v>
      </c>
      <c r="Q3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69">
        <f>IF(COUNTIF(PAPEL[Numero],Cobros[[#This Row],[Doc. Cargo]])&gt;0,1,0)</f>
        <v>0</v>
      </c>
      <c r="S369" s="46">
        <f t="array" ref="S3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69" s="46">
        <f t="array" ref="T369">INDEX(Ventas[[Unidades]:[2]],MATCH("Gerente de Venta",Ventas[Vendedor %],0),6+Cobros[[#This Row],[Mes]])</f>
        <v>0.005</v>
      </c>
      <c r="U369" s="34">
        <f>IF(Cobros[[#This Row],[Tipo]]="Credito",IF(60&gt;=Cobros[[#This Row],[Dias al pago]],1,0),IF(Cobros[[#This Row],[Dias al pago]]&lt;=3,1,0))</f>
        <v>1</v>
      </c>
      <c r="V369" s="46">
        <f>(Cobros[[#This Row],[% A pagar Vendedor]]/100)*Cobros[[#This Row],[Valor Pagado]]*Cobros[[#This Row],[Vencido]]*(Cobros[[#This Row],[% aplicar]]/100)*IF(Cobros[[#This Row],[% A pagar Vendedor]]&gt;0,1,0)</f>
        <v>1.0625</v>
      </c>
      <c r="W369" s="46">
        <f>0.5%*Cobros[[#This Row],[Valor Pagado]]</f>
        <v>0.425</v>
      </c>
      <c r="X369" s="34"/>
    </row>
    <row r="370" spans="1:24">
      <c r="A370" s="49" t="s">
        <v>3875</v>
      </c>
      <c r="B370" s="49" t="s">
        <v>4440</v>
      </c>
      <c r="C370" s="49" t="s">
        <v>1220</v>
      </c>
      <c r="D370" s="49" t="s">
        <v>1221</v>
      </c>
      <c r="E370" s="49" t="s">
        <v>4442</v>
      </c>
      <c r="F370" s="51">
        <v>46213</v>
      </c>
      <c r="G370" s="49">
        <v>26</v>
      </c>
      <c r="H370" s="49" t="s">
        <v>20</v>
      </c>
      <c r="I370" s="51">
        <v>46213</v>
      </c>
      <c r="J370" s="54">
        <f>INT(Cobros[[#This Row],[Fecha Cargo]])</f>
        <v>46213</v>
      </c>
      <c r="K370" s="54">
        <f>INT(Cobros[[#This Row],[Fecha Aplicacion]])</f>
        <v>46213</v>
      </c>
      <c r="L370" s="55">
        <f>INDEX(Clientes[Días Plazo],MATCH(Cobros[[#This Row],[Cod. Cliente]],Clientes[Codigo],0),1)</f>
        <v>0</v>
      </c>
      <c r="M370" s="45" t="str">
        <f>IF(Cobros[[#This Row],[Dias de Credito]]&lt;=0,"Contado","Credito")</f>
        <v>Contado</v>
      </c>
      <c r="N370" s="45">
        <f>Cobros[[#This Row],[Fecha Aplicación S]]-Cobros[[#This Row],[Fecha Cargo S]]</f>
        <v>0</v>
      </c>
      <c r="O370" s="45">
        <f>Cobros[[#This Row],[Dias al pago]]-Cobros[[#This Row],[Dias de Credito]]</f>
        <v>0</v>
      </c>
      <c r="P370" s="45">
        <f>SUMIFS(TablaDias[Porcentaje],TablaDias[Tipo],Cobros[[#This Row],[Tipo]],TablaDias[Desde ],"&lt;="&amp;MAX(0,Cobros[[#This Row],[Dias pasado]]),TablaDias[Hasta ],"&gt;="&amp;Cobros[[#This Row],[Dias pasado]])</f>
        <v>100</v>
      </c>
      <c r="Q3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0">
        <f>IF(COUNTIF(PAPEL[Numero],Cobros[[#This Row],[Doc. Cargo]])&gt;0,1,0)</f>
        <v>0</v>
      </c>
      <c r="S370" s="46">
        <f t="array" ref="S3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0" s="46">
        <f t="array" ref="T370">INDEX(Ventas[[Unidades]:[2]],MATCH("Gerente de Venta",Ventas[Vendedor %],0),6+Cobros[[#This Row],[Mes]])</f>
        <v>0.005</v>
      </c>
      <c r="U370" s="34">
        <f>IF(Cobros[[#This Row],[Tipo]]="Credito",IF(60&gt;=Cobros[[#This Row],[Dias al pago]],1,0),IF(Cobros[[#This Row],[Dias al pago]]&lt;=3,1,0))</f>
        <v>1</v>
      </c>
      <c r="V370" s="46">
        <f>(Cobros[[#This Row],[% A pagar Vendedor]]/100)*Cobros[[#This Row],[Valor Pagado]]*Cobros[[#This Row],[Vencido]]*(Cobros[[#This Row],[% aplicar]]/100)*IF(Cobros[[#This Row],[% A pagar Vendedor]]&gt;0,1,0)</f>
        <v>0.325</v>
      </c>
      <c r="W370" s="46">
        <f>0.5%*Cobros[[#This Row],[Valor Pagado]]</f>
        <v>0.13</v>
      </c>
      <c r="X370" s="34"/>
    </row>
    <row r="371" spans="1:24">
      <c r="A371" s="49" t="s">
        <v>3931</v>
      </c>
      <c r="B371" s="49" t="s">
        <v>4443</v>
      </c>
      <c r="C371" s="49" t="s">
        <v>606</v>
      </c>
      <c r="D371" s="49" t="s">
        <v>607</v>
      </c>
      <c r="E371" s="49" t="s">
        <v>4444</v>
      </c>
      <c r="F371" s="51">
        <v>46183</v>
      </c>
      <c r="G371" s="49">
        <v>343.47</v>
      </c>
      <c r="H371" s="49" t="s">
        <v>18</v>
      </c>
      <c r="I371" s="51">
        <v>46213</v>
      </c>
      <c r="J371" s="54">
        <f>INT(Cobros[[#This Row],[Fecha Cargo]])</f>
        <v>46183</v>
      </c>
      <c r="K371" s="54">
        <f>INT(Cobros[[#This Row],[Fecha Aplicacion]])</f>
        <v>46213</v>
      </c>
      <c r="L371" s="55" t="str">
        <f>INDEX(Clientes[Días Plazo],MATCH(Cobros[[#This Row],[Cod. Cliente]],Clientes[Codigo],0),1)</f>
        <v>7</v>
      </c>
      <c r="M371" s="45" t="str">
        <f>IF(Cobros[[#This Row],[Dias de Credito]]&lt;=0,"Contado","Credito")</f>
        <v>Credito</v>
      </c>
      <c r="N371" s="45">
        <f>Cobros[[#This Row],[Fecha Aplicación S]]-Cobros[[#This Row],[Fecha Cargo S]]</f>
        <v>30</v>
      </c>
      <c r="O371" s="45">
        <f>Cobros[[#This Row],[Dias al pago]]-Cobros[[#This Row],[Dias de Credito]]</f>
        <v>23</v>
      </c>
      <c r="P371" s="45">
        <f>SUMIFS(TablaDias[Porcentaje],TablaDias[Tipo],Cobros[[#This Row],[Tipo]],TablaDias[Desde ],"&lt;="&amp;MAX(0,Cobros[[#This Row],[Dias pasado]]),TablaDias[Hasta ],"&gt;="&amp;Cobros[[#This Row],[Dias pasado]])</f>
        <v>50</v>
      </c>
      <c r="Q3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71">
        <f>IF(COUNTIF(PAPEL[Numero],Cobros[[#This Row],[Doc. Cargo]])&gt;0,1,0)</f>
        <v>0</v>
      </c>
      <c r="S371" s="46">
        <f t="array" ref="S3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71" s="46">
        <f t="array" ref="T371">INDEX(Ventas[[Unidades]:[2]],MATCH("Gerente de Venta",Ventas[Vendedor %],0),6+Cobros[[#This Row],[Mes]])</f>
        <v>0.005</v>
      </c>
      <c r="U371" s="34">
        <f>IF(Cobros[[#This Row],[Tipo]]="Credito",IF(60&gt;=Cobros[[#This Row],[Dias al pago]],1,0),IF(Cobros[[#This Row],[Dias al pago]]&lt;=3,1,0))</f>
        <v>1</v>
      </c>
      <c r="V371" s="46">
        <f>(Cobros[[#This Row],[% A pagar Vendedor]]/100)*Cobros[[#This Row],[Valor Pagado]]*Cobros[[#This Row],[Vencido]]*(Cobros[[#This Row],[% aplicar]]/100)*IF(Cobros[[#This Row],[% A pagar Vendedor]]&gt;0,1,0)</f>
        <v>1.71735</v>
      </c>
      <c r="W371" s="46">
        <f>0.5%*Cobros[[#This Row],[Valor Pagado]]</f>
        <v>1.71735</v>
      </c>
      <c r="X371" s="34"/>
    </row>
    <row r="372" ht="30" spans="1:23">
      <c r="A372" s="49" t="s">
        <v>3931</v>
      </c>
      <c r="B372" s="49" t="s">
        <v>4445</v>
      </c>
      <c r="C372" s="49" t="s">
        <v>987</v>
      </c>
      <c r="D372" s="49" t="s">
        <v>988</v>
      </c>
      <c r="E372" s="49" t="s">
        <v>4446</v>
      </c>
      <c r="F372" s="51">
        <v>46211</v>
      </c>
      <c r="G372" s="49">
        <v>7290.4</v>
      </c>
      <c r="H372" s="49" t="s">
        <v>20</v>
      </c>
      <c r="I372" s="51">
        <v>46213</v>
      </c>
      <c r="J372" s="54">
        <f>INT(Cobros[[#This Row],[Fecha Cargo]])</f>
        <v>46211</v>
      </c>
      <c r="K372" s="54">
        <f>INT(Cobros[[#This Row],[Fecha Aplicacion]])</f>
        <v>46213</v>
      </c>
      <c r="L372" s="55" t="str">
        <f>INDEX(Clientes[Días Plazo],MATCH(Cobros[[#This Row],[Cod. Cliente]],Clientes[Codigo],0),1)</f>
        <v>15</v>
      </c>
      <c r="M372" s="45" t="str">
        <f>IF(Cobros[[#This Row],[Dias de Credito]]&lt;=0,"Contado","Credito")</f>
        <v>Credito</v>
      </c>
      <c r="N372" s="45">
        <f>Cobros[[#This Row],[Fecha Aplicación S]]-Cobros[[#This Row],[Fecha Cargo S]]</f>
        <v>2</v>
      </c>
      <c r="O372" s="45">
        <f>Cobros[[#This Row],[Dias al pago]]-Cobros[[#This Row],[Dias de Credito]]</f>
        <v>-13</v>
      </c>
      <c r="P372" s="45">
        <f>SUMIFS(TablaDias[Porcentaje],TablaDias[Tipo],Cobros[[#This Row],[Tipo]],TablaDias[Desde ],"&lt;="&amp;MAX(0,Cobros[[#This Row],[Dias pasado]]),TablaDias[Hasta ],"&gt;="&amp;Cobros[[#This Row],[Dias pasado]])</f>
        <v>100</v>
      </c>
      <c r="Q3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2">
        <f>IF(COUNTIF(PAPEL[Numero],Cobros[[#This Row],[Doc. Cargo]])&gt;0,1,0)</f>
        <v>0</v>
      </c>
      <c r="S372" s="46">
        <f t="array" ref="S3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2" s="46">
        <f t="array" ref="T372">INDEX(Ventas[[Unidades]:[2]],MATCH("Gerente de Venta",Ventas[Vendedor %],0),6+Cobros[[#This Row],[Mes]])</f>
        <v>0.005</v>
      </c>
      <c r="U372" s="34">
        <f>IF(Cobros[[#This Row],[Tipo]]="Credito",IF(60&gt;=Cobros[[#This Row],[Dias al pago]],1,0),IF(Cobros[[#This Row],[Dias al pago]]&lt;=3,1,0))</f>
        <v>1</v>
      </c>
      <c r="V372" s="46">
        <f>(Cobros[[#This Row],[% A pagar Vendedor]]/100)*Cobros[[#This Row],[Valor Pagado]]*Cobros[[#This Row],[Vencido]]*(Cobros[[#This Row],[% aplicar]]/100)*IF(Cobros[[#This Row],[% A pagar Vendedor]]&gt;0,1,0)</f>
        <v>91.13</v>
      </c>
      <c r="W372" s="46">
        <f>0.5%*Cobros[[#This Row],[Valor Pagado]]</f>
        <v>36.452</v>
      </c>
    </row>
    <row r="373" spans="1:24">
      <c r="A373" s="49" t="s">
        <v>3931</v>
      </c>
      <c r="B373" s="49" t="s">
        <v>4447</v>
      </c>
      <c r="C373" s="49" t="s">
        <v>2536</v>
      </c>
      <c r="D373" s="49" t="s">
        <v>2537</v>
      </c>
      <c r="E373" s="49" t="s">
        <v>4448</v>
      </c>
      <c r="F373" s="51">
        <v>46212</v>
      </c>
      <c r="G373" s="49">
        <v>237.6</v>
      </c>
      <c r="H373" s="49" t="s">
        <v>20</v>
      </c>
      <c r="I373" s="51">
        <v>46213</v>
      </c>
      <c r="J373" s="54">
        <f>INT(Cobros[[#This Row],[Fecha Cargo]])</f>
        <v>46212</v>
      </c>
      <c r="K373" s="54">
        <f>INT(Cobros[[#This Row],[Fecha Aplicacion]])</f>
        <v>46213</v>
      </c>
      <c r="L373" s="55">
        <f>INDEX(Clientes[Días Plazo],MATCH(Cobros[[#This Row],[Cod. Cliente]],Clientes[Codigo],0),1)</f>
        <v>0</v>
      </c>
      <c r="M373" s="45" t="str">
        <f>IF(Cobros[[#This Row],[Dias de Credito]]&lt;=0,"Contado","Credito")</f>
        <v>Contado</v>
      </c>
      <c r="N373" s="45">
        <f>Cobros[[#This Row],[Fecha Aplicación S]]-Cobros[[#This Row],[Fecha Cargo S]]</f>
        <v>1</v>
      </c>
      <c r="O373" s="45">
        <f>Cobros[[#This Row],[Dias al pago]]-Cobros[[#This Row],[Dias de Credito]]</f>
        <v>1</v>
      </c>
      <c r="P373" s="45">
        <f>SUMIFS(TablaDias[Porcentaje],TablaDias[Tipo],Cobros[[#This Row],[Tipo]],TablaDias[Desde ],"&lt;="&amp;MAX(0,Cobros[[#This Row],[Dias pasado]]),TablaDias[Hasta ],"&gt;="&amp;Cobros[[#This Row],[Dias pasado]])</f>
        <v>100</v>
      </c>
      <c r="Q37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3">
        <f>IF(COUNTIF(PAPEL[Numero],Cobros[[#This Row],[Doc. Cargo]])&gt;0,1,0)</f>
        <v>0</v>
      </c>
      <c r="S373" s="46">
        <f t="array" ref="S3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3" s="46">
        <f t="array" ref="T373">INDEX(Ventas[[Unidades]:[2]],MATCH("Gerente de Venta",Ventas[Vendedor %],0),6+Cobros[[#This Row],[Mes]])</f>
        <v>0.005</v>
      </c>
      <c r="U373" s="34">
        <f>IF(Cobros[[#This Row],[Tipo]]="Credito",IF(60&gt;=Cobros[[#This Row],[Dias al pago]],1,0),IF(Cobros[[#This Row],[Dias al pago]]&lt;=3,1,0))</f>
        <v>1</v>
      </c>
      <c r="V373" s="46">
        <f>(Cobros[[#This Row],[% A pagar Vendedor]]/100)*Cobros[[#This Row],[Valor Pagado]]*Cobros[[#This Row],[Vencido]]*(Cobros[[#This Row],[% aplicar]]/100)*IF(Cobros[[#This Row],[% A pagar Vendedor]]&gt;0,1,0)</f>
        <v>2.97</v>
      </c>
      <c r="W373" s="46">
        <f>0.5%*Cobros[[#This Row],[Valor Pagado]]</f>
        <v>1.188</v>
      </c>
      <c r="X373" s="66"/>
    </row>
    <row r="374" ht="30" spans="1:24">
      <c r="A374" s="49" t="s">
        <v>3931</v>
      </c>
      <c r="B374" s="49" t="s">
        <v>4449</v>
      </c>
      <c r="C374" s="49" t="s">
        <v>974</v>
      </c>
      <c r="D374" s="49" t="s">
        <v>974</v>
      </c>
      <c r="E374" s="49" t="s">
        <v>4438</v>
      </c>
      <c r="F374" s="51">
        <v>46206</v>
      </c>
      <c r="G374" s="49">
        <v>899.2</v>
      </c>
      <c r="H374" s="49" t="s">
        <v>16</v>
      </c>
      <c r="I374" s="51">
        <v>46213</v>
      </c>
      <c r="J374" s="54">
        <f>INT(Cobros[[#This Row],[Fecha Cargo]])</f>
        <v>46206</v>
      </c>
      <c r="K374" s="54">
        <f>INT(Cobros[[#This Row],[Fecha Aplicacion]])</f>
        <v>46213</v>
      </c>
      <c r="L374" s="55">
        <f>INDEX(Clientes[Días Plazo],MATCH(Cobros[[#This Row],[Cod. Cliente]],Clientes[Codigo],0),1)</f>
        <v>0</v>
      </c>
      <c r="M374" s="45" t="str">
        <f>IF(Cobros[[#This Row],[Dias de Credito]]&lt;=0,"Contado","Credito")</f>
        <v>Contado</v>
      </c>
      <c r="N374" s="45">
        <f>Cobros[[#This Row],[Fecha Aplicación S]]-Cobros[[#This Row],[Fecha Cargo S]]</f>
        <v>7</v>
      </c>
      <c r="O374" s="45">
        <f>Cobros[[#This Row],[Dias al pago]]-Cobros[[#This Row],[Dias de Credito]]</f>
        <v>7</v>
      </c>
      <c r="P374" s="45">
        <f>SUMIFS(TablaDias[Porcentaje],TablaDias[Tipo],Cobros[[#This Row],[Tipo]],TablaDias[Desde ],"&lt;="&amp;MAX(0,Cobros[[#This Row],[Dias pasado]]),TablaDias[Hasta ],"&gt;="&amp;Cobros[[#This Row],[Dias pasado]])</f>
        <v>0</v>
      </c>
      <c r="Q37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4">
        <f>IF(COUNTIF(PAPEL[Numero],Cobros[[#This Row],[Doc. Cargo]])&gt;0,1,0)</f>
        <v>0</v>
      </c>
      <c r="S374" s="46">
        <f t="array" ref="S3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4" s="47">
        <v>0.005</v>
      </c>
      <c r="U374" s="34">
        <f>IF(Cobros[[#This Row],[Tipo]]="Credito",IF(60&gt;=Cobros[[#This Row],[Dias al pago]],1,0),IF(Cobros[[#This Row],[Dias al pago]]&lt;=3,1,0))</f>
        <v>0</v>
      </c>
      <c r="V374" s="46">
        <f>(Cobros[[#This Row],[% A pagar Vendedor]]/100)*Cobros[[#This Row],[Valor Pagado]]*Cobros[[#This Row],[Vencido]]*(Cobros[[#This Row],[% aplicar]]/100)*IF(Cobros[[#This Row],[% A pagar Vendedor]]&gt;0,1,0)</f>
        <v>0</v>
      </c>
      <c r="W374" s="46">
        <f>0.5%*Cobros[[#This Row],[Valor Pagado]]</f>
        <v>4.496</v>
      </c>
      <c r="X374" s="34"/>
    </row>
    <row r="375" spans="1:24">
      <c r="A375" s="49" t="s">
        <v>3884</v>
      </c>
      <c r="B375" s="49" t="s">
        <v>4450</v>
      </c>
      <c r="C375" s="49" t="s">
        <v>1556</v>
      </c>
      <c r="D375" s="49" t="s">
        <v>1557</v>
      </c>
      <c r="E375" s="49" t="s">
        <v>4451</v>
      </c>
      <c r="F375" s="51">
        <v>46213</v>
      </c>
      <c r="G375" s="49">
        <v>186.6</v>
      </c>
      <c r="H375" s="49" t="s">
        <v>18</v>
      </c>
      <c r="I375" s="51">
        <v>46213</v>
      </c>
      <c r="J375" s="54">
        <f>INT(Cobros[[#This Row],[Fecha Cargo]])</f>
        <v>46213</v>
      </c>
      <c r="K375" s="54">
        <f>INT(Cobros[[#This Row],[Fecha Aplicacion]])</f>
        <v>46213</v>
      </c>
      <c r="L375" s="55">
        <f>INDEX(Clientes[Días Plazo],MATCH(Cobros[[#This Row],[Cod. Cliente]],Clientes[Codigo],0),1)</f>
        <v>0</v>
      </c>
      <c r="M375" s="45" t="str">
        <f>IF(Cobros[[#This Row],[Dias de Credito]]&lt;=0,"Contado","Credito")</f>
        <v>Contado</v>
      </c>
      <c r="N375" s="45">
        <f>Cobros[[#This Row],[Fecha Aplicación S]]-Cobros[[#This Row],[Fecha Cargo S]]</f>
        <v>0</v>
      </c>
      <c r="O375" s="45">
        <f>Cobros[[#This Row],[Dias al pago]]-Cobros[[#This Row],[Dias de Credito]]</f>
        <v>0</v>
      </c>
      <c r="P375" s="45">
        <f>SUMIFS(TablaDias[Porcentaje],TablaDias[Tipo],Cobros[[#This Row],[Tipo]],TablaDias[Desde ],"&lt;="&amp;MAX(0,Cobros[[#This Row],[Dias pasado]]),TablaDias[Hasta ],"&gt;="&amp;Cobros[[#This Row],[Dias pasado]])</f>
        <v>100</v>
      </c>
      <c r="Q3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5">
        <f>IF(COUNTIF(PAPEL[Numero],Cobros[[#This Row],[Doc. Cargo]])&gt;0,1,0)</f>
        <v>0</v>
      </c>
      <c r="S375" s="46">
        <f t="array" ref="S3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5" s="46">
        <f t="array" ref="T375">INDEX(Ventas[[Unidades]:[2]],MATCH("Gerente de Venta",Ventas[Vendedor %],0),6+Cobros[[#This Row],[Mes]])</f>
        <v>0.005</v>
      </c>
      <c r="U375" s="34">
        <f>IF(Cobros[[#This Row],[Tipo]]="Credito",IF(60&gt;=Cobros[[#This Row],[Dias al pago]],1,0),IF(Cobros[[#This Row],[Dias al pago]]&lt;=3,1,0))</f>
        <v>1</v>
      </c>
      <c r="V375" s="46">
        <f>(Cobros[[#This Row],[% A pagar Vendedor]]/100)*Cobros[[#This Row],[Valor Pagado]]*Cobros[[#This Row],[Vencido]]*(Cobros[[#This Row],[% aplicar]]/100)*IF(Cobros[[#This Row],[% A pagar Vendedor]]&gt;0,1,0)</f>
        <v>2.3325</v>
      </c>
      <c r="W375" s="46">
        <f>0.5%*Cobros[[#This Row],[Valor Pagado]]</f>
        <v>0.933</v>
      </c>
      <c r="X375" s="34"/>
    </row>
    <row r="376" ht="30" spans="1:24">
      <c r="A376" s="49" t="s">
        <v>3860</v>
      </c>
      <c r="B376" s="49" t="s">
        <v>4452</v>
      </c>
      <c r="C376" s="49" t="s">
        <v>3192</v>
      </c>
      <c r="D376" s="49" t="s">
        <v>3193</v>
      </c>
      <c r="E376" s="49" t="s">
        <v>4453</v>
      </c>
      <c r="F376" s="51">
        <v>46183</v>
      </c>
      <c r="G376" s="49">
        <v>960</v>
      </c>
      <c r="H376" s="49" t="s">
        <v>22</v>
      </c>
      <c r="I376" s="51">
        <v>46213</v>
      </c>
      <c r="J376" s="54">
        <f>INT(Cobros[[#This Row],[Fecha Cargo]])</f>
        <v>46183</v>
      </c>
      <c r="K376" s="54">
        <f>INT(Cobros[[#This Row],[Fecha Aplicacion]])</f>
        <v>46213</v>
      </c>
      <c r="L376" s="55" t="str">
        <f>INDEX(Clientes[Días Plazo],MATCH(Cobros[[#This Row],[Cod. Cliente]],Clientes[Codigo],0),1)</f>
        <v>10</v>
      </c>
      <c r="M376" s="45" t="str">
        <f>IF(Cobros[[#This Row],[Dias de Credito]]&lt;=0,"Contado","Credito")</f>
        <v>Credito</v>
      </c>
      <c r="N376" s="45">
        <f>Cobros[[#This Row],[Fecha Aplicación S]]-Cobros[[#This Row],[Fecha Cargo S]]</f>
        <v>30</v>
      </c>
      <c r="O376" s="45">
        <f>Cobros[[#This Row],[Dias al pago]]-Cobros[[#This Row],[Dias de Credito]]</f>
        <v>20</v>
      </c>
      <c r="P376" s="45">
        <f>SUMIFS(TablaDias[Porcentaje],TablaDias[Tipo],Cobros[[#This Row],[Tipo]],TablaDias[Desde ],"&lt;="&amp;MAX(0,Cobros[[#This Row],[Dias pasado]]),TablaDias[Hasta ],"&gt;="&amp;Cobros[[#This Row],[Dias pasado]])</f>
        <v>50</v>
      </c>
      <c r="Q3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76">
        <f>IF(COUNTIF(PAPEL[Numero],Cobros[[#This Row],[Doc. Cargo]])&gt;0,1,0)</f>
        <v>0</v>
      </c>
      <c r="S376" s="46">
        <f t="array" ref="S3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76" s="46">
        <f t="array" ref="T376">INDEX(Ventas[[Unidades]:[2]],MATCH("Gerente de Venta",Ventas[Vendedor %],0),6+Cobros[[#This Row],[Mes]])</f>
        <v>0.005</v>
      </c>
      <c r="U376" s="34">
        <f>IF(Cobros[[#This Row],[Tipo]]="Credito",IF(60&gt;=Cobros[[#This Row],[Dias al pago]],1,0),IF(Cobros[[#This Row],[Dias al pago]]&lt;=3,1,0))</f>
        <v>1</v>
      </c>
      <c r="V376" s="46">
        <f>(Cobros[[#This Row],[% A pagar Vendedor]]/100)*Cobros[[#This Row],[Valor Pagado]]*Cobros[[#This Row],[Vencido]]*(Cobros[[#This Row],[% aplicar]]/100)*IF(Cobros[[#This Row],[% A pagar Vendedor]]&gt;0,1,0)</f>
        <v>4.8</v>
      </c>
      <c r="W376" s="46">
        <f>0.5%*Cobros[[#This Row],[Valor Pagado]]</f>
        <v>4.8</v>
      </c>
      <c r="X376" s="34"/>
    </row>
    <row r="377" spans="1:24">
      <c r="A377" s="49" t="s">
        <v>3922</v>
      </c>
      <c r="B377" s="49" t="s">
        <v>4454</v>
      </c>
      <c r="C377" s="49" t="s">
        <v>1222</v>
      </c>
      <c r="D377" s="49" t="s">
        <v>1223</v>
      </c>
      <c r="E377" s="49" t="s">
        <v>4434</v>
      </c>
      <c r="F377" s="51">
        <v>46213</v>
      </c>
      <c r="G377" s="49">
        <v>748.2</v>
      </c>
      <c r="H377" s="49" t="s">
        <v>20</v>
      </c>
      <c r="I377" s="51">
        <v>46216</v>
      </c>
      <c r="J377" s="54">
        <f>INT(Cobros[[#This Row],[Fecha Cargo]])</f>
        <v>46213</v>
      </c>
      <c r="K377" s="54">
        <f>INT(Cobros[[#This Row],[Fecha Aplicacion]])</f>
        <v>46216</v>
      </c>
      <c r="L377" s="55" t="str">
        <f>INDEX(Clientes[Días Plazo],MATCH(Cobros[[#This Row],[Cod. Cliente]],Clientes[Codigo],0),1)</f>
        <v>7</v>
      </c>
      <c r="M377" s="45" t="str">
        <f>IF(Cobros[[#This Row],[Dias de Credito]]&lt;=0,"Contado","Credito")</f>
        <v>Credito</v>
      </c>
      <c r="N377" s="45">
        <f>Cobros[[#This Row],[Fecha Aplicación S]]-Cobros[[#This Row],[Fecha Cargo S]]</f>
        <v>3</v>
      </c>
      <c r="O377" s="45">
        <f>Cobros[[#This Row],[Dias al pago]]-Cobros[[#This Row],[Dias de Credito]]</f>
        <v>-4</v>
      </c>
      <c r="P377" s="45">
        <f>SUMIFS(TablaDias[Porcentaje],TablaDias[Tipo],Cobros[[#This Row],[Tipo]],TablaDias[Desde ],"&lt;="&amp;MAX(0,Cobros[[#This Row],[Dias pasado]]),TablaDias[Hasta ],"&gt;="&amp;Cobros[[#This Row],[Dias pasado]])</f>
        <v>100</v>
      </c>
      <c r="Q3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7">
        <f>IF(COUNTIF(PAPEL[Numero],Cobros[[#This Row],[Doc. Cargo]])&gt;0,1,0)</f>
        <v>0</v>
      </c>
      <c r="S377" s="46">
        <f t="array" ref="S3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77" s="46">
        <f t="array" ref="T377">INDEX(Ventas[[Unidades]:[2]],MATCH("Gerente de Venta",Ventas[Vendedor %],0),6+Cobros[[#This Row],[Mes]])</f>
        <v>0.005</v>
      </c>
      <c r="U377" s="34">
        <f>IF(Cobros[[#This Row],[Tipo]]="Credito",IF(60&gt;=Cobros[[#This Row],[Dias al pago]],1,0),IF(Cobros[[#This Row],[Dias al pago]]&lt;=3,1,0))</f>
        <v>1</v>
      </c>
      <c r="V377" s="46">
        <f>(Cobros[[#This Row],[% A pagar Vendedor]]/100)*Cobros[[#This Row],[Valor Pagado]]*Cobros[[#This Row],[Vencido]]*(Cobros[[#This Row],[% aplicar]]/100)*IF(Cobros[[#This Row],[% A pagar Vendedor]]&gt;0,1,0)</f>
        <v>9.3525</v>
      </c>
      <c r="W377" s="46">
        <f>0.5%*Cobros[[#This Row],[Valor Pagado]]</f>
        <v>3.741</v>
      </c>
      <c r="X377" s="34"/>
    </row>
    <row r="378" ht="30" spans="1:24">
      <c r="A378" s="49" t="s">
        <v>3961</v>
      </c>
      <c r="B378" s="49" t="s">
        <v>4455</v>
      </c>
      <c r="C378" s="49" t="s">
        <v>74</v>
      </c>
      <c r="D378" s="49" t="s">
        <v>75</v>
      </c>
      <c r="E378" s="49" t="s">
        <v>4097</v>
      </c>
      <c r="F378" s="51">
        <v>46171</v>
      </c>
      <c r="G378" s="49">
        <v>2350</v>
      </c>
      <c r="H378" s="49" t="s">
        <v>22</v>
      </c>
      <c r="I378" s="51">
        <v>46216</v>
      </c>
      <c r="J378" s="54">
        <f>INT(Cobros[[#This Row],[Fecha Cargo]])</f>
        <v>46171</v>
      </c>
      <c r="K378" s="54">
        <f>INT(Cobros[[#This Row],[Fecha Aplicacion]])</f>
        <v>46216</v>
      </c>
      <c r="L378" s="55" t="str">
        <f>INDEX(Clientes[Días Plazo],MATCH(Cobros[[#This Row],[Cod. Cliente]],Clientes[Codigo],0),1)</f>
        <v>15</v>
      </c>
      <c r="M378" s="45" t="str">
        <f>IF(Cobros[[#This Row],[Dias de Credito]]&lt;=0,"Contado","Credito")</f>
        <v>Credito</v>
      </c>
      <c r="N378" s="45">
        <f>Cobros[[#This Row],[Fecha Aplicación S]]-Cobros[[#This Row],[Fecha Cargo S]]</f>
        <v>45</v>
      </c>
      <c r="O378" s="45">
        <f>Cobros[[#This Row],[Dias al pago]]-Cobros[[#This Row],[Dias de Credito]]</f>
        <v>30</v>
      </c>
      <c r="P378" s="45">
        <f>SUMIFS(TablaDias[Porcentaje],TablaDias[Tipo],Cobros[[#This Row],[Tipo]],TablaDias[Desde ],"&lt;="&amp;MAX(0,Cobros[[#This Row],[Dias pasado]]),TablaDias[Hasta ],"&gt;="&amp;Cobros[[#This Row],[Dias pasado]])</f>
        <v>50</v>
      </c>
      <c r="Q3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378">
        <f>IF(COUNTIF(PAPEL[Numero],Cobros[[#This Row],[Doc. Cargo]])&gt;0,1,0)</f>
        <v>0</v>
      </c>
      <c r="S378" s="46">
        <f t="array" ref="S3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78" s="46">
        <f t="array" ref="T378">INDEX(Ventas[[Unidades]:[2]],MATCH("Gerente de Venta",Ventas[Vendedor %],0),6+Cobros[[#This Row],[Mes]])</f>
        <v>0.005</v>
      </c>
      <c r="U378" s="34">
        <f>IF(Cobros[[#This Row],[Tipo]]="Credito",IF(60&gt;=Cobros[[#This Row],[Dias al pago]],1,0),IF(Cobros[[#This Row],[Dias al pago]]&lt;=3,1,0))</f>
        <v>1</v>
      </c>
      <c r="V378" s="46">
        <f>(Cobros[[#This Row],[% A pagar Vendedor]]/100)*Cobros[[#This Row],[Valor Pagado]]*Cobros[[#This Row],[Vencido]]*(Cobros[[#This Row],[% aplicar]]/100)*IF(Cobros[[#This Row],[% A pagar Vendedor]]&gt;0,1,0)</f>
        <v>11.75</v>
      </c>
      <c r="W378" s="46">
        <f>0.5%*Cobros[[#This Row],[Valor Pagado]]</f>
        <v>11.75</v>
      </c>
      <c r="X378" s="34"/>
    </row>
    <row r="379" ht="30" spans="1:23">
      <c r="A379" s="49" t="s">
        <v>3860</v>
      </c>
      <c r="B379" s="49" t="s">
        <v>4456</v>
      </c>
      <c r="C379" s="49" t="s">
        <v>1106</v>
      </c>
      <c r="D379" s="49" t="s">
        <v>1107</v>
      </c>
      <c r="E379" s="49" t="s">
        <v>4457</v>
      </c>
      <c r="F379" s="51">
        <v>46204</v>
      </c>
      <c r="G379" s="49">
        <v>400</v>
      </c>
      <c r="H379" s="49" t="s">
        <v>3865</v>
      </c>
      <c r="I379" s="51">
        <v>46204</v>
      </c>
      <c r="J379" s="54">
        <f>INT(Cobros[[#This Row],[Fecha Cargo]])</f>
        <v>46204</v>
      </c>
      <c r="K379" s="54">
        <f>INT(Cobros[[#This Row],[Fecha Aplicacion]])</f>
        <v>46204</v>
      </c>
      <c r="L379" s="55">
        <v>30</v>
      </c>
      <c r="M379" s="45" t="str">
        <f>IF(Cobros[[#This Row],[Dias de Credito]]&lt;=0,"Contado","Credito")</f>
        <v>Credito</v>
      </c>
      <c r="N379" s="45">
        <f>Cobros[[#This Row],[Fecha Aplicación S]]-Cobros[[#This Row],[Fecha Cargo S]]</f>
        <v>0</v>
      </c>
      <c r="O379" s="45">
        <f>Cobros[[#This Row],[Dias al pago]]-Cobros[[#This Row],[Dias de Credito]]</f>
        <v>-30</v>
      </c>
      <c r="P379" s="45">
        <f>SUMIFS(TablaDias[Porcentaje],TablaDias[Tipo],Cobros[[#This Row],[Tipo]],TablaDias[Desde ],"&lt;="&amp;MAX(0,Cobros[[#This Row],[Dias pasado]]),TablaDias[Hasta ],"&gt;="&amp;Cobros[[#This Row],[Dias pasado]])</f>
        <v>100</v>
      </c>
      <c r="Q3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79">
        <f>IF(COUNTIF(PAPEL[Numero],Cobros[[#This Row],[Doc. Cargo]])&gt;0,1,0)</f>
        <v>0</v>
      </c>
      <c r="S379" s="46">
        <v>1</v>
      </c>
      <c r="T379" s="46">
        <f t="array" ref="T379">INDEX(Ventas[[Unidades]:[2]],MATCH("Gerente de Venta",Ventas[Vendedor %],0),6+Cobros[[#This Row],[Mes]])</f>
        <v>0.005</v>
      </c>
      <c r="U379" s="34">
        <f>IF(Cobros[[#This Row],[Tipo]]="Credito",IF(60&gt;=Cobros[[#This Row],[Dias al pago]],1,0),IF(Cobros[[#This Row],[Dias al pago]]&lt;=3,1,0))</f>
        <v>1</v>
      </c>
      <c r="V379" s="46">
        <f>(Cobros[[#This Row],[% A pagar Vendedor]]/100)*Cobros[[#This Row],[Valor Pagado]]*Cobros[[#This Row],[Vencido]]*(Cobros[[#This Row],[% aplicar]]/100)*IF(Cobros[[#This Row],[% A pagar Vendedor]]&gt;0,1,0)</f>
        <v>4</v>
      </c>
      <c r="W379" s="46">
        <f>0.5%*Cobros[[#This Row],[Valor Pagado]]</f>
        <v>2</v>
      </c>
    </row>
    <row r="380" ht="30" spans="1:24">
      <c r="A380" s="49" t="s">
        <v>3860</v>
      </c>
      <c r="B380" s="49" t="s">
        <v>4458</v>
      </c>
      <c r="C380" s="49" t="s">
        <v>1106</v>
      </c>
      <c r="D380" s="49" t="s">
        <v>1107</v>
      </c>
      <c r="E380" s="49" t="s">
        <v>4459</v>
      </c>
      <c r="F380" s="51">
        <v>46216</v>
      </c>
      <c r="G380" s="49">
        <v>2</v>
      </c>
      <c r="H380" s="49" t="s">
        <v>3865</v>
      </c>
      <c r="I380" s="51">
        <v>46216</v>
      </c>
      <c r="J380" s="54">
        <f>INT(Cobros[[#This Row],[Fecha Cargo]])</f>
        <v>46216</v>
      </c>
      <c r="K380" s="54">
        <f>INT(Cobros[[#This Row],[Fecha Aplicacion]])</f>
        <v>46216</v>
      </c>
      <c r="L380" s="55">
        <f>INDEX(Clientes[Días Plazo],MATCH(Cobros[[#This Row],[Cod. Cliente]],Clientes[Codigo],0),1)</f>
        <v>0</v>
      </c>
      <c r="M380" s="45" t="str">
        <f>IF(Cobros[[#This Row],[Dias de Credito]]&lt;=0,"Contado","Credito")</f>
        <v>Contado</v>
      </c>
      <c r="N380" s="45">
        <f>Cobros[[#This Row],[Fecha Aplicación S]]-Cobros[[#This Row],[Fecha Cargo S]]</f>
        <v>0</v>
      </c>
      <c r="O380" s="45">
        <f>Cobros[[#This Row],[Dias al pago]]-Cobros[[#This Row],[Dias de Credito]]</f>
        <v>0</v>
      </c>
      <c r="P380" s="45">
        <f>SUMIFS(TablaDias[Porcentaje],TablaDias[Tipo],Cobros[[#This Row],[Tipo]],TablaDias[Desde ],"&lt;="&amp;MAX(0,Cobros[[#This Row],[Dias pasado]]),TablaDias[Hasta ],"&gt;="&amp;Cobros[[#This Row],[Dias pasado]])</f>
        <v>100</v>
      </c>
      <c r="Q3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80">
        <f>IF(COUNTIF(PAPEL[Numero],Cobros[[#This Row],[Doc. Cargo]])&gt;0,1,0)</f>
        <v>0</v>
      </c>
      <c r="S380" s="46">
        <v>1</v>
      </c>
      <c r="T380" s="46">
        <f t="array" ref="T380">INDEX(Ventas[[Unidades]:[2]],MATCH("Gerente de Venta",Ventas[Vendedor %],0),6+Cobros[[#This Row],[Mes]])</f>
        <v>0.005</v>
      </c>
      <c r="U380" s="34">
        <f>IF(Cobros[[#This Row],[Tipo]]="Credito",IF(60&gt;=Cobros[[#This Row],[Dias al pago]],1,0),IF(Cobros[[#This Row],[Dias al pago]]&lt;=3,1,0))</f>
        <v>1</v>
      </c>
      <c r="V380" s="46">
        <f>(Cobros[[#This Row],[% A pagar Vendedor]]/100)*Cobros[[#This Row],[Valor Pagado]]*Cobros[[#This Row],[Vencido]]*(Cobros[[#This Row],[% aplicar]]/100)*IF(Cobros[[#This Row],[% A pagar Vendedor]]&gt;0,1,0)</f>
        <v>0.02</v>
      </c>
      <c r="W380" s="46">
        <f>0.5%*Cobros[[#This Row],[Valor Pagado]]</f>
        <v>0.01</v>
      </c>
      <c r="X380" s="34"/>
    </row>
    <row r="381" ht="30" spans="1:24">
      <c r="A381" s="49" t="s">
        <v>3875</v>
      </c>
      <c r="B381" s="49" t="s">
        <v>4460</v>
      </c>
      <c r="C381" s="49" t="s">
        <v>1106</v>
      </c>
      <c r="D381" s="49" t="s">
        <v>1107</v>
      </c>
      <c r="E381" s="49" t="s">
        <v>4459</v>
      </c>
      <c r="F381" s="51">
        <v>46216</v>
      </c>
      <c r="G381" s="49">
        <v>730</v>
      </c>
      <c r="H381" s="49" t="s">
        <v>3865</v>
      </c>
      <c r="I381" s="51">
        <v>46216</v>
      </c>
      <c r="J381" s="54">
        <f>INT(Cobros[[#This Row],[Fecha Cargo]])</f>
        <v>46216</v>
      </c>
      <c r="K381" s="54">
        <f>INT(Cobros[[#This Row],[Fecha Aplicacion]])</f>
        <v>46216</v>
      </c>
      <c r="L381" s="55">
        <v>0</v>
      </c>
      <c r="M381" s="45" t="str">
        <f>IF(Cobros[[#This Row],[Dias de Credito]]&lt;=0,"Contado","Credito")</f>
        <v>Contado</v>
      </c>
      <c r="N381" s="45">
        <f>Cobros[[#This Row],[Fecha Aplicación S]]-Cobros[[#This Row],[Fecha Cargo S]]</f>
        <v>0</v>
      </c>
      <c r="O381" s="45">
        <f>Cobros[[#This Row],[Dias al pago]]-Cobros[[#This Row],[Dias de Credito]]</f>
        <v>0</v>
      </c>
      <c r="P381" s="45">
        <f>SUMIFS(TablaDias[Porcentaje],TablaDias[Tipo],Cobros[[#This Row],[Tipo]],TablaDias[Desde ],"&lt;="&amp;MAX(0,Cobros[[#This Row],[Dias pasado]]),TablaDias[Hasta ],"&gt;="&amp;Cobros[[#This Row],[Dias pasado]])</f>
        <v>100</v>
      </c>
      <c r="Q3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81">
        <f>IF(COUNTIF(PAPEL[Numero],Cobros[[#This Row],[Doc. Cargo]])&gt;0,1,0)</f>
        <v>0</v>
      </c>
      <c r="S381" s="46">
        <v>1</v>
      </c>
      <c r="T381" s="46">
        <f t="array" ref="T381">INDEX(Ventas[[Unidades]:[2]],MATCH("Gerente de Venta",Ventas[Vendedor %],0),6+Cobros[[#This Row],[Mes]])</f>
        <v>0.005</v>
      </c>
      <c r="U381" s="34">
        <f>IF(Cobros[[#This Row],[Tipo]]="Credito",IF(60&gt;=Cobros[[#This Row],[Dias al pago]],1,0),IF(Cobros[[#This Row],[Dias al pago]]&lt;=3,1,0))</f>
        <v>1</v>
      </c>
      <c r="V381" s="46">
        <f>(Cobros[[#This Row],[% A pagar Vendedor]]/100)*Cobros[[#This Row],[Valor Pagado]]*Cobros[[#This Row],[Vencido]]*(Cobros[[#This Row],[% aplicar]]/100)*IF(Cobros[[#This Row],[% A pagar Vendedor]]&gt;0,1,0)</f>
        <v>7.3</v>
      </c>
      <c r="W381" s="46">
        <f>0.5%*Cobros[[#This Row],[Valor Pagado]]</f>
        <v>3.65</v>
      </c>
      <c r="X381" s="34"/>
    </row>
    <row r="382" ht="30" spans="1:24">
      <c r="A382" s="49" t="s">
        <v>3904</v>
      </c>
      <c r="B382" s="49" t="s">
        <v>4461</v>
      </c>
      <c r="C382" s="49" t="s">
        <v>1792</v>
      </c>
      <c r="D382" s="49" t="s">
        <v>1793</v>
      </c>
      <c r="E382" s="49" t="s">
        <v>4462</v>
      </c>
      <c r="F382" s="51">
        <v>46213</v>
      </c>
      <c r="G382" s="49">
        <v>35.25</v>
      </c>
      <c r="H382" s="49" t="s">
        <v>22</v>
      </c>
      <c r="I382" s="51">
        <v>46216</v>
      </c>
      <c r="J382" s="54">
        <f>INT(Cobros[[#This Row],[Fecha Cargo]])</f>
        <v>46213</v>
      </c>
      <c r="K382" s="54">
        <f>INT(Cobros[[#This Row],[Fecha Aplicacion]])</f>
        <v>46216</v>
      </c>
      <c r="L382" s="55">
        <f>INDEX(Clientes[Días Plazo],MATCH(Cobros[[#This Row],[Cod. Cliente]],Clientes[Codigo],0),1)</f>
        <v>0</v>
      </c>
      <c r="M382" s="45" t="str">
        <f>IF(Cobros[[#This Row],[Dias de Credito]]&lt;=0,"Contado","Credito")</f>
        <v>Contado</v>
      </c>
      <c r="N382" s="45">
        <f>Cobros[[#This Row],[Fecha Aplicación S]]-Cobros[[#This Row],[Fecha Cargo S]]</f>
        <v>3</v>
      </c>
      <c r="O382" s="45">
        <f>Cobros[[#This Row],[Dias al pago]]-Cobros[[#This Row],[Dias de Credito]]</f>
        <v>3</v>
      </c>
      <c r="P382" s="45">
        <f>SUMIFS(TablaDias[Porcentaje],TablaDias[Tipo],Cobros[[#This Row],[Tipo]],TablaDias[Desde ],"&lt;="&amp;MAX(0,Cobros[[#This Row],[Dias pasado]]),TablaDias[Hasta ],"&gt;="&amp;Cobros[[#This Row],[Dias pasado]])</f>
        <v>100</v>
      </c>
      <c r="Q3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382">
        <f>IF(COUNTIF(PAPEL[Numero],Cobros[[#This Row],[Doc. Cargo]])&gt;0,1,0)</f>
        <v>0</v>
      </c>
      <c r="S382" s="46">
        <f t="array" ref="S3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82" s="46">
        <f t="array" ref="T382">INDEX(Ventas[[Unidades]:[2]],MATCH("Gerente de Venta",Ventas[Vendedor %],0),6+Cobros[[#This Row],[Mes]])</f>
        <v>0.005</v>
      </c>
      <c r="U382" s="34">
        <f>IF(Cobros[[#This Row],[Tipo]]="Credito",IF(60&gt;=Cobros[[#This Row],[Dias al pago]],1,0),IF(Cobros[[#This Row],[Dias al pago]]&lt;=3,1,0))</f>
        <v>1</v>
      </c>
      <c r="V382" s="46">
        <f>(Cobros[[#This Row],[% A pagar Vendedor]]/100)*Cobros[[#This Row],[Valor Pagado]]*Cobros[[#This Row],[Vencido]]*(Cobros[[#This Row],[% aplicar]]/100)*IF(Cobros[[#This Row],[% A pagar Vendedor]]&gt;0,1,0)</f>
        <v>0.3525</v>
      </c>
      <c r="W382" s="46">
        <f>0.5%*Cobros[[#This Row],[Valor Pagado]]</f>
        <v>0.17625</v>
      </c>
      <c r="X382" s="34"/>
    </row>
    <row r="383" ht="30" spans="1:24">
      <c r="A383" s="49" t="s">
        <v>3954</v>
      </c>
      <c r="B383" s="49" t="s">
        <v>4463</v>
      </c>
      <c r="C383" s="49" t="s">
        <v>2318</v>
      </c>
      <c r="D383" s="49" t="s">
        <v>2319</v>
      </c>
      <c r="E383" s="49" t="s">
        <v>3866</v>
      </c>
      <c r="F383" s="51">
        <v>46181</v>
      </c>
      <c r="G383" s="49">
        <v>2600</v>
      </c>
      <c r="H383" s="49" t="s">
        <v>3865</v>
      </c>
      <c r="I383" s="51">
        <v>46216</v>
      </c>
      <c r="J383" s="54">
        <f>INT(Cobros[[#This Row],[Fecha Cargo]])</f>
        <v>46181</v>
      </c>
      <c r="K383" s="54">
        <f>INT(Cobros[[#This Row],[Fecha Aplicacion]])</f>
        <v>46216</v>
      </c>
      <c r="L383" s="55" t="str">
        <f>INDEX(Clientes[Días Plazo],MATCH(Cobros[[#This Row],[Cod. Cliente]],Clientes[Codigo],0),1)</f>
        <v>15</v>
      </c>
      <c r="M383" s="45" t="str">
        <f>IF(Cobros[[#This Row],[Dias de Credito]]&lt;=0,"Contado","Credito")</f>
        <v>Credito</v>
      </c>
      <c r="N383" s="45">
        <f>Cobros[[#This Row],[Fecha Aplicación S]]-Cobros[[#This Row],[Fecha Cargo S]]</f>
        <v>35</v>
      </c>
      <c r="O383" s="45">
        <f>Cobros[[#This Row],[Dias al pago]]-Cobros[[#This Row],[Dias de Credito]]</f>
        <v>20</v>
      </c>
      <c r="P383" s="45">
        <f>SUMIFS(TablaDias[Porcentaje],TablaDias[Tipo],Cobros[[#This Row],[Tipo]],TablaDias[Desde ],"&lt;="&amp;MAX(0,Cobros[[#This Row],[Dias pasado]]),TablaDias[Hasta ],"&gt;="&amp;Cobros[[#This Row],[Dias pasado]])</f>
        <v>50</v>
      </c>
      <c r="Q3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3">
        <f>IF(COUNTIF(PAPEL[Numero],Cobros[[#This Row],[Doc. Cargo]])&gt;0,1,0)</f>
        <v>0</v>
      </c>
      <c r="S383" s="46">
        <v>1</v>
      </c>
      <c r="T383" s="46">
        <f t="array" ref="T383">INDEX(Ventas[[Unidades]:[2]],MATCH("Gerente de Venta",Ventas[Vendedor %],0),6+Cobros[[#This Row],[Mes]])</f>
        <v>0.005</v>
      </c>
      <c r="U383" s="34">
        <f>IF(Cobros[[#This Row],[Tipo]]="Credito",IF(60&gt;=Cobros[[#This Row],[Dias al pago]],1,0),IF(Cobros[[#This Row],[Dias al pago]]&lt;=3,1,0))</f>
        <v>1</v>
      </c>
      <c r="V383" s="46">
        <f>(Cobros[[#This Row],[% A pagar Vendedor]]/100)*Cobros[[#This Row],[Valor Pagado]]*Cobros[[#This Row],[Vencido]]*(Cobros[[#This Row],[% aplicar]]/100)*IF(Cobros[[#This Row],[% A pagar Vendedor]]&gt;0,1,0)</f>
        <v>13</v>
      </c>
      <c r="W383" s="46">
        <f>0.5%*Cobros[[#This Row],[Valor Pagado]]</f>
        <v>13</v>
      </c>
      <c r="X383" s="34"/>
    </row>
    <row r="384" spans="1:24">
      <c r="A384" s="49" t="s">
        <v>3884</v>
      </c>
      <c r="B384" s="49" t="s">
        <v>4464</v>
      </c>
      <c r="C384" s="49" t="s">
        <v>484</v>
      </c>
      <c r="D384" s="49" t="s">
        <v>485</v>
      </c>
      <c r="E384" s="49" t="s">
        <v>4465</v>
      </c>
      <c r="F384" s="51">
        <v>46185</v>
      </c>
      <c r="G384" s="49">
        <v>1178.57</v>
      </c>
      <c r="H384" s="49" t="s">
        <v>19</v>
      </c>
      <c r="I384" s="51">
        <v>46216</v>
      </c>
      <c r="J384" s="54">
        <f>INT(Cobros[[#This Row],[Fecha Cargo]])</f>
        <v>46185</v>
      </c>
      <c r="K384" s="54">
        <f>INT(Cobros[[#This Row],[Fecha Aplicacion]])</f>
        <v>46216</v>
      </c>
      <c r="L384" s="55" t="str">
        <f>INDEX(Clientes[Días Plazo],MATCH(Cobros[[#This Row],[Cod. Cliente]],Clientes[Codigo],0),1)</f>
        <v>30</v>
      </c>
      <c r="M384" s="45" t="str">
        <f>IF(Cobros[[#This Row],[Dias de Credito]]&lt;=0,"Contado","Credito")</f>
        <v>Credito</v>
      </c>
      <c r="N384" s="45">
        <f>Cobros[[#This Row],[Fecha Aplicación S]]-Cobros[[#This Row],[Fecha Cargo S]]</f>
        <v>31</v>
      </c>
      <c r="O384" s="45">
        <f>Cobros[[#This Row],[Dias al pago]]-Cobros[[#This Row],[Dias de Credito]]</f>
        <v>1</v>
      </c>
      <c r="P384" s="45">
        <f>SUMIFS(TablaDias[Porcentaje],TablaDias[Tipo],Cobros[[#This Row],[Tipo]],TablaDias[Desde ],"&lt;="&amp;MAX(0,Cobros[[#This Row],[Dias pasado]]),TablaDias[Hasta ],"&gt;="&amp;Cobros[[#This Row],[Dias pasado]])</f>
        <v>100</v>
      </c>
      <c r="Q3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4">
        <f>IF(COUNTIF(PAPEL[Numero],Cobros[[#This Row],[Doc. Cargo]])&gt;0,1,0)</f>
        <v>0</v>
      </c>
      <c r="S384" s="46">
        <f t="array" ref="S3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4" s="46">
        <f t="array" ref="T384">INDEX(Ventas[[Unidades]:[2]],MATCH("Gerente de Venta",Ventas[Vendedor %],0),6+Cobros[[#This Row],[Mes]])</f>
        <v>0.005</v>
      </c>
      <c r="U384" s="34">
        <f>IF(Cobros[[#This Row],[Tipo]]="Credito",IF(60&gt;=Cobros[[#This Row],[Dias al pago]],1,0),IF(Cobros[[#This Row],[Dias al pago]]&lt;=3,1,0))</f>
        <v>1</v>
      </c>
      <c r="V384" s="46">
        <f>(Cobros[[#This Row],[% A pagar Vendedor]]/100)*Cobros[[#This Row],[Valor Pagado]]*Cobros[[#This Row],[Vencido]]*(Cobros[[#This Row],[% aplicar]]/100)*IF(Cobros[[#This Row],[% A pagar Vendedor]]&gt;0,1,0)</f>
        <v>14.732125</v>
      </c>
      <c r="W384" s="46">
        <f>0.5%*Cobros[[#This Row],[Valor Pagado]]</f>
        <v>5.89285</v>
      </c>
      <c r="X384" s="34"/>
    </row>
    <row r="385" spans="1:23">
      <c r="A385" s="49" t="s">
        <v>3884</v>
      </c>
      <c r="B385" s="49" t="s">
        <v>4466</v>
      </c>
      <c r="C385" s="49" t="s">
        <v>484</v>
      </c>
      <c r="D385" s="49" t="s">
        <v>485</v>
      </c>
      <c r="E385" s="49" t="s">
        <v>4465</v>
      </c>
      <c r="F385" s="51">
        <v>46185</v>
      </c>
      <c r="G385" s="49">
        <v>116.43</v>
      </c>
      <c r="H385" s="49" t="s">
        <v>19</v>
      </c>
      <c r="I385" s="51">
        <v>46216</v>
      </c>
      <c r="J385" s="54">
        <f>INT(Cobros[[#This Row],[Fecha Cargo]])</f>
        <v>46185</v>
      </c>
      <c r="K385" s="54">
        <f>INT(Cobros[[#This Row],[Fecha Aplicacion]])</f>
        <v>46216</v>
      </c>
      <c r="L385" s="55" t="str">
        <f>INDEX(Clientes[Días Plazo],MATCH(Cobros[[#This Row],[Cod. Cliente]],Clientes[Codigo],0),1)</f>
        <v>30</v>
      </c>
      <c r="M385" s="45" t="str">
        <f>IF(Cobros[[#This Row],[Dias de Credito]]&lt;=0,"Contado","Credito")</f>
        <v>Credito</v>
      </c>
      <c r="N385" s="45">
        <f>Cobros[[#This Row],[Fecha Aplicación S]]-Cobros[[#This Row],[Fecha Cargo S]]</f>
        <v>31</v>
      </c>
      <c r="O385" s="45">
        <f>Cobros[[#This Row],[Dias al pago]]-Cobros[[#This Row],[Dias de Credito]]</f>
        <v>1</v>
      </c>
      <c r="P385" s="45">
        <f>SUMIFS(TablaDias[Porcentaje],TablaDias[Tipo],Cobros[[#This Row],[Tipo]],TablaDias[Desde ],"&lt;="&amp;MAX(0,Cobros[[#This Row],[Dias pasado]]),TablaDias[Hasta ],"&gt;="&amp;Cobros[[#This Row],[Dias pasado]])</f>
        <v>100</v>
      </c>
      <c r="Q3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5">
        <f>IF(COUNTIF(PAPEL[Numero],Cobros[[#This Row],[Doc. Cargo]])&gt;0,1,0)</f>
        <v>0</v>
      </c>
      <c r="S385" s="46">
        <f t="array" ref="S3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5" s="46">
        <f t="array" ref="T385">INDEX(Ventas[[Unidades]:[2]],MATCH("Gerente de Venta",Ventas[Vendedor %],0),6+Cobros[[#This Row],[Mes]])</f>
        <v>0.005</v>
      </c>
      <c r="U385" s="34">
        <f>IF(Cobros[[#This Row],[Tipo]]="Credito",IF(60&gt;=Cobros[[#This Row],[Dias al pago]],1,0),IF(Cobros[[#This Row],[Dias al pago]]&lt;=3,1,0))</f>
        <v>1</v>
      </c>
      <c r="V385" s="67">
        <f>(Cobros[[#This Row],[% A pagar Vendedor]]/100)*Cobros[[#This Row],[Valor Pagado]]*Cobros[[#This Row],[Vencido]]*(Cobros[[#This Row],[% aplicar]]/100)*IF(Cobros[[#This Row],[% A pagar Vendedor]]&gt;0,1,0)</f>
        <v>1.455375</v>
      </c>
      <c r="W385" s="46">
        <f>0.5%*Cobros[[#This Row],[Valor Pagado]]</f>
        <v>0.58215</v>
      </c>
    </row>
    <row r="386" spans="1:24">
      <c r="A386" s="49" t="s">
        <v>3884</v>
      </c>
      <c r="B386" s="49" t="s">
        <v>4466</v>
      </c>
      <c r="C386" s="49" t="s">
        <v>484</v>
      </c>
      <c r="D386" s="49" t="s">
        <v>485</v>
      </c>
      <c r="E386" s="49" t="s">
        <v>4467</v>
      </c>
      <c r="F386" s="51">
        <v>46185</v>
      </c>
      <c r="G386" s="49">
        <v>502.62</v>
      </c>
      <c r="H386" s="49" t="s">
        <v>19</v>
      </c>
      <c r="I386" s="51">
        <v>46216</v>
      </c>
      <c r="J386" s="54">
        <f>INT(Cobros[[#This Row],[Fecha Cargo]])</f>
        <v>46185</v>
      </c>
      <c r="K386" s="54">
        <f>INT(Cobros[[#This Row],[Fecha Aplicacion]])</f>
        <v>46216</v>
      </c>
      <c r="L386" s="55" t="str">
        <f>INDEX(Clientes[Días Plazo],MATCH(Cobros[[#This Row],[Cod. Cliente]],Clientes[Codigo],0),1)</f>
        <v>30</v>
      </c>
      <c r="M386" s="45" t="str">
        <f>IF(Cobros[[#This Row],[Dias de Credito]]&lt;=0,"Contado","Credito")</f>
        <v>Credito</v>
      </c>
      <c r="N386" s="45">
        <f>Cobros[[#This Row],[Fecha Aplicación S]]-Cobros[[#This Row],[Fecha Cargo S]]</f>
        <v>31</v>
      </c>
      <c r="O386" s="45">
        <f>Cobros[[#This Row],[Dias al pago]]-Cobros[[#This Row],[Dias de Credito]]</f>
        <v>1</v>
      </c>
      <c r="P386" s="45">
        <f>SUMIFS(TablaDias[Porcentaje],TablaDias[Tipo],Cobros[[#This Row],[Tipo]],TablaDias[Desde ],"&lt;="&amp;MAX(0,Cobros[[#This Row],[Dias pasado]]),TablaDias[Hasta ],"&gt;="&amp;Cobros[[#This Row],[Dias pasado]])</f>
        <v>100</v>
      </c>
      <c r="Q3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6">
        <f>IF(COUNTIF(PAPEL[Numero],Cobros[[#This Row],[Doc. Cargo]])&gt;0,1,0)</f>
        <v>0</v>
      </c>
      <c r="S386" s="46">
        <f t="array" ref="S3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6" s="46">
        <f t="array" ref="T386">INDEX(Ventas[[Unidades]:[2]],MATCH("Gerente de Venta",Ventas[Vendedor %],0),6+Cobros[[#This Row],[Mes]])</f>
        <v>0.005</v>
      </c>
      <c r="U386" s="34">
        <f>IF(Cobros[[#This Row],[Tipo]]="Credito",IF(60&gt;=Cobros[[#This Row],[Dias al pago]],1,0),IF(Cobros[[#This Row],[Dias al pago]]&lt;=3,1,0))</f>
        <v>1</v>
      </c>
      <c r="V386" s="46">
        <f>(Cobros[[#This Row],[% A pagar Vendedor]]/100)*Cobros[[#This Row],[Valor Pagado]]*Cobros[[#This Row],[Vencido]]*(Cobros[[#This Row],[% aplicar]]/100)*IF(Cobros[[#This Row],[% A pagar Vendedor]]&gt;0,1,0)</f>
        <v>6.28275</v>
      </c>
      <c r="W386" s="46">
        <f>0.5%*Cobros[[#This Row],[Valor Pagado]]</f>
        <v>2.5131</v>
      </c>
      <c r="X386" s="60"/>
    </row>
    <row r="387" spans="1:24">
      <c r="A387" s="49" t="s">
        <v>3884</v>
      </c>
      <c r="B387" s="49" t="s">
        <v>4468</v>
      </c>
      <c r="C387" s="49" t="s">
        <v>484</v>
      </c>
      <c r="D387" s="49" t="s">
        <v>485</v>
      </c>
      <c r="E387" s="49" t="s">
        <v>4467</v>
      </c>
      <c r="F387" s="51">
        <v>46185</v>
      </c>
      <c r="G387" s="49">
        <v>529.83</v>
      </c>
      <c r="H387" s="49" t="s">
        <v>19</v>
      </c>
      <c r="I387" s="51">
        <v>46216</v>
      </c>
      <c r="J387" s="54">
        <f>INT(Cobros[[#This Row],[Fecha Cargo]])</f>
        <v>46185</v>
      </c>
      <c r="K387" s="54">
        <f>INT(Cobros[[#This Row],[Fecha Aplicacion]])</f>
        <v>46216</v>
      </c>
      <c r="L387" s="55" t="str">
        <f>INDEX(Clientes[Días Plazo],MATCH(Cobros[[#This Row],[Cod. Cliente]],Clientes[Codigo],0),1)</f>
        <v>30</v>
      </c>
      <c r="M387" s="45" t="str">
        <f>IF(Cobros[[#This Row],[Dias de Credito]]&lt;=0,"Contado","Credito")</f>
        <v>Credito</v>
      </c>
      <c r="N387" s="45">
        <f>Cobros[[#This Row],[Fecha Aplicación S]]-Cobros[[#This Row],[Fecha Cargo S]]</f>
        <v>31</v>
      </c>
      <c r="O387" s="45">
        <f>Cobros[[#This Row],[Dias al pago]]-Cobros[[#This Row],[Dias de Credito]]</f>
        <v>1</v>
      </c>
      <c r="P387" s="45">
        <f>SUMIFS(TablaDias[Porcentaje],TablaDias[Tipo],Cobros[[#This Row],[Tipo]],TablaDias[Desde ],"&lt;="&amp;MAX(0,Cobros[[#This Row],[Dias pasado]]),TablaDias[Hasta ],"&gt;="&amp;Cobros[[#This Row],[Dias pasado]])</f>
        <v>100</v>
      </c>
      <c r="Q3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7">
        <f>IF(COUNTIF(PAPEL[Numero],Cobros[[#This Row],[Doc. Cargo]])&gt;0,1,0)</f>
        <v>0</v>
      </c>
      <c r="S387" s="46">
        <f t="array" ref="S3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7" s="46">
        <f t="array" ref="T387">INDEX(Ventas[[Unidades]:[2]],MATCH("Gerente de Venta",Ventas[Vendedor %],0),6+Cobros[[#This Row],[Mes]])</f>
        <v>0.005</v>
      </c>
      <c r="U387" s="34">
        <f>IF(Cobros[[#This Row],[Tipo]]="Credito",IF(60&gt;=Cobros[[#This Row],[Dias al pago]],1,0),IF(Cobros[[#This Row],[Dias al pago]]&lt;=3,1,0))</f>
        <v>1</v>
      </c>
      <c r="V387" s="46">
        <f>(Cobros[[#This Row],[% A pagar Vendedor]]/100)*Cobros[[#This Row],[Valor Pagado]]*Cobros[[#This Row],[Vencido]]*(Cobros[[#This Row],[% aplicar]]/100)*IF(Cobros[[#This Row],[% A pagar Vendedor]]&gt;0,1,0)</f>
        <v>6.622875</v>
      </c>
      <c r="W387" s="46">
        <f>0.5%*Cobros[[#This Row],[Valor Pagado]]</f>
        <v>2.64915</v>
      </c>
      <c r="X387" s="34"/>
    </row>
    <row r="388" spans="1:23">
      <c r="A388" s="49" t="s">
        <v>3884</v>
      </c>
      <c r="B388" s="49" t="s">
        <v>4468</v>
      </c>
      <c r="C388" s="49" t="s">
        <v>484</v>
      </c>
      <c r="D388" s="49" t="s">
        <v>485</v>
      </c>
      <c r="E388" s="49" t="s">
        <v>4469</v>
      </c>
      <c r="F388" s="51">
        <v>46185</v>
      </c>
      <c r="G388" s="49">
        <v>473.5</v>
      </c>
      <c r="H388" s="49" t="s">
        <v>19</v>
      </c>
      <c r="I388" s="51">
        <v>46216</v>
      </c>
      <c r="J388" s="54">
        <f>INT(Cobros[[#This Row],[Fecha Cargo]])</f>
        <v>46185</v>
      </c>
      <c r="K388" s="54">
        <f>INT(Cobros[[#This Row],[Fecha Aplicacion]])</f>
        <v>46216</v>
      </c>
      <c r="L388" s="55" t="str">
        <f>INDEX(Clientes[Días Plazo],MATCH(Cobros[[#This Row],[Cod. Cliente]],Clientes[Codigo],0),1)</f>
        <v>30</v>
      </c>
      <c r="M388" s="45" t="str">
        <f>IF(Cobros[[#This Row],[Dias de Credito]]&lt;=0,"Contado","Credito")</f>
        <v>Credito</v>
      </c>
      <c r="N388" s="45">
        <f>Cobros[[#This Row],[Fecha Aplicación S]]-Cobros[[#This Row],[Fecha Cargo S]]</f>
        <v>31</v>
      </c>
      <c r="O388" s="45">
        <f>Cobros[[#This Row],[Dias al pago]]-Cobros[[#This Row],[Dias de Credito]]</f>
        <v>1</v>
      </c>
      <c r="P388" s="45">
        <f>SUMIFS(TablaDias[Porcentaje],TablaDias[Tipo],Cobros[[#This Row],[Tipo]],TablaDias[Desde ],"&lt;="&amp;MAX(0,Cobros[[#This Row],[Dias pasado]]),TablaDias[Hasta ],"&gt;="&amp;Cobros[[#This Row],[Dias pasado]])</f>
        <v>100</v>
      </c>
      <c r="Q3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8">
        <f>IF(COUNTIF(PAPEL[Numero],Cobros[[#This Row],[Doc. Cargo]])&gt;0,1,0)</f>
        <v>0</v>
      </c>
      <c r="S388" s="46">
        <f t="array" ref="S3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8" s="46">
        <f t="array" ref="T388">INDEX(Ventas[[Unidades]:[2]],MATCH("Gerente de Venta",Ventas[Vendedor %],0),6+Cobros[[#This Row],[Mes]])</f>
        <v>0.005</v>
      </c>
      <c r="U388" s="34">
        <f>IF(Cobros[[#This Row],[Tipo]]="Credito",IF(60&gt;=Cobros[[#This Row],[Dias al pago]],1,0),IF(Cobros[[#This Row],[Dias al pago]]&lt;=3,1,0))</f>
        <v>1</v>
      </c>
      <c r="V388" s="46">
        <f>(Cobros[[#This Row],[% A pagar Vendedor]]/100)*Cobros[[#This Row],[Valor Pagado]]*Cobros[[#This Row],[Vencido]]*(Cobros[[#This Row],[% aplicar]]/100)*IF(Cobros[[#This Row],[% A pagar Vendedor]]&gt;0,1,0)</f>
        <v>5.91875</v>
      </c>
      <c r="W388" s="46">
        <f>0.5%*Cobros[[#This Row],[Valor Pagado]]</f>
        <v>2.3675</v>
      </c>
    </row>
    <row r="389" spans="1:23">
      <c r="A389" s="49" t="s">
        <v>3884</v>
      </c>
      <c r="B389" s="49" t="s">
        <v>4468</v>
      </c>
      <c r="C389" s="49" t="s">
        <v>484</v>
      </c>
      <c r="D389" s="49" t="s">
        <v>485</v>
      </c>
      <c r="E389" s="49" t="s">
        <v>4470</v>
      </c>
      <c r="F389" s="51">
        <v>46185</v>
      </c>
      <c r="G389" s="49">
        <v>184.77</v>
      </c>
      <c r="H389" s="49" t="s">
        <v>19</v>
      </c>
      <c r="I389" s="51">
        <v>46216</v>
      </c>
      <c r="J389" s="54">
        <f>INT(Cobros[[#This Row],[Fecha Cargo]])</f>
        <v>46185</v>
      </c>
      <c r="K389" s="54">
        <f>INT(Cobros[[#This Row],[Fecha Aplicacion]])</f>
        <v>46216</v>
      </c>
      <c r="L389" s="55" t="str">
        <f>INDEX(Clientes[Días Plazo],MATCH(Cobros[[#This Row],[Cod. Cliente]],Clientes[Codigo],0),1)</f>
        <v>30</v>
      </c>
      <c r="M389" s="45" t="str">
        <f>IF(Cobros[[#This Row],[Dias de Credito]]&lt;=0,"Contado","Credito")</f>
        <v>Credito</v>
      </c>
      <c r="N389" s="45">
        <f>Cobros[[#This Row],[Fecha Aplicación S]]-Cobros[[#This Row],[Fecha Cargo S]]</f>
        <v>31</v>
      </c>
      <c r="O389" s="45">
        <f>Cobros[[#This Row],[Dias al pago]]-Cobros[[#This Row],[Dias de Credito]]</f>
        <v>1</v>
      </c>
      <c r="P389" s="45">
        <f>SUMIFS(TablaDias[Porcentaje],TablaDias[Tipo],Cobros[[#This Row],[Tipo]],TablaDias[Desde ],"&lt;="&amp;MAX(0,Cobros[[#This Row],[Dias pasado]]),TablaDias[Hasta ],"&gt;="&amp;Cobros[[#This Row],[Dias pasado]])</f>
        <v>100</v>
      </c>
      <c r="Q38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89">
        <f>IF(COUNTIF(PAPEL[Numero],Cobros[[#This Row],[Doc. Cargo]])&gt;0,1,0)</f>
        <v>0</v>
      </c>
      <c r="S389" s="46">
        <f t="array" ref="S3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89" s="46">
        <f t="array" ref="T389">INDEX(Ventas[[Unidades]:[2]],MATCH("Gerente de Venta",Ventas[Vendedor %],0),6+Cobros[[#This Row],[Mes]])</f>
        <v>0.005</v>
      </c>
      <c r="U389" s="34">
        <f>IF(Cobros[[#This Row],[Tipo]]="Credito",IF(60&gt;=Cobros[[#This Row],[Dias al pago]],1,0),IF(Cobros[[#This Row],[Dias al pago]]&lt;=3,1,0))</f>
        <v>1</v>
      </c>
      <c r="V389" s="46">
        <f>(Cobros[[#This Row],[% A pagar Vendedor]]/100)*Cobros[[#This Row],[Valor Pagado]]*Cobros[[#This Row],[Vencido]]*(Cobros[[#This Row],[% aplicar]]/100)*IF(Cobros[[#This Row],[% A pagar Vendedor]]&gt;0,1,0)</f>
        <v>2.309625</v>
      </c>
      <c r="W389" s="46">
        <f>0.5%*Cobros[[#This Row],[Valor Pagado]]</f>
        <v>0.92385</v>
      </c>
    </row>
    <row r="390" spans="1:23">
      <c r="A390" s="49" t="s">
        <v>3884</v>
      </c>
      <c r="B390" s="49" t="s">
        <v>4471</v>
      </c>
      <c r="C390" s="49" t="s">
        <v>484</v>
      </c>
      <c r="D390" s="49" t="s">
        <v>485</v>
      </c>
      <c r="E390" s="49" t="s">
        <v>4470</v>
      </c>
      <c r="F390" s="51">
        <v>46185</v>
      </c>
      <c r="G390" s="49">
        <v>1183.33</v>
      </c>
      <c r="H390" s="49" t="s">
        <v>19</v>
      </c>
      <c r="I390" s="51">
        <v>46216</v>
      </c>
      <c r="J390" s="54">
        <f>INT(Cobros[[#This Row],[Fecha Cargo]])</f>
        <v>46185</v>
      </c>
      <c r="K390" s="54">
        <f>INT(Cobros[[#This Row],[Fecha Aplicacion]])</f>
        <v>46216</v>
      </c>
      <c r="L390" s="55" t="str">
        <f>INDEX(Clientes[Días Plazo],MATCH(Cobros[[#This Row],[Cod. Cliente]],Clientes[Codigo],0),1)</f>
        <v>30</v>
      </c>
      <c r="M390" s="45" t="str">
        <f>IF(Cobros[[#This Row],[Dias de Credito]]&lt;=0,"Contado","Credito")</f>
        <v>Credito</v>
      </c>
      <c r="N390" s="45">
        <f>Cobros[[#This Row],[Fecha Aplicación S]]-Cobros[[#This Row],[Fecha Cargo S]]</f>
        <v>31</v>
      </c>
      <c r="O390" s="45">
        <f>Cobros[[#This Row],[Dias al pago]]-Cobros[[#This Row],[Dias de Credito]]</f>
        <v>1</v>
      </c>
      <c r="P390" s="45">
        <f>SUMIFS(TablaDias[Porcentaje],TablaDias[Tipo],Cobros[[#This Row],[Tipo]],TablaDias[Desde ],"&lt;="&amp;MAX(0,Cobros[[#This Row],[Dias pasado]]),TablaDias[Hasta ],"&gt;="&amp;Cobros[[#This Row],[Dias pasado]])</f>
        <v>100</v>
      </c>
      <c r="Q3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0">
        <f>IF(COUNTIF(PAPEL[Numero],Cobros[[#This Row],[Doc. Cargo]])&gt;0,1,0)</f>
        <v>0</v>
      </c>
      <c r="S390" s="46">
        <f t="array" ref="S3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90" s="46">
        <f t="array" ref="T390">INDEX(Ventas[[Unidades]:[2]],MATCH("Gerente de Venta",Ventas[Vendedor %],0),6+Cobros[[#This Row],[Mes]])</f>
        <v>0.005</v>
      </c>
      <c r="U390" s="34">
        <f>IF(Cobros[[#This Row],[Tipo]]="Credito",IF(60&gt;=Cobros[[#This Row],[Dias al pago]],1,0),IF(Cobros[[#This Row],[Dias al pago]]&lt;=3,1,0))</f>
        <v>1</v>
      </c>
      <c r="V390" s="46">
        <f>(Cobros[[#This Row],[% A pagar Vendedor]]/100)*Cobros[[#This Row],[Valor Pagado]]*Cobros[[#This Row],[Vencido]]*(Cobros[[#This Row],[% aplicar]]/100)*IF(Cobros[[#This Row],[% A pagar Vendedor]]&gt;0,1,0)</f>
        <v>14.791625</v>
      </c>
      <c r="W390" s="46">
        <f>0.5%*Cobros[[#This Row],[Valor Pagado]]</f>
        <v>5.91665</v>
      </c>
    </row>
    <row r="391" spans="1:23">
      <c r="A391" s="49" t="s">
        <v>3884</v>
      </c>
      <c r="B391" s="49" t="s">
        <v>4472</v>
      </c>
      <c r="C391" s="49" t="s">
        <v>484</v>
      </c>
      <c r="D391" s="49" t="s">
        <v>485</v>
      </c>
      <c r="E391" s="49" t="s">
        <v>4470</v>
      </c>
      <c r="F391" s="51">
        <v>46185</v>
      </c>
      <c r="G391" s="49">
        <v>1182.14</v>
      </c>
      <c r="H391" s="49" t="s">
        <v>19</v>
      </c>
      <c r="I391" s="51">
        <v>46216</v>
      </c>
      <c r="J391" s="54">
        <f>INT(Cobros[[#This Row],[Fecha Cargo]])</f>
        <v>46185</v>
      </c>
      <c r="K391" s="54">
        <f>INT(Cobros[[#This Row],[Fecha Aplicacion]])</f>
        <v>46216</v>
      </c>
      <c r="L391" s="55" t="str">
        <f>INDEX(Clientes[Días Plazo],MATCH(Cobros[[#This Row],[Cod. Cliente]],Clientes[Codigo],0),1)</f>
        <v>30</v>
      </c>
      <c r="M391" s="45" t="str">
        <f>IF(Cobros[[#This Row],[Dias de Credito]]&lt;=0,"Contado","Credito")</f>
        <v>Credito</v>
      </c>
      <c r="N391" s="45">
        <f>Cobros[[#This Row],[Fecha Aplicación S]]-Cobros[[#This Row],[Fecha Cargo S]]</f>
        <v>31</v>
      </c>
      <c r="O391" s="45">
        <f>Cobros[[#This Row],[Dias al pago]]-Cobros[[#This Row],[Dias de Credito]]</f>
        <v>1</v>
      </c>
      <c r="P391" s="45">
        <f>SUMIFS(TablaDias[Porcentaje],TablaDias[Tipo],Cobros[[#This Row],[Tipo]],TablaDias[Desde ],"&lt;="&amp;MAX(0,Cobros[[#This Row],[Dias pasado]]),TablaDias[Hasta ],"&gt;="&amp;Cobros[[#This Row],[Dias pasado]])</f>
        <v>100</v>
      </c>
      <c r="Q3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1">
        <f>IF(COUNTIF(PAPEL[Numero],Cobros[[#This Row],[Doc. Cargo]])&gt;0,1,0)</f>
        <v>0</v>
      </c>
      <c r="S391" s="46">
        <f t="array" ref="S39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91" s="46">
        <f t="array" ref="T391">INDEX(Ventas[[Unidades]:[2]],MATCH("Gerente de Venta",Ventas[Vendedor %],0),6+Cobros[[#This Row],[Mes]])</f>
        <v>0.005</v>
      </c>
      <c r="U391" s="34">
        <f>IF(Cobros[[#This Row],[Tipo]]="Credito",IF(60&gt;=Cobros[[#This Row],[Dias al pago]],1,0),IF(Cobros[[#This Row],[Dias al pago]]&lt;=3,1,0))</f>
        <v>1</v>
      </c>
      <c r="V391" s="46">
        <f>(Cobros[[#This Row],[% A pagar Vendedor]]/100)*Cobros[[#This Row],[Valor Pagado]]*Cobros[[#This Row],[Vencido]]*(Cobros[[#This Row],[% aplicar]]/100)*IF(Cobros[[#This Row],[% A pagar Vendedor]]&gt;0,1,0)</f>
        <v>14.77675</v>
      </c>
      <c r="W391" s="46">
        <f>0.5%*Cobros[[#This Row],[Valor Pagado]]</f>
        <v>5.9107</v>
      </c>
    </row>
    <row r="392" spans="1:23">
      <c r="A392" s="49" t="s">
        <v>3884</v>
      </c>
      <c r="B392" s="49" t="s">
        <v>4473</v>
      </c>
      <c r="C392" s="49" t="s">
        <v>484</v>
      </c>
      <c r="D392" s="49" t="s">
        <v>485</v>
      </c>
      <c r="E392" s="49" t="s">
        <v>4470</v>
      </c>
      <c r="F392" s="51">
        <v>46185</v>
      </c>
      <c r="G392" s="49">
        <v>1180.95</v>
      </c>
      <c r="H392" s="49" t="s">
        <v>19</v>
      </c>
      <c r="I392" s="51">
        <v>46216</v>
      </c>
      <c r="J392" s="54">
        <f>INT(Cobros[[#This Row],[Fecha Cargo]])</f>
        <v>46185</v>
      </c>
      <c r="K392" s="54">
        <f>INT(Cobros[[#This Row],[Fecha Aplicacion]])</f>
        <v>46216</v>
      </c>
      <c r="L392" s="55">
        <v>0</v>
      </c>
      <c r="M392" s="45" t="str">
        <f>IF(Cobros[[#This Row],[Dias de Credito]]&lt;=0,"Contado","Credito")</f>
        <v>Contado</v>
      </c>
      <c r="N392" s="45">
        <f>Cobros[[#This Row],[Fecha Aplicación S]]-Cobros[[#This Row],[Fecha Cargo S]]</f>
        <v>31</v>
      </c>
      <c r="O392" s="45">
        <f>Cobros[[#This Row],[Dias al pago]]-Cobros[[#This Row],[Dias de Credito]]</f>
        <v>31</v>
      </c>
      <c r="P392" s="45">
        <f>SUMIFS(TablaDias[Porcentaje],TablaDias[Tipo],Cobros[[#This Row],[Tipo]],TablaDias[Desde ],"&lt;="&amp;MAX(0,Cobros[[#This Row],[Dias pasado]]),TablaDias[Hasta ],"&gt;="&amp;Cobros[[#This Row],[Dias pasado]])</f>
        <v>0</v>
      </c>
      <c r="Q3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2">
        <f>IF(COUNTIF(PAPEL[Numero],Cobros[[#This Row],[Doc. Cargo]])&gt;0,1,0)</f>
        <v>0</v>
      </c>
      <c r="S392" s="46">
        <f t="array" ref="S3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392" s="46">
        <f t="array" ref="T392">INDEX(Ventas[[Unidades]:[2]],MATCH("Gerente de Venta",Ventas[Vendedor %],0),6+Cobros[[#This Row],[Mes]])</f>
        <v>0.005</v>
      </c>
      <c r="U392" s="34">
        <f>IF(Cobros[[#This Row],[Tipo]]="Credito",IF(60&gt;=Cobros[[#This Row],[Dias al pago]],1,0),IF(Cobros[[#This Row],[Dias al pago]]&lt;=3,1,0))</f>
        <v>0</v>
      </c>
      <c r="V392" s="46">
        <f>(Cobros[[#This Row],[% A pagar Vendedor]]/100)*Cobros[[#This Row],[Valor Pagado]]*Cobros[[#This Row],[Vencido]]*(Cobros[[#This Row],[% aplicar]]/100)*IF(Cobros[[#This Row],[% A pagar Vendedor]]&gt;0,1,0)</f>
        <v>0</v>
      </c>
      <c r="W392" s="46">
        <f>0.5%*Cobros[[#This Row],[Valor Pagado]]</f>
        <v>5.90475</v>
      </c>
    </row>
    <row r="393" ht="30" spans="1:23">
      <c r="A393" s="49" t="s">
        <v>3875</v>
      </c>
      <c r="B393" s="49" t="s">
        <v>4474</v>
      </c>
      <c r="C393" s="49" t="s">
        <v>960</v>
      </c>
      <c r="D393" s="49" t="s">
        <v>961</v>
      </c>
      <c r="E393" s="49" t="s">
        <v>4144</v>
      </c>
      <c r="F393" s="51">
        <v>46190</v>
      </c>
      <c r="G393" s="49">
        <v>426</v>
      </c>
      <c r="H393" s="49" t="s">
        <v>22</v>
      </c>
      <c r="I393" s="51">
        <v>46216</v>
      </c>
      <c r="J393" s="54">
        <f>INT(Cobros[[#This Row],[Fecha Cargo]])</f>
        <v>46190</v>
      </c>
      <c r="K393" s="54">
        <f>INT(Cobros[[#This Row],[Fecha Aplicacion]])</f>
        <v>46216</v>
      </c>
      <c r="L393" s="55" t="str">
        <f>INDEX(Clientes[Días Plazo],MATCH(Cobros[[#This Row],[Cod. Cliente]],Clientes[Codigo],0),1)</f>
        <v>21</v>
      </c>
      <c r="M393" s="45" t="str">
        <f>IF(Cobros[[#This Row],[Dias de Credito]]&lt;=0,"Contado","Credito")</f>
        <v>Credito</v>
      </c>
      <c r="N393" s="45">
        <f>Cobros[[#This Row],[Fecha Aplicación S]]-Cobros[[#This Row],[Fecha Cargo S]]</f>
        <v>26</v>
      </c>
      <c r="O393" s="45">
        <f>Cobros[[#This Row],[Dias al pago]]-Cobros[[#This Row],[Dias de Credito]]</f>
        <v>5</v>
      </c>
      <c r="P393" s="45">
        <f>SUMIFS(TablaDias[Porcentaje],TablaDias[Tipo],Cobros[[#This Row],[Tipo]],TablaDias[Desde ],"&lt;="&amp;MAX(0,Cobros[[#This Row],[Dias pasado]]),TablaDias[Hasta ],"&gt;="&amp;Cobros[[#This Row],[Dias pasado]])</f>
        <v>100</v>
      </c>
      <c r="Q3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3">
        <f>IF(COUNTIF(PAPEL[Numero],Cobros[[#This Row],[Doc. Cargo]])&gt;0,1,0)</f>
        <v>0</v>
      </c>
      <c r="S393" s="46">
        <f t="array" ref="S3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3" s="46">
        <f t="array" ref="T393">INDEX(Ventas[[Unidades]:[2]],MATCH("Gerente de Venta",Ventas[Vendedor %],0),6+Cobros[[#This Row],[Mes]])</f>
        <v>0.005</v>
      </c>
      <c r="U393" s="34">
        <f>IF(Cobros[[#This Row],[Tipo]]="Credito",IF(60&gt;=Cobros[[#This Row],[Dias al pago]],1,0),IF(Cobros[[#This Row],[Dias al pago]]&lt;=3,1,0))</f>
        <v>1</v>
      </c>
      <c r="V393" s="46">
        <f>(Cobros[[#This Row],[% A pagar Vendedor]]/100)*Cobros[[#This Row],[Valor Pagado]]*Cobros[[#This Row],[Vencido]]*(Cobros[[#This Row],[% aplicar]]/100)*IF(Cobros[[#This Row],[% A pagar Vendedor]]&gt;0,1,0)</f>
        <v>4.26</v>
      </c>
      <c r="W393" s="46">
        <f>0.5%*Cobros[[#This Row],[Valor Pagado]]</f>
        <v>2.13</v>
      </c>
    </row>
    <row r="394" ht="30" spans="1:23">
      <c r="A394" s="49" t="s">
        <v>3875</v>
      </c>
      <c r="B394" s="49" t="s">
        <v>4474</v>
      </c>
      <c r="C394" s="49" t="s">
        <v>960</v>
      </c>
      <c r="D394" s="49" t="s">
        <v>961</v>
      </c>
      <c r="E394" s="49" t="s">
        <v>4475</v>
      </c>
      <c r="F394" s="51">
        <v>46190</v>
      </c>
      <c r="G394" s="49">
        <v>426</v>
      </c>
      <c r="H394" s="49" t="s">
        <v>22</v>
      </c>
      <c r="I394" s="51">
        <v>46216</v>
      </c>
      <c r="J394" s="54">
        <f>INT(Cobros[[#This Row],[Fecha Cargo]])</f>
        <v>46190</v>
      </c>
      <c r="K394" s="54">
        <f>INT(Cobros[[#This Row],[Fecha Aplicacion]])</f>
        <v>46216</v>
      </c>
      <c r="L394" s="55">
        <v>30</v>
      </c>
      <c r="M394" s="45" t="str">
        <f>IF(Cobros[[#This Row],[Dias de Credito]]&lt;=0,"Contado","Credito")</f>
        <v>Credito</v>
      </c>
      <c r="N394" s="45">
        <f>Cobros[[#This Row],[Fecha Aplicación S]]-Cobros[[#This Row],[Fecha Cargo S]]</f>
        <v>26</v>
      </c>
      <c r="O394" s="45">
        <f>Cobros[[#This Row],[Dias al pago]]-Cobros[[#This Row],[Dias de Credito]]</f>
        <v>-4</v>
      </c>
      <c r="P394" s="45">
        <f>SUMIFS(TablaDias[Porcentaje],TablaDias[Tipo],Cobros[[#This Row],[Tipo]],TablaDias[Desde ],"&lt;="&amp;MAX(0,Cobros[[#This Row],[Dias pasado]]),TablaDias[Hasta ],"&gt;="&amp;Cobros[[#This Row],[Dias pasado]])</f>
        <v>100</v>
      </c>
      <c r="Q3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4">
        <f>IF(COUNTIF(PAPEL[Numero],Cobros[[#This Row],[Doc. Cargo]])&gt;0,1,0)</f>
        <v>0</v>
      </c>
      <c r="S394" s="46">
        <f t="array" ref="S3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4" s="46">
        <f t="array" ref="T394">INDEX(Ventas[[Unidades]:[2]],MATCH("Gerente de Venta",Ventas[Vendedor %],0),6+Cobros[[#This Row],[Mes]])</f>
        <v>0.005</v>
      </c>
      <c r="U394" s="34">
        <f>IF(Cobros[[#This Row],[Tipo]]="Credito",IF(60&gt;=Cobros[[#This Row],[Dias al pago]],1,0),IF(Cobros[[#This Row],[Dias al pago]]&lt;=3,1,0))</f>
        <v>1</v>
      </c>
      <c r="V394" s="46">
        <f>(Cobros[[#This Row],[% A pagar Vendedor]]/100)*Cobros[[#This Row],[Valor Pagado]]*Cobros[[#This Row],[Vencido]]*(Cobros[[#This Row],[% aplicar]]/100)*IF(Cobros[[#This Row],[% A pagar Vendedor]]&gt;0,1,0)</f>
        <v>4.26</v>
      </c>
      <c r="W394" s="46">
        <f>0.5%*Cobros[[#This Row],[Valor Pagado]]</f>
        <v>2.13</v>
      </c>
    </row>
    <row r="395" ht="30" spans="1:23">
      <c r="A395" s="49" t="s">
        <v>3875</v>
      </c>
      <c r="B395" s="49" t="s">
        <v>4474</v>
      </c>
      <c r="C395" s="49" t="s">
        <v>960</v>
      </c>
      <c r="D395" s="49" t="s">
        <v>961</v>
      </c>
      <c r="E395" s="49" t="s">
        <v>4476</v>
      </c>
      <c r="F395" s="51">
        <v>46191</v>
      </c>
      <c r="G395" s="49">
        <v>937.5</v>
      </c>
      <c r="H395" s="49" t="s">
        <v>22</v>
      </c>
      <c r="I395" s="51">
        <v>46216</v>
      </c>
      <c r="J395" s="54">
        <f>INT(Cobros[[#This Row],[Fecha Cargo]])</f>
        <v>46191</v>
      </c>
      <c r="K395" s="54">
        <f>INT(Cobros[[#This Row],[Fecha Aplicacion]])</f>
        <v>46216</v>
      </c>
      <c r="L395" s="55">
        <v>30</v>
      </c>
      <c r="M395" s="45" t="str">
        <f>IF(Cobros[[#This Row],[Dias de Credito]]&lt;=0,"Contado","Credito")</f>
        <v>Credito</v>
      </c>
      <c r="N395" s="45">
        <f>Cobros[[#This Row],[Fecha Aplicación S]]-Cobros[[#This Row],[Fecha Cargo S]]</f>
        <v>25</v>
      </c>
      <c r="O395" s="45">
        <f>Cobros[[#This Row],[Dias al pago]]-Cobros[[#This Row],[Dias de Credito]]</f>
        <v>-5</v>
      </c>
      <c r="P395" s="45">
        <f>SUMIFS(TablaDias[Porcentaje],TablaDias[Tipo],Cobros[[#This Row],[Tipo]],TablaDias[Desde ],"&lt;="&amp;MAX(0,Cobros[[#This Row],[Dias pasado]]),TablaDias[Hasta ],"&gt;="&amp;Cobros[[#This Row],[Dias pasado]])</f>
        <v>100</v>
      </c>
      <c r="Q3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5">
        <f>IF(COUNTIF(PAPEL[Numero],Cobros[[#This Row],[Doc. Cargo]])&gt;0,1,0)</f>
        <v>0</v>
      </c>
      <c r="S395" s="46">
        <f t="array" ref="S3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5" s="46">
        <f t="array" ref="T395">INDEX(Ventas[[Unidades]:[2]],MATCH("Gerente de Venta",Ventas[Vendedor %],0),6+Cobros[[#This Row],[Mes]])</f>
        <v>0.005</v>
      </c>
      <c r="U395" s="34">
        <f>IF(Cobros[[#This Row],[Tipo]]="Credito",IF(60&gt;=Cobros[[#This Row],[Dias al pago]],1,0),IF(Cobros[[#This Row],[Dias al pago]]&lt;=3,1,0))</f>
        <v>1</v>
      </c>
      <c r="V395" s="46">
        <f>(Cobros[[#This Row],[% A pagar Vendedor]]/100)*Cobros[[#This Row],[Valor Pagado]]*Cobros[[#This Row],[Vencido]]*(Cobros[[#This Row],[% aplicar]]/100)*IF(Cobros[[#This Row],[% A pagar Vendedor]]&gt;0,1,0)</f>
        <v>9.375</v>
      </c>
      <c r="W395" s="46">
        <f>0.5%*Cobros[[#This Row],[Valor Pagado]]</f>
        <v>4.6875</v>
      </c>
    </row>
    <row r="396" ht="30" spans="1:24">
      <c r="A396" s="49" t="s">
        <v>3875</v>
      </c>
      <c r="B396" s="49" t="s">
        <v>4474</v>
      </c>
      <c r="C396" s="49" t="s">
        <v>960</v>
      </c>
      <c r="D396" s="49" t="s">
        <v>961</v>
      </c>
      <c r="E396" s="49" t="s">
        <v>4477</v>
      </c>
      <c r="F396" s="51">
        <v>46191</v>
      </c>
      <c r="G396" s="49">
        <v>110.5</v>
      </c>
      <c r="H396" s="49" t="s">
        <v>22</v>
      </c>
      <c r="I396" s="51">
        <v>46216</v>
      </c>
      <c r="J396" s="54">
        <f>INT(Cobros[[#This Row],[Fecha Cargo]])</f>
        <v>46191</v>
      </c>
      <c r="K396" s="54">
        <f>INT(Cobros[[#This Row],[Fecha Aplicacion]])</f>
        <v>46216</v>
      </c>
      <c r="L396" s="55" t="str">
        <f>INDEX(Clientes[Días Plazo],MATCH(Cobros[[#This Row],[Cod. Cliente]],Clientes[Codigo],0),1)</f>
        <v>21</v>
      </c>
      <c r="M396" s="45" t="str">
        <f>IF(Cobros[[#This Row],[Dias de Credito]]&lt;=0,"Contado","Credito")</f>
        <v>Credito</v>
      </c>
      <c r="N396" s="45">
        <f>Cobros[[#This Row],[Fecha Aplicación S]]-Cobros[[#This Row],[Fecha Cargo S]]</f>
        <v>25</v>
      </c>
      <c r="O396" s="45">
        <f>Cobros[[#This Row],[Dias al pago]]-Cobros[[#This Row],[Dias de Credito]]</f>
        <v>4</v>
      </c>
      <c r="P396" s="45">
        <f>SUMIFS(TablaDias[Porcentaje],TablaDias[Tipo],Cobros[[#This Row],[Tipo]],TablaDias[Desde ],"&lt;="&amp;MAX(0,Cobros[[#This Row],[Dias pasado]]),TablaDias[Hasta ],"&gt;="&amp;Cobros[[#This Row],[Dias pasado]])</f>
        <v>100</v>
      </c>
      <c r="Q3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6">
        <f>IF(COUNTIF(PAPEL[Numero],Cobros[[#This Row],[Doc. Cargo]])&gt;0,1,0)</f>
        <v>0</v>
      </c>
      <c r="S396" s="46">
        <f t="array" ref="S3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6" s="46">
        <f t="array" ref="T396">INDEX(Ventas[[Unidades]:[2]],MATCH("Gerente de Venta",Ventas[Vendedor %],0),6+Cobros[[#This Row],[Mes]])</f>
        <v>0.005</v>
      </c>
      <c r="U396" s="34">
        <f>IF(Cobros[[#This Row],[Tipo]]="Credito",IF(60&gt;=Cobros[[#This Row],[Dias al pago]],1,0),IF(Cobros[[#This Row],[Dias al pago]]&lt;=3,1,0))</f>
        <v>1</v>
      </c>
      <c r="V396" s="46">
        <f>(Cobros[[#This Row],[% A pagar Vendedor]]/100)*Cobros[[#This Row],[Valor Pagado]]*Cobros[[#This Row],[Vencido]]*(Cobros[[#This Row],[% aplicar]]/100)*IF(Cobros[[#This Row],[% A pagar Vendedor]]&gt;0,1,0)</f>
        <v>1.105</v>
      </c>
      <c r="W396" s="46">
        <f>0.5%*Cobros[[#This Row],[Valor Pagado]]</f>
        <v>0.5525</v>
      </c>
      <c r="X396" s="60"/>
    </row>
    <row r="397" ht="30" spans="1:23">
      <c r="A397" s="49" t="s">
        <v>3860</v>
      </c>
      <c r="B397" s="49" t="s">
        <v>4478</v>
      </c>
      <c r="C397" s="49" t="s">
        <v>960</v>
      </c>
      <c r="D397" s="49" t="s">
        <v>961</v>
      </c>
      <c r="E397" s="49" t="s">
        <v>4477</v>
      </c>
      <c r="F397" s="51">
        <v>46191</v>
      </c>
      <c r="G397" s="49">
        <v>124.5</v>
      </c>
      <c r="H397" s="49" t="s">
        <v>22</v>
      </c>
      <c r="I397" s="51">
        <v>46216</v>
      </c>
      <c r="J397" s="54">
        <f>INT(Cobros[[#This Row],[Fecha Cargo]])</f>
        <v>46191</v>
      </c>
      <c r="K397" s="54">
        <f>INT(Cobros[[#This Row],[Fecha Aplicacion]])</f>
        <v>46216</v>
      </c>
      <c r="L397" s="55" t="str">
        <f>INDEX(Clientes[Días Plazo],MATCH(Cobros[[#This Row],[Cod. Cliente]],Clientes[Codigo],0),1)</f>
        <v>21</v>
      </c>
      <c r="M397" s="45" t="str">
        <f>IF(Cobros[[#This Row],[Dias de Credito]]&lt;=0,"Contado","Credito")</f>
        <v>Credito</v>
      </c>
      <c r="N397" s="45">
        <f>Cobros[[#This Row],[Fecha Aplicación S]]-Cobros[[#This Row],[Fecha Cargo S]]</f>
        <v>25</v>
      </c>
      <c r="O397" s="45">
        <f>Cobros[[#This Row],[Dias al pago]]-Cobros[[#This Row],[Dias de Credito]]</f>
        <v>4</v>
      </c>
      <c r="P397" s="45">
        <f>SUMIFS(TablaDias[Porcentaje],TablaDias[Tipo],Cobros[[#This Row],[Tipo]],TablaDias[Desde ],"&lt;="&amp;MAX(0,Cobros[[#This Row],[Dias pasado]]),TablaDias[Hasta ],"&gt;="&amp;Cobros[[#This Row],[Dias pasado]])</f>
        <v>100</v>
      </c>
      <c r="Q3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7">
        <f>IF(COUNTIF(PAPEL[Numero],Cobros[[#This Row],[Doc. Cargo]])&gt;0,1,0)</f>
        <v>0</v>
      </c>
      <c r="S397" s="46">
        <f t="array" ref="S3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7" s="46">
        <f t="array" ref="T397">INDEX(Ventas[[Unidades]:[2]],MATCH("Gerente de Venta",Ventas[Vendedor %],0),6+Cobros[[#This Row],[Mes]])</f>
        <v>0.005</v>
      </c>
      <c r="U397" s="34">
        <f>IF(Cobros[[#This Row],[Tipo]]="Credito",IF(60&gt;=Cobros[[#This Row],[Dias al pago]],1,0),IF(Cobros[[#This Row],[Dias al pago]]&lt;=3,1,0))</f>
        <v>1</v>
      </c>
      <c r="V397" s="46">
        <f>(Cobros[[#This Row],[% A pagar Vendedor]]/100)*Cobros[[#This Row],[Valor Pagado]]*Cobros[[#This Row],[Vencido]]*(Cobros[[#This Row],[% aplicar]]/100)*IF(Cobros[[#This Row],[% A pagar Vendedor]]&gt;0,1,0)</f>
        <v>1.245</v>
      </c>
      <c r="W397" s="46">
        <f>0.5%*Cobros[[#This Row],[Valor Pagado]]</f>
        <v>0.6225</v>
      </c>
    </row>
    <row r="398" ht="30" spans="1:23">
      <c r="A398" s="49" t="s">
        <v>3860</v>
      </c>
      <c r="B398" s="49" t="s">
        <v>4478</v>
      </c>
      <c r="C398" s="49" t="s">
        <v>960</v>
      </c>
      <c r="D398" s="49" t="s">
        <v>961</v>
      </c>
      <c r="E398" s="49" t="s">
        <v>4479</v>
      </c>
      <c r="F398" s="51">
        <v>46192</v>
      </c>
      <c r="G398" s="49">
        <v>305</v>
      </c>
      <c r="H398" s="49" t="s">
        <v>22</v>
      </c>
      <c r="I398" s="51">
        <v>46216</v>
      </c>
      <c r="J398" s="54">
        <f>INT(Cobros[[#This Row],[Fecha Cargo]])</f>
        <v>46192</v>
      </c>
      <c r="K398" s="54">
        <f>INT(Cobros[[#This Row],[Fecha Aplicacion]])</f>
        <v>46216</v>
      </c>
      <c r="L398" s="55" t="str">
        <f>INDEX(Clientes[Días Plazo],MATCH(Cobros[[#This Row],[Cod. Cliente]],Clientes[Codigo],0),1)</f>
        <v>21</v>
      </c>
      <c r="M398" s="45" t="str">
        <f>IF(Cobros[[#This Row],[Dias de Credito]]&lt;=0,"Contado","Credito")</f>
        <v>Credito</v>
      </c>
      <c r="N398" s="45">
        <f>Cobros[[#This Row],[Fecha Aplicación S]]-Cobros[[#This Row],[Fecha Cargo S]]</f>
        <v>24</v>
      </c>
      <c r="O398" s="45">
        <f>Cobros[[#This Row],[Dias al pago]]-Cobros[[#This Row],[Dias de Credito]]</f>
        <v>3</v>
      </c>
      <c r="P398" s="45">
        <f>SUMIFS(TablaDias[Porcentaje],TablaDias[Tipo],Cobros[[#This Row],[Tipo]],TablaDias[Desde ],"&lt;="&amp;MAX(0,Cobros[[#This Row],[Dias pasado]]),TablaDias[Hasta ],"&gt;="&amp;Cobros[[#This Row],[Dias pasado]])</f>
        <v>100</v>
      </c>
      <c r="Q3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8">
        <f>IF(COUNTIF(PAPEL[Numero],Cobros[[#This Row],[Doc. Cargo]])&gt;0,1,0)</f>
        <v>0</v>
      </c>
      <c r="S398" s="46">
        <f t="array" ref="S3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8" s="46">
        <f t="array" ref="T398">INDEX(Ventas[[Unidades]:[2]],MATCH("Gerente de Venta",Ventas[Vendedor %],0),6+Cobros[[#This Row],[Mes]])</f>
        <v>0.005</v>
      </c>
      <c r="U398" s="34">
        <f>IF(Cobros[[#This Row],[Tipo]]="Credito",IF(60&gt;=Cobros[[#This Row],[Dias al pago]],1,0),IF(Cobros[[#This Row],[Dias al pago]]&lt;=3,1,0))</f>
        <v>1</v>
      </c>
      <c r="V398" s="46">
        <f>(Cobros[[#This Row],[% A pagar Vendedor]]/100)*Cobros[[#This Row],[Valor Pagado]]*Cobros[[#This Row],[Vencido]]*(Cobros[[#This Row],[% aplicar]]/100)*IF(Cobros[[#This Row],[% A pagar Vendedor]]&gt;0,1,0)</f>
        <v>3.05</v>
      </c>
      <c r="W398" s="46">
        <f>0.5%*Cobros[[#This Row],[Valor Pagado]]</f>
        <v>1.525</v>
      </c>
    </row>
    <row r="399" ht="30" spans="1:23">
      <c r="A399" s="49" t="s">
        <v>3860</v>
      </c>
      <c r="B399" s="49" t="s">
        <v>4478</v>
      </c>
      <c r="C399" s="49" t="s">
        <v>960</v>
      </c>
      <c r="D399" s="49" t="s">
        <v>961</v>
      </c>
      <c r="E399" s="49" t="s">
        <v>4480</v>
      </c>
      <c r="F399" s="51">
        <v>46192</v>
      </c>
      <c r="G399" s="49">
        <v>69.5</v>
      </c>
      <c r="H399" s="49" t="s">
        <v>22</v>
      </c>
      <c r="I399" s="51">
        <v>46216</v>
      </c>
      <c r="J399" s="54">
        <f>INT(Cobros[[#This Row],[Fecha Cargo]])</f>
        <v>46192</v>
      </c>
      <c r="K399" s="54">
        <f>INT(Cobros[[#This Row],[Fecha Aplicacion]])</f>
        <v>46216</v>
      </c>
      <c r="L399" s="55" t="str">
        <f>INDEX(Clientes[Días Plazo],MATCH(Cobros[[#This Row],[Cod. Cliente]],Clientes[Codigo],0),1)</f>
        <v>21</v>
      </c>
      <c r="M399" s="45" t="str">
        <f>IF(Cobros[[#This Row],[Dias de Credito]]&lt;=0,"Contado","Credito")</f>
        <v>Credito</v>
      </c>
      <c r="N399" s="45">
        <f>Cobros[[#This Row],[Fecha Aplicación S]]-Cobros[[#This Row],[Fecha Cargo S]]</f>
        <v>24</v>
      </c>
      <c r="O399" s="45">
        <f>Cobros[[#This Row],[Dias al pago]]-Cobros[[#This Row],[Dias de Credito]]</f>
        <v>3</v>
      </c>
      <c r="P399" s="45">
        <f>SUMIFS(TablaDias[Porcentaje],TablaDias[Tipo],Cobros[[#This Row],[Tipo]],TablaDias[Desde ],"&lt;="&amp;MAX(0,Cobros[[#This Row],[Dias pasado]]),TablaDias[Hasta ],"&gt;="&amp;Cobros[[#This Row],[Dias pasado]])</f>
        <v>100</v>
      </c>
      <c r="Q3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399">
        <f>IF(COUNTIF(PAPEL[Numero],Cobros[[#This Row],[Doc. Cargo]])&gt;0,1,0)</f>
        <v>0</v>
      </c>
      <c r="S399" s="46">
        <f t="array" ref="S3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399" s="46">
        <f t="array" ref="T399">INDEX(Ventas[[Unidades]:[2]],MATCH("Gerente de Venta",Ventas[Vendedor %],0),6+Cobros[[#This Row],[Mes]])</f>
        <v>0.005</v>
      </c>
      <c r="U399" s="34">
        <f>IF(Cobros[[#This Row],[Tipo]]="Credito",IF(60&gt;=Cobros[[#This Row],[Dias al pago]],1,0),IF(Cobros[[#This Row],[Dias al pago]]&lt;=3,1,0))</f>
        <v>1</v>
      </c>
      <c r="V399" s="46">
        <f>(Cobros[[#This Row],[% A pagar Vendedor]]/100)*Cobros[[#This Row],[Valor Pagado]]*Cobros[[#This Row],[Vencido]]*(Cobros[[#This Row],[% aplicar]]/100)*IF(Cobros[[#This Row],[% A pagar Vendedor]]&gt;0,1,0)</f>
        <v>0.695</v>
      </c>
      <c r="W399" s="46">
        <f>0.5%*Cobros[[#This Row],[Valor Pagado]]</f>
        <v>0.3475</v>
      </c>
    </row>
    <row r="400" ht="30" spans="1:24">
      <c r="A400" s="49" t="s">
        <v>3860</v>
      </c>
      <c r="B400" s="49" t="s">
        <v>4478</v>
      </c>
      <c r="C400" s="49" t="s">
        <v>960</v>
      </c>
      <c r="D400" s="49" t="s">
        <v>961</v>
      </c>
      <c r="E400" s="49" t="s">
        <v>4481</v>
      </c>
      <c r="F400" s="51">
        <v>46196</v>
      </c>
      <c r="G400" s="49">
        <v>337.5</v>
      </c>
      <c r="H400" s="49" t="s">
        <v>22</v>
      </c>
      <c r="I400" s="51">
        <v>46216</v>
      </c>
      <c r="J400" s="54">
        <f>INT(Cobros[[#This Row],[Fecha Cargo]])</f>
        <v>46196</v>
      </c>
      <c r="K400" s="54">
        <f>INT(Cobros[[#This Row],[Fecha Aplicacion]])</f>
        <v>46216</v>
      </c>
      <c r="L400" s="55" t="str">
        <f>INDEX(Clientes[Días Plazo],MATCH(Cobros[[#This Row],[Cod. Cliente]],Clientes[Codigo],0),1)</f>
        <v>21</v>
      </c>
      <c r="M400" s="45" t="str">
        <f>IF(Cobros[[#This Row],[Dias de Credito]]&lt;=0,"Contado","Credito")</f>
        <v>Credito</v>
      </c>
      <c r="N400" s="45">
        <f>Cobros[[#This Row],[Fecha Aplicación S]]-Cobros[[#This Row],[Fecha Cargo S]]</f>
        <v>20</v>
      </c>
      <c r="O400" s="45">
        <f>Cobros[[#This Row],[Dias al pago]]-Cobros[[#This Row],[Dias de Credito]]</f>
        <v>-1</v>
      </c>
      <c r="P400" s="45">
        <f>SUMIFS(TablaDias[Porcentaje],TablaDias[Tipo],Cobros[[#This Row],[Tipo]],TablaDias[Desde ],"&lt;="&amp;MAX(0,Cobros[[#This Row],[Dias pasado]]),TablaDias[Hasta ],"&gt;="&amp;Cobros[[#This Row],[Dias pasado]])</f>
        <v>100</v>
      </c>
      <c r="Q4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00">
        <f>IF(COUNTIF(PAPEL[Numero],Cobros[[#This Row],[Doc. Cargo]])&gt;0,1,0)</f>
        <v>0</v>
      </c>
      <c r="S400" s="46">
        <f t="array" ref="S4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00" s="46">
        <f t="array" ref="T400">INDEX(Ventas[[Unidades]:[2]],MATCH("Gerente de Venta",Ventas[Vendedor %],0),6+Cobros[[#This Row],[Mes]])</f>
        <v>0.005</v>
      </c>
      <c r="U400" s="34">
        <f>IF(Cobros[[#This Row],[Tipo]]="Credito",IF(60&gt;=Cobros[[#This Row],[Dias al pago]],1,0),IF(Cobros[[#This Row],[Dias al pago]]&lt;=3,1,0))</f>
        <v>1</v>
      </c>
      <c r="V400" s="46">
        <f>(Cobros[[#This Row],[% A pagar Vendedor]]/100)*Cobros[[#This Row],[Valor Pagado]]*Cobros[[#This Row],[Vencido]]*(Cobros[[#This Row],[% aplicar]]/100)*IF(Cobros[[#This Row],[% A pagar Vendedor]]&gt;0,1,0)</f>
        <v>3.375</v>
      </c>
      <c r="W400" s="46">
        <f>0.5%*Cobros[[#This Row],[Valor Pagado]]</f>
        <v>1.6875</v>
      </c>
      <c r="X400" s="60"/>
    </row>
    <row r="401" spans="1:23">
      <c r="A401" s="49" t="s">
        <v>3875</v>
      </c>
      <c r="B401" s="49" t="s">
        <v>4482</v>
      </c>
      <c r="C401" s="49" t="s">
        <v>2277</v>
      </c>
      <c r="D401" s="49" t="s">
        <v>2278</v>
      </c>
      <c r="E401" s="49" t="s">
        <v>4483</v>
      </c>
      <c r="F401" s="51">
        <v>46216</v>
      </c>
      <c r="G401" s="49">
        <v>110.95</v>
      </c>
      <c r="H401" s="49" t="s">
        <v>19</v>
      </c>
      <c r="I401" s="51">
        <v>46216</v>
      </c>
      <c r="J401" s="54">
        <f>INT(Cobros[[#This Row],[Fecha Cargo]])</f>
        <v>46216</v>
      </c>
      <c r="K401" s="54">
        <f>INT(Cobros[[#This Row],[Fecha Aplicacion]])</f>
        <v>46216</v>
      </c>
      <c r="L401" s="55">
        <f>INDEX(Clientes[Días Plazo],MATCH(Cobros[[#This Row],[Cod. Cliente]],Clientes[Codigo],0),1)</f>
        <v>0</v>
      </c>
      <c r="M401" s="45" t="str">
        <f>IF(Cobros[[#This Row],[Dias de Credito]]&lt;=0,"Contado","Credito")</f>
        <v>Contado</v>
      </c>
      <c r="N401" s="45">
        <f>Cobros[[#This Row],[Fecha Aplicación S]]-Cobros[[#This Row],[Fecha Cargo S]]</f>
        <v>0</v>
      </c>
      <c r="O401" s="45">
        <f>Cobros[[#This Row],[Dias al pago]]-Cobros[[#This Row],[Dias de Credito]]</f>
        <v>0</v>
      </c>
      <c r="P401" s="45">
        <f>SUMIFS(TablaDias[Porcentaje],TablaDias[Tipo],Cobros[[#This Row],[Tipo]],TablaDias[Desde ],"&lt;="&amp;MAX(0,Cobros[[#This Row],[Dias pasado]]),TablaDias[Hasta ],"&gt;="&amp;Cobros[[#This Row],[Dias pasado]])</f>
        <v>100</v>
      </c>
      <c r="Q40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1">
        <f>IF(COUNTIF(PAPEL[Numero],Cobros[[#This Row],[Doc. Cargo]])&gt;0,1,0)</f>
        <v>0</v>
      </c>
      <c r="S401" s="46">
        <f t="array" ref="S4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1" s="46">
        <f t="array" ref="T401">INDEX(Ventas[[Unidades]:[2]],MATCH("Gerente de Venta",Ventas[Vendedor %],0),6+Cobros[[#This Row],[Mes]])</f>
        <v>0.005</v>
      </c>
      <c r="U401" s="34">
        <f>IF(Cobros[[#This Row],[Tipo]]="Credito",IF(60&gt;=Cobros[[#This Row],[Dias al pago]],1,0),IF(Cobros[[#This Row],[Dias al pago]]&lt;=3,1,0))</f>
        <v>1</v>
      </c>
      <c r="V401" s="46">
        <f>(Cobros[[#This Row],[% A pagar Vendedor]]/100)*Cobros[[#This Row],[Valor Pagado]]*Cobros[[#This Row],[Vencido]]*(Cobros[[#This Row],[% aplicar]]/100)*IF(Cobros[[#This Row],[% A pagar Vendedor]]&gt;0,1,0)</f>
        <v>1.386875</v>
      </c>
      <c r="W401" s="46">
        <f>0.5%*Cobros[[#This Row],[Valor Pagado]]</f>
        <v>0.55475</v>
      </c>
    </row>
    <row r="402" spans="1:23">
      <c r="A402" s="49" t="s">
        <v>3860</v>
      </c>
      <c r="B402" s="49" t="s">
        <v>4484</v>
      </c>
      <c r="C402" s="49" t="s">
        <v>644</v>
      </c>
      <c r="D402" s="49" t="s">
        <v>645</v>
      </c>
      <c r="E402" s="49" t="s">
        <v>4485</v>
      </c>
      <c r="F402" s="51">
        <v>46209</v>
      </c>
      <c r="G402" s="49">
        <v>37.5</v>
      </c>
      <c r="H402" s="49" t="s">
        <v>20</v>
      </c>
      <c r="I402" s="51">
        <v>46206</v>
      </c>
      <c r="J402" s="54">
        <f>INT(Cobros[[#This Row],[Fecha Cargo]])</f>
        <v>46209</v>
      </c>
      <c r="K402" s="54">
        <f>INT(Cobros[[#This Row],[Fecha Aplicacion]])</f>
        <v>46206</v>
      </c>
      <c r="L402" s="55">
        <f>INDEX(Clientes[Días Plazo],MATCH(Cobros[[#This Row],[Cod. Cliente]],Clientes[Codigo],0),1)</f>
        <v>0</v>
      </c>
      <c r="M402" s="45" t="str">
        <f>IF(Cobros[[#This Row],[Dias de Credito]]&lt;=0,"Contado","Credito")</f>
        <v>Contado</v>
      </c>
      <c r="N402" s="45">
        <f>Cobros[[#This Row],[Fecha Aplicación S]]-Cobros[[#This Row],[Fecha Cargo S]]</f>
        <v>-3</v>
      </c>
      <c r="O402" s="45">
        <f>Cobros[[#This Row],[Dias al pago]]-Cobros[[#This Row],[Dias de Credito]]</f>
        <v>-3</v>
      </c>
      <c r="P402" s="45">
        <f>SUMIFS(TablaDias[Porcentaje],TablaDias[Tipo],Cobros[[#This Row],[Tipo]],TablaDias[Desde ],"&lt;="&amp;MAX(0,Cobros[[#This Row],[Dias pasado]]),TablaDias[Hasta ],"&gt;="&amp;Cobros[[#This Row],[Dias pasado]])</f>
        <v>100</v>
      </c>
      <c r="Q4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2">
        <f>IF(COUNTIF(PAPEL[Numero],Cobros[[#This Row],[Doc. Cargo]])&gt;0,1,0)</f>
        <v>0</v>
      </c>
      <c r="S402" s="46">
        <f t="array" ref="S4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2" s="46">
        <f t="array" ref="T402">INDEX(Ventas[[Unidades]:[2]],MATCH("Gerente de Venta",Ventas[Vendedor %],0),6+Cobros[[#This Row],[Mes]])</f>
        <v>0.005</v>
      </c>
      <c r="U402" s="34">
        <f>IF(Cobros[[#This Row],[Tipo]]="Credito",IF(60&gt;=Cobros[[#This Row],[Dias al pago]],1,0),IF(Cobros[[#This Row],[Dias al pago]]&lt;=3,1,0))</f>
        <v>1</v>
      </c>
      <c r="V402" s="46">
        <f>(Cobros[[#This Row],[% A pagar Vendedor]]/100)*Cobros[[#This Row],[Valor Pagado]]*Cobros[[#This Row],[Vencido]]*(Cobros[[#This Row],[% aplicar]]/100)*IF(Cobros[[#This Row],[% A pagar Vendedor]]&gt;0,1,0)</f>
        <v>0.46875</v>
      </c>
      <c r="W402" s="46">
        <f>0.5%*Cobros[[#This Row],[Valor Pagado]]</f>
        <v>0.1875</v>
      </c>
    </row>
    <row r="403" spans="1:23">
      <c r="A403" s="49" t="s">
        <v>3904</v>
      </c>
      <c r="B403" s="49" t="s">
        <v>4486</v>
      </c>
      <c r="C403" s="49" t="s">
        <v>3550</v>
      </c>
      <c r="D403" s="49" t="s">
        <v>3551</v>
      </c>
      <c r="E403" s="49" t="s">
        <v>4487</v>
      </c>
      <c r="F403" s="51">
        <v>46205</v>
      </c>
      <c r="G403" s="49">
        <v>159</v>
      </c>
      <c r="H403" s="49" t="s">
        <v>20</v>
      </c>
      <c r="I403" s="51">
        <v>46205</v>
      </c>
      <c r="J403" s="54">
        <f>INT(Cobros[[#This Row],[Fecha Cargo]])</f>
        <v>46205</v>
      </c>
      <c r="K403" s="54">
        <f>INT(Cobros[[#This Row],[Fecha Aplicacion]])</f>
        <v>46205</v>
      </c>
      <c r="L403" s="55">
        <f>INDEX(Clientes[Días Plazo],MATCH(Cobros[[#This Row],[Cod. Cliente]],Clientes[Codigo],0),1)</f>
        <v>0</v>
      </c>
      <c r="M403" s="45" t="str">
        <f>IF(Cobros[[#This Row],[Dias de Credito]]&lt;=0,"Contado","Credito")</f>
        <v>Contado</v>
      </c>
      <c r="N403" s="45">
        <f>Cobros[[#This Row],[Fecha Aplicación S]]-Cobros[[#This Row],[Fecha Cargo S]]</f>
        <v>0</v>
      </c>
      <c r="O403" s="45">
        <f>Cobros[[#This Row],[Dias al pago]]-Cobros[[#This Row],[Dias de Credito]]</f>
        <v>0</v>
      </c>
      <c r="P403" s="45">
        <f>SUMIFS(TablaDias[Porcentaje],TablaDias[Tipo],Cobros[[#This Row],[Tipo]],TablaDias[Desde ],"&lt;="&amp;MAX(0,Cobros[[#This Row],[Dias pasado]]),TablaDias[Hasta ],"&gt;="&amp;Cobros[[#This Row],[Dias pasado]])</f>
        <v>100</v>
      </c>
      <c r="Q4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3">
        <f>IF(COUNTIF(PAPEL[Numero],Cobros[[#This Row],[Doc. Cargo]])&gt;0,1,0)</f>
        <v>0</v>
      </c>
      <c r="S403" s="46">
        <f t="array" ref="S4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3" s="46">
        <f t="array" ref="T403">INDEX(Ventas[[Unidades]:[2]],MATCH("Gerente de Venta",Ventas[Vendedor %],0),6+Cobros[[#This Row],[Mes]])</f>
        <v>0.005</v>
      </c>
      <c r="U403" s="34">
        <f>IF(Cobros[[#This Row],[Tipo]]="Credito",IF(60&gt;=Cobros[[#This Row],[Dias al pago]],1,0),IF(Cobros[[#This Row],[Dias al pago]]&lt;=3,1,0))</f>
        <v>1</v>
      </c>
      <c r="V403" s="46">
        <f>(Cobros[[#This Row],[% A pagar Vendedor]]/100)*Cobros[[#This Row],[Valor Pagado]]*Cobros[[#This Row],[Vencido]]*(Cobros[[#This Row],[% aplicar]]/100)*IF(Cobros[[#This Row],[% A pagar Vendedor]]&gt;0,1,0)</f>
        <v>1.9875</v>
      </c>
      <c r="W403" s="46">
        <f>0.5%*Cobros[[#This Row],[Valor Pagado]]</f>
        <v>0.795</v>
      </c>
    </row>
    <row r="404" spans="1:23">
      <c r="A404" s="49" t="s">
        <v>3860</v>
      </c>
      <c r="B404" s="49" t="s">
        <v>4488</v>
      </c>
      <c r="C404" s="49" t="s">
        <v>390</v>
      </c>
      <c r="D404" s="49" t="s">
        <v>391</v>
      </c>
      <c r="E404" s="49" t="s">
        <v>4489</v>
      </c>
      <c r="F404" s="51">
        <v>46211</v>
      </c>
      <c r="G404" s="49">
        <v>481</v>
      </c>
      <c r="H404" s="49" t="s">
        <v>20</v>
      </c>
      <c r="I404" s="51">
        <v>46216</v>
      </c>
      <c r="J404" s="54">
        <f>INT(Cobros[[#This Row],[Fecha Cargo]])</f>
        <v>46211</v>
      </c>
      <c r="K404" s="54">
        <f>INT(Cobros[[#This Row],[Fecha Aplicacion]])</f>
        <v>46216</v>
      </c>
      <c r="L404" s="55">
        <f>INDEX(Clientes[Días Plazo],MATCH(Cobros[[#This Row],[Cod. Cliente]],Clientes[Codigo],0),1)</f>
        <v>0</v>
      </c>
      <c r="M404" s="45" t="str">
        <f>IF(Cobros[[#This Row],[Dias de Credito]]&lt;=0,"Contado","Credito")</f>
        <v>Contado</v>
      </c>
      <c r="N404" s="45">
        <f>Cobros[[#This Row],[Fecha Aplicación S]]-Cobros[[#This Row],[Fecha Cargo S]]</f>
        <v>5</v>
      </c>
      <c r="O404" s="45">
        <f>Cobros[[#This Row],[Dias al pago]]-Cobros[[#This Row],[Dias de Credito]]</f>
        <v>5</v>
      </c>
      <c r="P404" s="45">
        <f>SUMIFS(TablaDias[Porcentaje],TablaDias[Tipo],Cobros[[#This Row],[Tipo]],TablaDias[Desde ],"&lt;="&amp;MAX(0,Cobros[[#This Row],[Dias pasado]]),TablaDias[Hasta ],"&gt;="&amp;Cobros[[#This Row],[Dias pasado]])</f>
        <v>0</v>
      </c>
      <c r="Q4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4">
        <f>IF(COUNTIF(PAPEL[Numero],Cobros[[#This Row],[Doc. Cargo]])&gt;0,1,0)</f>
        <v>0</v>
      </c>
      <c r="S404" s="46">
        <f t="array" ref="S4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4" s="46">
        <f t="array" ref="T404">INDEX(Ventas[[Unidades]:[2]],MATCH("Gerente de Venta",Ventas[Vendedor %],0),6+Cobros[[#This Row],[Mes]])</f>
        <v>0.005</v>
      </c>
      <c r="U404" s="34">
        <f>IF(Cobros[[#This Row],[Tipo]]="Credito",IF(60&gt;=Cobros[[#This Row],[Dias al pago]],1,0),IF(Cobros[[#This Row],[Dias al pago]]&lt;=3,1,0))</f>
        <v>0</v>
      </c>
      <c r="V404" s="46">
        <f>(Cobros[[#This Row],[% A pagar Vendedor]]/100)*Cobros[[#This Row],[Valor Pagado]]*Cobros[[#This Row],[Vencido]]*(Cobros[[#This Row],[% aplicar]]/100)*IF(Cobros[[#This Row],[% A pagar Vendedor]]&gt;0,1,0)</f>
        <v>0</v>
      </c>
      <c r="W404" s="46">
        <f>0.5%*Cobros[[#This Row],[Valor Pagado]]</f>
        <v>2.405</v>
      </c>
    </row>
    <row r="405" ht="30" spans="1:23">
      <c r="A405" s="49" t="s">
        <v>3860</v>
      </c>
      <c r="B405" s="49" t="s">
        <v>4490</v>
      </c>
      <c r="C405" s="49" t="s">
        <v>2105</v>
      </c>
      <c r="D405" s="49" t="s">
        <v>2106</v>
      </c>
      <c r="E405" s="49" t="s">
        <v>4491</v>
      </c>
      <c r="F405" s="51">
        <v>46195</v>
      </c>
      <c r="G405" s="49">
        <v>1125.15</v>
      </c>
      <c r="H405" s="49" t="s">
        <v>1355</v>
      </c>
      <c r="I405" s="51">
        <v>46216</v>
      </c>
      <c r="J405" s="54">
        <f>INT(Cobros[[#This Row],[Fecha Cargo]])</f>
        <v>46195</v>
      </c>
      <c r="K405" s="54">
        <f>INT(Cobros[[#This Row],[Fecha Aplicacion]])</f>
        <v>46216</v>
      </c>
      <c r="L405" s="55" t="str">
        <f>INDEX(Clientes[Días Plazo],MATCH(Cobros[[#This Row],[Cod. Cliente]],Clientes[Codigo],0),1)</f>
        <v>21</v>
      </c>
      <c r="M405" s="45" t="str">
        <f>IF(Cobros[[#This Row],[Dias de Credito]]&lt;=0,"Contado","Credito")</f>
        <v>Credito</v>
      </c>
      <c r="N405" s="45">
        <f>Cobros[[#This Row],[Fecha Aplicación S]]-Cobros[[#This Row],[Fecha Cargo S]]</f>
        <v>21</v>
      </c>
      <c r="O405" s="45">
        <f>Cobros[[#This Row],[Dias al pago]]-Cobros[[#This Row],[Dias de Credito]]</f>
        <v>0</v>
      </c>
      <c r="P405" s="45">
        <f>SUMIFS(TablaDias[Porcentaje],TablaDias[Tipo],Cobros[[#This Row],[Tipo]],TablaDias[Desde ],"&lt;="&amp;MAX(0,Cobros[[#This Row],[Dias pasado]]),TablaDias[Hasta ],"&gt;="&amp;Cobros[[#This Row],[Dias pasado]])</f>
        <v>100</v>
      </c>
      <c r="Q4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05">
        <f>IF(COUNTIF(PAPEL[Numero],Cobros[[#This Row],[Doc. Cargo]])&gt;0,1,0)</f>
        <v>0</v>
      </c>
      <c r="S405" s="46">
        <v>1</v>
      </c>
      <c r="T405" s="46">
        <f t="array" ref="T405">INDEX(Ventas[[Unidades]:[2]],MATCH("Gerente de Venta",Ventas[Vendedor %],0),6+Cobros[[#This Row],[Mes]])</f>
        <v>0.005</v>
      </c>
      <c r="U405" s="34">
        <f>IF(Cobros[[#This Row],[Tipo]]="Credito",IF(60&gt;=Cobros[[#This Row],[Dias al pago]],1,0),IF(Cobros[[#This Row],[Dias al pago]]&lt;=3,1,0))</f>
        <v>1</v>
      </c>
      <c r="V405" s="46">
        <f>(Cobros[[#This Row],[% A pagar Vendedor]]/100)*Cobros[[#This Row],[Valor Pagado]]*Cobros[[#This Row],[Vencido]]*(Cobros[[#This Row],[% aplicar]]/100)*IF(Cobros[[#This Row],[% A pagar Vendedor]]&gt;0,1,0)</f>
        <v>11.2515</v>
      </c>
      <c r="W405" s="46">
        <f>0.5%*Cobros[[#This Row],[Valor Pagado]]</f>
        <v>5.62575</v>
      </c>
    </row>
    <row r="406" spans="1:23">
      <c r="A406" s="49" t="s">
        <v>3860</v>
      </c>
      <c r="B406" s="49" t="s">
        <v>4492</v>
      </c>
      <c r="C406" s="49" t="s">
        <v>1984</v>
      </c>
      <c r="D406" s="49" t="s">
        <v>1985</v>
      </c>
      <c r="E406" s="49" t="s">
        <v>4317</v>
      </c>
      <c r="F406" s="51">
        <v>46185</v>
      </c>
      <c r="G406" s="49">
        <v>760.23</v>
      </c>
      <c r="H406" s="49" t="s">
        <v>16</v>
      </c>
      <c r="I406" s="51">
        <v>46216</v>
      </c>
      <c r="J406" s="54">
        <f>INT(Cobros[[#This Row],[Fecha Cargo]])</f>
        <v>46185</v>
      </c>
      <c r="K406" s="54">
        <f>INT(Cobros[[#This Row],[Fecha Aplicacion]])</f>
        <v>46216</v>
      </c>
      <c r="L406" s="55" t="str">
        <f>INDEX(Clientes[Días Plazo],MATCH(Cobros[[#This Row],[Cod. Cliente]],Clientes[Codigo],0),1)</f>
        <v>15</v>
      </c>
      <c r="M406" s="45" t="str">
        <f>IF(Cobros[[#This Row],[Dias de Credito]]&lt;=0,"Contado","Credito")</f>
        <v>Credito</v>
      </c>
      <c r="N406" s="45">
        <f>Cobros[[#This Row],[Fecha Aplicación S]]-Cobros[[#This Row],[Fecha Cargo S]]</f>
        <v>31</v>
      </c>
      <c r="O406" s="45">
        <f>Cobros[[#This Row],[Dias al pago]]-Cobros[[#This Row],[Dias de Credito]]</f>
        <v>16</v>
      </c>
      <c r="P406" s="45">
        <f>SUMIFS(TablaDias[Porcentaje],TablaDias[Tipo],Cobros[[#This Row],[Tipo]],TablaDias[Desde ],"&lt;="&amp;MAX(0,Cobros[[#This Row],[Dias pasado]]),TablaDias[Hasta ],"&gt;="&amp;Cobros[[#This Row],[Dias pasado]])</f>
        <v>50</v>
      </c>
      <c r="Q4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06">
        <f>IF(COUNTIF(PAPEL[Numero],Cobros[[#This Row],[Doc. Cargo]])&gt;0,1,0)</f>
        <v>0</v>
      </c>
      <c r="S406" s="46">
        <f t="array" ref="S40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06" s="47">
        <v>0.005</v>
      </c>
      <c r="U406" s="34">
        <f>IF(Cobros[[#This Row],[Tipo]]="Credito",IF(60&gt;=Cobros[[#This Row],[Dias al pago]],1,0),IF(Cobros[[#This Row],[Dias al pago]]&lt;=3,1,0))</f>
        <v>1</v>
      </c>
      <c r="V406" s="46">
        <f>(Cobros[[#This Row],[% A pagar Vendedor]]/100)*Cobros[[#This Row],[Valor Pagado]]*Cobros[[#This Row],[Vencido]]*(Cobros[[#This Row],[% aplicar]]/100)*IF(Cobros[[#This Row],[% A pagar Vendedor]]&gt;0,1,0)</f>
        <v>3.80115</v>
      </c>
      <c r="W406" s="46">
        <f>0.5%*Cobros[[#This Row],[Valor Pagado]]</f>
        <v>3.80115</v>
      </c>
    </row>
    <row r="407" spans="1:23">
      <c r="A407" s="49" t="s">
        <v>3860</v>
      </c>
      <c r="B407" s="49" t="s">
        <v>4492</v>
      </c>
      <c r="C407" s="49" t="s">
        <v>1984</v>
      </c>
      <c r="D407" s="49" t="s">
        <v>1985</v>
      </c>
      <c r="E407" s="49" t="s">
        <v>4493</v>
      </c>
      <c r="F407" s="51">
        <v>46188</v>
      </c>
      <c r="G407" s="49">
        <v>239.77</v>
      </c>
      <c r="H407" s="49" t="s">
        <v>16</v>
      </c>
      <c r="I407" s="51">
        <v>46216</v>
      </c>
      <c r="J407" s="54">
        <f>INT(Cobros[[#This Row],[Fecha Cargo]])</f>
        <v>46188</v>
      </c>
      <c r="K407" s="54">
        <f>INT(Cobros[[#This Row],[Fecha Aplicacion]])</f>
        <v>46216</v>
      </c>
      <c r="L407" s="55" t="str">
        <f>INDEX(Clientes[Días Plazo],MATCH(Cobros[[#This Row],[Cod. Cliente]],Clientes[Codigo],0),1)</f>
        <v>15</v>
      </c>
      <c r="M407" s="45" t="str">
        <f>IF(Cobros[[#This Row],[Dias de Credito]]&lt;=0,"Contado","Credito")</f>
        <v>Credito</v>
      </c>
      <c r="N407" s="45">
        <f>Cobros[[#This Row],[Fecha Aplicación S]]-Cobros[[#This Row],[Fecha Cargo S]]</f>
        <v>28</v>
      </c>
      <c r="O407" s="45">
        <f>Cobros[[#This Row],[Dias al pago]]-Cobros[[#This Row],[Dias de Credito]]</f>
        <v>13</v>
      </c>
      <c r="P407" s="45">
        <f>SUMIFS(TablaDias[Porcentaje],TablaDias[Tipo],Cobros[[#This Row],[Tipo]],TablaDias[Desde ],"&lt;="&amp;MAX(0,Cobros[[#This Row],[Dias pasado]]),TablaDias[Hasta ],"&gt;="&amp;Cobros[[#This Row],[Dias pasado]])</f>
        <v>100</v>
      </c>
      <c r="Q4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07">
        <f>IF(COUNTIF(PAPEL[Numero],Cobros[[#This Row],[Doc. Cargo]])&gt;0,1,0)</f>
        <v>0</v>
      </c>
      <c r="S407" s="46">
        <f t="array" ref="S4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07" s="47">
        <v>0.005</v>
      </c>
      <c r="U407" s="34">
        <f>IF(Cobros[[#This Row],[Tipo]]="Credito",IF(60&gt;=Cobros[[#This Row],[Dias al pago]],1,0),IF(Cobros[[#This Row],[Dias al pago]]&lt;=3,1,0))</f>
        <v>1</v>
      </c>
      <c r="V407" s="46">
        <f>(Cobros[[#This Row],[% A pagar Vendedor]]/100)*Cobros[[#This Row],[Valor Pagado]]*Cobros[[#This Row],[Vencido]]*(Cobros[[#This Row],[% aplicar]]/100)*IF(Cobros[[#This Row],[% A pagar Vendedor]]&gt;0,1,0)</f>
        <v>2.3977</v>
      </c>
      <c r="W407" s="46">
        <f>0.5%*Cobros[[#This Row],[Valor Pagado]]</f>
        <v>1.19885</v>
      </c>
    </row>
    <row r="408" spans="1:23">
      <c r="A408" s="49" t="s">
        <v>3860</v>
      </c>
      <c r="B408" s="49" t="s">
        <v>4494</v>
      </c>
      <c r="C408" s="49" t="s">
        <v>1222</v>
      </c>
      <c r="D408" s="49" t="s">
        <v>1223</v>
      </c>
      <c r="E408" s="49" t="s">
        <v>4434</v>
      </c>
      <c r="F408" s="51">
        <v>46213</v>
      </c>
      <c r="G408" s="49">
        <v>760.55</v>
      </c>
      <c r="H408" s="49" t="s">
        <v>20</v>
      </c>
      <c r="I408" s="51">
        <v>46216</v>
      </c>
      <c r="J408" s="54">
        <f>INT(Cobros[[#This Row],[Fecha Cargo]])</f>
        <v>46213</v>
      </c>
      <c r="K408" s="54">
        <f>INT(Cobros[[#This Row],[Fecha Aplicacion]])</f>
        <v>46216</v>
      </c>
      <c r="L408" s="55">
        <v>0</v>
      </c>
      <c r="M408" s="45" t="str">
        <f>IF(Cobros[[#This Row],[Dias de Credito]]&lt;=0,"Contado","Credito")</f>
        <v>Contado</v>
      </c>
      <c r="N408" s="45">
        <f>Cobros[[#This Row],[Fecha Aplicación S]]-Cobros[[#This Row],[Fecha Cargo S]]</f>
        <v>3</v>
      </c>
      <c r="O408" s="45">
        <f>Cobros[[#This Row],[Dias al pago]]-Cobros[[#This Row],[Dias de Credito]]</f>
        <v>3</v>
      </c>
      <c r="P408" s="45">
        <f>SUMIFS(TablaDias[Porcentaje],TablaDias[Tipo],Cobros[[#This Row],[Tipo]],TablaDias[Desde ],"&lt;="&amp;MAX(0,Cobros[[#This Row],[Dias pasado]]),TablaDias[Hasta ],"&gt;="&amp;Cobros[[#This Row],[Dias pasado]])</f>
        <v>100</v>
      </c>
      <c r="Q4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8">
        <f>IF(COUNTIF(PAPEL[Numero],Cobros[[#This Row],[Doc. Cargo]])&gt;0,1,0)</f>
        <v>0</v>
      </c>
      <c r="S408" s="46">
        <f t="array" ref="S4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8" s="46">
        <f t="array" ref="T408">INDEX(Ventas[[Unidades]:[2]],MATCH("Gerente de Venta",Ventas[Vendedor %],0),6+Cobros[[#This Row],[Mes]])</f>
        <v>0.005</v>
      </c>
      <c r="U408" s="34">
        <f>IF(Cobros[[#This Row],[Tipo]]="Credito",IF(60&gt;=Cobros[[#This Row],[Dias al pago]],1,0),IF(Cobros[[#This Row],[Dias al pago]]&lt;=3,1,0))</f>
        <v>1</v>
      </c>
      <c r="V408" s="46">
        <f>(Cobros[[#This Row],[% A pagar Vendedor]]/100)*Cobros[[#This Row],[Valor Pagado]]*Cobros[[#This Row],[Vencido]]*(Cobros[[#This Row],[% aplicar]]/100)*IF(Cobros[[#This Row],[% A pagar Vendedor]]&gt;0,1,0)</f>
        <v>9.506875</v>
      </c>
      <c r="W408" s="46">
        <f>0.5%*Cobros[[#This Row],[Valor Pagado]]</f>
        <v>3.80275</v>
      </c>
    </row>
    <row r="409" spans="1:23">
      <c r="A409" s="49" t="s">
        <v>3860</v>
      </c>
      <c r="B409" s="49" t="s">
        <v>4494</v>
      </c>
      <c r="C409" s="49" t="s">
        <v>1222</v>
      </c>
      <c r="D409" s="49" t="s">
        <v>1223</v>
      </c>
      <c r="E409" s="49" t="s">
        <v>4495</v>
      </c>
      <c r="F409" s="51">
        <v>46216</v>
      </c>
      <c r="G409" s="49">
        <v>113.2</v>
      </c>
      <c r="H409" s="49" t="s">
        <v>20</v>
      </c>
      <c r="I409" s="51">
        <v>46216</v>
      </c>
      <c r="J409" s="54">
        <f>INT(Cobros[[#This Row],[Fecha Cargo]])</f>
        <v>46216</v>
      </c>
      <c r="K409" s="54">
        <f>INT(Cobros[[#This Row],[Fecha Aplicacion]])</f>
        <v>46216</v>
      </c>
      <c r="L409" s="55">
        <v>0</v>
      </c>
      <c r="M409" s="45" t="str">
        <f>IF(Cobros[[#This Row],[Dias de Credito]]&lt;=0,"Contado","Credito")</f>
        <v>Contado</v>
      </c>
      <c r="N409" s="45">
        <f>Cobros[[#This Row],[Fecha Aplicación S]]-Cobros[[#This Row],[Fecha Cargo S]]</f>
        <v>0</v>
      </c>
      <c r="O409" s="45">
        <f>Cobros[[#This Row],[Dias al pago]]-Cobros[[#This Row],[Dias de Credito]]</f>
        <v>0</v>
      </c>
      <c r="P409" s="45">
        <f>SUMIFS(TablaDias[Porcentaje],TablaDias[Tipo],Cobros[[#This Row],[Tipo]],TablaDias[Desde ],"&lt;="&amp;MAX(0,Cobros[[#This Row],[Dias pasado]]),TablaDias[Hasta ],"&gt;="&amp;Cobros[[#This Row],[Dias pasado]])</f>
        <v>100</v>
      </c>
      <c r="Q4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09">
        <f>IF(COUNTIF(PAPEL[Numero],Cobros[[#This Row],[Doc. Cargo]])&gt;0,1,0)</f>
        <v>0</v>
      </c>
      <c r="S409" s="46">
        <f t="array" ref="S4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09" s="46">
        <f t="array" ref="T409">INDEX(Ventas[[Unidades]:[2]],MATCH("Gerente de Venta",Ventas[Vendedor %],0),6+Cobros[[#This Row],[Mes]])</f>
        <v>0.005</v>
      </c>
      <c r="U409" s="34">
        <f>IF(Cobros[[#This Row],[Tipo]]="Credito",IF(60&gt;=Cobros[[#This Row],[Dias al pago]],1,0),IF(Cobros[[#This Row],[Dias al pago]]&lt;=3,1,0))</f>
        <v>1</v>
      </c>
      <c r="V409" s="46">
        <f>(Cobros[[#This Row],[% A pagar Vendedor]]/100)*Cobros[[#This Row],[Valor Pagado]]*Cobros[[#This Row],[Vencido]]*(Cobros[[#This Row],[% aplicar]]/100)*IF(Cobros[[#This Row],[% A pagar Vendedor]]&gt;0,1,0)</f>
        <v>1.415</v>
      </c>
      <c r="W409" s="46">
        <f>0.5%*Cobros[[#This Row],[Valor Pagado]]</f>
        <v>0.566</v>
      </c>
    </row>
    <row r="410" spans="1:23">
      <c r="A410" s="49" t="s">
        <v>3860</v>
      </c>
      <c r="B410" s="49" t="s">
        <v>4496</v>
      </c>
      <c r="C410" s="49" t="s">
        <v>1478</v>
      </c>
      <c r="D410" s="49" t="s">
        <v>1479</v>
      </c>
      <c r="E410" s="49" t="s">
        <v>4497</v>
      </c>
      <c r="F410" s="51">
        <v>46212</v>
      </c>
      <c r="G410" s="49">
        <v>761.25</v>
      </c>
      <c r="H410" s="49" t="s">
        <v>18</v>
      </c>
      <c r="I410" s="51">
        <v>46216</v>
      </c>
      <c r="J410" s="54">
        <f>INT(Cobros[[#This Row],[Fecha Cargo]])</f>
        <v>46212</v>
      </c>
      <c r="K410" s="54">
        <f>INT(Cobros[[#This Row],[Fecha Aplicacion]])</f>
        <v>46216</v>
      </c>
      <c r="L410" s="55" t="str">
        <f>INDEX(Clientes[Días Plazo],MATCH(Cobros[[#This Row],[Cod. Cliente]],Clientes[Codigo],0),1)</f>
        <v>3</v>
      </c>
      <c r="M410" s="45" t="str">
        <f>IF(Cobros[[#This Row],[Dias de Credito]]&lt;=0,"Contado","Credito")</f>
        <v>Credito</v>
      </c>
      <c r="N410" s="45">
        <f>Cobros[[#This Row],[Fecha Aplicación S]]-Cobros[[#This Row],[Fecha Cargo S]]</f>
        <v>4</v>
      </c>
      <c r="O410" s="45">
        <f>Cobros[[#This Row],[Dias al pago]]-Cobros[[#This Row],[Dias de Credito]]</f>
        <v>1</v>
      </c>
      <c r="P410" s="45">
        <f>SUMIFS(TablaDias[Porcentaje],TablaDias[Tipo],Cobros[[#This Row],[Tipo]],TablaDias[Desde ],"&lt;="&amp;MAX(0,Cobros[[#This Row],[Dias pasado]]),TablaDias[Hasta ],"&gt;="&amp;Cobros[[#This Row],[Dias pasado]])</f>
        <v>100</v>
      </c>
      <c r="Q4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0">
        <f>IF(COUNTIF(PAPEL[Numero],Cobros[[#This Row],[Doc. Cargo]])&gt;0,1,0)</f>
        <v>0</v>
      </c>
      <c r="S410" s="46">
        <f t="array" ref="S4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10" s="46">
        <f t="array" ref="T410">INDEX(Ventas[[Unidades]:[2]],MATCH("Gerente de Venta",Ventas[Vendedor %],0),6+Cobros[[#This Row],[Mes]])</f>
        <v>0.005</v>
      </c>
      <c r="U410" s="34">
        <f>IF(Cobros[[#This Row],[Tipo]]="Credito",IF(60&gt;=Cobros[[#This Row],[Dias al pago]],1,0),IF(Cobros[[#This Row],[Dias al pago]]&lt;=3,1,0))</f>
        <v>1</v>
      </c>
      <c r="V410" s="46">
        <f>(Cobros[[#This Row],[% A pagar Vendedor]]/100)*Cobros[[#This Row],[Valor Pagado]]*Cobros[[#This Row],[Vencido]]*(Cobros[[#This Row],[% aplicar]]/100)*IF(Cobros[[#This Row],[% A pagar Vendedor]]&gt;0,1,0)</f>
        <v>9.515625</v>
      </c>
      <c r="W410" s="46">
        <f>0.5%*Cobros[[#This Row],[Valor Pagado]]</f>
        <v>3.80625</v>
      </c>
    </row>
    <row r="411" spans="1:23">
      <c r="A411" s="49" t="s">
        <v>3860</v>
      </c>
      <c r="B411" s="49" t="s">
        <v>4498</v>
      </c>
      <c r="C411" s="49" t="s">
        <v>1478</v>
      </c>
      <c r="D411" s="49" t="s">
        <v>1479</v>
      </c>
      <c r="E411" s="49" t="s">
        <v>4499</v>
      </c>
      <c r="F411" s="51">
        <v>46212</v>
      </c>
      <c r="G411" s="49">
        <v>17.7</v>
      </c>
      <c r="H411" s="49" t="s">
        <v>18</v>
      </c>
      <c r="I411" s="51">
        <v>46212</v>
      </c>
      <c r="J411" s="54">
        <f>INT(Cobros[[#This Row],[Fecha Cargo]])</f>
        <v>46212</v>
      </c>
      <c r="K411" s="54">
        <f>INT(Cobros[[#This Row],[Fecha Aplicacion]])</f>
        <v>46212</v>
      </c>
      <c r="L411" s="55" t="str">
        <f>INDEX(Clientes[Días Plazo],MATCH(Cobros[[#This Row],[Cod. Cliente]],Clientes[Codigo],0),1)</f>
        <v>3</v>
      </c>
      <c r="M411" s="45" t="str">
        <f>IF(Cobros[[#This Row],[Dias de Credito]]&lt;=0,"Contado","Credito")</f>
        <v>Credito</v>
      </c>
      <c r="N411" s="45">
        <f>Cobros[[#This Row],[Fecha Aplicación S]]-Cobros[[#This Row],[Fecha Cargo S]]</f>
        <v>0</v>
      </c>
      <c r="O411" s="45">
        <f>Cobros[[#This Row],[Dias al pago]]-Cobros[[#This Row],[Dias de Credito]]</f>
        <v>-3</v>
      </c>
      <c r="P411" s="45">
        <f>SUMIFS(TablaDias[Porcentaje],TablaDias[Tipo],Cobros[[#This Row],[Tipo]],TablaDias[Desde ],"&lt;="&amp;MAX(0,Cobros[[#This Row],[Dias pasado]]),TablaDias[Hasta ],"&gt;="&amp;Cobros[[#This Row],[Dias pasado]])</f>
        <v>100</v>
      </c>
      <c r="Q4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1">
        <f>IF(COUNTIF(PAPEL[Numero],Cobros[[#This Row],[Doc. Cargo]])&gt;0,1,0)</f>
        <v>0</v>
      </c>
      <c r="S411" s="46">
        <f t="array" ref="S4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11" s="46">
        <f t="array" ref="T411">INDEX(Ventas[[Unidades]:[2]],MATCH("Gerente de Venta",Ventas[Vendedor %],0),6+Cobros[[#This Row],[Mes]])</f>
        <v>0.005</v>
      </c>
      <c r="U411" s="34">
        <f>IF(Cobros[[#This Row],[Tipo]]="Credito",IF(60&gt;=Cobros[[#This Row],[Dias al pago]],1,0),IF(Cobros[[#This Row],[Dias al pago]]&lt;=3,1,0))</f>
        <v>1</v>
      </c>
      <c r="V411" s="46">
        <f>(Cobros[[#This Row],[% A pagar Vendedor]]/100)*Cobros[[#This Row],[Valor Pagado]]*Cobros[[#This Row],[Vencido]]*(Cobros[[#This Row],[% aplicar]]/100)*IF(Cobros[[#This Row],[% A pagar Vendedor]]&gt;0,1,0)</f>
        <v>0.22125</v>
      </c>
      <c r="W411" s="46">
        <f>0.5%*Cobros[[#This Row],[Valor Pagado]]</f>
        <v>0.0885</v>
      </c>
    </row>
    <row r="412" ht="30" spans="1:24">
      <c r="A412" s="49" t="s">
        <v>3860</v>
      </c>
      <c r="B412" s="49" t="s">
        <v>4500</v>
      </c>
      <c r="C412" s="49" t="s">
        <v>2934</v>
      </c>
      <c r="D412" s="49" t="s">
        <v>2935</v>
      </c>
      <c r="E412" s="49" t="s">
        <v>4501</v>
      </c>
      <c r="F412" s="51">
        <v>46175</v>
      </c>
      <c r="G412" s="49">
        <v>41.11</v>
      </c>
      <c r="H412" s="49" t="s">
        <v>22</v>
      </c>
      <c r="I412" s="51">
        <v>46216</v>
      </c>
      <c r="J412" s="54">
        <f>INT(Cobros[[#This Row],[Fecha Cargo]])</f>
        <v>46175</v>
      </c>
      <c r="K412" s="54">
        <f>INT(Cobros[[#This Row],[Fecha Aplicacion]])</f>
        <v>46216</v>
      </c>
      <c r="L412" s="55" t="str">
        <f>INDEX(Clientes[Días Plazo],MATCH(Cobros[[#This Row],[Cod. Cliente]],Clientes[Codigo],0),1)</f>
        <v>21</v>
      </c>
      <c r="M412" s="45" t="str">
        <f>IF(Cobros[[#This Row],[Dias de Credito]]&lt;=0,"Contado","Credito")</f>
        <v>Credito</v>
      </c>
      <c r="N412" s="45">
        <f>Cobros[[#This Row],[Fecha Aplicación S]]-Cobros[[#This Row],[Fecha Cargo S]]</f>
        <v>41</v>
      </c>
      <c r="O412" s="45">
        <f>Cobros[[#This Row],[Dias al pago]]-Cobros[[#This Row],[Dias de Credito]]</f>
        <v>20</v>
      </c>
      <c r="P412" s="45">
        <f>SUMIFS(TablaDias[Porcentaje],TablaDias[Tipo],Cobros[[#This Row],[Tipo]],TablaDias[Desde ],"&lt;="&amp;MAX(0,Cobros[[#This Row],[Dias pasado]]),TablaDias[Hasta ],"&gt;="&amp;Cobros[[#This Row],[Dias pasado]])</f>
        <v>50</v>
      </c>
      <c r="Q4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12">
        <f>IF(COUNTIF(PAPEL[Numero],Cobros[[#This Row],[Doc. Cargo]])&gt;0,1,0)</f>
        <v>0</v>
      </c>
      <c r="S412" s="46">
        <f t="array" ref="S4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12" s="46">
        <f t="array" ref="T412">INDEX(Ventas[[Unidades]:[2]],MATCH("Gerente de Venta",Ventas[Vendedor %],0),6+Cobros[[#This Row],[Mes]])</f>
        <v>0.005</v>
      </c>
      <c r="U412" s="34">
        <v>0</v>
      </c>
      <c r="V412" s="46">
        <f>(Cobros[[#This Row],[% A pagar Vendedor]]/100)*Cobros[[#This Row],[Valor Pagado]]*Cobros[[#This Row],[Vencido]]*(Cobros[[#This Row],[% aplicar]]/100)*IF(Cobros[[#This Row],[% A pagar Vendedor]]&gt;0,1,0)</f>
        <v>0</v>
      </c>
      <c r="W412" s="46">
        <f>0.5%*Cobros[[#This Row],[Valor Pagado]]</f>
        <v>0.20555</v>
      </c>
      <c r="X412" s="60"/>
    </row>
    <row r="413" ht="30" spans="1:23">
      <c r="A413" s="49" t="s">
        <v>3860</v>
      </c>
      <c r="B413" s="49" t="s">
        <v>4500</v>
      </c>
      <c r="C413" s="49" t="s">
        <v>2934</v>
      </c>
      <c r="D413" s="49" t="s">
        <v>2935</v>
      </c>
      <c r="E413" s="49" t="s">
        <v>4502</v>
      </c>
      <c r="F413" s="51">
        <v>46183</v>
      </c>
      <c r="G413" s="49">
        <v>865.85</v>
      </c>
      <c r="H413" s="49" t="s">
        <v>22</v>
      </c>
      <c r="I413" s="51">
        <v>46216</v>
      </c>
      <c r="J413" s="54">
        <f>INT(Cobros[[#This Row],[Fecha Cargo]])</f>
        <v>46183</v>
      </c>
      <c r="K413" s="54">
        <f>INT(Cobros[[#This Row],[Fecha Aplicacion]])</f>
        <v>46216</v>
      </c>
      <c r="L413" s="55" t="str">
        <f>INDEX(Clientes[Días Plazo],MATCH(Cobros[[#This Row],[Cod. Cliente]],Clientes[Codigo],0),1)</f>
        <v>21</v>
      </c>
      <c r="M413" s="45" t="str">
        <f>IF(Cobros[[#This Row],[Dias de Credito]]&lt;=0,"Contado","Credito")</f>
        <v>Credito</v>
      </c>
      <c r="N413" s="45">
        <f>Cobros[[#This Row],[Fecha Aplicación S]]-Cobros[[#This Row],[Fecha Cargo S]]</f>
        <v>33</v>
      </c>
      <c r="O413" s="45">
        <f>Cobros[[#This Row],[Dias al pago]]-Cobros[[#This Row],[Dias de Credito]]</f>
        <v>12</v>
      </c>
      <c r="P413" s="45">
        <f>SUMIFS(TablaDias[Porcentaje],TablaDias[Tipo],Cobros[[#This Row],[Tipo]],TablaDias[Desde ],"&lt;="&amp;MAX(0,Cobros[[#This Row],[Dias pasado]]),TablaDias[Hasta ],"&gt;="&amp;Cobros[[#This Row],[Dias pasado]])</f>
        <v>100</v>
      </c>
      <c r="Q4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13">
        <f>IF(COUNTIF(PAPEL[Numero],Cobros[[#This Row],[Doc. Cargo]])&gt;0,1,0)</f>
        <v>0</v>
      </c>
      <c r="S413" s="46">
        <f t="array" ref="S4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13" s="46">
        <f t="array" ref="T413">INDEX(Ventas[[Unidades]:[2]],MATCH("Gerente de Venta",Ventas[Vendedor %],0),6+Cobros[[#This Row],[Mes]])</f>
        <v>0.005</v>
      </c>
      <c r="U413" s="34">
        <f>IF(Cobros[[#This Row],[Tipo]]="Credito",IF(60&gt;=Cobros[[#This Row],[Dias al pago]],1,0),IF(Cobros[[#This Row],[Dias al pago]]&lt;=3,1,0))</f>
        <v>1</v>
      </c>
      <c r="V413" s="46">
        <f>(Cobros[[#This Row],[% A pagar Vendedor]]/100)*Cobros[[#This Row],[Valor Pagado]]*Cobros[[#This Row],[Vencido]]*(Cobros[[#This Row],[% aplicar]]/100)*IF(Cobros[[#This Row],[% A pagar Vendedor]]&gt;0,1,0)</f>
        <v>8.6585</v>
      </c>
      <c r="W413" s="46">
        <f>0.5%*Cobros[[#This Row],[Valor Pagado]]</f>
        <v>4.32925</v>
      </c>
    </row>
    <row r="414" spans="1:23">
      <c r="A414" s="49" t="s">
        <v>3860</v>
      </c>
      <c r="B414" s="49" t="s">
        <v>4503</v>
      </c>
      <c r="C414" s="49" t="s">
        <v>1222</v>
      </c>
      <c r="D414" s="49" t="s">
        <v>1223</v>
      </c>
      <c r="E414" s="49" t="s">
        <v>4495</v>
      </c>
      <c r="F414" s="51">
        <v>46216</v>
      </c>
      <c r="G414" s="49">
        <v>85</v>
      </c>
      <c r="H414" s="49" t="s">
        <v>20</v>
      </c>
      <c r="I414" s="51">
        <v>46216</v>
      </c>
      <c r="J414" s="54">
        <f>INT(Cobros[[#This Row],[Fecha Cargo]])</f>
        <v>46216</v>
      </c>
      <c r="K414" s="54">
        <f>INT(Cobros[[#This Row],[Fecha Aplicacion]])</f>
        <v>46216</v>
      </c>
      <c r="L414" s="55" t="str">
        <f>INDEX(Clientes[Días Plazo],MATCH(Cobros[[#This Row],[Cod. Cliente]],Clientes[Codigo],0),1)</f>
        <v>7</v>
      </c>
      <c r="M414" s="45" t="str">
        <f>IF(Cobros[[#This Row],[Dias de Credito]]&lt;=0,"Contado","Credito")</f>
        <v>Credito</v>
      </c>
      <c r="N414" s="45">
        <f>Cobros[[#This Row],[Fecha Aplicación S]]-Cobros[[#This Row],[Fecha Cargo S]]</f>
        <v>0</v>
      </c>
      <c r="O414" s="45">
        <f>Cobros[[#This Row],[Dias al pago]]-Cobros[[#This Row],[Dias de Credito]]</f>
        <v>-7</v>
      </c>
      <c r="P414" s="45">
        <f>SUMIFS(TablaDias[Porcentaje],TablaDias[Tipo],Cobros[[#This Row],[Tipo]],TablaDias[Desde ],"&lt;="&amp;MAX(0,Cobros[[#This Row],[Dias pasado]]),TablaDias[Hasta ],"&gt;="&amp;Cobros[[#This Row],[Dias pasado]])</f>
        <v>100</v>
      </c>
      <c r="Q4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4">
        <f>IF(COUNTIF(PAPEL[Numero],Cobros[[#This Row],[Doc. Cargo]])&gt;0,1,0)</f>
        <v>0</v>
      </c>
      <c r="S414" s="46">
        <f t="array" ref="S4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14" s="46">
        <f t="array" ref="T414">INDEX(Ventas[[Unidades]:[2]],MATCH("Gerente de Venta",Ventas[Vendedor %],0),6+Cobros[[#This Row],[Mes]])</f>
        <v>0.005</v>
      </c>
      <c r="U414" s="34">
        <f>IF(Cobros[[#This Row],[Tipo]]="Credito",IF(60&gt;=Cobros[[#This Row],[Dias al pago]],1,0),IF(Cobros[[#This Row],[Dias al pago]]&lt;=3,1,0))</f>
        <v>1</v>
      </c>
      <c r="V414" s="46">
        <f>(Cobros[[#This Row],[% A pagar Vendedor]]/100)*Cobros[[#This Row],[Valor Pagado]]*Cobros[[#This Row],[Vencido]]*(Cobros[[#This Row],[% aplicar]]/100)*IF(Cobros[[#This Row],[% A pagar Vendedor]]&gt;0,1,0)</f>
        <v>1.0625</v>
      </c>
      <c r="W414" s="46">
        <f>0.5%*Cobros[[#This Row],[Valor Pagado]]</f>
        <v>0.425</v>
      </c>
    </row>
    <row r="415" ht="30" spans="1:23">
      <c r="A415" s="49" t="s">
        <v>3860</v>
      </c>
      <c r="B415" s="49" t="s">
        <v>4504</v>
      </c>
      <c r="C415" s="49" t="s">
        <v>1959</v>
      </c>
      <c r="D415" s="49" t="s">
        <v>1960</v>
      </c>
      <c r="E415" s="49" t="s">
        <v>4505</v>
      </c>
      <c r="F415" s="51">
        <v>46216</v>
      </c>
      <c r="G415" s="49">
        <v>754</v>
      </c>
      <c r="H415" s="49" t="s">
        <v>3865</v>
      </c>
      <c r="I415" s="51">
        <v>46216</v>
      </c>
      <c r="J415" s="54">
        <f>INT(Cobros[[#This Row],[Fecha Cargo]])</f>
        <v>46216</v>
      </c>
      <c r="K415" s="54">
        <f>INT(Cobros[[#This Row],[Fecha Aplicacion]])</f>
        <v>46216</v>
      </c>
      <c r="L415" s="55">
        <v>0</v>
      </c>
      <c r="M415" s="45" t="str">
        <f>IF(Cobros[[#This Row],[Dias de Credito]]&lt;=0,"Contado","Credito")</f>
        <v>Contado</v>
      </c>
      <c r="N415" s="45">
        <f>Cobros[[#This Row],[Fecha Aplicación S]]-Cobros[[#This Row],[Fecha Cargo S]]</f>
        <v>0</v>
      </c>
      <c r="O415" s="45">
        <f>Cobros[[#This Row],[Dias al pago]]-Cobros[[#This Row],[Dias de Credito]]</f>
        <v>0</v>
      </c>
      <c r="P415" s="45">
        <f>SUMIFS(TablaDias[Porcentaje],TablaDias[Tipo],Cobros[[#This Row],[Tipo]],TablaDias[Desde ],"&lt;="&amp;MAX(0,Cobros[[#This Row],[Dias pasado]]),TablaDias[Hasta ],"&gt;="&amp;Cobros[[#This Row],[Dias pasado]])</f>
        <v>100</v>
      </c>
      <c r="Q4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5">
        <f>IF(COUNTIF(PAPEL[Numero],Cobros[[#This Row],[Doc. Cargo]])&gt;0,1,0)</f>
        <v>0</v>
      </c>
      <c r="S415" s="46">
        <v>1</v>
      </c>
      <c r="T415" s="46">
        <f t="array" ref="T415">INDEX(Ventas[[Unidades]:[2]],MATCH("Gerente de Venta",Ventas[Vendedor %],0),6+Cobros[[#This Row],[Mes]])</f>
        <v>0.005</v>
      </c>
      <c r="U415" s="34">
        <f>IF(Cobros[[#This Row],[Tipo]]="Credito",IF(60&gt;=Cobros[[#This Row],[Dias al pago]],1,0),IF(Cobros[[#This Row],[Dias al pago]]&lt;=3,1,0))</f>
        <v>1</v>
      </c>
      <c r="V415" s="46">
        <f>(Cobros[[#This Row],[% A pagar Vendedor]]/100)*Cobros[[#This Row],[Valor Pagado]]*Cobros[[#This Row],[Vencido]]*(Cobros[[#This Row],[% aplicar]]/100)*IF(Cobros[[#This Row],[% A pagar Vendedor]]&gt;0,1,0)</f>
        <v>7.54</v>
      </c>
      <c r="W415" s="46">
        <f>0.5%*Cobros[[#This Row],[Valor Pagado]]</f>
        <v>3.77</v>
      </c>
    </row>
    <row r="416" ht="30" spans="1:24">
      <c r="A416" s="49" t="s">
        <v>3860</v>
      </c>
      <c r="B416" s="49" t="s">
        <v>4506</v>
      </c>
      <c r="C416" s="49" t="s">
        <v>2826</v>
      </c>
      <c r="D416" s="49" t="s">
        <v>2827</v>
      </c>
      <c r="E416" s="49" t="s">
        <v>4507</v>
      </c>
      <c r="F416" s="51">
        <v>46195</v>
      </c>
      <c r="G416" s="49">
        <v>399</v>
      </c>
      <c r="H416" s="49" t="s">
        <v>1355</v>
      </c>
      <c r="I416" s="51">
        <v>46216</v>
      </c>
      <c r="J416" s="54">
        <f>INT(Cobros[[#This Row],[Fecha Cargo]])</f>
        <v>46195</v>
      </c>
      <c r="K416" s="54">
        <f>INT(Cobros[[#This Row],[Fecha Aplicacion]])</f>
        <v>46216</v>
      </c>
      <c r="L416" s="55" t="str">
        <f>INDEX(Clientes[Días Plazo],MATCH(Cobros[[#This Row],[Cod. Cliente]],Clientes[Codigo],0),1)</f>
        <v>7</v>
      </c>
      <c r="M416" s="45" t="str">
        <f>IF(Cobros[[#This Row],[Dias de Credito]]&lt;=0,"Contado","Credito")</f>
        <v>Credito</v>
      </c>
      <c r="N416" s="45">
        <f>Cobros[[#This Row],[Fecha Aplicación S]]-Cobros[[#This Row],[Fecha Cargo S]]</f>
        <v>21</v>
      </c>
      <c r="O416" s="45">
        <f>Cobros[[#This Row],[Dias al pago]]-Cobros[[#This Row],[Dias de Credito]]</f>
        <v>14</v>
      </c>
      <c r="P416" s="45">
        <f>SUMIFS(TablaDias[Porcentaje],TablaDias[Tipo],Cobros[[#This Row],[Tipo]],TablaDias[Desde ],"&lt;="&amp;MAX(0,Cobros[[#This Row],[Dias pasado]]),TablaDias[Hasta ],"&gt;="&amp;Cobros[[#This Row],[Dias pasado]])</f>
        <v>100</v>
      </c>
      <c r="Q4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16">
        <f>IF(COUNTIF(PAPEL[Numero],Cobros[[#This Row],[Doc. Cargo]])&gt;0,1,0)</f>
        <v>0</v>
      </c>
      <c r="S416" s="46">
        <v>1</v>
      </c>
      <c r="T416" s="46">
        <f t="array" ref="T416">INDEX(Ventas[[Unidades]:[2]],MATCH("Gerente de Venta",Ventas[Vendedor %],0),6+Cobros[[#This Row],[Mes]])</f>
        <v>0.005</v>
      </c>
      <c r="U416" s="34">
        <f>IF(Cobros[[#This Row],[Tipo]]="Credito",IF(60&gt;=Cobros[[#This Row],[Dias al pago]],1,0),IF(Cobros[[#This Row],[Dias al pago]]&lt;=3,1,0))</f>
        <v>1</v>
      </c>
      <c r="V416" s="46">
        <f>(Cobros[[#This Row],[% A pagar Vendedor]]/100)*Cobros[[#This Row],[Valor Pagado]]*Cobros[[#This Row],[Vencido]]*(Cobros[[#This Row],[% aplicar]]/100)*IF(Cobros[[#This Row],[% A pagar Vendedor]]&gt;0,1,0)</f>
        <v>3.99</v>
      </c>
      <c r="W416" s="46">
        <f>0.5%*Cobros[[#This Row],[Valor Pagado]]</f>
        <v>1.995</v>
      </c>
      <c r="X416" s="34"/>
    </row>
    <row r="417" ht="30" spans="1:23">
      <c r="A417" s="49" t="s">
        <v>3860</v>
      </c>
      <c r="B417" s="49" t="s">
        <v>4508</v>
      </c>
      <c r="C417" s="49" t="s">
        <v>2826</v>
      </c>
      <c r="D417" s="49" t="s">
        <v>2827</v>
      </c>
      <c r="E417" s="49" t="s">
        <v>4043</v>
      </c>
      <c r="F417" s="51">
        <v>46195</v>
      </c>
      <c r="G417" s="49">
        <v>1590.8</v>
      </c>
      <c r="H417" s="49" t="s">
        <v>1355</v>
      </c>
      <c r="I417" s="51">
        <v>46205</v>
      </c>
      <c r="J417" s="54">
        <f>INT(Cobros[[#This Row],[Fecha Cargo]])</f>
        <v>46195</v>
      </c>
      <c r="K417" s="54">
        <f>INT(Cobros[[#This Row],[Fecha Aplicacion]])</f>
        <v>46205</v>
      </c>
      <c r="L417" s="55" t="str">
        <f>INDEX(Clientes[Días Plazo],MATCH(Cobros[[#This Row],[Cod. Cliente]],Clientes[Codigo],0),1)</f>
        <v>7</v>
      </c>
      <c r="M417" s="45" t="str">
        <f>IF(Cobros[[#This Row],[Dias de Credito]]&lt;=0,"Contado","Credito")</f>
        <v>Credito</v>
      </c>
      <c r="N417" s="45">
        <f>Cobros[[#This Row],[Fecha Aplicación S]]-Cobros[[#This Row],[Fecha Cargo S]]</f>
        <v>10</v>
      </c>
      <c r="O417" s="45">
        <f>Cobros[[#This Row],[Dias al pago]]-Cobros[[#This Row],[Dias de Credito]]</f>
        <v>3</v>
      </c>
      <c r="P417" s="45">
        <f>SUMIFS(TablaDias[Porcentaje],TablaDias[Tipo],Cobros[[#This Row],[Tipo]],TablaDias[Desde ],"&lt;="&amp;MAX(0,Cobros[[#This Row],[Dias pasado]]),TablaDias[Hasta ],"&gt;="&amp;Cobros[[#This Row],[Dias pasado]])</f>
        <v>100</v>
      </c>
      <c r="Q4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17">
        <f>IF(COUNTIF(PAPEL[Numero],Cobros[[#This Row],[Doc. Cargo]])&gt;0,1,0)</f>
        <v>0</v>
      </c>
      <c r="S417" s="46">
        <v>1</v>
      </c>
      <c r="T417" s="46">
        <f t="array" ref="T417">INDEX(Ventas[[Unidades]:[2]],MATCH("Gerente de Venta",Ventas[Vendedor %],0),6+Cobros[[#This Row],[Mes]])</f>
        <v>0.005</v>
      </c>
      <c r="U417" s="34">
        <f>IF(Cobros[[#This Row],[Tipo]]="Credito",IF(60&gt;=Cobros[[#This Row],[Dias al pago]],1,0),IF(Cobros[[#This Row],[Dias al pago]]&lt;=3,1,0))</f>
        <v>1</v>
      </c>
      <c r="V417" s="46">
        <f>(Cobros[[#This Row],[% A pagar Vendedor]]/100)*Cobros[[#This Row],[Valor Pagado]]*Cobros[[#This Row],[Vencido]]*(Cobros[[#This Row],[% aplicar]]/100)*IF(Cobros[[#This Row],[% A pagar Vendedor]]&gt;0,1,0)</f>
        <v>15.908</v>
      </c>
      <c r="W417" s="46">
        <f>0.5%*Cobros[[#This Row],[Valor Pagado]]</f>
        <v>7.954</v>
      </c>
    </row>
    <row r="418" ht="30" spans="1:23">
      <c r="A418" s="49" t="s">
        <v>3860</v>
      </c>
      <c r="B418" s="49" t="s">
        <v>4509</v>
      </c>
      <c r="C418" s="49" t="s">
        <v>2726</v>
      </c>
      <c r="D418" s="49" t="s">
        <v>2727</v>
      </c>
      <c r="E418" s="49" t="s">
        <v>4510</v>
      </c>
      <c r="F418" s="51">
        <v>46171</v>
      </c>
      <c r="G418" s="49">
        <v>995</v>
      </c>
      <c r="H418" s="49" t="s">
        <v>1355</v>
      </c>
      <c r="I418" s="51">
        <v>46216</v>
      </c>
      <c r="J418" s="54">
        <f>INT(Cobros[[#This Row],[Fecha Cargo]])</f>
        <v>46171</v>
      </c>
      <c r="K418" s="54">
        <f>INT(Cobros[[#This Row],[Fecha Aplicacion]])</f>
        <v>46216</v>
      </c>
      <c r="L418" s="55" t="str">
        <f>INDEX(Clientes[Días Plazo],MATCH(Cobros[[#This Row],[Cod. Cliente]],Clientes[Codigo],0),1)</f>
        <v>15</v>
      </c>
      <c r="M418" s="45" t="str">
        <f>IF(Cobros[[#This Row],[Dias de Credito]]&lt;=0,"Contado","Credito")</f>
        <v>Credito</v>
      </c>
      <c r="N418" s="45">
        <f>Cobros[[#This Row],[Fecha Aplicación S]]-Cobros[[#This Row],[Fecha Cargo S]]</f>
        <v>45</v>
      </c>
      <c r="O418" s="45">
        <f>Cobros[[#This Row],[Dias al pago]]-Cobros[[#This Row],[Dias de Credito]]</f>
        <v>30</v>
      </c>
      <c r="P418" s="45">
        <f>SUMIFS(TablaDias[Porcentaje],TablaDias[Tipo],Cobros[[#This Row],[Tipo]],TablaDias[Desde ],"&lt;="&amp;MAX(0,Cobros[[#This Row],[Dias pasado]]),TablaDias[Hasta ],"&gt;="&amp;Cobros[[#This Row],[Dias pasado]])</f>
        <v>50</v>
      </c>
      <c r="Q4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18">
        <f>IF(COUNTIF(PAPEL[Numero],Cobros[[#This Row],[Doc. Cargo]])&gt;0,1,0)</f>
        <v>0</v>
      </c>
      <c r="S418" s="46">
        <v>1</v>
      </c>
      <c r="T418" s="46">
        <f t="array" ref="T418">INDEX(Ventas[[Unidades]:[2]],MATCH("Gerente de Venta",Ventas[Vendedor %],0),6+Cobros[[#This Row],[Mes]])</f>
        <v>0.005</v>
      </c>
      <c r="U418" s="34">
        <f>IF(Cobros[[#This Row],[Tipo]]="Credito",IF(60&gt;=Cobros[[#This Row],[Dias al pago]],1,0),IF(Cobros[[#This Row],[Dias al pago]]&lt;=3,1,0))</f>
        <v>1</v>
      </c>
      <c r="V418" s="46">
        <f>(Cobros[[#This Row],[% A pagar Vendedor]]/100)*Cobros[[#This Row],[Valor Pagado]]*Cobros[[#This Row],[Vencido]]*(Cobros[[#This Row],[% aplicar]]/100)*IF(Cobros[[#This Row],[% A pagar Vendedor]]&gt;0,1,0)</f>
        <v>4.975</v>
      </c>
      <c r="W418" s="46">
        <f>0.5%*Cobros[[#This Row],[Valor Pagado]]</f>
        <v>4.975</v>
      </c>
    </row>
    <row r="419" ht="30" spans="1:23">
      <c r="A419" s="49" t="s">
        <v>3860</v>
      </c>
      <c r="B419" s="49" t="s">
        <v>4509</v>
      </c>
      <c r="C419" s="49" t="s">
        <v>2726</v>
      </c>
      <c r="D419" s="49" t="s">
        <v>2727</v>
      </c>
      <c r="E419" s="49" t="s">
        <v>4511</v>
      </c>
      <c r="F419" s="51">
        <v>46216</v>
      </c>
      <c r="G419" s="49">
        <v>5</v>
      </c>
      <c r="H419" s="49" t="s">
        <v>1355</v>
      </c>
      <c r="I419" s="51">
        <v>46216</v>
      </c>
      <c r="J419" s="54">
        <f>INT(Cobros[[#This Row],[Fecha Cargo]])</f>
        <v>46216</v>
      </c>
      <c r="K419" s="54">
        <f>INT(Cobros[[#This Row],[Fecha Aplicacion]])</f>
        <v>46216</v>
      </c>
      <c r="L419" s="55">
        <v>30</v>
      </c>
      <c r="M419" s="45" t="str">
        <f>IF(Cobros[[#This Row],[Dias de Credito]]&lt;=0,"Contado","Credito")</f>
        <v>Credito</v>
      </c>
      <c r="N419" s="45">
        <f>Cobros[[#This Row],[Fecha Aplicación S]]-Cobros[[#This Row],[Fecha Cargo S]]</f>
        <v>0</v>
      </c>
      <c r="O419" s="45">
        <f>Cobros[[#This Row],[Dias al pago]]-Cobros[[#This Row],[Dias de Credito]]</f>
        <v>-30</v>
      </c>
      <c r="P419" s="45">
        <f>SUMIFS(TablaDias[Porcentaje],TablaDias[Tipo],Cobros[[#This Row],[Tipo]],TablaDias[Desde ],"&lt;="&amp;MAX(0,Cobros[[#This Row],[Dias pasado]]),TablaDias[Hasta ],"&gt;="&amp;Cobros[[#This Row],[Dias pasado]])</f>
        <v>100</v>
      </c>
      <c r="Q4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19">
        <f>IF(COUNTIF(PAPEL[Numero],Cobros[[#This Row],[Doc. Cargo]])&gt;0,1,0)</f>
        <v>0</v>
      </c>
      <c r="S419" s="46">
        <v>1</v>
      </c>
      <c r="T419" s="46">
        <f t="array" ref="T419">INDEX(Ventas[[Unidades]:[2]],MATCH("Gerente de Venta",Ventas[Vendedor %],0),6+Cobros[[#This Row],[Mes]])</f>
        <v>0.005</v>
      </c>
      <c r="U419" s="34">
        <f>IF(Cobros[[#This Row],[Tipo]]="Credito",IF(60&gt;=Cobros[[#This Row],[Dias al pago]],1,0),IF(Cobros[[#This Row],[Dias al pago]]&lt;=3,1,0))</f>
        <v>1</v>
      </c>
      <c r="V419" s="46">
        <f>(Cobros[[#This Row],[% A pagar Vendedor]]/100)*Cobros[[#This Row],[Valor Pagado]]*Cobros[[#This Row],[Vencido]]*(Cobros[[#This Row],[% aplicar]]/100)*IF(Cobros[[#This Row],[% A pagar Vendedor]]&gt;0,1,0)</f>
        <v>0.05</v>
      </c>
      <c r="W419" s="46">
        <f>0.5%*Cobros[[#This Row],[Valor Pagado]]</f>
        <v>0.025</v>
      </c>
    </row>
    <row r="420" spans="1:23">
      <c r="A420" s="49" t="s">
        <v>3860</v>
      </c>
      <c r="B420" s="49" t="s">
        <v>4512</v>
      </c>
      <c r="C420" s="49" t="s">
        <v>1218</v>
      </c>
      <c r="D420" s="49" t="s">
        <v>1219</v>
      </c>
      <c r="E420" s="49" t="s">
        <v>4513</v>
      </c>
      <c r="F420" s="51">
        <v>46216</v>
      </c>
      <c r="G420" s="49">
        <v>116</v>
      </c>
      <c r="H420" s="49" t="s">
        <v>20</v>
      </c>
      <c r="I420" s="51">
        <v>46216</v>
      </c>
      <c r="J420" s="54">
        <f>INT(Cobros[[#This Row],[Fecha Cargo]])</f>
        <v>46216</v>
      </c>
      <c r="K420" s="54">
        <f>INT(Cobros[[#This Row],[Fecha Aplicacion]])</f>
        <v>46216</v>
      </c>
      <c r="L420" s="55">
        <v>30</v>
      </c>
      <c r="M420" s="45" t="str">
        <f>IF(Cobros[[#This Row],[Dias de Credito]]&lt;=0,"Contado","Credito")</f>
        <v>Credito</v>
      </c>
      <c r="N420" s="45">
        <f>Cobros[[#This Row],[Fecha Aplicación S]]-Cobros[[#This Row],[Fecha Cargo S]]</f>
        <v>0</v>
      </c>
      <c r="O420" s="45">
        <f>Cobros[[#This Row],[Dias al pago]]-Cobros[[#This Row],[Dias de Credito]]</f>
        <v>-30</v>
      </c>
      <c r="P420" s="45">
        <f>SUMIFS(TablaDias[Porcentaje],TablaDias[Tipo],Cobros[[#This Row],[Tipo]],TablaDias[Desde ],"&lt;="&amp;MAX(0,Cobros[[#This Row],[Dias pasado]]),TablaDias[Hasta ],"&gt;="&amp;Cobros[[#This Row],[Dias pasado]])</f>
        <v>100</v>
      </c>
      <c r="Q4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0">
        <f>IF(COUNTIF(PAPEL[Numero],Cobros[[#This Row],[Doc. Cargo]])&gt;0,1,0)</f>
        <v>0</v>
      </c>
      <c r="S420" s="46">
        <f t="array" ref="S4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0" s="46">
        <f t="array" ref="T420">INDEX(Ventas[[Unidades]:[2]],MATCH("Gerente de Venta",Ventas[Vendedor %],0),6+Cobros[[#This Row],[Mes]])</f>
        <v>0.005</v>
      </c>
      <c r="U420" s="34">
        <f>IF(Cobros[[#This Row],[Tipo]]="Credito",IF(60&gt;=Cobros[[#This Row],[Dias al pago]],1,0),IF(Cobros[[#This Row],[Dias al pago]]&lt;=3,1,0))</f>
        <v>1</v>
      </c>
      <c r="V420" s="46">
        <f>(Cobros[[#This Row],[% A pagar Vendedor]]/100)*Cobros[[#This Row],[Valor Pagado]]*Cobros[[#This Row],[Vencido]]*(Cobros[[#This Row],[% aplicar]]/100)*IF(Cobros[[#This Row],[% A pagar Vendedor]]&gt;0,1,0)</f>
        <v>1.45</v>
      </c>
      <c r="W420" s="46">
        <f>0.5%*Cobros[[#This Row],[Valor Pagado]]</f>
        <v>0.58</v>
      </c>
    </row>
    <row r="421" spans="1:23">
      <c r="A421" s="49" t="s">
        <v>3875</v>
      </c>
      <c r="B421" s="49" t="s">
        <v>4121</v>
      </c>
      <c r="C421" s="49" t="s">
        <v>1218</v>
      </c>
      <c r="D421" s="49" t="s">
        <v>1219</v>
      </c>
      <c r="E421" s="49" t="s">
        <v>4513</v>
      </c>
      <c r="F421" s="51">
        <v>46216</v>
      </c>
      <c r="G421" s="49">
        <v>4.75</v>
      </c>
      <c r="H421" s="49" t="s">
        <v>20</v>
      </c>
      <c r="I421" s="51">
        <v>46209</v>
      </c>
      <c r="J421" s="54">
        <f>INT(Cobros[[#This Row],[Fecha Cargo]])</f>
        <v>46216</v>
      </c>
      <c r="K421" s="54">
        <f>INT(Cobros[[#This Row],[Fecha Aplicacion]])</f>
        <v>46209</v>
      </c>
      <c r="L421" s="55">
        <f>INDEX(Clientes[Días Plazo],MATCH(Cobros[[#This Row],[Cod. Cliente]],Clientes[Codigo],0),1)</f>
        <v>0</v>
      </c>
      <c r="M421" s="45" t="str">
        <f>IF(Cobros[[#This Row],[Dias de Credito]]&lt;=0,"Contado","Credito")</f>
        <v>Contado</v>
      </c>
      <c r="N421" s="45">
        <f>Cobros[[#This Row],[Fecha Aplicación S]]-Cobros[[#This Row],[Fecha Cargo S]]</f>
        <v>-7</v>
      </c>
      <c r="O421" s="45">
        <f>Cobros[[#This Row],[Dias al pago]]-Cobros[[#This Row],[Dias de Credito]]</f>
        <v>-7</v>
      </c>
      <c r="P421" s="45">
        <f>SUMIFS(TablaDias[Porcentaje],TablaDias[Tipo],Cobros[[#This Row],[Tipo]],TablaDias[Desde ],"&lt;="&amp;MAX(0,Cobros[[#This Row],[Dias pasado]]),TablaDias[Hasta ],"&gt;="&amp;Cobros[[#This Row],[Dias pasado]])</f>
        <v>100</v>
      </c>
      <c r="Q4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1">
        <f>IF(COUNTIF(PAPEL[Numero],Cobros[[#This Row],[Doc. Cargo]])&gt;0,1,0)</f>
        <v>0</v>
      </c>
      <c r="S421" s="46">
        <f t="array" ref="S4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1" s="46">
        <f t="array" ref="T421">INDEX(Ventas[[Unidades]:[2]],MATCH("Gerente de Venta",Ventas[Vendedor %],0),6+Cobros[[#This Row],[Mes]])</f>
        <v>0.005</v>
      </c>
      <c r="U421" s="34">
        <f>IF(Cobros[[#This Row],[Tipo]]="Credito",IF(60&gt;=Cobros[[#This Row],[Dias al pago]],1,0),IF(Cobros[[#This Row],[Dias al pago]]&lt;=3,1,0))</f>
        <v>1</v>
      </c>
      <c r="V421" s="46">
        <f>(Cobros[[#This Row],[% A pagar Vendedor]]/100)*Cobros[[#This Row],[Valor Pagado]]*Cobros[[#This Row],[Vencido]]*(Cobros[[#This Row],[% aplicar]]/100)*IF(Cobros[[#This Row],[% A pagar Vendedor]]&gt;0,1,0)</f>
        <v>0.059375</v>
      </c>
      <c r="W421" s="46">
        <f>0.5%*Cobros[[#This Row],[Valor Pagado]]</f>
        <v>0.02375</v>
      </c>
    </row>
    <row r="422" ht="30" spans="1:24">
      <c r="A422" s="49" t="s">
        <v>3860</v>
      </c>
      <c r="B422" s="49" t="s">
        <v>4514</v>
      </c>
      <c r="C422" s="49" t="s">
        <v>160</v>
      </c>
      <c r="D422" s="49" t="s">
        <v>161</v>
      </c>
      <c r="E422" s="49" t="s">
        <v>4515</v>
      </c>
      <c r="F422" s="51">
        <v>46216</v>
      </c>
      <c r="G422" s="49">
        <v>234.3</v>
      </c>
      <c r="H422" s="49" t="s">
        <v>22</v>
      </c>
      <c r="I422" s="51">
        <v>46216</v>
      </c>
      <c r="J422" s="54">
        <f>INT(Cobros[[#This Row],[Fecha Cargo]])</f>
        <v>46216</v>
      </c>
      <c r="K422" s="54">
        <f>INT(Cobros[[#This Row],[Fecha Aplicacion]])</f>
        <v>46216</v>
      </c>
      <c r="L422" s="55">
        <f>INDEX(Clientes[Días Plazo],MATCH(Cobros[[#This Row],[Cod. Cliente]],Clientes[Codigo],0),1)</f>
        <v>0</v>
      </c>
      <c r="M422" s="45" t="str">
        <f>IF(Cobros[[#This Row],[Dias de Credito]]&lt;=0,"Contado","Credito")</f>
        <v>Contado</v>
      </c>
      <c r="N422" s="45">
        <f>Cobros[[#This Row],[Fecha Aplicación S]]-Cobros[[#This Row],[Fecha Cargo S]]</f>
        <v>0</v>
      </c>
      <c r="O422" s="45">
        <f>Cobros[[#This Row],[Dias al pago]]-Cobros[[#This Row],[Dias de Credito]]</f>
        <v>0</v>
      </c>
      <c r="P422" s="45">
        <f>SUMIFS(TablaDias[Porcentaje],TablaDias[Tipo],Cobros[[#This Row],[Tipo]],TablaDias[Desde ],"&lt;="&amp;MAX(0,Cobros[[#This Row],[Dias pasado]]),TablaDias[Hasta ],"&gt;="&amp;Cobros[[#This Row],[Dias pasado]])</f>
        <v>100</v>
      </c>
      <c r="Q42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2">
        <f>IF(COUNTIF(PAPEL[Numero],Cobros[[#This Row],[Doc. Cargo]])&gt;0,1,0)</f>
        <v>0</v>
      </c>
      <c r="S422" s="46">
        <f t="array" ref="S4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22" s="46">
        <f t="array" ref="T422">INDEX(Ventas[[Unidades]:[2]],MATCH("Gerente de Venta",Ventas[Vendedor %],0),6+Cobros[[#This Row],[Mes]])</f>
        <v>0.005</v>
      </c>
      <c r="U422" s="34">
        <f>IF(Cobros[[#This Row],[Tipo]]="Credito",IF(60&gt;=Cobros[[#This Row],[Dias al pago]],1,0),IF(Cobros[[#This Row],[Dias al pago]]&lt;=3,1,0))</f>
        <v>1</v>
      </c>
      <c r="V422" s="46">
        <f>(Cobros[[#This Row],[% A pagar Vendedor]]/100)*Cobros[[#This Row],[Valor Pagado]]*Cobros[[#This Row],[Vencido]]*(Cobros[[#This Row],[% aplicar]]/100)*IF(Cobros[[#This Row],[% A pagar Vendedor]]&gt;0,1,0)</f>
        <v>2.343</v>
      </c>
      <c r="W422" s="46">
        <f>0.5%*Cobros[[#This Row],[Valor Pagado]]</f>
        <v>1.1715</v>
      </c>
      <c r="X422" s="60"/>
    </row>
    <row r="423" ht="30" spans="1:24">
      <c r="A423" s="49" t="s">
        <v>3860</v>
      </c>
      <c r="B423" s="49" t="s">
        <v>4516</v>
      </c>
      <c r="C423" s="49" t="s">
        <v>2525</v>
      </c>
      <c r="D423" s="49" t="s">
        <v>2526</v>
      </c>
      <c r="E423" s="49" t="s">
        <v>4517</v>
      </c>
      <c r="F423" s="51">
        <v>46216</v>
      </c>
      <c r="G423" s="49">
        <v>87.5</v>
      </c>
      <c r="H423" s="49" t="s">
        <v>22</v>
      </c>
      <c r="I423" s="51">
        <v>46216</v>
      </c>
      <c r="J423" s="54">
        <f>INT(Cobros[[#This Row],[Fecha Cargo]])</f>
        <v>46216</v>
      </c>
      <c r="K423" s="54">
        <f>INT(Cobros[[#This Row],[Fecha Aplicacion]])</f>
        <v>46216</v>
      </c>
      <c r="L423" s="55">
        <f>INDEX(Clientes[Días Plazo],MATCH(Cobros[[#This Row],[Cod. Cliente]],Clientes[Codigo],0),1)</f>
        <v>0</v>
      </c>
      <c r="M423" s="45" t="str">
        <f>IF(Cobros[[#This Row],[Dias de Credito]]&lt;=0,"Contado","Credito")</f>
        <v>Contado</v>
      </c>
      <c r="N423" s="45">
        <f>Cobros[[#This Row],[Fecha Aplicación S]]-Cobros[[#This Row],[Fecha Cargo S]]</f>
        <v>0</v>
      </c>
      <c r="O423" s="45">
        <f>Cobros[[#This Row],[Dias al pago]]-Cobros[[#This Row],[Dias de Credito]]</f>
        <v>0</v>
      </c>
      <c r="P423" s="45">
        <f>SUMIFS(TablaDias[Porcentaje],TablaDias[Tipo],Cobros[[#This Row],[Tipo]],TablaDias[Desde ],"&lt;="&amp;MAX(0,Cobros[[#This Row],[Dias pasado]]),TablaDias[Hasta ],"&gt;="&amp;Cobros[[#This Row],[Dias pasado]])</f>
        <v>100</v>
      </c>
      <c r="Q42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3">
        <f>IF(COUNTIF(PAPEL[Numero],Cobros[[#This Row],[Doc. Cargo]])&gt;0,1,0)</f>
        <v>0</v>
      </c>
      <c r="S423" s="46">
        <f t="array" ref="S4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23" s="46">
        <f t="array" ref="T423">INDEX(Ventas[[Unidades]:[2]],MATCH("Gerente de Venta",Ventas[Vendedor %],0),6+Cobros[[#This Row],[Mes]])</f>
        <v>0.005</v>
      </c>
      <c r="U423" s="34">
        <f>IF(Cobros[[#This Row],[Tipo]]="Credito",IF(60&gt;=Cobros[[#This Row],[Dias al pago]],1,0),IF(Cobros[[#This Row],[Dias al pago]]&lt;=3,1,0))</f>
        <v>1</v>
      </c>
      <c r="V423" s="46">
        <f>(Cobros[[#This Row],[% A pagar Vendedor]]/100)*Cobros[[#This Row],[Valor Pagado]]*Cobros[[#This Row],[Vencido]]*(Cobros[[#This Row],[% aplicar]]/100)*IF(Cobros[[#This Row],[% A pagar Vendedor]]&gt;0,1,0)</f>
        <v>0.875</v>
      </c>
      <c r="W423" s="46">
        <f>0.5%*Cobros[[#This Row],[Valor Pagado]]</f>
        <v>0.4375</v>
      </c>
      <c r="X423" s="60"/>
    </row>
    <row r="424" spans="1:23">
      <c r="A424" s="49" t="s">
        <v>3860</v>
      </c>
      <c r="B424" s="49" t="s">
        <v>4518</v>
      </c>
      <c r="C424" s="49" t="s">
        <v>1222</v>
      </c>
      <c r="D424" s="49" t="s">
        <v>1223</v>
      </c>
      <c r="E424" s="49" t="s">
        <v>4519</v>
      </c>
      <c r="F424" s="51">
        <v>46216</v>
      </c>
      <c r="G424" s="49">
        <v>52.3</v>
      </c>
      <c r="H424" s="49" t="s">
        <v>20</v>
      </c>
      <c r="I424" s="51">
        <v>46216</v>
      </c>
      <c r="J424" s="54">
        <f>INT(Cobros[[#This Row],[Fecha Cargo]])</f>
        <v>46216</v>
      </c>
      <c r="K424" s="54">
        <f>INT(Cobros[[#This Row],[Fecha Aplicacion]])</f>
        <v>46216</v>
      </c>
      <c r="L424" s="55" t="str">
        <f>INDEX(Clientes[Días Plazo],MATCH(Cobros[[#This Row],[Cod. Cliente]],Clientes[Codigo],0),1)</f>
        <v>7</v>
      </c>
      <c r="M424" s="45" t="str">
        <f>IF(Cobros[[#This Row],[Dias de Credito]]&lt;=0,"Contado","Credito")</f>
        <v>Credito</v>
      </c>
      <c r="N424" s="45">
        <f>Cobros[[#This Row],[Fecha Aplicación S]]-Cobros[[#This Row],[Fecha Cargo S]]</f>
        <v>0</v>
      </c>
      <c r="O424" s="45">
        <f>Cobros[[#This Row],[Dias al pago]]-Cobros[[#This Row],[Dias de Credito]]</f>
        <v>-7</v>
      </c>
      <c r="P424" s="45">
        <f>SUMIFS(TablaDias[Porcentaje],TablaDias[Tipo],Cobros[[#This Row],[Tipo]],TablaDias[Desde ],"&lt;="&amp;MAX(0,Cobros[[#This Row],[Dias pasado]]),TablaDias[Hasta ],"&gt;="&amp;Cobros[[#This Row],[Dias pasado]])</f>
        <v>100</v>
      </c>
      <c r="Q4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4">
        <f>IF(COUNTIF(PAPEL[Numero],Cobros[[#This Row],[Doc. Cargo]])&gt;0,1,0)</f>
        <v>0</v>
      </c>
      <c r="S424" s="46">
        <f t="array" ref="S4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4" s="46">
        <f t="array" ref="T424">INDEX(Ventas[[Unidades]:[2]],MATCH("Gerente de Venta",Ventas[Vendedor %],0),6+Cobros[[#This Row],[Mes]])</f>
        <v>0.005</v>
      </c>
      <c r="U424" s="34">
        <f>IF(Cobros[[#This Row],[Tipo]]="Credito",IF(60&gt;=Cobros[[#This Row],[Dias al pago]],1,0),IF(Cobros[[#This Row],[Dias al pago]]&lt;=3,1,0))</f>
        <v>1</v>
      </c>
      <c r="V424" s="46">
        <f>(Cobros[[#This Row],[% A pagar Vendedor]]/100)*Cobros[[#This Row],[Valor Pagado]]*Cobros[[#This Row],[Vencido]]*(Cobros[[#This Row],[% aplicar]]/100)*IF(Cobros[[#This Row],[% A pagar Vendedor]]&gt;0,1,0)</f>
        <v>0.65375</v>
      </c>
      <c r="W424" s="46">
        <f>0.5%*Cobros[[#This Row],[Valor Pagado]]</f>
        <v>0.2615</v>
      </c>
    </row>
    <row r="425" ht="30" spans="1:23">
      <c r="A425" s="49" t="s">
        <v>3860</v>
      </c>
      <c r="B425" s="49" t="s">
        <v>4520</v>
      </c>
      <c r="C425" s="49" t="s">
        <v>1977</v>
      </c>
      <c r="D425" s="49" t="s">
        <v>1978</v>
      </c>
      <c r="E425" s="49" t="s">
        <v>4521</v>
      </c>
      <c r="F425" s="51">
        <v>46216</v>
      </c>
      <c r="G425" s="49">
        <v>190</v>
      </c>
      <c r="H425" s="49" t="s">
        <v>22</v>
      </c>
      <c r="I425" s="51">
        <v>46216</v>
      </c>
      <c r="J425" s="54">
        <f>INT(Cobros[[#This Row],[Fecha Cargo]])</f>
        <v>46216</v>
      </c>
      <c r="K425" s="54">
        <f>INT(Cobros[[#This Row],[Fecha Aplicacion]])</f>
        <v>46216</v>
      </c>
      <c r="L425" s="55">
        <f>INDEX(Clientes[Días Plazo],MATCH(Cobros[[#This Row],[Cod. Cliente]],Clientes[Codigo],0),1)</f>
        <v>0</v>
      </c>
      <c r="M425" s="45" t="str">
        <f>IF(Cobros[[#This Row],[Dias de Credito]]&lt;=0,"Contado","Credito")</f>
        <v>Contado</v>
      </c>
      <c r="N425" s="45">
        <f>Cobros[[#This Row],[Fecha Aplicación S]]-Cobros[[#This Row],[Fecha Cargo S]]</f>
        <v>0</v>
      </c>
      <c r="O425" s="45">
        <f>Cobros[[#This Row],[Dias al pago]]-Cobros[[#This Row],[Dias de Credito]]</f>
        <v>0</v>
      </c>
      <c r="P425" s="45">
        <f>SUMIFS(TablaDias[Porcentaje],TablaDias[Tipo],Cobros[[#This Row],[Tipo]],TablaDias[Desde ],"&lt;="&amp;MAX(0,Cobros[[#This Row],[Dias pasado]]),TablaDias[Hasta ],"&gt;="&amp;Cobros[[#This Row],[Dias pasado]])</f>
        <v>100</v>
      </c>
      <c r="Q4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25">
        <f>IF(COUNTIF(PAPEL[Numero],Cobros[[#This Row],[Doc. Cargo]])&gt;0,1,0)</f>
        <v>0</v>
      </c>
      <c r="S425" s="46">
        <f t="array" ref="S4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25" s="46">
        <f t="array" ref="T425">INDEX(Ventas[[Unidades]:[2]],MATCH("Gerente de Venta",Ventas[Vendedor %],0),6+Cobros[[#This Row],[Mes]])</f>
        <v>0.005</v>
      </c>
      <c r="U425" s="34">
        <f>IF(Cobros[[#This Row],[Tipo]]="Credito",IF(60&gt;=Cobros[[#This Row],[Dias al pago]],1,0),IF(Cobros[[#This Row],[Dias al pago]]&lt;=3,1,0))</f>
        <v>1</v>
      </c>
      <c r="V425" s="46">
        <f>(Cobros[[#This Row],[% A pagar Vendedor]]/100)*Cobros[[#This Row],[Valor Pagado]]*Cobros[[#This Row],[Vencido]]*(Cobros[[#This Row],[% aplicar]]/100)*IF(Cobros[[#This Row],[% A pagar Vendedor]]&gt;0,1,0)</f>
        <v>1.9</v>
      </c>
      <c r="W425" s="46">
        <f>0.5%*Cobros[[#This Row],[Valor Pagado]]</f>
        <v>0.95</v>
      </c>
    </row>
    <row r="426" spans="1:23">
      <c r="A426" s="49" t="s">
        <v>3860</v>
      </c>
      <c r="B426" s="49" t="s">
        <v>4522</v>
      </c>
      <c r="C426" s="49" t="s">
        <v>3747</v>
      </c>
      <c r="D426" s="49" t="s">
        <v>3748</v>
      </c>
      <c r="E426" s="49" t="s">
        <v>4402</v>
      </c>
      <c r="F426" s="51">
        <v>46183</v>
      </c>
      <c r="G426" s="49">
        <v>233.23</v>
      </c>
      <c r="H426" s="49" t="s">
        <v>19</v>
      </c>
      <c r="I426" s="51">
        <v>46216</v>
      </c>
      <c r="J426" s="54">
        <f>INT(Cobros[[#This Row],[Fecha Cargo]])</f>
        <v>46183</v>
      </c>
      <c r="K426" s="54">
        <f>INT(Cobros[[#This Row],[Fecha Aplicacion]])</f>
        <v>46216</v>
      </c>
      <c r="L426" s="55" t="str">
        <f>INDEX(Clientes[Días Plazo],MATCH(Cobros[[#This Row],[Cod. Cliente]],Clientes[Codigo],0),1)</f>
        <v>21</v>
      </c>
      <c r="M426" s="45" t="str">
        <f>IF(Cobros[[#This Row],[Dias de Credito]]&lt;=0,"Contado","Credito")</f>
        <v>Credito</v>
      </c>
      <c r="N426" s="45">
        <f>Cobros[[#This Row],[Fecha Aplicación S]]-Cobros[[#This Row],[Fecha Cargo S]]</f>
        <v>33</v>
      </c>
      <c r="O426" s="45">
        <f>Cobros[[#This Row],[Dias al pago]]-Cobros[[#This Row],[Dias de Credito]]</f>
        <v>12</v>
      </c>
      <c r="P426" s="45">
        <f>SUMIFS(TablaDias[Porcentaje],TablaDias[Tipo],Cobros[[#This Row],[Tipo]],TablaDias[Desde ],"&lt;="&amp;MAX(0,Cobros[[#This Row],[Dias pasado]]),TablaDias[Hasta ],"&gt;="&amp;Cobros[[#This Row],[Dias pasado]])</f>
        <v>100</v>
      </c>
      <c r="Q4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26">
        <f>IF(COUNTIF(PAPEL[Numero],Cobros[[#This Row],[Doc. Cargo]])&gt;0,1,0)</f>
        <v>0</v>
      </c>
      <c r="S426" s="46">
        <f t="array" ref="S4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6" s="46">
        <f t="array" ref="T426">INDEX(Ventas[[Unidades]:[2]],MATCH("Gerente de Venta",Ventas[Vendedor %],0),6+Cobros[[#This Row],[Mes]])</f>
        <v>0.005</v>
      </c>
      <c r="U426" s="34">
        <f>IF(Cobros[[#This Row],[Tipo]]="Credito",IF(60&gt;=Cobros[[#This Row],[Dias al pago]],1,0),IF(Cobros[[#This Row],[Dias al pago]]&lt;=3,1,0))</f>
        <v>1</v>
      </c>
      <c r="V426" s="46">
        <f>(Cobros[[#This Row],[% A pagar Vendedor]]/100)*Cobros[[#This Row],[Valor Pagado]]*Cobros[[#This Row],[Vencido]]*(Cobros[[#This Row],[% aplicar]]/100)*IF(Cobros[[#This Row],[% A pagar Vendedor]]&gt;0,1,0)</f>
        <v>2.915375</v>
      </c>
      <c r="W426" s="46">
        <f>0.5%*Cobros[[#This Row],[Valor Pagado]]</f>
        <v>1.16615</v>
      </c>
    </row>
    <row r="427" spans="1:23">
      <c r="A427" s="49" t="s">
        <v>3860</v>
      </c>
      <c r="B427" s="49" t="s">
        <v>4522</v>
      </c>
      <c r="C427" s="49" t="s">
        <v>3747</v>
      </c>
      <c r="D427" s="49" t="s">
        <v>3748</v>
      </c>
      <c r="E427" s="49" t="s">
        <v>4523</v>
      </c>
      <c r="F427" s="51">
        <v>46184</v>
      </c>
      <c r="G427" s="49">
        <v>758.2</v>
      </c>
      <c r="H427" s="49" t="s">
        <v>19</v>
      </c>
      <c r="I427" s="51">
        <v>46216</v>
      </c>
      <c r="J427" s="54">
        <f>INT(Cobros[[#This Row],[Fecha Cargo]])</f>
        <v>46184</v>
      </c>
      <c r="K427" s="54">
        <f>INT(Cobros[[#This Row],[Fecha Aplicacion]])</f>
        <v>46216</v>
      </c>
      <c r="L427" s="55" t="str">
        <f>INDEX(Clientes[Días Plazo],MATCH(Cobros[[#This Row],[Cod. Cliente]],Clientes[Codigo],0),1)</f>
        <v>21</v>
      </c>
      <c r="M427" s="45" t="str">
        <f>IF(Cobros[[#This Row],[Dias de Credito]]&lt;=0,"Contado","Credito")</f>
        <v>Credito</v>
      </c>
      <c r="N427" s="45">
        <f>Cobros[[#This Row],[Fecha Aplicación S]]-Cobros[[#This Row],[Fecha Cargo S]]</f>
        <v>32</v>
      </c>
      <c r="O427" s="45">
        <f>Cobros[[#This Row],[Dias al pago]]-Cobros[[#This Row],[Dias de Credito]]</f>
        <v>11</v>
      </c>
      <c r="P427" s="45">
        <f>SUMIFS(TablaDias[Porcentaje],TablaDias[Tipo],Cobros[[#This Row],[Tipo]],TablaDias[Desde ],"&lt;="&amp;MAX(0,Cobros[[#This Row],[Dias pasado]]),TablaDias[Hasta ],"&gt;="&amp;Cobros[[#This Row],[Dias pasado]])</f>
        <v>100</v>
      </c>
      <c r="Q42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27">
        <f>IF(COUNTIF(PAPEL[Numero],Cobros[[#This Row],[Doc. Cargo]])&gt;0,1,0)</f>
        <v>0</v>
      </c>
      <c r="S427" s="46">
        <f t="array" ref="S4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7" s="46">
        <f t="array" ref="T427">INDEX(Ventas[[Unidades]:[2]],MATCH("Gerente de Venta",Ventas[Vendedor %],0),6+Cobros[[#This Row],[Mes]])</f>
        <v>0.005</v>
      </c>
      <c r="U427" s="34">
        <f>IF(Cobros[[#This Row],[Tipo]]="Credito",IF(60&gt;=Cobros[[#This Row],[Dias al pago]],1,0),IF(Cobros[[#This Row],[Dias al pago]]&lt;=3,1,0))</f>
        <v>1</v>
      </c>
      <c r="V427" s="46">
        <f>(Cobros[[#This Row],[% A pagar Vendedor]]/100)*Cobros[[#This Row],[Valor Pagado]]*Cobros[[#This Row],[Vencido]]*(Cobros[[#This Row],[% aplicar]]/100)*IF(Cobros[[#This Row],[% A pagar Vendedor]]&gt;0,1,0)</f>
        <v>9.4775</v>
      </c>
      <c r="W427" s="46">
        <f>0.5%*Cobros[[#This Row],[Valor Pagado]]</f>
        <v>3.791</v>
      </c>
    </row>
    <row r="428" ht="30" spans="1:23">
      <c r="A428" s="49" t="s">
        <v>3875</v>
      </c>
      <c r="B428" s="49" t="s">
        <v>4524</v>
      </c>
      <c r="C428" s="49" t="s">
        <v>2371</v>
      </c>
      <c r="D428" s="49" t="s">
        <v>2372</v>
      </c>
      <c r="E428" s="49" t="s">
        <v>4525</v>
      </c>
      <c r="F428" s="51">
        <v>46216</v>
      </c>
      <c r="G428" s="49">
        <v>296.49</v>
      </c>
      <c r="H428" s="49" t="s">
        <v>3865</v>
      </c>
      <c r="I428" s="51">
        <v>46216</v>
      </c>
      <c r="J428" s="54">
        <f>INT(Cobros[[#This Row],[Fecha Cargo]])</f>
        <v>46216</v>
      </c>
      <c r="K428" s="54">
        <f>INT(Cobros[[#This Row],[Fecha Aplicacion]])</f>
        <v>46216</v>
      </c>
      <c r="L428" s="55">
        <f>INDEX(Clientes[Días Plazo],MATCH(Cobros[[#This Row],[Cod. Cliente]],Clientes[Codigo],0),1)</f>
        <v>0</v>
      </c>
      <c r="M428" s="45" t="str">
        <f>IF(Cobros[[#This Row],[Dias de Credito]]&lt;=0,"Contado","Credito")</f>
        <v>Contado</v>
      </c>
      <c r="N428" s="45">
        <f>Cobros[[#This Row],[Fecha Aplicación S]]-Cobros[[#This Row],[Fecha Cargo S]]</f>
        <v>0</v>
      </c>
      <c r="O428" s="45">
        <f>Cobros[[#This Row],[Dias al pago]]-Cobros[[#This Row],[Dias de Credito]]</f>
        <v>0</v>
      </c>
      <c r="P428" s="45">
        <f>SUMIFS(TablaDias[Porcentaje],TablaDias[Tipo],Cobros[[#This Row],[Tipo]],TablaDias[Desde ],"&lt;="&amp;MAX(0,Cobros[[#This Row],[Dias pasado]]),TablaDias[Hasta ],"&gt;="&amp;Cobros[[#This Row],[Dias pasado]])</f>
        <v>100</v>
      </c>
      <c r="Q428">
        <v>1</v>
      </c>
      <c r="R428">
        <f>IF(COUNTIF(PAPEL[Numero],Cobros[[#This Row],[Doc. Cargo]])&gt;0,1,0)</f>
        <v>0</v>
      </c>
      <c r="S428" s="46">
        <v>1</v>
      </c>
      <c r="T428" s="46">
        <f t="array" ref="T428">INDEX(Ventas[[Unidades]:[2]],MATCH("Gerente de Venta",Ventas[Vendedor %],0),6+Cobros[[#This Row],[Mes]])</f>
        <v>0.005</v>
      </c>
      <c r="U428" s="34">
        <f>IF(Cobros[[#This Row],[Tipo]]="Credito",IF(60&gt;=Cobros[[#This Row],[Dias al pago]],1,0),IF(Cobros[[#This Row],[Dias al pago]]&lt;=3,1,0))</f>
        <v>1</v>
      </c>
      <c r="V428" s="46">
        <f>(Cobros[[#This Row],[% A pagar Vendedor]]/100)*Cobros[[#This Row],[Valor Pagado]]*Cobros[[#This Row],[Vencido]]*(Cobros[[#This Row],[% aplicar]]/100)*IF(Cobros[[#This Row],[% A pagar Vendedor]]&gt;0,1,0)</f>
        <v>2.9649</v>
      </c>
      <c r="W428" s="46">
        <f>0.5%*Cobros[[#This Row],[Valor Pagado]]</f>
        <v>1.48245</v>
      </c>
    </row>
    <row r="429" spans="1:23">
      <c r="A429" s="49" t="s">
        <v>3860</v>
      </c>
      <c r="B429" s="49" t="s">
        <v>4526</v>
      </c>
      <c r="C429" s="49" t="s">
        <v>2576</v>
      </c>
      <c r="D429" s="49" t="s">
        <v>2577</v>
      </c>
      <c r="E429" s="49" t="s">
        <v>4058</v>
      </c>
      <c r="F429" s="51">
        <v>46199</v>
      </c>
      <c r="G429" s="49">
        <v>1941.2</v>
      </c>
      <c r="H429" s="49" t="s">
        <v>20</v>
      </c>
      <c r="I429" s="51">
        <v>46217</v>
      </c>
      <c r="J429" s="54">
        <f>INT(Cobros[[#This Row],[Fecha Cargo]])</f>
        <v>46199</v>
      </c>
      <c r="K429" s="54">
        <f>INT(Cobros[[#This Row],[Fecha Aplicacion]])</f>
        <v>46217</v>
      </c>
      <c r="L429" s="55" t="str">
        <f>INDEX(Clientes[Días Plazo],MATCH(Cobros[[#This Row],[Cod. Cliente]],Clientes[Codigo],0),1)</f>
        <v>7</v>
      </c>
      <c r="M429" s="45" t="str">
        <f>IF(Cobros[[#This Row],[Dias de Credito]]&lt;=0,"Contado","Credito")</f>
        <v>Credito</v>
      </c>
      <c r="N429" s="45">
        <f>Cobros[[#This Row],[Fecha Aplicación S]]-Cobros[[#This Row],[Fecha Cargo S]]</f>
        <v>18</v>
      </c>
      <c r="O429" s="45">
        <f>Cobros[[#This Row],[Dias al pago]]-Cobros[[#This Row],[Dias de Credito]]</f>
        <v>11</v>
      </c>
      <c r="P429" s="45">
        <f>SUMIFS(TablaDias[Porcentaje],TablaDias[Tipo],Cobros[[#This Row],[Tipo]],TablaDias[Desde ],"&lt;="&amp;MAX(0,Cobros[[#This Row],[Dias pasado]]),TablaDias[Hasta ],"&gt;="&amp;Cobros[[#This Row],[Dias pasado]])</f>
        <v>100</v>
      </c>
      <c r="Q4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29">
        <f>IF(COUNTIF(PAPEL[Numero],Cobros[[#This Row],[Doc. Cargo]])&gt;0,1,0)</f>
        <v>0</v>
      </c>
      <c r="S429" s="46">
        <f t="array" ref="S4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29" s="46">
        <f t="array" ref="T429">INDEX(Ventas[[Unidades]:[2]],MATCH("Gerente de Venta",Ventas[Vendedor %],0),6+Cobros[[#This Row],[Mes]])</f>
        <v>0.005</v>
      </c>
      <c r="U429" s="34">
        <f>IF(Cobros[[#This Row],[Tipo]]="Credito",IF(60&gt;=Cobros[[#This Row],[Dias al pago]],1,0),IF(Cobros[[#This Row],[Dias al pago]]&lt;=3,1,0))</f>
        <v>1</v>
      </c>
      <c r="V429" s="46">
        <f>(Cobros[[#This Row],[% A pagar Vendedor]]/100)*Cobros[[#This Row],[Valor Pagado]]*Cobros[[#This Row],[Vencido]]*(Cobros[[#This Row],[% aplicar]]/100)*IF(Cobros[[#This Row],[% A pagar Vendedor]]&gt;0,1,0)</f>
        <v>24.265</v>
      </c>
      <c r="W429" s="46">
        <f>0.5%*Cobros[[#This Row],[Valor Pagado]]</f>
        <v>9.706</v>
      </c>
    </row>
    <row r="430" spans="1:24">
      <c r="A430" s="49" t="s">
        <v>3860</v>
      </c>
      <c r="B430" s="49" t="s">
        <v>4526</v>
      </c>
      <c r="C430" s="49" t="s">
        <v>2576</v>
      </c>
      <c r="D430" s="49" t="s">
        <v>2577</v>
      </c>
      <c r="E430" s="49" t="s">
        <v>4527</v>
      </c>
      <c r="F430" s="51">
        <v>46203</v>
      </c>
      <c r="G430" s="49">
        <v>645.95</v>
      </c>
      <c r="H430" s="49" t="s">
        <v>20</v>
      </c>
      <c r="I430" s="51">
        <v>46217</v>
      </c>
      <c r="J430" s="54">
        <f>INT(Cobros[[#This Row],[Fecha Cargo]])</f>
        <v>46203</v>
      </c>
      <c r="K430" s="54">
        <f>INT(Cobros[[#This Row],[Fecha Aplicacion]])</f>
        <v>46217</v>
      </c>
      <c r="L430" s="55" t="str">
        <f>INDEX(Clientes[Días Plazo],MATCH(Cobros[[#This Row],[Cod. Cliente]],Clientes[Codigo],0),1)</f>
        <v>7</v>
      </c>
      <c r="M430" s="45" t="str">
        <f>IF(Cobros[[#This Row],[Dias de Credito]]&lt;=0,"Contado","Credito")</f>
        <v>Credito</v>
      </c>
      <c r="N430" s="45">
        <f>Cobros[[#This Row],[Fecha Aplicación S]]-Cobros[[#This Row],[Fecha Cargo S]]</f>
        <v>14</v>
      </c>
      <c r="O430" s="45">
        <f>Cobros[[#This Row],[Dias al pago]]-Cobros[[#This Row],[Dias de Credito]]</f>
        <v>7</v>
      </c>
      <c r="P430" s="45">
        <f>SUMIFS(TablaDias[Porcentaje],TablaDias[Tipo],Cobros[[#This Row],[Tipo]],TablaDias[Desde ],"&lt;="&amp;MAX(0,Cobros[[#This Row],[Dias pasado]]),TablaDias[Hasta ],"&gt;="&amp;Cobros[[#This Row],[Dias pasado]])</f>
        <v>100</v>
      </c>
      <c r="Q4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0">
        <f>IF(COUNTIF(PAPEL[Numero],Cobros[[#This Row],[Doc. Cargo]])&gt;0,1,0)</f>
        <v>0</v>
      </c>
      <c r="S430" s="46">
        <f t="array" ref="S4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30" s="46">
        <f t="array" ref="T430">INDEX(Ventas[[Unidades]:[2]],MATCH("Gerente de Venta",Ventas[Vendedor %],0),6+Cobros[[#This Row],[Mes]])</f>
        <v>0.005</v>
      </c>
      <c r="U430" s="34">
        <f>IF(Cobros[[#This Row],[Tipo]]="Credito",IF(60&gt;=Cobros[[#This Row],[Dias al pago]],1,0),IF(Cobros[[#This Row],[Dias al pago]]&lt;=3,1,0))</f>
        <v>1</v>
      </c>
      <c r="V430" s="46">
        <f>(Cobros[[#This Row],[% A pagar Vendedor]]/100)*Cobros[[#This Row],[Valor Pagado]]*Cobros[[#This Row],[Vencido]]*(Cobros[[#This Row],[% aplicar]]/100)*IF(Cobros[[#This Row],[% A pagar Vendedor]]&gt;0,1,0)</f>
        <v>8.074375</v>
      </c>
      <c r="W430" s="46">
        <f>0.5%*Cobros[[#This Row],[Valor Pagado]]</f>
        <v>3.22975</v>
      </c>
      <c r="X430" s="60"/>
    </row>
    <row r="431" spans="1:23">
      <c r="A431" s="49" t="s">
        <v>3860</v>
      </c>
      <c r="B431" s="49" t="s">
        <v>4526</v>
      </c>
      <c r="C431" s="49" t="s">
        <v>2576</v>
      </c>
      <c r="D431" s="49" t="s">
        <v>2577</v>
      </c>
      <c r="E431" s="49" t="s">
        <v>4528</v>
      </c>
      <c r="F431" s="51">
        <v>46203</v>
      </c>
      <c r="G431" s="49">
        <v>252.4</v>
      </c>
      <c r="H431" s="49" t="s">
        <v>20</v>
      </c>
      <c r="I431" s="51">
        <v>46217</v>
      </c>
      <c r="J431" s="54">
        <f>INT(Cobros[[#This Row],[Fecha Cargo]])</f>
        <v>46203</v>
      </c>
      <c r="K431" s="54">
        <f>INT(Cobros[[#This Row],[Fecha Aplicacion]])</f>
        <v>46217</v>
      </c>
      <c r="L431" s="55" t="str">
        <f>INDEX(Clientes[Días Plazo],MATCH(Cobros[[#This Row],[Cod. Cliente]],Clientes[Codigo],0),1)</f>
        <v>7</v>
      </c>
      <c r="M431" s="45" t="str">
        <f>IF(Cobros[[#This Row],[Dias de Credito]]&lt;=0,"Contado","Credito")</f>
        <v>Credito</v>
      </c>
      <c r="N431" s="45">
        <f>Cobros[[#This Row],[Fecha Aplicación S]]-Cobros[[#This Row],[Fecha Cargo S]]</f>
        <v>14</v>
      </c>
      <c r="O431" s="45">
        <f>Cobros[[#This Row],[Dias al pago]]-Cobros[[#This Row],[Dias de Credito]]</f>
        <v>7</v>
      </c>
      <c r="P431" s="45">
        <f>SUMIFS(TablaDias[Porcentaje],TablaDias[Tipo],Cobros[[#This Row],[Tipo]],TablaDias[Desde ],"&lt;="&amp;MAX(0,Cobros[[#This Row],[Dias pasado]]),TablaDias[Hasta ],"&gt;="&amp;Cobros[[#This Row],[Dias pasado]])</f>
        <v>100</v>
      </c>
      <c r="Q4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1">
        <f>IF(COUNTIF(PAPEL[Numero],Cobros[[#This Row],[Doc. Cargo]])&gt;0,1,0)</f>
        <v>0</v>
      </c>
      <c r="S431" s="46">
        <f t="array" ref="S4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31" s="46">
        <f t="array" ref="T431">INDEX(Ventas[[Unidades]:[2]],MATCH("Gerente de Venta",Ventas[Vendedor %],0),6+Cobros[[#This Row],[Mes]])</f>
        <v>0.005</v>
      </c>
      <c r="U431" s="34">
        <f>IF(Cobros[[#This Row],[Tipo]]="Credito",IF(60&gt;=Cobros[[#This Row],[Dias al pago]],1,0),IF(Cobros[[#This Row],[Dias al pago]]&lt;=3,1,0))</f>
        <v>1</v>
      </c>
      <c r="V431" s="46">
        <f>(Cobros[[#This Row],[% A pagar Vendedor]]/100)*Cobros[[#This Row],[Valor Pagado]]*Cobros[[#This Row],[Vencido]]*(Cobros[[#This Row],[% aplicar]]/100)*IF(Cobros[[#This Row],[% A pagar Vendedor]]&gt;0,1,0)</f>
        <v>3.155</v>
      </c>
      <c r="W431" s="46">
        <f>0.5%*Cobros[[#This Row],[Valor Pagado]]</f>
        <v>1.262</v>
      </c>
    </row>
    <row r="432" spans="1:23">
      <c r="A432" s="49" t="s">
        <v>3860</v>
      </c>
      <c r="B432" s="49" t="s">
        <v>4526</v>
      </c>
      <c r="C432" s="49" t="s">
        <v>2576</v>
      </c>
      <c r="D432" s="49" t="s">
        <v>2577</v>
      </c>
      <c r="E432" s="49" t="s">
        <v>4529</v>
      </c>
      <c r="F432" s="51">
        <v>46204</v>
      </c>
      <c r="G432" s="49">
        <v>160.45</v>
      </c>
      <c r="H432" s="49" t="s">
        <v>20</v>
      </c>
      <c r="I432" s="51">
        <v>46217</v>
      </c>
      <c r="J432" s="54">
        <f>INT(Cobros[[#This Row],[Fecha Cargo]])</f>
        <v>46204</v>
      </c>
      <c r="K432" s="54">
        <f>INT(Cobros[[#This Row],[Fecha Aplicacion]])</f>
        <v>46217</v>
      </c>
      <c r="L432" s="55" t="str">
        <f>INDEX(Clientes[Días Plazo],MATCH(Cobros[[#This Row],[Cod. Cliente]],Clientes[Codigo],0),1)</f>
        <v>7</v>
      </c>
      <c r="M432" s="45" t="str">
        <f>IF(Cobros[[#This Row],[Dias de Credito]]&lt;=0,"Contado","Credito")</f>
        <v>Credito</v>
      </c>
      <c r="N432" s="45">
        <f>Cobros[[#This Row],[Fecha Aplicación S]]-Cobros[[#This Row],[Fecha Cargo S]]</f>
        <v>13</v>
      </c>
      <c r="O432" s="45">
        <f>Cobros[[#This Row],[Dias al pago]]-Cobros[[#This Row],[Dias de Credito]]</f>
        <v>6</v>
      </c>
      <c r="P432" s="45">
        <f>SUMIFS(TablaDias[Porcentaje],TablaDias[Tipo],Cobros[[#This Row],[Tipo]],TablaDias[Desde ],"&lt;="&amp;MAX(0,Cobros[[#This Row],[Dias pasado]]),TablaDias[Hasta ],"&gt;="&amp;Cobros[[#This Row],[Dias pasado]])</f>
        <v>100</v>
      </c>
      <c r="Q4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32">
        <f>IF(COUNTIF(PAPEL[Numero],Cobros[[#This Row],[Doc. Cargo]])&gt;0,1,0)</f>
        <v>0</v>
      </c>
      <c r="S432" s="46">
        <f t="array" ref="S4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32" s="46">
        <f t="array" ref="T432">INDEX(Ventas[[Unidades]:[2]],MATCH("Gerente de Venta",Ventas[Vendedor %],0),6+Cobros[[#This Row],[Mes]])</f>
        <v>0.005</v>
      </c>
      <c r="U432" s="34">
        <f>IF(Cobros[[#This Row],[Tipo]]="Credito",IF(60&gt;=Cobros[[#This Row],[Dias al pago]],1,0),IF(Cobros[[#This Row],[Dias al pago]]&lt;=3,1,0))</f>
        <v>1</v>
      </c>
      <c r="V432" s="46">
        <f>(Cobros[[#This Row],[% A pagar Vendedor]]/100)*Cobros[[#This Row],[Valor Pagado]]*Cobros[[#This Row],[Vencido]]*(Cobros[[#This Row],[% aplicar]]/100)*IF(Cobros[[#This Row],[% A pagar Vendedor]]&gt;0,1,0)</f>
        <v>2.005625</v>
      </c>
      <c r="W432" s="46">
        <f>0.5%*Cobros[[#This Row],[Valor Pagado]]</f>
        <v>0.80225</v>
      </c>
    </row>
    <row r="433" ht="30" spans="1:23">
      <c r="A433" s="49" t="s">
        <v>3860</v>
      </c>
      <c r="B433" s="49" t="s">
        <v>4530</v>
      </c>
      <c r="C433" s="49" t="s">
        <v>3190</v>
      </c>
      <c r="D433" s="49" t="s">
        <v>3191</v>
      </c>
      <c r="E433" s="49" t="s">
        <v>3972</v>
      </c>
      <c r="F433" s="51">
        <v>46112</v>
      </c>
      <c r="G433" s="49">
        <v>2817</v>
      </c>
      <c r="H433" s="49" t="s">
        <v>3865</v>
      </c>
      <c r="I433" s="51">
        <v>46217</v>
      </c>
      <c r="J433" s="54">
        <f>INT(Cobros[[#This Row],[Fecha Cargo]])</f>
        <v>46112</v>
      </c>
      <c r="K433" s="54">
        <f>INT(Cobros[[#This Row],[Fecha Aplicacion]])</f>
        <v>46217</v>
      </c>
      <c r="L433" s="55">
        <f>INDEX(Clientes[Días Plazo],MATCH(Cobros[[#This Row],[Cod. Cliente]],Clientes[Codigo],0),1)</f>
        <v>21</v>
      </c>
      <c r="M433" s="45" t="str">
        <f>IF(Cobros[[#This Row],[Dias de Credito]]&lt;=0,"Contado","Credito")</f>
        <v>Credito</v>
      </c>
      <c r="N433" s="45">
        <f>Cobros[[#This Row],[Fecha Aplicación S]]-Cobros[[#This Row],[Fecha Cargo S]]</f>
        <v>105</v>
      </c>
      <c r="O433" s="45">
        <f>Cobros[[#This Row],[Dias al pago]]-Cobros[[#This Row],[Dias de Credito]]</f>
        <v>84</v>
      </c>
      <c r="P433" s="45">
        <f>SUMIFS(TablaDias[Porcentaje],TablaDias[Tipo],Cobros[[#This Row],[Tipo]],TablaDias[Desde ],"&lt;="&amp;MAX(0,Cobros[[#This Row],[Dias pasado]]),TablaDias[Hasta ],"&gt;="&amp;Cobros[[#This Row],[Dias pasado]])</f>
        <v>0</v>
      </c>
      <c r="Q4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33">
        <f>IF(COUNTIF(PAPEL[Numero],Cobros[[#This Row],[Doc. Cargo]])&gt;0,1,0)</f>
        <v>0</v>
      </c>
      <c r="S433" s="46">
        <v>1</v>
      </c>
      <c r="T433" s="46">
        <f t="array" ref="T433">INDEX(Ventas[[Unidades]:[2]],MATCH("Gerente de Venta",Ventas[Vendedor %],0),6+Cobros[[#This Row],[Mes]])</f>
        <v>0.005</v>
      </c>
      <c r="U433" s="34">
        <f>IF(Cobros[[#This Row],[Tipo]]="Credito",IF(60&gt;=Cobros[[#This Row],[Dias al pago]],1,0),IF(Cobros[[#This Row],[Dias al pago]]&lt;=3,1,0))</f>
        <v>0</v>
      </c>
      <c r="V433" s="46">
        <f>(Cobros[[#This Row],[% A pagar Vendedor]]/100)*Cobros[[#This Row],[Valor Pagado]]*Cobros[[#This Row],[Vencido]]*(Cobros[[#This Row],[% aplicar]]/100)*IF(Cobros[[#This Row],[% A pagar Vendedor]]&gt;0,1,0)</f>
        <v>0</v>
      </c>
      <c r="W433" s="46">
        <f>0.5%*Cobros[[#This Row],[Valor Pagado]]</f>
        <v>14.085</v>
      </c>
    </row>
    <row r="434" ht="30" spans="1:23">
      <c r="A434" s="49" t="s">
        <v>3860</v>
      </c>
      <c r="B434" s="49" t="s">
        <v>4531</v>
      </c>
      <c r="C434" s="49" t="s">
        <v>2605</v>
      </c>
      <c r="D434" s="49" t="s">
        <v>2606</v>
      </c>
      <c r="E434" s="49" t="s">
        <v>4532</v>
      </c>
      <c r="F434" s="51">
        <v>46210</v>
      </c>
      <c r="G434" s="49">
        <v>214.2</v>
      </c>
      <c r="H434" s="49" t="s">
        <v>3865</v>
      </c>
      <c r="I434" s="51">
        <v>46210</v>
      </c>
      <c r="J434" s="54">
        <f>INT(Cobros[[#This Row],[Fecha Cargo]])</f>
        <v>46210</v>
      </c>
      <c r="K434" s="54">
        <f>INT(Cobros[[#This Row],[Fecha Aplicacion]])</f>
        <v>46210</v>
      </c>
      <c r="L434" s="55">
        <f>INDEX(Clientes[Días Plazo],MATCH(Cobros[[#This Row],[Cod. Cliente]],Clientes[Codigo],0),1)</f>
        <v>0</v>
      </c>
      <c r="M434" s="45" t="str">
        <f>IF(Cobros[[#This Row],[Dias de Credito]]&lt;=0,"Contado","Credito")</f>
        <v>Contado</v>
      </c>
      <c r="N434" s="45">
        <f>Cobros[[#This Row],[Fecha Aplicación S]]-Cobros[[#This Row],[Fecha Cargo S]]</f>
        <v>0</v>
      </c>
      <c r="O434" s="45">
        <f>Cobros[[#This Row],[Dias al pago]]-Cobros[[#This Row],[Dias de Credito]]</f>
        <v>0</v>
      </c>
      <c r="P434" s="45">
        <f>SUMIFS(TablaDias[Porcentaje],TablaDias[Tipo],Cobros[[#This Row],[Tipo]],TablaDias[Desde ],"&lt;="&amp;MAX(0,Cobros[[#This Row],[Dias pasado]]),TablaDias[Hasta ],"&gt;="&amp;Cobros[[#This Row],[Dias pasado]])</f>
        <v>100</v>
      </c>
      <c r="Q4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34">
        <f>IF(COUNTIF(PAPEL[Numero],Cobros[[#This Row],[Doc. Cargo]])&gt;0,1,0)</f>
        <v>0</v>
      </c>
      <c r="S434" s="46">
        <v>1</v>
      </c>
      <c r="T434" s="46">
        <f t="array" ref="T434">INDEX(Ventas[[Unidades]:[2]],MATCH("Gerente de Venta",Ventas[Vendedor %],0),6+Cobros[[#This Row],[Mes]])</f>
        <v>0.005</v>
      </c>
      <c r="U434" s="34">
        <f>IF(Cobros[[#This Row],[Tipo]]="Credito",IF(60&gt;=Cobros[[#This Row],[Dias al pago]],1,0),IF(Cobros[[#This Row],[Dias al pago]]&lt;=3,1,0))</f>
        <v>1</v>
      </c>
      <c r="V434" s="46">
        <f>(Cobros[[#This Row],[% A pagar Vendedor]]/100)*Cobros[[#This Row],[Valor Pagado]]*Cobros[[#This Row],[Vencido]]*(Cobros[[#This Row],[% aplicar]]/100)*IF(Cobros[[#This Row],[% A pagar Vendedor]]&gt;0,1,0)</f>
        <v>2.142</v>
      </c>
      <c r="W434" s="46">
        <f>0.5%*Cobros[[#This Row],[Valor Pagado]]</f>
        <v>1.071</v>
      </c>
    </row>
    <row r="435" ht="30" spans="1:24">
      <c r="A435" s="49" t="s">
        <v>3860</v>
      </c>
      <c r="B435" s="49" t="s">
        <v>4533</v>
      </c>
      <c r="C435" s="49" t="s">
        <v>2605</v>
      </c>
      <c r="D435" s="49" t="s">
        <v>2606</v>
      </c>
      <c r="E435" s="49" t="s">
        <v>4534</v>
      </c>
      <c r="F435" s="51">
        <v>46216</v>
      </c>
      <c r="G435" s="49">
        <v>132</v>
      </c>
      <c r="H435" s="49" t="s">
        <v>3865</v>
      </c>
      <c r="I435" s="51">
        <v>46217</v>
      </c>
      <c r="J435" s="54">
        <f>INT(Cobros[[#This Row],[Fecha Cargo]])</f>
        <v>46216</v>
      </c>
      <c r="K435" s="54">
        <f>INT(Cobros[[#This Row],[Fecha Aplicacion]])</f>
        <v>46217</v>
      </c>
      <c r="L435" s="55">
        <f>INDEX(Clientes[Días Plazo],MATCH(Cobros[[#This Row],[Cod. Cliente]],Clientes[Codigo],0),1)</f>
        <v>0</v>
      </c>
      <c r="M435" s="45" t="str">
        <f>IF(Cobros[[#This Row],[Dias de Credito]]&lt;=0,"Contado","Credito")</f>
        <v>Contado</v>
      </c>
      <c r="N435" s="45">
        <f>Cobros[[#This Row],[Fecha Aplicación S]]-Cobros[[#This Row],[Fecha Cargo S]]</f>
        <v>1</v>
      </c>
      <c r="O435" s="45">
        <f>Cobros[[#This Row],[Dias al pago]]-Cobros[[#This Row],[Dias de Credito]]</f>
        <v>1</v>
      </c>
      <c r="P435" s="45">
        <f>SUMIFS(TablaDias[Porcentaje],TablaDias[Tipo],Cobros[[#This Row],[Tipo]],TablaDias[Desde ],"&lt;="&amp;MAX(0,Cobros[[#This Row],[Dias pasado]]),TablaDias[Hasta ],"&gt;="&amp;Cobros[[#This Row],[Dias pasado]])</f>
        <v>100</v>
      </c>
      <c r="Q4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35">
        <f>IF(COUNTIF(PAPEL[Numero],Cobros[[#This Row],[Doc. Cargo]])&gt;0,1,0)</f>
        <v>0</v>
      </c>
      <c r="S435" s="46">
        <v>1</v>
      </c>
      <c r="T435" s="46">
        <f t="array" ref="T435">INDEX(Ventas[[Unidades]:[2]],MATCH("Gerente de Venta",Ventas[Vendedor %],0),6+Cobros[[#This Row],[Mes]])</f>
        <v>0.005</v>
      </c>
      <c r="U435" s="34">
        <f>IF(Cobros[[#This Row],[Tipo]]="Credito",IF(60&gt;=Cobros[[#This Row],[Dias al pago]],1,0),IF(Cobros[[#This Row],[Dias al pago]]&lt;=3,1,0))</f>
        <v>1</v>
      </c>
      <c r="V435" s="46">
        <f>(Cobros[[#This Row],[% A pagar Vendedor]]/100)*Cobros[[#This Row],[Valor Pagado]]*Cobros[[#This Row],[Vencido]]*(Cobros[[#This Row],[% aplicar]]/100)*IF(Cobros[[#This Row],[% A pagar Vendedor]]&gt;0,1,0)</f>
        <v>1.32</v>
      </c>
      <c r="W435" s="46">
        <f>0.5%*Cobros[[#This Row],[Valor Pagado]]</f>
        <v>0.66</v>
      </c>
      <c r="X435" s="34"/>
    </row>
    <row r="436" ht="30" spans="1:24">
      <c r="A436" s="49" t="s">
        <v>3860</v>
      </c>
      <c r="B436" s="49" t="s">
        <v>4535</v>
      </c>
      <c r="C436" s="49" t="s">
        <v>635</v>
      </c>
      <c r="D436" s="49" t="s">
        <v>636</v>
      </c>
      <c r="E436" s="49" t="s">
        <v>4254</v>
      </c>
      <c r="F436" s="51">
        <v>46202</v>
      </c>
      <c r="G436" s="49">
        <v>761.97</v>
      </c>
      <c r="H436" s="49" t="s">
        <v>3865</v>
      </c>
      <c r="I436" s="51">
        <v>46217</v>
      </c>
      <c r="J436" s="54">
        <f>INT(Cobros[[#This Row],[Fecha Cargo]])</f>
        <v>46202</v>
      </c>
      <c r="K436" s="54">
        <f>INT(Cobros[[#This Row],[Fecha Aplicacion]])</f>
        <v>46217</v>
      </c>
      <c r="L436" s="55" t="str">
        <f>INDEX(Clientes[Días Plazo],MATCH(Cobros[[#This Row],[Cod. Cliente]],Clientes[Codigo],0),1)</f>
        <v>15</v>
      </c>
      <c r="M436" s="45" t="str">
        <f>IF(Cobros[[#This Row],[Dias de Credito]]&lt;=0,"Contado","Credito")</f>
        <v>Credito</v>
      </c>
      <c r="N436" s="45">
        <f>Cobros[[#This Row],[Fecha Aplicación S]]-Cobros[[#This Row],[Fecha Cargo S]]</f>
        <v>15</v>
      </c>
      <c r="O436" s="45">
        <f>Cobros[[#This Row],[Dias al pago]]-Cobros[[#This Row],[Dias de Credito]]</f>
        <v>0</v>
      </c>
      <c r="P436" s="45">
        <f>SUMIFS(TablaDias[Porcentaje],TablaDias[Tipo],Cobros[[#This Row],[Tipo]],TablaDias[Desde ],"&lt;="&amp;MAX(0,Cobros[[#This Row],[Dias pasado]]),TablaDias[Hasta ],"&gt;="&amp;Cobros[[#This Row],[Dias pasado]])</f>
        <v>100</v>
      </c>
      <c r="Q4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6">
        <f>IF(COUNTIF(PAPEL[Numero],Cobros[[#This Row],[Doc. Cargo]])&gt;0,1,0)</f>
        <v>0</v>
      </c>
      <c r="S436" s="46">
        <v>1</v>
      </c>
      <c r="T436" s="46">
        <f t="array" ref="T436">INDEX(Ventas[[Unidades]:[2]],MATCH("Gerente de Venta",Ventas[Vendedor %],0),6+Cobros[[#This Row],[Mes]])</f>
        <v>0.005</v>
      </c>
      <c r="U436" s="34">
        <f>IF(Cobros[[#This Row],[Tipo]]="Credito",IF(60&gt;=Cobros[[#This Row],[Dias al pago]],1,0),IF(Cobros[[#This Row],[Dias al pago]]&lt;=3,1,0))</f>
        <v>1</v>
      </c>
      <c r="V436" s="46">
        <f>(Cobros[[#This Row],[% A pagar Vendedor]]/100)*Cobros[[#This Row],[Valor Pagado]]*Cobros[[#This Row],[Vencido]]*(Cobros[[#This Row],[% aplicar]]/100)*IF(Cobros[[#This Row],[% A pagar Vendedor]]&gt;0,1,0)</f>
        <v>7.6197</v>
      </c>
      <c r="W436" s="46">
        <f>0.5%*Cobros[[#This Row],[Valor Pagado]]</f>
        <v>3.80985</v>
      </c>
      <c r="X436" s="34"/>
    </row>
    <row r="437" spans="1:24">
      <c r="A437" s="49" t="s">
        <v>3860</v>
      </c>
      <c r="B437" s="49" t="s">
        <v>4536</v>
      </c>
      <c r="C437" s="49" t="s">
        <v>3145</v>
      </c>
      <c r="D437" s="49" t="s">
        <v>3146</v>
      </c>
      <c r="E437" s="49" t="s">
        <v>4343</v>
      </c>
      <c r="F437" s="51">
        <v>46185</v>
      </c>
      <c r="G437" s="49">
        <v>49.05</v>
      </c>
      <c r="H437" s="49" t="s">
        <v>16</v>
      </c>
      <c r="I437" s="51">
        <v>46217</v>
      </c>
      <c r="J437" s="54">
        <f>INT(Cobros[[#This Row],[Fecha Cargo]])</f>
        <v>46185</v>
      </c>
      <c r="K437" s="54">
        <f>INT(Cobros[[#This Row],[Fecha Aplicacion]])</f>
        <v>46217</v>
      </c>
      <c r="L437" s="55" t="str">
        <f>INDEX(Clientes[Días Plazo],MATCH(Cobros[[#This Row],[Cod. Cliente]],Clientes[Codigo],0),1)</f>
        <v>15</v>
      </c>
      <c r="M437" s="45" t="str">
        <f>IF(Cobros[[#This Row],[Dias de Credito]]&lt;=0,"Contado","Credito")</f>
        <v>Credito</v>
      </c>
      <c r="N437" s="45">
        <f>Cobros[[#This Row],[Fecha Aplicación S]]-Cobros[[#This Row],[Fecha Cargo S]]</f>
        <v>32</v>
      </c>
      <c r="O437" s="45">
        <f>Cobros[[#This Row],[Dias al pago]]-Cobros[[#This Row],[Dias de Credito]]</f>
        <v>17</v>
      </c>
      <c r="P437" s="45">
        <f>SUMIFS(TablaDias[Porcentaje],TablaDias[Tipo],Cobros[[#This Row],[Tipo]],TablaDias[Desde ],"&lt;="&amp;MAX(0,Cobros[[#This Row],[Dias pasado]]),TablaDias[Hasta ],"&gt;="&amp;Cobros[[#This Row],[Dias pasado]])</f>
        <v>50</v>
      </c>
      <c r="Q4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7">
        <f>IF(COUNTIF(PAPEL[Numero],Cobros[[#This Row],[Doc. Cargo]])&gt;0,1,0)</f>
        <v>0</v>
      </c>
      <c r="S437" s="46">
        <f t="array" ref="S4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37" s="47">
        <v>0.005</v>
      </c>
      <c r="U437" s="34">
        <f>IF(Cobros[[#This Row],[Tipo]]="Credito",IF(60&gt;=Cobros[[#This Row],[Dias al pago]],1,0),IF(Cobros[[#This Row],[Dias al pago]]&lt;=3,1,0))</f>
        <v>1</v>
      </c>
      <c r="V437" s="46">
        <f>(Cobros[[#This Row],[% A pagar Vendedor]]/100)*Cobros[[#This Row],[Valor Pagado]]*Cobros[[#This Row],[Vencido]]*(Cobros[[#This Row],[% aplicar]]/100)*IF(Cobros[[#This Row],[% A pagar Vendedor]]&gt;0,1,0)</f>
        <v>0.24525</v>
      </c>
      <c r="W437" s="46">
        <f>0.5%*Cobros[[#This Row],[Valor Pagado]]</f>
        <v>0.24525</v>
      </c>
      <c r="X437" s="34"/>
    </row>
    <row r="438" spans="1:24">
      <c r="A438" s="49" t="s">
        <v>3922</v>
      </c>
      <c r="B438" s="49" t="s">
        <v>4537</v>
      </c>
      <c r="C438" s="49" t="s">
        <v>2773</v>
      </c>
      <c r="D438" s="49" t="s">
        <v>2774</v>
      </c>
      <c r="E438" s="49" t="s">
        <v>4538</v>
      </c>
      <c r="F438" s="51">
        <v>46196</v>
      </c>
      <c r="G438" s="49">
        <v>1404.5</v>
      </c>
      <c r="H438" s="49" t="s">
        <v>16</v>
      </c>
      <c r="I438" s="51">
        <v>46217</v>
      </c>
      <c r="J438" s="54">
        <f>INT(Cobros[[#This Row],[Fecha Cargo]])</f>
        <v>46196</v>
      </c>
      <c r="K438" s="54">
        <f>INT(Cobros[[#This Row],[Fecha Aplicacion]])</f>
        <v>46217</v>
      </c>
      <c r="L438" s="55">
        <f>INDEX(Clientes[Días Plazo],MATCH(Cobros[[#This Row],[Cod. Cliente]],Clientes[Codigo],0),1)</f>
        <v>0</v>
      </c>
      <c r="M438" s="45" t="str">
        <f>IF(Cobros[[#This Row],[Dias de Credito]]&lt;=0,"Contado","Credito")</f>
        <v>Contado</v>
      </c>
      <c r="N438" s="45">
        <f>Cobros[[#This Row],[Fecha Aplicación S]]-Cobros[[#This Row],[Fecha Cargo S]]</f>
        <v>21</v>
      </c>
      <c r="O438" s="45">
        <f>Cobros[[#This Row],[Dias al pago]]-Cobros[[#This Row],[Dias de Credito]]</f>
        <v>21</v>
      </c>
      <c r="P438" s="45">
        <f>SUMIFS(TablaDias[Porcentaje],TablaDias[Tipo],Cobros[[#This Row],[Tipo]],TablaDias[Desde ],"&lt;="&amp;MAX(0,Cobros[[#This Row],[Dias pasado]]),TablaDias[Hasta ],"&gt;="&amp;Cobros[[#This Row],[Dias pasado]])</f>
        <v>0</v>
      </c>
      <c r="Q43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8">
        <f>IF(COUNTIF(PAPEL[Numero],Cobros[[#This Row],[Doc. Cargo]])&gt;0,1,0)</f>
        <v>0</v>
      </c>
      <c r="S438" s="46">
        <f t="array" ref="S4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38" s="47">
        <v>0.005</v>
      </c>
      <c r="U438" s="34">
        <f>IF(Cobros[[#This Row],[Tipo]]="Credito",IF(60&gt;=Cobros[[#This Row],[Dias al pago]],1,0),IF(Cobros[[#This Row],[Dias al pago]]&lt;=3,1,0))</f>
        <v>0</v>
      </c>
      <c r="V438" s="46">
        <f>(Cobros[[#This Row],[% A pagar Vendedor]]/100)*Cobros[[#This Row],[Valor Pagado]]*Cobros[[#This Row],[Vencido]]*(Cobros[[#This Row],[% aplicar]]/100)*IF(Cobros[[#This Row],[% A pagar Vendedor]]&gt;0,1,0)</f>
        <v>0</v>
      </c>
      <c r="W438" s="46">
        <f>0.5%*Cobros[[#This Row],[Valor Pagado]]</f>
        <v>7.0225</v>
      </c>
      <c r="X438" s="34"/>
    </row>
    <row r="439" spans="1:24">
      <c r="A439" s="49" t="s">
        <v>3904</v>
      </c>
      <c r="B439" s="49" t="s">
        <v>4539</v>
      </c>
      <c r="C439" s="49" t="s">
        <v>2147</v>
      </c>
      <c r="D439" s="49" t="s">
        <v>3981</v>
      </c>
      <c r="E439" s="49" t="s">
        <v>4540</v>
      </c>
      <c r="F439" s="51">
        <v>46195</v>
      </c>
      <c r="G439" s="49">
        <v>332.37</v>
      </c>
      <c r="H439" s="49" t="s">
        <v>19</v>
      </c>
      <c r="I439" s="51">
        <v>46217</v>
      </c>
      <c r="J439" s="54">
        <f>INT(Cobros[[#This Row],[Fecha Cargo]])</f>
        <v>46195</v>
      </c>
      <c r="K439" s="54">
        <f>INT(Cobros[[#This Row],[Fecha Aplicacion]])</f>
        <v>46217</v>
      </c>
      <c r="L439" s="55" t="str">
        <f>INDEX(Clientes[Días Plazo],MATCH(Cobros[[#This Row],[Cod. Cliente]],Clientes[Codigo],0),1)</f>
        <v>30 Días</v>
      </c>
      <c r="M439" s="45" t="str">
        <f>IF(Cobros[[#This Row],[Dias de Credito]]&lt;=0,"Contado","Credito")</f>
        <v>Credito</v>
      </c>
      <c r="N439" s="45">
        <f>Cobros[[#This Row],[Fecha Aplicación S]]-Cobros[[#This Row],[Fecha Cargo S]]</f>
        <v>22</v>
      </c>
      <c r="O439" s="45" t="e">
        <f>Cobros[[#This Row],[Dias al pago]]-Cobros[[#This Row],[Dias de Credito]]</f>
        <v>#VALUE!</v>
      </c>
      <c r="P439" s="45">
        <f>SUMIFS(TablaDias[Porcentaje],TablaDias[Tipo],Cobros[[#This Row],[Tipo]],TablaDias[Desde ],"&lt;="&amp;MAX(0,Cobros[[#This Row],[Dias pasado]]),TablaDias[Hasta ],"&gt;="&amp;Cobros[[#This Row],[Dias pasado]])</f>
        <v>0</v>
      </c>
      <c r="Q43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39">
        <f>IF(COUNTIF(PAPEL[Numero],Cobros[[#This Row],[Doc. Cargo]])&gt;0,1,0)</f>
        <v>0</v>
      </c>
      <c r="S439" s="46">
        <f t="array" ref="S4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39" s="46">
        <f t="array" ref="T439">INDEX(Ventas[[Unidades]:[2]],MATCH("Gerente de Venta",Ventas[Vendedor %],0),6+Cobros[[#This Row],[Mes]])</f>
        <v>0.005</v>
      </c>
      <c r="U439" s="34">
        <f>IF(Cobros[[#This Row],[Tipo]]="Credito",IF(60&gt;=Cobros[[#This Row],[Dias al pago]],1,0),IF(Cobros[[#This Row],[Dias al pago]]&lt;=3,1,0))</f>
        <v>1</v>
      </c>
      <c r="V439" s="46">
        <f>(Cobros[[#This Row],[% A pagar Vendedor]]/100)*Cobros[[#This Row],[Valor Pagado]]*Cobros[[#This Row],[Vencido]]*(Cobros[[#This Row],[% aplicar]]/100)*IF(Cobros[[#This Row],[% A pagar Vendedor]]&gt;0,1,0)</f>
        <v>0</v>
      </c>
      <c r="W439" s="46">
        <f>0.5%*Cobros[[#This Row],[Valor Pagado]]</f>
        <v>1.66185</v>
      </c>
      <c r="X439" s="34"/>
    </row>
    <row r="440" spans="1:24">
      <c r="A440" s="49" t="s">
        <v>3904</v>
      </c>
      <c r="B440" s="49" t="s">
        <v>4539</v>
      </c>
      <c r="C440" s="49" t="s">
        <v>2147</v>
      </c>
      <c r="D440" s="49" t="s">
        <v>3981</v>
      </c>
      <c r="E440" s="49" t="s">
        <v>4541</v>
      </c>
      <c r="F440" s="51">
        <v>46212</v>
      </c>
      <c r="G440" s="49">
        <v>6.63</v>
      </c>
      <c r="H440" s="49" t="s">
        <v>19</v>
      </c>
      <c r="I440" s="51">
        <v>46217</v>
      </c>
      <c r="J440" s="54">
        <f>INT(Cobros[[#This Row],[Fecha Cargo]])</f>
        <v>46212</v>
      </c>
      <c r="K440" s="54">
        <f>INT(Cobros[[#This Row],[Fecha Aplicacion]])</f>
        <v>46217</v>
      </c>
      <c r="L440" s="55" t="str">
        <f>INDEX(Clientes[Días Plazo],MATCH(Cobros[[#This Row],[Cod. Cliente]],Clientes[Codigo],0),1)</f>
        <v>30 Días</v>
      </c>
      <c r="M440" s="45" t="str">
        <f>IF(Cobros[[#This Row],[Dias de Credito]]&lt;=0,"Contado","Credito")</f>
        <v>Credito</v>
      </c>
      <c r="N440" s="45">
        <f>Cobros[[#This Row],[Fecha Aplicación S]]-Cobros[[#This Row],[Fecha Cargo S]]</f>
        <v>5</v>
      </c>
      <c r="O440" s="45" t="e">
        <f>Cobros[[#This Row],[Dias al pago]]-Cobros[[#This Row],[Dias de Credito]]</f>
        <v>#VALUE!</v>
      </c>
      <c r="P440" s="45">
        <f>SUMIFS(TablaDias[Porcentaje],TablaDias[Tipo],Cobros[[#This Row],[Tipo]],TablaDias[Desde ],"&lt;="&amp;MAX(0,Cobros[[#This Row],[Dias pasado]]),TablaDias[Hasta ],"&gt;="&amp;Cobros[[#This Row],[Dias pasado]])</f>
        <v>0</v>
      </c>
      <c r="Q44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40">
        <f>IF(COUNTIF(PAPEL[Numero],Cobros[[#This Row],[Doc. Cargo]])&gt;0,1,0)</f>
        <v>0</v>
      </c>
      <c r="S440" s="46">
        <f t="array" ref="S4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40" s="46">
        <f t="array" ref="T440">INDEX(Ventas[[Unidades]:[2]],MATCH("Gerente de Venta",Ventas[Vendedor %],0),6+Cobros[[#This Row],[Mes]])</f>
        <v>0.005</v>
      </c>
      <c r="U440" s="34">
        <f>IF(Cobros[[#This Row],[Tipo]]="Credito",IF(60&gt;=Cobros[[#This Row],[Dias al pago]],1,0),IF(Cobros[[#This Row],[Dias al pago]]&lt;=3,1,0))</f>
        <v>1</v>
      </c>
      <c r="V440" s="46">
        <f>(Cobros[[#This Row],[% A pagar Vendedor]]/100)*Cobros[[#This Row],[Valor Pagado]]*Cobros[[#This Row],[Vencido]]*(Cobros[[#This Row],[% aplicar]]/100)*IF(Cobros[[#This Row],[% A pagar Vendedor]]&gt;0,1,0)</f>
        <v>0</v>
      </c>
      <c r="W440" s="46">
        <f>0.5%*Cobros[[#This Row],[Valor Pagado]]</f>
        <v>0.03315</v>
      </c>
      <c r="X440" s="34"/>
    </row>
    <row r="441" spans="1:24">
      <c r="A441" s="49" t="s">
        <v>3860</v>
      </c>
      <c r="B441" s="49" t="s">
        <v>4542</v>
      </c>
      <c r="C441" s="49" t="s">
        <v>2960</v>
      </c>
      <c r="D441" s="49" t="s">
        <v>2961</v>
      </c>
      <c r="E441" s="49" t="s">
        <v>4543</v>
      </c>
      <c r="F441" s="51">
        <v>46211</v>
      </c>
      <c r="G441" s="49">
        <v>523.35</v>
      </c>
      <c r="H441" s="49" t="s">
        <v>16</v>
      </c>
      <c r="I441" s="51">
        <v>46217</v>
      </c>
      <c r="J441" s="54">
        <f>INT(Cobros[[#This Row],[Fecha Cargo]])</f>
        <v>46211</v>
      </c>
      <c r="K441" s="54">
        <f>INT(Cobros[[#This Row],[Fecha Aplicacion]])</f>
        <v>46217</v>
      </c>
      <c r="L441" s="55" t="str">
        <f>INDEX(Clientes[Días Plazo],MATCH(Cobros[[#This Row],[Cod. Cliente]],Clientes[Codigo],0),1)</f>
        <v>7</v>
      </c>
      <c r="M441" s="45" t="str">
        <f>IF(Cobros[[#This Row],[Dias de Credito]]&lt;=0,"Contado","Credito")</f>
        <v>Credito</v>
      </c>
      <c r="N441" s="45">
        <f>Cobros[[#This Row],[Fecha Aplicación S]]-Cobros[[#This Row],[Fecha Cargo S]]</f>
        <v>6</v>
      </c>
      <c r="O441" s="45">
        <f>Cobros[[#This Row],[Dias al pago]]-Cobros[[#This Row],[Dias de Credito]]</f>
        <v>-1</v>
      </c>
      <c r="P441" s="45">
        <f>SUMIFS(TablaDias[Porcentaje],TablaDias[Tipo],Cobros[[#This Row],[Tipo]],TablaDias[Desde ],"&lt;="&amp;MAX(0,Cobros[[#This Row],[Dias pasado]]),TablaDias[Hasta ],"&gt;="&amp;Cobros[[#This Row],[Dias pasado]])</f>
        <v>100</v>
      </c>
      <c r="Q44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41">
        <f>IF(COUNTIF(PAPEL[Numero],Cobros[[#This Row],[Doc. Cargo]])&gt;0,1,0)</f>
        <v>0</v>
      </c>
      <c r="S441" s="46">
        <f t="array" ref="S4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41" s="47">
        <v>0.005</v>
      </c>
      <c r="U441" s="34">
        <f>IF(Cobros[[#This Row],[Tipo]]="Credito",IF(60&gt;=Cobros[[#This Row],[Dias al pago]],1,0),IF(Cobros[[#This Row],[Dias al pago]]&lt;=3,1,0))</f>
        <v>1</v>
      </c>
      <c r="V441" s="46">
        <f>(Cobros[[#This Row],[% A pagar Vendedor]]/100)*Cobros[[#This Row],[Valor Pagado]]*Cobros[[#This Row],[Vencido]]*(Cobros[[#This Row],[% aplicar]]/100)*IF(Cobros[[#This Row],[% A pagar Vendedor]]&gt;0,1,0)</f>
        <v>6.541875</v>
      </c>
      <c r="W441" s="46">
        <f>0.5%*Cobros[[#This Row],[Valor Pagado]]</f>
        <v>2.61675</v>
      </c>
      <c r="X441" s="34"/>
    </row>
    <row r="442" spans="1:24">
      <c r="A442" s="49" t="s">
        <v>3860</v>
      </c>
      <c r="B442" s="49" t="s">
        <v>4544</v>
      </c>
      <c r="C442" s="49" t="s">
        <v>929</v>
      </c>
      <c r="D442" s="49" t="s">
        <v>930</v>
      </c>
      <c r="E442" s="49" t="s">
        <v>4545</v>
      </c>
      <c r="F442" s="51">
        <v>46217</v>
      </c>
      <c r="G442" s="49">
        <v>702.25</v>
      </c>
      <c r="H442" s="49" t="s">
        <v>16</v>
      </c>
      <c r="I442" s="51">
        <v>46217</v>
      </c>
      <c r="J442" s="54">
        <f>INT(Cobros[[#This Row],[Fecha Cargo]])</f>
        <v>46217</v>
      </c>
      <c r="K442" s="54">
        <f>INT(Cobros[[#This Row],[Fecha Aplicacion]])</f>
        <v>46217</v>
      </c>
      <c r="L442" s="55">
        <f>INDEX(Clientes[Días Plazo],MATCH(Cobros[[#This Row],[Cod. Cliente]],Clientes[Codigo],0),1)</f>
        <v>0</v>
      </c>
      <c r="M442" s="45" t="str">
        <f>IF(Cobros[[#This Row],[Dias de Credito]]&lt;=0,"Contado","Credito")</f>
        <v>Contado</v>
      </c>
      <c r="N442" s="45">
        <f>Cobros[[#This Row],[Fecha Aplicación S]]-Cobros[[#This Row],[Fecha Cargo S]]</f>
        <v>0</v>
      </c>
      <c r="O442" s="45">
        <f>Cobros[[#This Row],[Dias al pago]]-Cobros[[#This Row],[Dias de Credito]]</f>
        <v>0</v>
      </c>
      <c r="P442" s="45">
        <f>SUMIFS(TablaDias[Porcentaje],TablaDias[Tipo],Cobros[[#This Row],[Tipo]],TablaDias[Desde ],"&lt;="&amp;MAX(0,Cobros[[#This Row],[Dias pasado]]),TablaDias[Hasta ],"&gt;="&amp;Cobros[[#This Row],[Dias pasado]])</f>
        <v>100</v>
      </c>
      <c r="Q4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42">
        <f>IF(COUNTIF(PAPEL[Numero],Cobros[[#This Row],[Doc. Cargo]])&gt;0,1,0)</f>
        <v>0</v>
      </c>
      <c r="S442" s="46">
        <f t="array" ref="S4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42" s="47">
        <v>0.005</v>
      </c>
      <c r="U442" s="34">
        <f>IF(Cobros[[#This Row],[Tipo]]="Credito",IF(60&gt;=Cobros[[#This Row],[Dias al pago]],1,0),IF(Cobros[[#This Row],[Dias al pago]]&lt;=3,1,0))</f>
        <v>1</v>
      </c>
      <c r="V442" s="46">
        <f>(Cobros[[#This Row],[% A pagar Vendedor]]/100)*Cobros[[#This Row],[Valor Pagado]]*Cobros[[#This Row],[Vencido]]*(Cobros[[#This Row],[% aplicar]]/100)*IF(Cobros[[#This Row],[% A pagar Vendedor]]&gt;0,1,0)</f>
        <v>8.778125</v>
      </c>
      <c r="W442" s="46">
        <f>0.5%*Cobros[[#This Row],[Valor Pagado]]</f>
        <v>3.51125</v>
      </c>
      <c r="X442" s="34"/>
    </row>
    <row r="443" spans="1:24">
      <c r="A443" s="49" t="s">
        <v>3860</v>
      </c>
      <c r="B443" s="49" t="s">
        <v>4546</v>
      </c>
      <c r="C443" s="49" t="s">
        <v>2047</v>
      </c>
      <c r="D443" s="49" t="s">
        <v>2048</v>
      </c>
      <c r="E443" s="49" t="s">
        <v>4547</v>
      </c>
      <c r="F443" s="51">
        <v>46190</v>
      </c>
      <c r="G443" s="49">
        <v>679</v>
      </c>
      <c r="H443" s="49" t="s">
        <v>18</v>
      </c>
      <c r="I443" s="51">
        <v>46217</v>
      </c>
      <c r="J443" s="54">
        <f>INT(Cobros[[#This Row],[Fecha Cargo]])</f>
        <v>46190</v>
      </c>
      <c r="K443" s="54">
        <f>INT(Cobros[[#This Row],[Fecha Aplicacion]])</f>
        <v>46217</v>
      </c>
      <c r="L443" s="55" t="str">
        <f>INDEX(Clientes[Días Plazo],MATCH(Cobros[[#This Row],[Cod. Cliente]],Clientes[Codigo],0),1)</f>
        <v>30 Días</v>
      </c>
      <c r="M443" s="45" t="str">
        <f>IF(Cobros[[#This Row],[Dias de Credito]]&lt;=0,"Contado","Credito")</f>
        <v>Credito</v>
      </c>
      <c r="N443" s="45">
        <f>Cobros[[#This Row],[Fecha Aplicación S]]-Cobros[[#This Row],[Fecha Cargo S]]</f>
        <v>27</v>
      </c>
      <c r="O443" s="45" t="e">
        <f>Cobros[[#This Row],[Dias al pago]]-Cobros[[#This Row],[Dias de Credito]]</f>
        <v>#VALUE!</v>
      </c>
      <c r="P443" s="45">
        <f>SUMIFS(TablaDias[Porcentaje],TablaDias[Tipo],Cobros[[#This Row],[Tipo]],TablaDias[Desde ],"&lt;="&amp;MAX(0,Cobros[[#This Row],[Dias pasado]]),TablaDias[Hasta ],"&gt;="&amp;Cobros[[#This Row],[Dias pasado]])</f>
        <v>0</v>
      </c>
      <c r="Q4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43">
        <f>IF(COUNTIF(PAPEL[Numero],Cobros[[#This Row],[Doc. Cargo]])&gt;0,1,0)</f>
        <v>0</v>
      </c>
      <c r="S443" s="46">
        <f t="array" ref="S4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3" s="46">
        <f t="array" ref="T443">INDEX(Ventas[[Unidades]:[2]],MATCH("Gerente de Venta",Ventas[Vendedor %],0),6+Cobros[[#This Row],[Mes]])</f>
        <v>0.005</v>
      </c>
      <c r="U443" s="34">
        <f>IF(Cobros[[#This Row],[Tipo]]="Credito",IF(60&gt;=Cobros[[#This Row],[Dias al pago]],1,0),IF(Cobros[[#This Row],[Dias al pago]]&lt;=3,1,0))</f>
        <v>1</v>
      </c>
      <c r="V443" s="46">
        <f>(Cobros[[#This Row],[% A pagar Vendedor]]/100)*Cobros[[#This Row],[Valor Pagado]]*Cobros[[#This Row],[Vencido]]*(Cobros[[#This Row],[% aplicar]]/100)*IF(Cobros[[#This Row],[% A pagar Vendedor]]&gt;0,1,0)</f>
        <v>0</v>
      </c>
      <c r="W443" s="46">
        <f>0.5%*Cobros[[#This Row],[Valor Pagado]]</f>
        <v>3.395</v>
      </c>
      <c r="X443" s="34"/>
    </row>
    <row r="444" spans="1:24">
      <c r="A444" s="49" t="s">
        <v>3860</v>
      </c>
      <c r="B444" s="49" t="s">
        <v>4546</v>
      </c>
      <c r="C444" s="49" t="s">
        <v>2047</v>
      </c>
      <c r="D444" s="49" t="s">
        <v>2048</v>
      </c>
      <c r="E444" s="49" t="s">
        <v>4548</v>
      </c>
      <c r="F444" s="51">
        <v>46192</v>
      </c>
      <c r="G444" s="49">
        <v>679</v>
      </c>
      <c r="H444" s="49" t="s">
        <v>18</v>
      </c>
      <c r="I444" s="51">
        <v>46217</v>
      </c>
      <c r="J444" s="54">
        <f>INT(Cobros[[#This Row],[Fecha Cargo]])</f>
        <v>46192</v>
      </c>
      <c r="K444" s="54">
        <f>INT(Cobros[[#This Row],[Fecha Aplicacion]])</f>
        <v>46217</v>
      </c>
      <c r="L444" s="55" t="str">
        <f>INDEX(Clientes[Días Plazo],MATCH(Cobros[[#This Row],[Cod. Cliente]],Clientes[Codigo],0),1)</f>
        <v>30 Días</v>
      </c>
      <c r="M444" s="45" t="str">
        <f>IF(Cobros[[#This Row],[Dias de Credito]]&lt;=0,"Contado","Credito")</f>
        <v>Credito</v>
      </c>
      <c r="N444" s="45">
        <f>Cobros[[#This Row],[Fecha Aplicación S]]-Cobros[[#This Row],[Fecha Cargo S]]</f>
        <v>25</v>
      </c>
      <c r="O444" s="45" t="e">
        <f>Cobros[[#This Row],[Dias al pago]]-Cobros[[#This Row],[Dias de Credito]]</f>
        <v>#VALUE!</v>
      </c>
      <c r="P444" s="45">
        <f>SUMIFS(TablaDias[Porcentaje],TablaDias[Tipo],Cobros[[#This Row],[Tipo]],TablaDias[Desde ],"&lt;="&amp;MAX(0,Cobros[[#This Row],[Dias pasado]]),TablaDias[Hasta ],"&gt;="&amp;Cobros[[#This Row],[Dias pasado]])</f>
        <v>0</v>
      </c>
      <c r="Q4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44">
        <f>IF(COUNTIF(PAPEL[Numero],Cobros[[#This Row],[Doc. Cargo]])&gt;0,1,0)</f>
        <v>0</v>
      </c>
      <c r="S444" s="46">
        <f t="array" ref="S4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4" s="46">
        <f t="array" ref="T444">INDEX(Ventas[[Unidades]:[2]],MATCH("Gerente de Venta",Ventas[Vendedor %],0),6+Cobros[[#This Row],[Mes]])</f>
        <v>0.005</v>
      </c>
      <c r="U444" s="34">
        <f>IF(Cobros[[#This Row],[Tipo]]="Credito",IF(60&gt;=Cobros[[#This Row],[Dias al pago]],1,0),IF(Cobros[[#This Row],[Dias al pago]]&lt;=3,1,0))</f>
        <v>1</v>
      </c>
      <c r="V444" s="46">
        <f>(Cobros[[#This Row],[% A pagar Vendedor]]/100)*Cobros[[#This Row],[Valor Pagado]]*Cobros[[#This Row],[Vencido]]*(Cobros[[#This Row],[% aplicar]]/100)*IF(Cobros[[#This Row],[% A pagar Vendedor]]&gt;0,1,0)</f>
        <v>0</v>
      </c>
      <c r="W444" s="46">
        <f>0.5%*Cobros[[#This Row],[Valor Pagado]]</f>
        <v>3.395</v>
      </c>
      <c r="X444" s="34"/>
    </row>
    <row r="445" spans="1:23">
      <c r="A445" s="49" t="s">
        <v>3860</v>
      </c>
      <c r="B445" s="49" t="s">
        <v>4546</v>
      </c>
      <c r="C445" s="49" t="s">
        <v>2047</v>
      </c>
      <c r="D445" s="49" t="s">
        <v>2048</v>
      </c>
      <c r="E445" s="49" t="s">
        <v>4549</v>
      </c>
      <c r="F445" s="51">
        <v>46196</v>
      </c>
      <c r="G445" s="49">
        <v>42</v>
      </c>
      <c r="H445" s="49" t="s">
        <v>18</v>
      </c>
      <c r="I445" s="51">
        <v>46217</v>
      </c>
      <c r="J445" s="54">
        <f>INT(Cobros[[#This Row],[Fecha Cargo]])</f>
        <v>46196</v>
      </c>
      <c r="K445" s="54">
        <f>INT(Cobros[[#This Row],[Fecha Aplicacion]])</f>
        <v>46217</v>
      </c>
      <c r="L445" s="55" t="str">
        <f>INDEX(Clientes[Días Plazo],MATCH(Cobros[[#This Row],[Cod. Cliente]],Clientes[Codigo],0),1)</f>
        <v>30 Días</v>
      </c>
      <c r="M445" s="45" t="str">
        <f>IF(Cobros[[#This Row],[Dias de Credito]]&lt;=0,"Contado","Credito")</f>
        <v>Credito</v>
      </c>
      <c r="N445" s="45">
        <f>Cobros[[#This Row],[Fecha Aplicación S]]-Cobros[[#This Row],[Fecha Cargo S]]</f>
        <v>21</v>
      </c>
      <c r="O445" s="45" t="e">
        <f>Cobros[[#This Row],[Dias al pago]]-Cobros[[#This Row],[Dias de Credito]]</f>
        <v>#VALUE!</v>
      </c>
      <c r="P445" s="45">
        <f>SUMIFS(TablaDias[Porcentaje],TablaDias[Tipo],Cobros[[#This Row],[Tipo]],TablaDias[Desde ],"&lt;="&amp;MAX(0,Cobros[[#This Row],[Dias pasado]]),TablaDias[Hasta ],"&gt;="&amp;Cobros[[#This Row],[Dias pasado]])</f>
        <v>0</v>
      </c>
      <c r="Q44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45">
        <f>IF(COUNTIF(PAPEL[Numero],Cobros[[#This Row],[Doc. Cargo]])&gt;0,1,0)</f>
        <v>0</v>
      </c>
      <c r="S445" s="46">
        <f t="array" ref="S4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5" s="46">
        <f t="array" ref="T445">INDEX(Ventas[[Unidades]:[2]],MATCH("Gerente de Venta",Ventas[Vendedor %],0),6+Cobros[[#This Row],[Mes]])</f>
        <v>0.005</v>
      </c>
      <c r="U445" s="34">
        <f>IF(Cobros[[#This Row],[Tipo]]="Credito",IF(60&gt;=Cobros[[#This Row],[Dias al pago]],1,0),IF(Cobros[[#This Row],[Dias al pago]]&lt;=3,1,0))</f>
        <v>1</v>
      </c>
      <c r="V445" s="46">
        <f>(Cobros[[#This Row],[% A pagar Vendedor]]/100)*Cobros[[#This Row],[Valor Pagado]]*Cobros[[#This Row],[Vencido]]*(Cobros[[#This Row],[% aplicar]]/100)*IF(Cobros[[#This Row],[% A pagar Vendedor]]&gt;0,1,0)</f>
        <v>0</v>
      </c>
      <c r="W445" s="46">
        <f>0.5%*Cobros[[#This Row],[Valor Pagado]]</f>
        <v>0.21</v>
      </c>
    </row>
    <row r="446" spans="1:24">
      <c r="A446" s="49" t="s">
        <v>3860</v>
      </c>
      <c r="B446" s="49" t="s">
        <v>4550</v>
      </c>
      <c r="C446" s="49" t="s">
        <v>1222</v>
      </c>
      <c r="D446" s="49" t="s">
        <v>1223</v>
      </c>
      <c r="E446" s="49" t="s">
        <v>4551</v>
      </c>
      <c r="F446" s="51">
        <v>46217</v>
      </c>
      <c r="G446" s="49">
        <v>611.6</v>
      </c>
      <c r="H446" s="49" t="s">
        <v>20</v>
      </c>
      <c r="I446" s="51">
        <v>46217</v>
      </c>
      <c r="J446" s="54">
        <f>INT(Cobros[[#This Row],[Fecha Cargo]])</f>
        <v>46217</v>
      </c>
      <c r="K446" s="54">
        <f>INT(Cobros[[#This Row],[Fecha Aplicacion]])</f>
        <v>46217</v>
      </c>
      <c r="L446" s="55" t="str">
        <f>INDEX(Clientes[Días Plazo],MATCH(Cobros[[#This Row],[Cod. Cliente]],Clientes[Codigo],0),1)</f>
        <v>7</v>
      </c>
      <c r="M446" s="45" t="str">
        <f>IF(Cobros[[#This Row],[Dias de Credito]]&lt;=0,"Contado","Credito")</f>
        <v>Credito</v>
      </c>
      <c r="N446" s="45">
        <f>Cobros[[#This Row],[Fecha Aplicación S]]-Cobros[[#This Row],[Fecha Cargo S]]</f>
        <v>0</v>
      </c>
      <c r="O446" s="45">
        <f>Cobros[[#This Row],[Dias al pago]]-Cobros[[#This Row],[Dias de Credito]]</f>
        <v>-7</v>
      </c>
      <c r="P446" s="45">
        <f>SUMIFS(TablaDias[Porcentaje],TablaDias[Tipo],Cobros[[#This Row],[Tipo]],TablaDias[Desde ],"&lt;="&amp;MAX(0,Cobros[[#This Row],[Dias pasado]]),TablaDias[Hasta ],"&gt;="&amp;Cobros[[#This Row],[Dias pasado]])</f>
        <v>100</v>
      </c>
      <c r="Q4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46">
        <f>IF(COUNTIF(PAPEL[Numero],Cobros[[#This Row],[Doc. Cargo]])&gt;0,1,0)</f>
        <v>0</v>
      </c>
      <c r="S446" s="46">
        <f t="array" ref="S4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46" s="46">
        <f t="array" ref="T446">INDEX(Ventas[[Unidades]:[2]],MATCH("Gerente de Venta",Ventas[Vendedor %],0),6+Cobros[[#This Row],[Mes]])</f>
        <v>0.005</v>
      </c>
      <c r="U446" s="34">
        <f>IF(Cobros[[#This Row],[Tipo]]="Credito",IF(60&gt;=Cobros[[#This Row],[Dias al pago]],1,0),IF(Cobros[[#This Row],[Dias al pago]]&lt;=3,1,0))</f>
        <v>1</v>
      </c>
      <c r="V446" s="46">
        <f>(Cobros[[#This Row],[% A pagar Vendedor]]/100)*Cobros[[#This Row],[Valor Pagado]]*Cobros[[#This Row],[Vencido]]*(Cobros[[#This Row],[% aplicar]]/100)*IF(Cobros[[#This Row],[% A pagar Vendedor]]&gt;0,1,0)</f>
        <v>7.645</v>
      </c>
      <c r="W446" s="46">
        <f>0.5%*Cobros[[#This Row],[Valor Pagado]]</f>
        <v>3.058</v>
      </c>
      <c r="X446" s="34"/>
    </row>
    <row r="447" spans="1:23">
      <c r="A447" s="49" t="s">
        <v>3860</v>
      </c>
      <c r="B447" s="49" t="s">
        <v>4552</v>
      </c>
      <c r="C447" s="49" t="s">
        <v>1222</v>
      </c>
      <c r="D447" s="49" t="s">
        <v>1223</v>
      </c>
      <c r="E447" s="49" t="s">
        <v>4495</v>
      </c>
      <c r="F447" s="51">
        <v>46216</v>
      </c>
      <c r="G447" s="49">
        <v>300</v>
      </c>
      <c r="H447" s="49" t="s">
        <v>20</v>
      </c>
      <c r="I447" s="51">
        <v>46217</v>
      </c>
      <c r="J447" s="54">
        <f>INT(Cobros[[#This Row],[Fecha Cargo]])</f>
        <v>46216</v>
      </c>
      <c r="K447" s="54">
        <f>INT(Cobros[[#This Row],[Fecha Aplicacion]])</f>
        <v>46217</v>
      </c>
      <c r="L447" s="55">
        <v>30</v>
      </c>
      <c r="M447" s="45" t="str">
        <f>IF(Cobros[[#This Row],[Dias de Credito]]&lt;=0,"Contado","Credito")</f>
        <v>Credito</v>
      </c>
      <c r="N447" s="45">
        <f>Cobros[[#This Row],[Fecha Aplicación S]]-Cobros[[#This Row],[Fecha Cargo S]]</f>
        <v>1</v>
      </c>
      <c r="O447" s="45">
        <f>Cobros[[#This Row],[Dias al pago]]-Cobros[[#This Row],[Dias de Credito]]</f>
        <v>-29</v>
      </c>
      <c r="P447" s="45">
        <f>SUMIFS(TablaDias[Porcentaje],TablaDias[Tipo],Cobros[[#This Row],[Tipo]],TablaDias[Desde ],"&lt;="&amp;MAX(0,Cobros[[#This Row],[Dias pasado]]),TablaDias[Hasta ],"&gt;="&amp;Cobros[[#This Row],[Dias pasado]])</f>
        <v>100</v>
      </c>
      <c r="Q447">
        <v>1</v>
      </c>
      <c r="R447">
        <f>IF(COUNTIF(PAPEL[Numero],Cobros[[#This Row],[Doc. Cargo]])&gt;0,1,0)</f>
        <v>0</v>
      </c>
      <c r="S447" s="46">
        <f t="array" ref="S4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47" s="46">
        <f t="array" ref="T447">INDEX(Ventas[[Unidades]:[2]],MATCH("Gerente de Venta",Ventas[Vendedor %],0),6+Cobros[[#This Row],[Mes]])</f>
        <v>0.005</v>
      </c>
      <c r="U447" s="34">
        <f>IF(Cobros[[#This Row],[Tipo]]="Credito",IF(60&gt;=Cobros[[#This Row],[Dias al pago]],1,0),IF(Cobros[[#This Row],[Dias al pago]]&lt;=3,1,0))</f>
        <v>1</v>
      </c>
      <c r="V447" s="46">
        <f>(Cobros[[#This Row],[% A pagar Vendedor]]/100)*Cobros[[#This Row],[Valor Pagado]]*Cobros[[#This Row],[Vencido]]*(Cobros[[#This Row],[% aplicar]]/100)*IF(Cobros[[#This Row],[% A pagar Vendedor]]&gt;0,1,0)</f>
        <v>3.75</v>
      </c>
      <c r="W447" s="46">
        <f>0.5%*Cobros[[#This Row],[Valor Pagado]]</f>
        <v>1.5</v>
      </c>
    </row>
    <row r="448" ht="30" spans="1:23">
      <c r="A448" s="49" t="s">
        <v>3860</v>
      </c>
      <c r="B448" s="49" t="s">
        <v>4553</v>
      </c>
      <c r="C448" s="49" t="s">
        <v>3681</v>
      </c>
      <c r="D448" s="49" t="s">
        <v>3682</v>
      </c>
      <c r="E448" s="49" t="s">
        <v>4554</v>
      </c>
      <c r="F448" s="51">
        <v>46217</v>
      </c>
      <c r="G448" s="49">
        <v>87</v>
      </c>
      <c r="H448" s="49" t="s">
        <v>22</v>
      </c>
      <c r="I448" s="51">
        <v>46217</v>
      </c>
      <c r="J448" s="54">
        <f>INT(Cobros[[#This Row],[Fecha Cargo]])</f>
        <v>46217</v>
      </c>
      <c r="K448" s="54">
        <f>INT(Cobros[[#This Row],[Fecha Aplicacion]])</f>
        <v>46217</v>
      </c>
      <c r="L448" s="55">
        <f>INDEX(Clientes[Días Plazo],MATCH(Cobros[[#This Row],[Cod. Cliente]],Clientes[Codigo],0),1)</f>
        <v>0</v>
      </c>
      <c r="M448" s="45" t="str">
        <f>IF(Cobros[[#This Row],[Dias de Credito]]&lt;=0,"Contado","Credito")</f>
        <v>Contado</v>
      </c>
      <c r="N448" s="45">
        <f>Cobros[[#This Row],[Fecha Aplicación S]]-Cobros[[#This Row],[Fecha Cargo S]]</f>
        <v>0</v>
      </c>
      <c r="O448" s="45">
        <f>Cobros[[#This Row],[Dias al pago]]-Cobros[[#This Row],[Dias de Credito]]</f>
        <v>0</v>
      </c>
      <c r="P448" s="45">
        <f>SUMIFS(TablaDias[Porcentaje],TablaDias[Tipo],Cobros[[#This Row],[Tipo]],TablaDias[Desde ],"&lt;="&amp;MAX(0,Cobros[[#This Row],[Dias pasado]]),TablaDias[Hasta ],"&gt;="&amp;Cobros[[#This Row],[Dias pasado]])</f>
        <v>100</v>
      </c>
      <c r="Q44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48">
        <f>IF(COUNTIF(PAPEL[Numero],Cobros[[#This Row],[Doc. Cargo]])&gt;0,1,0)</f>
        <v>0</v>
      </c>
      <c r="S448" s="46">
        <f t="array" ref="S4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8" s="46">
        <f t="array" ref="T448">0.005</f>
        <v>0.005</v>
      </c>
      <c r="U448" s="34">
        <f>IF(Cobros[[#This Row],[Tipo]]="Credito",IF(60&gt;=Cobros[[#This Row],[Dias al pago]],1,0),IF(Cobros[[#This Row],[Dias al pago]]&lt;=3,1,0))</f>
        <v>1</v>
      </c>
      <c r="V448" s="46">
        <f>(Cobros[[#This Row],[% A pagar Vendedor]]/100)*Cobros[[#This Row],[Valor Pagado]]*Cobros[[#This Row],[Vencido]]*(Cobros[[#This Row],[% aplicar]]/100)*IF(Cobros[[#This Row],[% A pagar Vendedor]]&gt;0,1,0)</f>
        <v>0.87</v>
      </c>
      <c r="W448" s="46">
        <f>0.5%*Cobros[[#This Row],[Valor Pagado]]</f>
        <v>0.435</v>
      </c>
    </row>
    <row r="449" spans="1:23">
      <c r="A449" s="49" t="s">
        <v>3884</v>
      </c>
      <c r="B449" s="49" t="s">
        <v>4555</v>
      </c>
      <c r="C449" s="49" t="s">
        <v>2513</v>
      </c>
      <c r="D449" s="49" t="s">
        <v>4556</v>
      </c>
      <c r="E449" s="49" t="s">
        <v>4557</v>
      </c>
      <c r="F449" s="51">
        <v>46185</v>
      </c>
      <c r="G449" s="49">
        <v>278</v>
      </c>
      <c r="H449" s="49" t="s">
        <v>16</v>
      </c>
      <c r="I449" s="51">
        <v>46217</v>
      </c>
      <c r="J449" s="54">
        <f>INT(Cobros[[#This Row],[Fecha Cargo]])</f>
        <v>46185</v>
      </c>
      <c r="K449" s="54">
        <f>INT(Cobros[[#This Row],[Fecha Aplicacion]])</f>
        <v>46217</v>
      </c>
      <c r="L449" s="55" t="str">
        <f>INDEX(Clientes[Días Plazo],MATCH(Cobros[[#This Row],[Cod. Cliente]],Clientes[Codigo],0),1)</f>
        <v>7</v>
      </c>
      <c r="M449" s="45" t="str">
        <f>IF(Cobros[[#This Row],[Dias de Credito]]&lt;=0,"Contado","Credito")</f>
        <v>Credito</v>
      </c>
      <c r="N449" s="45">
        <f>Cobros[[#This Row],[Fecha Aplicación S]]-Cobros[[#This Row],[Fecha Cargo S]]</f>
        <v>32</v>
      </c>
      <c r="O449" s="45">
        <f>Cobros[[#This Row],[Dias al pago]]-Cobros[[#This Row],[Dias de Credito]]</f>
        <v>25</v>
      </c>
      <c r="P449" s="45">
        <f>SUMIFS(TablaDias[Porcentaje],TablaDias[Tipo],Cobros[[#This Row],[Tipo]],TablaDias[Desde ],"&lt;="&amp;MAX(0,Cobros[[#This Row],[Dias pasado]]),TablaDias[Hasta ],"&gt;="&amp;Cobros[[#This Row],[Dias pasado]])</f>
        <v>50</v>
      </c>
      <c r="Q4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49">
        <f>IF(COUNTIF(PAPEL[Numero],Cobros[[#This Row],[Doc. Cargo]])&gt;0,1,0)</f>
        <v>0</v>
      </c>
      <c r="S449" s="46">
        <f t="array" ref="S4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49" s="47">
        <v>0.005</v>
      </c>
      <c r="U449" s="34">
        <f>IF(Cobros[[#This Row],[Tipo]]="Credito",IF(60&gt;=Cobros[[#This Row],[Dias al pago]],1,0),IF(Cobros[[#This Row],[Dias al pago]]&lt;=3,1,0))</f>
        <v>1</v>
      </c>
      <c r="V449" s="46">
        <f>(Cobros[[#This Row],[% A pagar Vendedor]]/100)*Cobros[[#This Row],[Valor Pagado]]*Cobros[[#This Row],[Vencido]]*(Cobros[[#This Row],[% aplicar]]/100)*IF(Cobros[[#This Row],[% A pagar Vendedor]]&gt;0,1,0)</f>
        <v>1.39</v>
      </c>
      <c r="W449" s="46">
        <v>1.39</v>
      </c>
    </row>
    <row r="450" spans="1:23">
      <c r="A450" s="49" t="s">
        <v>3875</v>
      </c>
      <c r="B450" s="49" t="s">
        <v>4558</v>
      </c>
      <c r="C450" s="49" t="s">
        <v>1502</v>
      </c>
      <c r="D450" s="49" t="s">
        <v>1503</v>
      </c>
      <c r="E450" s="49" t="s">
        <v>4559</v>
      </c>
      <c r="F450" s="51">
        <v>46209</v>
      </c>
      <c r="G450" s="49">
        <v>57.8</v>
      </c>
      <c r="H450" s="49" t="s">
        <v>18</v>
      </c>
      <c r="I450" s="51">
        <v>46209</v>
      </c>
      <c r="J450" s="54">
        <f>INT(Cobros[[#This Row],[Fecha Cargo]])</f>
        <v>46209</v>
      </c>
      <c r="K450" s="54">
        <f>INT(Cobros[[#This Row],[Fecha Aplicacion]])</f>
        <v>46209</v>
      </c>
      <c r="L450" s="55">
        <f>INDEX(Clientes[Días Plazo],MATCH(Cobros[[#This Row],[Cod. Cliente]],Clientes[Codigo],0),1)</f>
        <v>0</v>
      </c>
      <c r="M450" s="45" t="str">
        <f>IF(Cobros[[#This Row],[Dias de Credito]]&lt;=0,"Contado","Credito")</f>
        <v>Contado</v>
      </c>
      <c r="N450" s="45">
        <f>Cobros[[#This Row],[Fecha Aplicación S]]-Cobros[[#This Row],[Fecha Cargo S]]</f>
        <v>0</v>
      </c>
      <c r="O450" s="45">
        <f>Cobros[[#This Row],[Dias al pago]]-Cobros[[#This Row],[Dias de Credito]]</f>
        <v>0</v>
      </c>
      <c r="P450" s="45">
        <f>SUMIFS(TablaDias[Porcentaje],TablaDias[Tipo],Cobros[[#This Row],[Tipo]],TablaDias[Desde ],"&lt;="&amp;MAX(0,Cobros[[#This Row],[Dias pasado]]),TablaDias[Hasta ],"&gt;="&amp;Cobros[[#This Row],[Dias pasado]])</f>
        <v>100</v>
      </c>
      <c r="Q4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0">
        <f>IF(COUNTIF(PAPEL[Numero],Cobros[[#This Row],[Doc. Cargo]])&gt;0,1,0)</f>
        <v>0</v>
      </c>
      <c r="S450" s="46">
        <f t="array" ref="S4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50" s="46">
        <f t="array" ref="T450">INDEX(Ventas[[Unidades]:[2]],MATCH("Gerente de Venta",Ventas[Vendedor %],0),6+Cobros[[#This Row],[Mes]])</f>
        <v>0.005</v>
      </c>
      <c r="U450" s="34">
        <f>IF(Cobros[[#This Row],[Tipo]]="Credito",IF(60&gt;=Cobros[[#This Row],[Dias al pago]],1,0),IF(Cobros[[#This Row],[Dias al pago]]&lt;=3,1,0))</f>
        <v>1</v>
      </c>
      <c r="V450" s="46">
        <f>(Cobros[[#This Row],[% A pagar Vendedor]]/100)*Cobros[[#This Row],[Valor Pagado]]*Cobros[[#This Row],[Vencido]]*(Cobros[[#This Row],[% aplicar]]/100)*IF(Cobros[[#This Row],[% A pagar Vendedor]]&gt;0,1,0)</f>
        <v>0.7225</v>
      </c>
      <c r="W450" s="46">
        <f>0.5%*Cobros[[#This Row],[Valor Pagado]]</f>
        <v>0.289</v>
      </c>
    </row>
    <row r="451" spans="1:23">
      <c r="A451" s="49" t="s">
        <v>3884</v>
      </c>
      <c r="B451" s="49" t="s">
        <v>4560</v>
      </c>
      <c r="C451" s="49" t="s">
        <v>1362</v>
      </c>
      <c r="D451" s="49" t="s">
        <v>1363</v>
      </c>
      <c r="E451" s="49" t="s">
        <v>4167</v>
      </c>
      <c r="F451" s="51">
        <v>46157</v>
      </c>
      <c r="G451" s="49">
        <v>1406.97</v>
      </c>
      <c r="H451" s="49" t="s">
        <v>18</v>
      </c>
      <c r="I451" s="51">
        <v>46217</v>
      </c>
      <c r="J451" s="54">
        <f>INT(Cobros[[#This Row],[Fecha Cargo]])</f>
        <v>46157</v>
      </c>
      <c r="K451" s="54">
        <f>INT(Cobros[[#This Row],[Fecha Aplicacion]])</f>
        <v>46217</v>
      </c>
      <c r="L451" s="55" t="str">
        <f>INDEX(Clientes[Días Plazo],MATCH(Cobros[[#This Row],[Cod. Cliente]],Clientes[Codigo],0),1)</f>
        <v>21</v>
      </c>
      <c r="M451" s="45" t="str">
        <f>IF(Cobros[[#This Row],[Dias de Credito]]&lt;=0,"Contado","Credito")</f>
        <v>Credito</v>
      </c>
      <c r="N451" s="45">
        <f>Cobros[[#This Row],[Fecha Aplicación S]]-Cobros[[#This Row],[Fecha Cargo S]]</f>
        <v>60</v>
      </c>
      <c r="O451" s="45">
        <f>Cobros[[#This Row],[Dias al pago]]-Cobros[[#This Row],[Dias de Credito]]</f>
        <v>39</v>
      </c>
      <c r="P451" s="45">
        <f>SUMIFS(TablaDias[Porcentaje],TablaDias[Tipo],Cobros[[#This Row],[Tipo]],TablaDias[Desde ],"&lt;="&amp;MAX(0,Cobros[[#This Row],[Dias pasado]]),TablaDias[Hasta ],"&gt;="&amp;Cobros[[#This Row],[Dias pasado]])</f>
        <v>30</v>
      </c>
      <c r="Q4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51">
        <f>IF(COUNTIF(PAPEL[Numero],Cobros[[#This Row],[Doc. Cargo]])&gt;0,1,0)</f>
        <v>0</v>
      </c>
      <c r="S451" s="46">
        <f t="array" ref="S4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451" s="46">
        <f t="array" ref="T451">INDEX(Ventas[[Unidades]:[2]],MATCH("Gerente de Venta",Ventas[Vendedor %],0),6+Cobros[[#This Row],[Mes]])</f>
        <v>0.005</v>
      </c>
      <c r="U451" s="34">
        <f>IF(Cobros[[#This Row],[Tipo]]="Credito",IF(60&gt;=Cobros[[#This Row],[Dias al pago]],1,0),IF(Cobros[[#This Row],[Dias al pago]]&lt;=3,1,0))</f>
        <v>1</v>
      </c>
      <c r="V451" s="46">
        <f>(Cobros[[#This Row],[% A pagar Vendedor]]/100)*Cobros[[#This Row],[Valor Pagado]]*Cobros[[#This Row],[Vencido]]*(Cobros[[#This Row],[% aplicar]]/100)*IF(Cobros[[#This Row],[% A pagar Vendedor]]&gt;0,1,0)</f>
        <v>0</v>
      </c>
      <c r="W451" s="46">
        <f>0.5%*Cobros[[#This Row],[Valor Pagado]]</f>
        <v>7.03485</v>
      </c>
    </row>
    <row r="452" spans="1:23">
      <c r="A452" s="49" t="s">
        <v>3884</v>
      </c>
      <c r="B452" s="49" t="s">
        <v>4560</v>
      </c>
      <c r="C452" s="49" t="s">
        <v>1362</v>
      </c>
      <c r="D452" s="49" t="s">
        <v>1363</v>
      </c>
      <c r="E452" s="49" t="s">
        <v>4561</v>
      </c>
      <c r="F452" s="51">
        <v>46164</v>
      </c>
      <c r="G452" s="49">
        <v>203.85</v>
      </c>
      <c r="H452" s="49" t="s">
        <v>18</v>
      </c>
      <c r="I452" s="51">
        <v>46217</v>
      </c>
      <c r="J452" s="54">
        <f>INT(Cobros[[#This Row],[Fecha Cargo]])</f>
        <v>46164</v>
      </c>
      <c r="K452" s="54">
        <f>INT(Cobros[[#This Row],[Fecha Aplicacion]])</f>
        <v>46217</v>
      </c>
      <c r="L452" s="55" t="str">
        <f>INDEX(Clientes[Días Plazo],MATCH(Cobros[[#This Row],[Cod. Cliente]],Clientes[Codigo],0),1)</f>
        <v>21</v>
      </c>
      <c r="M452" s="45" t="str">
        <f>IF(Cobros[[#This Row],[Dias de Credito]]&lt;=0,"Contado","Credito")</f>
        <v>Credito</v>
      </c>
      <c r="N452" s="45">
        <f>Cobros[[#This Row],[Fecha Aplicación S]]-Cobros[[#This Row],[Fecha Cargo S]]</f>
        <v>53</v>
      </c>
      <c r="O452" s="45">
        <f>Cobros[[#This Row],[Dias al pago]]-Cobros[[#This Row],[Dias de Credito]]</f>
        <v>32</v>
      </c>
      <c r="P452" s="45">
        <f>SUMIFS(TablaDias[Porcentaje],TablaDias[Tipo],Cobros[[#This Row],[Tipo]],TablaDias[Desde ],"&lt;="&amp;MAX(0,Cobros[[#This Row],[Dias pasado]]),TablaDias[Hasta ],"&gt;="&amp;Cobros[[#This Row],[Dias pasado]])</f>
        <v>30</v>
      </c>
      <c r="Q4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52">
        <f>IF(COUNTIF(PAPEL[Numero],Cobros[[#This Row],[Doc. Cargo]])&gt;0,1,0)</f>
        <v>0</v>
      </c>
      <c r="S452" s="46">
        <f t="array" ref="S4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452" s="46">
        <f t="array" ref="T452">INDEX(Ventas[[Unidades]:[2]],MATCH("Gerente de Venta",Ventas[Vendedor %],0),6+Cobros[[#This Row],[Mes]])</f>
        <v>0.005</v>
      </c>
      <c r="U452" s="34">
        <f>IF(Cobros[[#This Row],[Tipo]]="Credito",IF(60&gt;=Cobros[[#This Row],[Dias al pago]],1,0),IF(Cobros[[#This Row],[Dias al pago]]&lt;=3,1,0))</f>
        <v>1</v>
      </c>
      <c r="V452" s="46">
        <f>(Cobros[[#This Row],[% A pagar Vendedor]]/100)*Cobros[[#This Row],[Valor Pagado]]*Cobros[[#This Row],[Vencido]]*(Cobros[[#This Row],[% aplicar]]/100)*IF(Cobros[[#This Row],[% A pagar Vendedor]]&gt;0,1,0)</f>
        <v>0</v>
      </c>
      <c r="W452" s="46">
        <f>0.5%*Cobros[[#This Row],[Valor Pagado]]</f>
        <v>1.01925</v>
      </c>
    </row>
    <row r="453" spans="1:23">
      <c r="A453" s="49" t="s">
        <v>3884</v>
      </c>
      <c r="B453" s="49" t="s">
        <v>4560</v>
      </c>
      <c r="C453" s="49" t="s">
        <v>1362</v>
      </c>
      <c r="D453" s="49" t="s">
        <v>1363</v>
      </c>
      <c r="E453" s="49" t="s">
        <v>4562</v>
      </c>
      <c r="F453" s="51">
        <v>46164</v>
      </c>
      <c r="G453" s="49">
        <v>29.8</v>
      </c>
      <c r="H453" s="49" t="s">
        <v>18</v>
      </c>
      <c r="I453" s="51">
        <v>46217</v>
      </c>
      <c r="J453" s="54">
        <f>INT(Cobros[[#This Row],[Fecha Cargo]])</f>
        <v>46164</v>
      </c>
      <c r="K453" s="54">
        <f>INT(Cobros[[#This Row],[Fecha Aplicacion]])</f>
        <v>46217</v>
      </c>
      <c r="L453" s="55" t="str">
        <f>INDEX(Clientes[Días Plazo],MATCH(Cobros[[#This Row],[Cod. Cliente]],Clientes[Codigo],0),1)</f>
        <v>21</v>
      </c>
      <c r="M453" s="45" t="str">
        <f>IF(Cobros[[#This Row],[Dias de Credito]]&lt;=0,"Contado","Credito")</f>
        <v>Credito</v>
      </c>
      <c r="N453" s="45">
        <f>Cobros[[#This Row],[Fecha Aplicación S]]-Cobros[[#This Row],[Fecha Cargo S]]</f>
        <v>53</v>
      </c>
      <c r="O453" s="45">
        <f>Cobros[[#This Row],[Dias al pago]]-Cobros[[#This Row],[Dias de Credito]]</f>
        <v>32</v>
      </c>
      <c r="P453" s="45">
        <f>SUMIFS(TablaDias[Porcentaje],TablaDias[Tipo],Cobros[[#This Row],[Tipo]],TablaDias[Desde ],"&lt;="&amp;MAX(0,Cobros[[#This Row],[Dias pasado]]),TablaDias[Hasta ],"&gt;="&amp;Cobros[[#This Row],[Dias pasado]])</f>
        <v>30</v>
      </c>
      <c r="Q4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53">
        <f>IF(COUNTIF(PAPEL[Numero],Cobros[[#This Row],[Doc. Cargo]])&gt;0,1,0)</f>
        <v>0</v>
      </c>
      <c r="S453" s="46">
        <f t="array" ref="S4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453" s="46">
        <f t="array" ref="T453">INDEX(Ventas[[Unidades]:[2]],MATCH("Gerente de Venta",Ventas[Vendedor %],0),6+Cobros[[#This Row],[Mes]])</f>
        <v>0.005</v>
      </c>
      <c r="U453" s="34">
        <f>IF(Cobros[[#This Row],[Tipo]]="Credito",IF(60&gt;=Cobros[[#This Row],[Dias al pago]],1,0),IF(Cobros[[#This Row],[Dias al pago]]&lt;=3,1,0))</f>
        <v>1</v>
      </c>
      <c r="V453" s="46">
        <f>(Cobros[[#This Row],[% A pagar Vendedor]]/100)*Cobros[[#This Row],[Valor Pagado]]*Cobros[[#This Row],[Vencido]]*(Cobros[[#This Row],[% aplicar]]/100)*IF(Cobros[[#This Row],[% A pagar Vendedor]]&gt;0,1,0)</f>
        <v>0</v>
      </c>
      <c r="W453" s="46">
        <f>0.5%*Cobros[[#This Row],[Valor Pagado]]</f>
        <v>0.149</v>
      </c>
    </row>
    <row r="454" spans="1:24">
      <c r="A454" s="49" t="s">
        <v>3884</v>
      </c>
      <c r="B454" s="49" t="s">
        <v>4563</v>
      </c>
      <c r="C454" s="49" t="s">
        <v>1362</v>
      </c>
      <c r="D454" s="49" t="s">
        <v>1363</v>
      </c>
      <c r="E454" s="49" t="s">
        <v>4562</v>
      </c>
      <c r="F454" s="51">
        <v>46164</v>
      </c>
      <c r="G454" s="49">
        <v>350.88</v>
      </c>
      <c r="H454" s="49" t="s">
        <v>18</v>
      </c>
      <c r="I454" s="51">
        <v>46217</v>
      </c>
      <c r="J454" s="54">
        <f>INT(Cobros[[#This Row],[Fecha Cargo]])</f>
        <v>46164</v>
      </c>
      <c r="K454" s="54">
        <f>INT(Cobros[[#This Row],[Fecha Aplicacion]])</f>
        <v>46217</v>
      </c>
      <c r="L454" s="55" t="str">
        <f>INDEX(Clientes[Días Plazo],MATCH(Cobros[[#This Row],[Cod. Cliente]],Clientes[Codigo],0),1)</f>
        <v>21</v>
      </c>
      <c r="M454" s="45" t="str">
        <f>IF(Cobros[[#This Row],[Dias de Credito]]&lt;=0,"Contado","Credito")</f>
        <v>Credito</v>
      </c>
      <c r="N454" s="45">
        <v>0</v>
      </c>
      <c r="O454" s="45">
        <f>Cobros[[#This Row],[Dias al pago]]-Cobros[[#This Row],[Dias de Credito]]</f>
        <v>-21</v>
      </c>
      <c r="P454" s="45">
        <f>SUMIFS(TablaDias[Porcentaje],TablaDias[Tipo],Cobros[[#This Row],[Tipo]],TablaDias[Desde ],"&lt;="&amp;MAX(0,Cobros[[#This Row],[Dias pasado]]),TablaDias[Hasta ],"&gt;="&amp;Cobros[[#This Row],[Dias pasado]])</f>
        <v>100</v>
      </c>
      <c r="Q4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54">
        <f>IF(COUNTIF(PAPEL[Numero],Cobros[[#This Row],[Doc. Cargo]])&gt;0,1,0)</f>
        <v>0</v>
      </c>
      <c r="S454" s="46">
        <f t="array" ref="S4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454" s="46">
        <f t="array" ref="T454">INDEX(Ventas[[Unidades]:[2]],MATCH("Gerente de Venta",Ventas[Vendedor %],0),6+Cobros[[#This Row],[Mes]])</f>
        <v>0.005</v>
      </c>
      <c r="U454" s="34">
        <f>IF(Cobros[[#This Row],[Tipo]]="Credito",IF(60&gt;=Cobros[[#This Row],[Dias al pago]],1,0),IF(Cobros[[#This Row],[Dias al pago]]&lt;=3,1,0))</f>
        <v>1</v>
      </c>
      <c r="V454" s="46">
        <f>(Cobros[[#This Row],[% A pagar Vendedor]]/100)*Cobros[[#This Row],[Valor Pagado]]*Cobros[[#This Row],[Vencido]]*(Cobros[[#This Row],[% aplicar]]/100)*IF(Cobros[[#This Row],[% A pagar Vendedor]]&gt;0,1,0)</f>
        <v>0</v>
      </c>
      <c r="W454" s="46">
        <f>0.5%*Cobros[[#This Row],[Valor Pagado]]</f>
        <v>1.7544</v>
      </c>
      <c r="X454" s="60"/>
    </row>
    <row r="455" ht="30" spans="1:23">
      <c r="A455" s="49" t="s">
        <v>3860</v>
      </c>
      <c r="B455" s="49" t="s">
        <v>4564</v>
      </c>
      <c r="C455" s="49" t="s">
        <v>3301</v>
      </c>
      <c r="D455" s="49" t="s">
        <v>3302</v>
      </c>
      <c r="E455" s="49" t="s">
        <v>4565</v>
      </c>
      <c r="F455" s="51">
        <v>46217</v>
      </c>
      <c r="G455" s="49">
        <v>331</v>
      </c>
      <c r="H455" s="49" t="s">
        <v>3865</v>
      </c>
      <c r="I455" s="51">
        <v>46217</v>
      </c>
      <c r="J455" s="54">
        <f>INT(Cobros[[#This Row],[Fecha Cargo]])</f>
        <v>46217</v>
      </c>
      <c r="K455" s="54">
        <f>INT(Cobros[[#This Row],[Fecha Aplicacion]])</f>
        <v>46217</v>
      </c>
      <c r="L455" s="55">
        <f>INDEX(Clientes[Días Plazo],MATCH(Cobros[[#This Row],[Cod. Cliente]],Clientes[Codigo],0),1)</f>
        <v>0</v>
      </c>
      <c r="M455" s="45" t="str">
        <f>IF(Cobros[[#This Row],[Dias de Credito]]&lt;=0,"Contado","Credito")</f>
        <v>Contado</v>
      </c>
      <c r="N455" s="45">
        <f>Cobros[[#This Row],[Fecha Aplicación S]]-Cobros[[#This Row],[Fecha Cargo S]]</f>
        <v>0</v>
      </c>
      <c r="O455" s="45">
        <f>Cobros[[#This Row],[Dias al pago]]-Cobros[[#This Row],[Dias de Credito]]</f>
        <v>0</v>
      </c>
      <c r="P455" s="45">
        <f>SUMIFS(TablaDias[Porcentaje],TablaDias[Tipo],Cobros[[#This Row],[Tipo]],TablaDias[Desde ],"&lt;="&amp;MAX(0,Cobros[[#This Row],[Dias pasado]]),TablaDias[Hasta ],"&gt;="&amp;Cobros[[#This Row],[Dias pasado]])</f>
        <v>100</v>
      </c>
      <c r="Q4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5">
        <f>IF(COUNTIF(PAPEL[Numero],Cobros[[#This Row],[Doc. Cargo]])&gt;0,1,0)</f>
        <v>0</v>
      </c>
      <c r="S455" s="46">
        <v>1</v>
      </c>
      <c r="T455" s="46">
        <f t="array" ref="T455">INDEX(Ventas[[Unidades]:[2]],MATCH("Gerente de Venta",Ventas[Vendedor %],0),6+Cobros[[#This Row],[Mes]])</f>
        <v>0.005</v>
      </c>
      <c r="U455" s="34">
        <f>IF(Cobros[[#This Row],[Tipo]]="Credito",IF(60&gt;=Cobros[[#This Row],[Dias al pago]],1,0),IF(Cobros[[#This Row],[Dias al pago]]&lt;=3,1,0))</f>
        <v>1</v>
      </c>
      <c r="V455" s="46">
        <f>(Cobros[[#This Row],[% A pagar Vendedor]]/100)*Cobros[[#This Row],[Valor Pagado]]*Cobros[[#This Row],[Vencido]]*(Cobros[[#This Row],[% aplicar]]/100)*IF(Cobros[[#This Row],[% A pagar Vendedor]]&gt;0,1,0)</f>
        <v>3.31</v>
      </c>
      <c r="W455" s="46">
        <f>0.5%*Cobros[[#This Row],[Valor Pagado]]</f>
        <v>1.655</v>
      </c>
    </row>
    <row r="456" ht="30" spans="1:23">
      <c r="A456" s="49" t="s">
        <v>3860</v>
      </c>
      <c r="B456" s="49" t="s">
        <v>4566</v>
      </c>
      <c r="C456" s="49" t="s">
        <v>2815</v>
      </c>
      <c r="D456" s="49" t="s">
        <v>2816</v>
      </c>
      <c r="E456" s="49" t="s">
        <v>4567</v>
      </c>
      <c r="F456" s="51">
        <v>46217</v>
      </c>
      <c r="G456" s="49">
        <v>206.5</v>
      </c>
      <c r="H456" s="49" t="s">
        <v>3865</v>
      </c>
      <c r="I456" s="51">
        <v>46217</v>
      </c>
      <c r="J456" s="54">
        <f>INT(Cobros[[#This Row],[Fecha Cargo]])</f>
        <v>46217</v>
      </c>
      <c r="K456" s="54">
        <f>INT(Cobros[[#This Row],[Fecha Aplicacion]])</f>
        <v>46217</v>
      </c>
      <c r="L456" s="55">
        <f>INDEX(Clientes[Días Plazo],MATCH(Cobros[[#This Row],[Cod. Cliente]],Clientes[Codigo],0),1)</f>
        <v>0</v>
      </c>
      <c r="M456" s="45" t="str">
        <f>IF(Cobros[[#This Row],[Dias de Credito]]&lt;=0,"Contado","Credito")</f>
        <v>Contado</v>
      </c>
      <c r="N456" s="45">
        <f>Cobros[[#This Row],[Fecha Aplicación S]]-Cobros[[#This Row],[Fecha Cargo S]]</f>
        <v>0</v>
      </c>
      <c r="O456" s="45">
        <f>Cobros[[#This Row],[Dias al pago]]-Cobros[[#This Row],[Dias de Credito]]</f>
        <v>0</v>
      </c>
      <c r="P456" s="45">
        <f>SUMIFS(TablaDias[Porcentaje],TablaDias[Tipo],Cobros[[#This Row],[Tipo]],TablaDias[Desde ],"&lt;="&amp;MAX(0,Cobros[[#This Row],[Dias pasado]]),TablaDias[Hasta ],"&gt;="&amp;Cobros[[#This Row],[Dias pasado]])</f>
        <v>100</v>
      </c>
      <c r="Q4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6">
        <f>IF(COUNTIF(PAPEL[Numero],Cobros[[#This Row],[Doc. Cargo]])&gt;0,1,0)</f>
        <v>0</v>
      </c>
      <c r="S456" s="46">
        <v>1</v>
      </c>
      <c r="T456" s="46">
        <f t="array" ref="T456">INDEX(Ventas[[Unidades]:[2]],MATCH("Gerente de Venta",Ventas[Vendedor %],0),6+Cobros[[#This Row],[Mes]])</f>
        <v>0.005</v>
      </c>
      <c r="U456" s="34">
        <f>IF(Cobros[[#This Row],[Tipo]]="Credito",IF(60&gt;=Cobros[[#This Row],[Dias al pago]],1,0),IF(Cobros[[#This Row],[Dias al pago]]&lt;=3,1,0))</f>
        <v>1</v>
      </c>
      <c r="V456" s="46">
        <f>(Cobros[[#This Row],[% A pagar Vendedor]]/100)*Cobros[[#This Row],[Valor Pagado]]*Cobros[[#This Row],[Vencido]]*(Cobros[[#This Row],[% aplicar]]/100)*IF(Cobros[[#This Row],[% A pagar Vendedor]]&gt;0,1,0)</f>
        <v>2.065</v>
      </c>
      <c r="W456" s="46">
        <f>0.5%*Cobros[[#This Row],[Valor Pagado]]</f>
        <v>1.0325</v>
      </c>
    </row>
    <row r="457" ht="30" spans="1:23">
      <c r="A457" s="49" t="s">
        <v>3860</v>
      </c>
      <c r="B457" s="49" t="s">
        <v>4568</v>
      </c>
      <c r="C457" s="49" t="s">
        <v>160</v>
      </c>
      <c r="D457" s="49" t="s">
        <v>161</v>
      </c>
      <c r="E457" s="49" t="s">
        <v>4569</v>
      </c>
      <c r="F457" s="51">
        <v>46217</v>
      </c>
      <c r="G457" s="49">
        <v>420</v>
      </c>
      <c r="H457" s="49" t="s">
        <v>22</v>
      </c>
      <c r="I457" s="51">
        <v>46217</v>
      </c>
      <c r="J457" s="54">
        <f>INT(Cobros[[#This Row],[Fecha Cargo]])</f>
        <v>46217</v>
      </c>
      <c r="K457" s="54">
        <f>INT(Cobros[[#This Row],[Fecha Aplicacion]])</f>
        <v>46217</v>
      </c>
      <c r="L457" s="55">
        <f>INDEX(Clientes[Días Plazo],MATCH(Cobros[[#This Row],[Cod. Cliente]],Clientes[Codigo],0),1)</f>
        <v>0</v>
      </c>
      <c r="M457" s="45" t="str">
        <f>IF(Cobros[[#This Row],[Dias de Credito]]&lt;=0,"Contado","Credito")</f>
        <v>Contado</v>
      </c>
      <c r="N457" s="45">
        <f>Cobros[[#This Row],[Fecha Aplicación S]]-Cobros[[#This Row],[Fecha Cargo S]]</f>
        <v>0</v>
      </c>
      <c r="O457" s="45">
        <f>Cobros[[#This Row],[Dias al pago]]-Cobros[[#This Row],[Dias de Credito]]</f>
        <v>0</v>
      </c>
      <c r="P457" s="45">
        <f>SUMIFS(TablaDias[Porcentaje],TablaDias[Tipo],Cobros[[#This Row],[Tipo]],TablaDias[Desde ],"&lt;="&amp;MAX(0,Cobros[[#This Row],[Dias pasado]]),TablaDias[Hasta ],"&gt;="&amp;Cobros[[#This Row],[Dias pasado]])</f>
        <v>100</v>
      </c>
      <c r="Q4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7">
        <f>IF(COUNTIF(PAPEL[Numero],Cobros[[#This Row],[Doc. Cargo]])&gt;0,1,0)</f>
        <v>0</v>
      </c>
      <c r="S457" s="46">
        <f t="array" ref="S4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57" s="46">
        <f t="array" ref="T457">INDEX(Ventas[[Unidades]:[2]],MATCH("Gerente de Venta",Ventas[Vendedor %],0),6+Cobros[[#This Row],[Mes]])</f>
        <v>0.005</v>
      </c>
      <c r="U457" s="34">
        <f>IF(Cobros[[#This Row],[Tipo]]="Credito",IF(60&gt;=Cobros[[#This Row],[Dias al pago]],1,0),IF(Cobros[[#This Row],[Dias al pago]]&lt;=3,1,0))</f>
        <v>1</v>
      </c>
      <c r="V457" s="46">
        <f>(Cobros[[#This Row],[% A pagar Vendedor]]/100)*Cobros[[#This Row],[Valor Pagado]]*Cobros[[#This Row],[Vencido]]*(Cobros[[#This Row],[% aplicar]]/100)*IF(Cobros[[#This Row],[% A pagar Vendedor]]&gt;0,1,0)</f>
        <v>4.2</v>
      </c>
      <c r="W457" s="46">
        <v>2.1</v>
      </c>
    </row>
    <row r="458" spans="1:23">
      <c r="A458" s="49" t="s">
        <v>3860</v>
      </c>
      <c r="B458" s="49" t="s">
        <v>4570</v>
      </c>
      <c r="C458" s="49" t="s">
        <v>3787</v>
      </c>
      <c r="D458" s="49" t="s">
        <v>3788</v>
      </c>
      <c r="E458" s="49" t="s">
        <v>4571</v>
      </c>
      <c r="F458" s="51">
        <v>46217</v>
      </c>
      <c r="G458" s="49">
        <v>645.95</v>
      </c>
      <c r="H458" s="49" t="s">
        <v>20</v>
      </c>
      <c r="I458" s="51">
        <v>46217</v>
      </c>
      <c r="J458" s="54">
        <f>INT(Cobros[[#This Row],[Fecha Cargo]])</f>
        <v>46217</v>
      </c>
      <c r="K458" s="54">
        <f>INT(Cobros[[#This Row],[Fecha Aplicacion]])</f>
        <v>46217</v>
      </c>
      <c r="L458" s="55">
        <f>INDEX(Clientes[Días Plazo],MATCH(Cobros[[#This Row],[Cod. Cliente]],Clientes[Codigo],0),1)</f>
        <v>0</v>
      </c>
      <c r="M458" s="45" t="str">
        <f>IF(Cobros[[#This Row],[Dias de Credito]]&lt;=0,"Contado","Credito")</f>
        <v>Contado</v>
      </c>
      <c r="N458" s="45">
        <f>Cobros[[#This Row],[Fecha Aplicación S]]-Cobros[[#This Row],[Fecha Cargo S]]</f>
        <v>0</v>
      </c>
      <c r="O458" s="45">
        <f>Cobros[[#This Row],[Dias al pago]]-Cobros[[#This Row],[Dias de Credito]]</f>
        <v>0</v>
      </c>
      <c r="P458" s="45">
        <f>SUMIFS(TablaDias[Porcentaje],TablaDias[Tipo],Cobros[[#This Row],[Tipo]],TablaDias[Desde ],"&lt;="&amp;MAX(0,Cobros[[#This Row],[Dias pasado]]),TablaDias[Hasta ],"&gt;="&amp;Cobros[[#This Row],[Dias pasado]])</f>
        <v>100</v>
      </c>
      <c r="Q4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8">
        <f>IF(COUNTIF(PAPEL[Numero],Cobros[[#This Row],[Doc. Cargo]])&gt;0,1,0)</f>
        <v>0</v>
      </c>
      <c r="S458" s="46">
        <f t="array" ref="S4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58" s="46">
        <f t="array" ref="T458">INDEX(Ventas[[Unidades]:[2]],MATCH("Gerente de Venta",Ventas[Vendedor %],0),6+Cobros[[#This Row],[Mes]])</f>
        <v>0.005</v>
      </c>
      <c r="U458" s="34">
        <f>IF(Cobros[[#This Row],[Tipo]]="Credito",IF(60&gt;=Cobros[[#This Row],[Dias al pago]],1,0),IF(Cobros[[#This Row],[Dias al pago]]&lt;=3,1,0))</f>
        <v>1</v>
      </c>
      <c r="V458" s="46">
        <f>(Cobros[[#This Row],[% A pagar Vendedor]]/100)*Cobros[[#This Row],[Valor Pagado]]*Cobros[[#This Row],[Vencido]]*(Cobros[[#This Row],[% aplicar]]/100)*IF(Cobros[[#This Row],[% A pagar Vendedor]]&gt;0,1,0)</f>
        <v>8.074375</v>
      </c>
      <c r="W458" s="46">
        <f>0.5%*Cobros[[#This Row],[Valor Pagado]]</f>
        <v>3.22975</v>
      </c>
    </row>
    <row r="459" spans="1:23">
      <c r="A459" s="49" t="s">
        <v>3875</v>
      </c>
      <c r="B459" s="49" t="s">
        <v>4572</v>
      </c>
      <c r="C459" s="49" t="s">
        <v>1220</v>
      </c>
      <c r="D459" s="49" t="s">
        <v>1221</v>
      </c>
      <c r="E459" s="49" t="s">
        <v>4573</v>
      </c>
      <c r="F459" s="51">
        <v>46217</v>
      </c>
      <c r="G459" s="49">
        <v>230</v>
      </c>
      <c r="H459" s="49" t="s">
        <v>20</v>
      </c>
      <c r="I459" s="51">
        <v>46217</v>
      </c>
      <c r="J459" s="54">
        <f>INT(Cobros[[#This Row],[Fecha Cargo]])</f>
        <v>46217</v>
      </c>
      <c r="K459" s="54">
        <f>INT(Cobros[[#This Row],[Fecha Aplicacion]])</f>
        <v>46217</v>
      </c>
      <c r="L459" s="55">
        <f>INDEX(Clientes[Días Plazo],MATCH(Cobros[[#This Row],[Cod. Cliente]],Clientes[Codigo],0),1)</f>
        <v>0</v>
      </c>
      <c r="M459" s="45" t="str">
        <f>IF(Cobros[[#This Row],[Dias de Credito]]&lt;=0,"Contado","Credito")</f>
        <v>Contado</v>
      </c>
      <c r="N459" s="45">
        <f>Cobros[[#This Row],[Fecha Aplicación S]]-Cobros[[#This Row],[Fecha Cargo S]]</f>
        <v>0</v>
      </c>
      <c r="O459" s="45">
        <f>Cobros[[#This Row],[Dias al pago]]-Cobros[[#This Row],[Dias de Credito]]</f>
        <v>0</v>
      </c>
      <c r="P459" s="45">
        <f>SUMIFS(TablaDias[Porcentaje],TablaDias[Tipo],Cobros[[#This Row],[Tipo]],TablaDias[Desde ],"&lt;="&amp;MAX(0,Cobros[[#This Row],[Dias pasado]]),TablaDias[Hasta ],"&gt;="&amp;Cobros[[#This Row],[Dias pasado]])</f>
        <v>100</v>
      </c>
      <c r="Q4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59">
        <f>IF(COUNTIF(PAPEL[Numero],Cobros[[#This Row],[Doc. Cargo]])&gt;0,1,0)</f>
        <v>0</v>
      </c>
      <c r="S459" s="46">
        <f t="array" ref="S4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59" s="46">
        <f t="array" ref="T459">INDEX(Ventas[[Unidades]:[2]],MATCH("Gerente de Venta",Ventas[Vendedor %],0),6+Cobros[[#This Row],[Mes]])</f>
        <v>0.005</v>
      </c>
      <c r="U459" s="34">
        <f>IF(Cobros[[#This Row],[Tipo]]="Credito",IF(60&gt;=Cobros[[#This Row],[Dias al pago]],1,0),IF(Cobros[[#This Row],[Dias al pago]]&lt;=3,1,0))</f>
        <v>1</v>
      </c>
      <c r="V459" s="46">
        <f>(Cobros[[#This Row],[% A pagar Vendedor]]/100)*Cobros[[#This Row],[Valor Pagado]]*Cobros[[#This Row],[Vencido]]*(Cobros[[#This Row],[% aplicar]]/100)*IF(Cobros[[#This Row],[% A pagar Vendedor]]&gt;0,1,0)</f>
        <v>2.875</v>
      </c>
      <c r="W459" s="46">
        <f>0.5%*Cobros[[#This Row],[Valor Pagado]]</f>
        <v>1.15</v>
      </c>
    </row>
    <row r="460" spans="1:23">
      <c r="A460" s="49" t="s">
        <v>3875</v>
      </c>
      <c r="B460" s="49" t="s">
        <v>4440</v>
      </c>
      <c r="C460" s="49" t="s">
        <v>1220</v>
      </c>
      <c r="D460" s="49" t="s">
        <v>1221</v>
      </c>
      <c r="E460" s="49" t="s">
        <v>4573</v>
      </c>
      <c r="F460" s="51">
        <v>46217</v>
      </c>
      <c r="G460" s="49">
        <v>2.95</v>
      </c>
      <c r="H460" s="49" t="s">
        <v>20</v>
      </c>
      <c r="I460" s="51">
        <v>46213</v>
      </c>
      <c r="J460" s="54">
        <f>INT(Cobros[[#This Row],[Fecha Cargo]])</f>
        <v>46217</v>
      </c>
      <c r="K460" s="54">
        <f>INT(Cobros[[#This Row],[Fecha Aplicacion]])</f>
        <v>46213</v>
      </c>
      <c r="L460" s="55">
        <f>INDEX(Clientes[Días Plazo],MATCH(Cobros[[#This Row],[Cod. Cliente]],Clientes[Codigo],0),1)</f>
        <v>0</v>
      </c>
      <c r="M460" s="45" t="str">
        <f>IF(Cobros[[#This Row],[Dias de Credito]]&lt;=0,"Contado","Credito")</f>
        <v>Contado</v>
      </c>
      <c r="N460" s="45">
        <f>Cobros[[#This Row],[Fecha Aplicación S]]-Cobros[[#This Row],[Fecha Cargo S]]</f>
        <v>-4</v>
      </c>
      <c r="O460" s="45">
        <f>Cobros[[#This Row],[Dias al pago]]-Cobros[[#This Row],[Dias de Credito]]</f>
        <v>-4</v>
      </c>
      <c r="P460" s="45">
        <f>SUMIFS(TablaDias[Porcentaje],TablaDias[Tipo],Cobros[[#This Row],[Tipo]],TablaDias[Desde ],"&lt;="&amp;MAX(0,Cobros[[#This Row],[Dias pasado]]),TablaDias[Hasta ],"&gt;="&amp;Cobros[[#This Row],[Dias pasado]])</f>
        <v>100</v>
      </c>
      <c r="Q4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60">
        <f>IF(COUNTIF(PAPEL[Numero],Cobros[[#This Row],[Doc. Cargo]])&gt;0,1,0)</f>
        <v>0</v>
      </c>
      <c r="S460" s="46">
        <f t="array" ref="S4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0" s="46">
        <f t="array" ref="T460">INDEX(Ventas[[Unidades]:[2]],MATCH("Gerente de Venta",Ventas[Vendedor %],0),6+Cobros[[#This Row],[Mes]])</f>
        <v>0.005</v>
      </c>
      <c r="U460" s="34">
        <f>IF(Cobros[[#This Row],[Tipo]]="Credito",IF(60&gt;=Cobros[[#This Row],[Dias al pago]],1,0),IF(Cobros[[#This Row],[Dias al pago]]&lt;=3,1,0))</f>
        <v>1</v>
      </c>
      <c r="V460" s="46">
        <f>(Cobros[[#This Row],[% A pagar Vendedor]]/100)*Cobros[[#This Row],[Valor Pagado]]*Cobros[[#This Row],[Vencido]]*(Cobros[[#This Row],[% aplicar]]/100)*IF(Cobros[[#This Row],[% A pagar Vendedor]]&gt;0,1,0)</f>
        <v>0.036875</v>
      </c>
      <c r="W460" s="46">
        <f>0.5%*Cobros[[#This Row],[Valor Pagado]]</f>
        <v>0.01475</v>
      </c>
    </row>
    <row r="461" ht="30" spans="1:23">
      <c r="A461" s="49" t="s">
        <v>3904</v>
      </c>
      <c r="B461" s="49" t="s">
        <v>4574</v>
      </c>
      <c r="C461" s="49" t="s">
        <v>987</v>
      </c>
      <c r="D461" s="49" t="s">
        <v>988</v>
      </c>
      <c r="E461" s="49" t="s">
        <v>4575</v>
      </c>
      <c r="F461" s="51">
        <v>46216</v>
      </c>
      <c r="G461" s="49">
        <v>182.6</v>
      </c>
      <c r="H461" s="49" t="s">
        <v>20</v>
      </c>
      <c r="I461" s="51">
        <v>46217</v>
      </c>
      <c r="J461" s="54">
        <f>INT(Cobros[[#This Row],[Fecha Cargo]])</f>
        <v>46216</v>
      </c>
      <c r="K461" s="54">
        <f>INT(Cobros[[#This Row],[Fecha Aplicacion]])</f>
        <v>46217</v>
      </c>
      <c r="L461" s="55" t="str">
        <f>INDEX(Clientes[Días Plazo],MATCH(Cobros[[#This Row],[Cod. Cliente]],Clientes[Codigo],0),1)</f>
        <v>15</v>
      </c>
      <c r="M461" s="45" t="str">
        <f>IF(Cobros[[#This Row],[Dias de Credito]]&lt;=0,"Contado","Credito")</f>
        <v>Credito</v>
      </c>
      <c r="N461" s="45">
        <f>Cobros[[#This Row],[Fecha Aplicación S]]-Cobros[[#This Row],[Fecha Cargo S]]</f>
        <v>1</v>
      </c>
      <c r="O461" s="45">
        <f>Cobros[[#This Row],[Dias al pago]]-Cobros[[#This Row],[Dias de Credito]]</f>
        <v>-14</v>
      </c>
      <c r="P461" s="45">
        <f>SUMIFS(TablaDias[Porcentaje],TablaDias[Tipo],Cobros[[#This Row],[Tipo]],TablaDias[Desde ],"&lt;="&amp;MAX(0,Cobros[[#This Row],[Dias pasado]]),TablaDias[Hasta ],"&gt;="&amp;Cobros[[#This Row],[Dias pasado]])</f>
        <v>100</v>
      </c>
      <c r="Q4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61">
        <f>IF(COUNTIF(PAPEL[Numero],Cobros[[#This Row],[Doc. Cargo]])&gt;0,1,0)</f>
        <v>0</v>
      </c>
      <c r="S461" s="46">
        <f t="array" ref="S4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1" s="46">
        <f t="array" ref="T461">INDEX(Ventas[[Unidades]:[2]],MATCH("Gerente de Venta",Ventas[Vendedor %],0),6+Cobros[[#This Row],[Mes]])</f>
        <v>0.005</v>
      </c>
      <c r="U461" s="34">
        <f>IF(Cobros[[#This Row],[Tipo]]="Credito",IF(60&gt;=Cobros[[#This Row],[Dias al pago]],1,0),IF(Cobros[[#This Row],[Dias al pago]]&lt;=3,1,0))</f>
        <v>1</v>
      </c>
      <c r="V461" s="46">
        <f>(Cobros[[#This Row],[% A pagar Vendedor]]/100)*Cobros[[#This Row],[Valor Pagado]]*Cobros[[#This Row],[Vencido]]*(Cobros[[#This Row],[% aplicar]]/100)*IF(Cobros[[#This Row],[% A pagar Vendedor]]&gt;0,1,0)</f>
        <v>2.2825</v>
      </c>
      <c r="W461" s="46">
        <f>0.5%*Cobros[[#This Row],[Valor Pagado]]</f>
        <v>0.913</v>
      </c>
    </row>
    <row r="462" spans="1:23">
      <c r="A462" s="49" t="s">
        <v>3904</v>
      </c>
      <c r="B462" s="49" t="s">
        <v>4576</v>
      </c>
      <c r="C462" s="49" t="s">
        <v>660</v>
      </c>
      <c r="D462" s="49" t="s">
        <v>661</v>
      </c>
      <c r="E462" s="49" t="s">
        <v>4577</v>
      </c>
      <c r="F462" s="51">
        <v>46216</v>
      </c>
      <c r="G462" s="49">
        <v>1120.47</v>
      </c>
      <c r="H462" s="49" t="s">
        <v>19</v>
      </c>
      <c r="I462" s="51">
        <v>46216</v>
      </c>
      <c r="J462" s="54">
        <f>INT(Cobros[[#This Row],[Fecha Cargo]])</f>
        <v>46216</v>
      </c>
      <c r="K462" s="54">
        <f>INT(Cobros[[#This Row],[Fecha Aplicacion]])</f>
        <v>46216</v>
      </c>
      <c r="L462" s="55">
        <f>INDEX(Clientes[Días Plazo],MATCH(Cobros[[#This Row],[Cod. Cliente]],Clientes[Codigo],0),1)</f>
        <v>0</v>
      </c>
      <c r="M462" s="45" t="str">
        <f>IF(Cobros[[#This Row],[Dias de Credito]]&lt;=0,"Contado","Credito")</f>
        <v>Contado</v>
      </c>
      <c r="N462" s="45">
        <f>Cobros[[#This Row],[Fecha Aplicación S]]-Cobros[[#This Row],[Fecha Cargo S]]</f>
        <v>0</v>
      </c>
      <c r="O462" s="45">
        <f>Cobros[[#This Row],[Dias al pago]]-Cobros[[#This Row],[Dias de Credito]]</f>
        <v>0</v>
      </c>
      <c r="P462" s="45">
        <f>SUMIFS(TablaDias[Porcentaje],TablaDias[Tipo],Cobros[[#This Row],[Tipo]],TablaDias[Desde ],"&lt;="&amp;MAX(0,Cobros[[#This Row],[Dias pasado]]),TablaDias[Hasta ],"&gt;="&amp;Cobros[[#This Row],[Dias pasado]])</f>
        <v>100</v>
      </c>
      <c r="Q4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62">
        <f>IF(COUNTIF(PAPEL[Numero],Cobros[[#This Row],[Doc. Cargo]])&gt;0,1,0)</f>
        <v>0</v>
      </c>
      <c r="S462" s="46">
        <f t="array" ref="S4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2" s="46">
        <f t="array" ref="T462">INDEX(Ventas[[Unidades]:[2]],MATCH("Gerente de Venta",Ventas[Vendedor %],0),6+Cobros[[#This Row],[Mes]])</f>
        <v>0.005</v>
      </c>
      <c r="U462" s="34">
        <f>IF(Cobros[[#This Row],[Tipo]]="Credito",IF(60&gt;=Cobros[[#This Row],[Dias al pago]],1,0),IF(Cobros[[#This Row],[Dias al pago]]&lt;=3,1,0))</f>
        <v>1</v>
      </c>
      <c r="V462" s="46">
        <f>(Cobros[[#This Row],[% A pagar Vendedor]]/100)*Cobros[[#This Row],[Valor Pagado]]*Cobros[[#This Row],[Vencido]]*(Cobros[[#This Row],[% aplicar]]/100)*IF(Cobros[[#This Row],[% A pagar Vendedor]]&gt;0,1,0)</f>
        <v>14.005875</v>
      </c>
      <c r="W462" s="46">
        <f>0.5%*Cobros[[#This Row],[Valor Pagado]]</f>
        <v>5.60235</v>
      </c>
    </row>
    <row r="463" spans="1:23">
      <c r="A463" s="49" t="s">
        <v>3961</v>
      </c>
      <c r="B463" s="49" t="s">
        <v>4578</v>
      </c>
      <c r="C463" s="49" t="s">
        <v>660</v>
      </c>
      <c r="D463" s="49" t="s">
        <v>661</v>
      </c>
      <c r="E463" s="49" t="s">
        <v>4579</v>
      </c>
      <c r="F463" s="51">
        <v>46213</v>
      </c>
      <c r="G463" s="49">
        <v>1416.62</v>
      </c>
      <c r="H463" s="49" t="s">
        <v>19</v>
      </c>
      <c r="I463" s="51">
        <v>46213</v>
      </c>
      <c r="J463" s="54">
        <f>INT(Cobros[[#This Row],[Fecha Cargo]])</f>
        <v>46213</v>
      </c>
      <c r="K463" s="54">
        <f>INT(Cobros[[#This Row],[Fecha Aplicacion]])</f>
        <v>46213</v>
      </c>
      <c r="L463" s="55">
        <f>INDEX(Clientes[Días Plazo],MATCH(Cobros[[#This Row],[Cod. Cliente]],Clientes[Codigo],0),1)</f>
        <v>0</v>
      </c>
      <c r="M463" s="45" t="str">
        <f>IF(Cobros[[#This Row],[Dias de Credito]]&lt;=0,"Contado","Credito")</f>
        <v>Contado</v>
      </c>
      <c r="N463" s="45">
        <f>Cobros[[#This Row],[Fecha Aplicación S]]-Cobros[[#This Row],[Fecha Cargo S]]</f>
        <v>0</v>
      </c>
      <c r="O463" s="45">
        <f>Cobros[[#This Row],[Dias al pago]]-Cobros[[#This Row],[Dias de Credito]]</f>
        <v>0</v>
      </c>
      <c r="P463" s="45">
        <f>SUMIFS(TablaDias[Porcentaje],TablaDias[Tipo],Cobros[[#This Row],[Tipo]],TablaDias[Desde ],"&lt;="&amp;MAX(0,Cobros[[#This Row],[Dias pasado]]),TablaDias[Hasta ],"&gt;="&amp;Cobros[[#This Row],[Dias pasado]])</f>
        <v>100</v>
      </c>
      <c r="Q4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63">
        <f>IF(COUNTIF(PAPEL[Numero],Cobros[[#This Row],[Doc. Cargo]])&gt;0,1,0)</f>
        <v>0</v>
      </c>
      <c r="S463" s="46">
        <f t="array" ref="S4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3" s="46">
        <f t="array" ref="T463">INDEX(Ventas[[Unidades]:[2]],MATCH("Gerente de Venta",Ventas[Vendedor %],0),6+Cobros[[#This Row],[Mes]])</f>
        <v>0.005</v>
      </c>
      <c r="U463" s="34">
        <f>IF(Cobros[[#This Row],[Tipo]]="Credito",IF(60&gt;=Cobros[[#This Row],[Dias al pago]],1,0),IF(Cobros[[#This Row],[Dias al pago]]&lt;=3,1,0))</f>
        <v>1</v>
      </c>
      <c r="V463" s="46">
        <f>(Cobros[[#This Row],[% A pagar Vendedor]]/100)*Cobros[[#This Row],[Valor Pagado]]*Cobros[[#This Row],[Vencido]]*(Cobros[[#This Row],[% aplicar]]/100)*IF(Cobros[[#This Row],[% A pagar Vendedor]]&gt;0,1,0)</f>
        <v>17.70775</v>
      </c>
      <c r="W463" s="46">
        <f>0.5%*Cobros[[#This Row],[Valor Pagado]]</f>
        <v>7.0831</v>
      </c>
    </row>
    <row r="464" spans="1:23">
      <c r="A464" s="49" t="s">
        <v>3884</v>
      </c>
      <c r="B464" s="49" t="s">
        <v>4580</v>
      </c>
      <c r="C464" s="49" t="s">
        <v>484</v>
      </c>
      <c r="D464" s="49" t="s">
        <v>485</v>
      </c>
      <c r="E464" s="49" t="s">
        <v>4470</v>
      </c>
      <c r="F464" s="51">
        <v>46185</v>
      </c>
      <c r="G464" s="49">
        <v>1107.14</v>
      </c>
      <c r="H464" s="49" t="s">
        <v>19</v>
      </c>
      <c r="I464" s="51">
        <v>46217</v>
      </c>
      <c r="J464" s="54">
        <f>INT(Cobros[[#This Row],[Fecha Cargo]])</f>
        <v>46185</v>
      </c>
      <c r="K464" s="54">
        <f>INT(Cobros[[#This Row],[Fecha Aplicacion]])</f>
        <v>46217</v>
      </c>
      <c r="L464" s="55" t="str">
        <f>INDEX(Clientes[Días Plazo],MATCH(Cobros[[#This Row],[Cod. Cliente]],Clientes[Codigo],0),1)</f>
        <v>30</v>
      </c>
      <c r="M464" s="45" t="str">
        <f>IF(Cobros[[#This Row],[Dias de Credito]]&lt;=0,"Contado","Credito")</f>
        <v>Credito</v>
      </c>
      <c r="N464" s="45">
        <f>Cobros[[#This Row],[Fecha Aplicación S]]-Cobros[[#This Row],[Fecha Cargo S]]</f>
        <v>32</v>
      </c>
      <c r="O464" s="45">
        <f>Cobros[[#This Row],[Dias al pago]]-Cobros[[#This Row],[Dias de Credito]]</f>
        <v>2</v>
      </c>
      <c r="P464" s="45">
        <f>SUMIFS(TablaDias[Porcentaje],TablaDias[Tipo],Cobros[[#This Row],[Tipo]],TablaDias[Desde ],"&lt;="&amp;MAX(0,Cobros[[#This Row],[Dias pasado]]),TablaDias[Hasta ],"&gt;="&amp;Cobros[[#This Row],[Dias pasado]])</f>
        <v>100</v>
      </c>
      <c r="Q4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4">
        <f>IF(COUNTIF(PAPEL[Numero],Cobros[[#This Row],[Doc. Cargo]])&gt;0,1,0)</f>
        <v>0</v>
      </c>
      <c r="S464" s="46">
        <f t="array" ref="S4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4" s="46">
        <f t="array" ref="T464">INDEX(Ventas[[Unidades]:[2]],MATCH("Gerente de Venta",Ventas[Vendedor %],0),6+Cobros[[#This Row],[Mes]])</f>
        <v>0.005</v>
      </c>
      <c r="U464" s="34">
        <f>IF(Cobros[[#This Row],[Tipo]]="Credito",IF(60&gt;=Cobros[[#This Row],[Dias al pago]],1,0),IF(Cobros[[#This Row],[Dias al pago]]&lt;=3,1,0))</f>
        <v>1</v>
      </c>
      <c r="V464" s="46">
        <f>(Cobros[[#This Row],[% A pagar Vendedor]]/100)*Cobros[[#This Row],[Valor Pagado]]*Cobros[[#This Row],[Vencido]]*(Cobros[[#This Row],[% aplicar]]/100)*IF(Cobros[[#This Row],[% A pagar Vendedor]]&gt;0,1,0)</f>
        <v>13.83925</v>
      </c>
      <c r="W464" s="46">
        <f>0.5%*Cobros[[#This Row],[Valor Pagado]]</f>
        <v>5.5357</v>
      </c>
    </row>
    <row r="465" spans="1:23">
      <c r="A465" s="49" t="s">
        <v>3884</v>
      </c>
      <c r="B465" s="49" t="s">
        <v>4581</v>
      </c>
      <c r="C465" s="49" t="s">
        <v>484</v>
      </c>
      <c r="D465" s="49" t="s">
        <v>485</v>
      </c>
      <c r="E465" s="49" t="s">
        <v>4470</v>
      </c>
      <c r="F465" s="51">
        <v>46185</v>
      </c>
      <c r="G465" s="49">
        <v>827.38</v>
      </c>
      <c r="H465" s="49" t="s">
        <v>19</v>
      </c>
      <c r="I465" s="51">
        <v>46217</v>
      </c>
      <c r="J465" s="54">
        <f>INT(Cobros[[#This Row],[Fecha Cargo]])</f>
        <v>46185</v>
      </c>
      <c r="K465" s="54">
        <f>INT(Cobros[[#This Row],[Fecha Aplicacion]])</f>
        <v>46217</v>
      </c>
      <c r="L465" s="55" t="str">
        <f>INDEX(Clientes[Días Plazo],MATCH(Cobros[[#This Row],[Cod. Cliente]],Clientes[Codigo],0),1)</f>
        <v>30</v>
      </c>
      <c r="M465" s="45" t="str">
        <f>IF(Cobros[[#This Row],[Dias de Credito]]&lt;=0,"Contado","Credito")</f>
        <v>Credito</v>
      </c>
      <c r="N465" s="45">
        <f>Cobros[[#This Row],[Fecha Aplicación S]]-Cobros[[#This Row],[Fecha Cargo S]]</f>
        <v>32</v>
      </c>
      <c r="O465" s="45">
        <f>Cobros[[#This Row],[Dias al pago]]-Cobros[[#This Row],[Dias de Credito]]</f>
        <v>2</v>
      </c>
      <c r="P465" s="45">
        <f>SUMIFS(TablaDias[Porcentaje],TablaDias[Tipo],Cobros[[#This Row],[Tipo]],TablaDias[Desde ],"&lt;="&amp;MAX(0,Cobros[[#This Row],[Dias pasado]]),TablaDias[Hasta ],"&gt;="&amp;Cobros[[#This Row],[Dias pasado]])</f>
        <v>100</v>
      </c>
      <c r="Q4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5">
        <f>IF(COUNTIF(PAPEL[Numero],Cobros[[#This Row],[Doc. Cargo]])&gt;0,1,0)</f>
        <v>0</v>
      </c>
      <c r="S465" s="46">
        <f t="array" ref="S4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5" s="46">
        <f t="array" ref="T465">INDEX(Ventas[[Unidades]:[2]],MATCH("Gerente de Venta",Ventas[Vendedor %],0),6+Cobros[[#This Row],[Mes]])</f>
        <v>0.005</v>
      </c>
      <c r="U465" s="34">
        <f>IF(Cobros[[#This Row],[Tipo]]="Credito",IF(60&gt;=Cobros[[#This Row],[Dias al pago]],1,0),IF(Cobros[[#This Row],[Dias al pago]]&lt;=3,1,0))</f>
        <v>1</v>
      </c>
      <c r="V465" s="46">
        <f>(Cobros[[#This Row],[% A pagar Vendedor]]/100)*Cobros[[#This Row],[Valor Pagado]]*Cobros[[#This Row],[Vencido]]*(Cobros[[#This Row],[% aplicar]]/100)*IF(Cobros[[#This Row],[% A pagar Vendedor]]&gt;0,1,0)</f>
        <v>10.34225</v>
      </c>
      <c r="W465" s="46">
        <f>0.5%*Cobros[[#This Row],[Valor Pagado]]</f>
        <v>4.1369</v>
      </c>
    </row>
    <row r="466" spans="1:23">
      <c r="A466" s="49" t="s">
        <v>3884</v>
      </c>
      <c r="B466" s="49" t="s">
        <v>4582</v>
      </c>
      <c r="C466" s="49" t="s">
        <v>484</v>
      </c>
      <c r="D466" s="49" t="s">
        <v>485</v>
      </c>
      <c r="E466" s="49" t="s">
        <v>4470</v>
      </c>
      <c r="F466" s="51">
        <v>46185</v>
      </c>
      <c r="G466" s="49">
        <v>1179.76</v>
      </c>
      <c r="H466" s="49" t="s">
        <v>19</v>
      </c>
      <c r="I466" s="51">
        <v>46217</v>
      </c>
      <c r="J466" s="54">
        <f>INT(Cobros[[#This Row],[Fecha Cargo]])</f>
        <v>46185</v>
      </c>
      <c r="K466" s="54">
        <f>INT(Cobros[[#This Row],[Fecha Aplicacion]])</f>
        <v>46217</v>
      </c>
      <c r="L466" s="55" t="str">
        <f>INDEX(Clientes[Días Plazo],MATCH(Cobros[[#This Row],[Cod. Cliente]],Clientes[Codigo],0),1)</f>
        <v>30</v>
      </c>
      <c r="M466" s="45" t="str">
        <f>IF(Cobros[[#This Row],[Dias de Credito]]&lt;=0,"Contado","Credito")</f>
        <v>Credito</v>
      </c>
      <c r="N466" s="45">
        <f>Cobros[[#This Row],[Fecha Aplicación S]]-Cobros[[#This Row],[Fecha Cargo S]]</f>
        <v>32</v>
      </c>
      <c r="O466" s="45">
        <f>Cobros[[#This Row],[Dias al pago]]-Cobros[[#This Row],[Dias de Credito]]</f>
        <v>2</v>
      </c>
      <c r="P466" s="45">
        <f>SUMIFS(TablaDias[Porcentaje],TablaDias[Tipo],Cobros[[#This Row],[Tipo]],TablaDias[Desde ],"&lt;="&amp;MAX(0,Cobros[[#This Row],[Dias pasado]]),TablaDias[Hasta ],"&gt;="&amp;Cobros[[#This Row],[Dias pasado]])</f>
        <v>100</v>
      </c>
      <c r="Q4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6">
        <f>IF(COUNTIF(PAPEL[Numero],Cobros[[#This Row],[Doc. Cargo]])&gt;0,1,0)</f>
        <v>0</v>
      </c>
      <c r="S466" s="46">
        <f t="array" ref="S4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6" s="46">
        <f t="array" ref="T466">INDEX(Ventas[[Unidades]:[2]],MATCH("Gerente de Venta",Ventas[Vendedor %],0),6+Cobros[[#This Row],[Mes]])</f>
        <v>0.005</v>
      </c>
      <c r="U466" s="34">
        <f>IF(Cobros[[#This Row],[Tipo]]="Credito",IF(60&gt;=Cobros[[#This Row],[Dias al pago]],1,0),IF(Cobros[[#This Row],[Dias al pago]]&lt;=3,1,0))</f>
        <v>1</v>
      </c>
      <c r="V466" s="46">
        <f>(Cobros[[#This Row],[% A pagar Vendedor]]/100)*Cobros[[#This Row],[Valor Pagado]]*Cobros[[#This Row],[Vencido]]*(Cobros[[#This Row],[% aplicar]]/100)*IF(Cobros[[#This Row],[% A pagar Vendedor]]&gt;0,1,0)</f>
        <v>14.747</v>
      </c>
      <c r="W466" s="46">
        <f>0.5%*Cobros[[#This Row],[Valor Pagado]]</f>
        <v>5.8988</v>
      </c>
    </row>
    <row r="467" spans="1:23">
      <c r="A467" s="49" t="s">
        <v>3884</v>
      </c>
      <c r="B467" s="49" t="s">
        <v>4583</v>
      </c>
      <c r="C467" s="49" t="s">
        <v>484</v>
      </c>
      <c r="D467" s="49" t="s">
        <v>485</v>
      </c>
      <c r="E467" s="49" t="s">
        <v>4470</v>
      </c>
      <c r="F467" s="51">
        <v>46185</v>
      </c>
      <c r="G467" s="49">
        <v>1184.52</v>
      </c>
      <c r="H467" s="49" t="s">
        <v>19</v>
      </c>
      <c r="I467" s="51">
        <v>46217</v>
      </c>
      <c r="J467" s="54">
        <f>INT(Cobros[[#This Row],[Fecha Cargo]])</f>
        <v>46185</v>
      </c>
      <c r="K467" s="54">
        <f>INT(Cobros[[#This Row],[Fecha Aplicacion]])</f>
        <v>46217</v>
      </c>
      <c r="L467" s="55" t="str">
        <f>INDEX(Clientes[Días Plazo],MATCH(Cobros[[#This Row],[Cod. Cliente]],Clientes[Codigo],0),1)</f>
        <v>30</v>
      </c>
      <c r="M467" s="45" t="str">
        <f>IF(Cobros[[#This Row],[Dias de Credito]]&lt;=0,"Contado","Credito")</f>
        <v>Credito</v>
      </c>
      <c r="N467" s="45">
        <f>Cobros[[#This Row],[Fecha Aplicación S]]-Cobros[[#This Row],[Fecha Cargo S]]</f>
        <v>32</v>
      </c>
      <c r="O467" s="45">
        <f>Cobros[[#This Row],[Dias al pago]]-Cobros[[#This Row],[Dias de Credito]]</f>
        <v>2</v>
      </c>
      <c r="P467" s="45">
        <f>SUMIFS(TablaDias[Porcentaje],TablaDias[Tipo],Cobros[[#This Row],[Tipo]],TablaDias[Desde ],"&lt;="&amp;MAX(0,Cobros[[#This Row],[Dias pasado]]),TablaDias[Hasta ],"&gt;="&amp;Cobros[[#This Row],[Dias pasado]])</f>
        <v>100</v>
      </c>
      <c r="Q46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7">
        <f>IF(COUNTIF(PAPEL[Numero],Cobros[[#This Row],[Doc. Cargo]])&gt;0,1,0)</f>
        <v>0</v>
      </c>
      <c r="S467" s="46">
        <f t="array" ref="S4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7" s="46">
        <f t="array" ref="T467">INDEX(Ventas[[Unidades]:[2]],MATCH("Gerente de Venta",Ventas[Vendedor %],0),6+Cobros[[#This Row],[Mes]])</f>
        <v>0.005</v>
      </c>
      <c r="U467" s="34">
        <f>IF(Cobros[[#This Row],[Tipo]]="Credito",IF(60&gt;=Cobros[[#This Row],[Dias al pago]],1,0),IF(Cobros[[#This Row],[Dias al pago]]&lt;=3,1,0))</f>
        <v>1</v>
      </c>
      <c r="V467" s="46">
        <f>(Cobros[[#This Row],[% A pagar Vendedor]]/100)*Cobros[[#This Row],[Valor Pagado]]*Cobros[[#This Row],[Vencido]]*(Cobros[[#This Row],[% aplicar]]/100)*IF(Cobros[[#This Row],[% A pagar Vendedor]]&gt;0,1,0)</f>
        <v>14.8065</v>
      </c>
      <c r="W467" s="46">
        <f>0.5%*Cobros[[#This Row],[Valor Pagado]]</f>
        <v>5.9226</v>
      </c>
    </row>
    <row r="468" spans="1:23">
      <c r="A468" s="49" t="s">
        <v>3884</v>
      </c>
      <c r="B468" s="49" t="s">
        <v>4584</v>
      </c>
      <c r="C468" s="49" t="s">
        <v>484</v>
      </c>
      <c r="D468" s="49" t="s">
        <v>485</v>
      </c>
      <c r="E468" s="49" t="s">
        <v>4470</v>
      </c>
      <c r="F468" s="51">
        <v>46185</v>
      </c>
      <c r="G468" s="49">
        <v>797.62</v>
      </c>
      <c r="H468" s="49" t="s">
        <v>19</v>
      </c>
      <c r="I468" s="51">
        <v>46217</v>
      </c>
      <c r="J468" s="54">
        <f>INT(Cobros[[#This Row],[Fecha Cargo]])</f>
        <v>46185</v>
      </c>
      <c r="K468" s="54">
        <f>INT(Cobros[[#This Row],[Fecha Aplicacion]])</f>
        <v>46217</v>
      </c>
      <c r="L468" s="55" t="str">
        <f>INDEX(Clientes[Días Plazo],MATCH(Cobros[[#This Row],[Cod. Cliente]],Clientes[Codigo],0),1)</f>
        <v>30</v>
      </c>
      <c r="M468" s="45" t="str">
        <f>IF(Cobros[[#This Row],[Dias de Credito]]&lt;=0,"Contado","Credito")</f>
        <v>Credito</v>
      </c>
      <c r="N468" s="45">
        <f>Cobros[[#This Row],[Fecha Aplicación S]]-Cobros[[#This Row],[Fecha Cargo S]]</f>
        <v>32</v>
      </c>
      <c r="O468" s="45">
        <f>Cobros[[#This Row],[Dias al pago]]-Cobros[[#This Row],[Dias de Credito]]</f>
        <v>2</v>
      </c>
      <c r="P468" s="45">
        <f>SUMIFS(TablaDias[Porcentaje],TablaDias[Tipo],Cobros[[#This Row],[Tipo]],TablaDias[Desde ],"&lt;="&amp;MAX(0,Cobros[[#This Row],[Dias pasado]]),TablaDias[Hasta ],"&gt;="&amp;Cobros[[#This Row],[Dias pasado]])</f>
        <v>100</v>
      </c>
      <c r="Q4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8">
        <f>IF(COUNTIF(PAPEL[Numero],Cobros[[#This Row],[Doc. Cargo]])&gt;0,1,0)</f>
        <v>0</v>
      </c>
      <c r="S468" s="46">
        <f t="array" ref="S4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8" s="46">
        <f t="array" ref="T468">INDEX(Ventas[[Unidades]:[2]],MATCH("Gerente de Venta",Ventas[Vendedor %],0),6+Cobros[[#This Row],[Mes]])</f>
        <v>0.005</v>
      </c>
      <c r="U468" s="34">
        <f>IF(Cobros[[#This Row],[Tipo]]="Credito",IF(60&gt;=Cobros[[#This Row],[Dias al pago]],1,0),IF(Cobros[[#This Row],[Dias al pago]]&lt;=3,1,0))</f>
        <v>1</v>
      </c>
      <c r="V468" s="46">
        <f>(Cobros[[#This Row],[% A pagar Vendedor]]/100)*Cobros[[#This Row],[Valor Pagado]]*Cobros[[#This Row],[Vencido]]*(Cobros[[#This Row],[% aplicar]]/100)*IF(Cobros[[#This Row],[% A pagar Vendedor]]&gt;0,1,0)</f>
        <v>9.97025</v>
      </c>
      <c r="W468" s="46">
        <f>0.5%*Cobros[[#This Row],[Valor Pagado]]</f>
        <v>3.9881</v>
      </c>
    </row>
    <row r="469" spans="1:23">
      <c r="A469" s="49" t="s">
        <v>3884</v>
      </c>
      <c r="B469" s="49" t="s">
        <v>4585</v>
      </c>
      <c r="C469" s="49" t="s">
        <v>484</v>
      </c>
      <c r="D469" s="49" t="s">
        <v>485</v>
      </c>
      <c r="E469" s="49" t="s">
        <v>4470</v>
      </c>
      <c r="F469" s="51">
        <v>46185</v>
      </c>
      <c r="G469" s="49">
        <v>1169.05</v>
      </c>
      <c r="H469" s="49" t="s">
        <v>19</v>
      </c>
      <c r="I469" s="51">
        <v>46217</v>
      </c>
      <c r="J469" s="54">
        <f>INT(Cobros[[#This Row],[Fecha Cargo]])</f>
        <v>46185</v>
      </c>
      <c r="K469" s="54">
        <f>INT(Cobros[[#This Row],[Fecha Aplicacion]])</f>
        <v>46217</v>
      </c>
      <c r="L469" s="55" t="str">
        <f>INDEX(Clientes[Días Plazo],MATCH(Cobros[[#This Row],[Cod. Cliente]],Clientes[Codigo],0),1)</f>
        <v>30</v>
      </c>
      <c r="M469" s="45" t="str">
        <f>IF(Cobros[[#This Row],[Dias de Credito]]&lt;=0,"Contado","Credito")</f>
        <v>Credito</v>
      </c>
      <c r="N469" s="45">
        <f>Cobros[[#This Row],[Fecha Aplicación S]]-Cobros[[#This Row],[Fecha Cargo S]]</f>
        <v>32</v>
      </c>
      <c r="O469" s="45">
        <f>Cobros[[#This Row],[Dias al pago]]-Cobros[[#This Row],[Dias de Credito]]</f>
        <v>2</v>
      </c>
      <c r="P469" s="45">
        <f>SUMIFS(TablaDias[Porcentaje],TablaDias[Tipo],Cobros[[#This Row],[Tipo]],TablaDias[Desde ],"&lt;="&amp;MAX(0,Cobros[[#This Row],[Dias pasado]]),TablaDias[Hasta ],"&gt;="&amp;Cobros[[#This Row],[Dias pasado]])</f>
        <v>100</v>
      </c>
      <c r="Q4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69">
        <f>IF(COUNTIF(PAPEL[Numero],Cobros[[#This Row],[Doc. Cargo]])&gt;0,1,0)</f>
        <v>0</v>
      </c>
      <c r="S469" s="46">
        <f t="array" ref="S4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69" s="46">
        <f t="array" ref="T469">INDEX(Ventas[[Unidades]:[2]],MATCH("Gerente de Venta",Ventas[Vendedor %],0),6+Cobros[[#This Row],[Mes]])</f>
        <v>0.005</v>
      </c>
      <c r="U469" s="34">
        <f>IF(Cobros[[#This Row],[Tipo]]="Credito",IF(60&gt;=Cobros[[#This Row],[Dias al pago]],1,0),IF(Cobros[[#This Row],[Dias al pago]]&lt;=3,1,0))</f>
        <v>1</v>
      </c>
      <c r="V469" s="46">
        <f>(Cobros[[#This Row],[% A pagar Vendedor]]/100)*Cobros[[#This Row],[Valor Pagado]]*Cobros[[#This Row],[Vencido]]*(Cobros[[#This Row],[% aplicar]]/100)*IF(Cobros[[#This Row],[% A pagar Vendedor]]&gt;0,1,0)</f>
        <v>14.613125</v>
      </c>
      <c r="W469" s="46">
        <f>0.5%*Cobros[[#This Row],[Valor Pagado]]</f>
        <v>5.84525</v>
      </c>
    </row>
    <row r="470" spans="1:24">
      <c r="A470" s="49" t="s">
        <v>3884</v>
      </c>
      <c r="B470" s="49" t="s">
        <v>4586</v>
      </c>
      <c r="C470" s="49" t="s">
        <v>484</v>
      </c>
      <c r="D470" s="49" t="s">
        <v>485</v>
      </c>
      <c r="E470" s="49" t="s">
        <v>4470</v>
      </c>
      <c r="F470" s="51">
        <v>46185</v>
      </c>
      <c r="G470" s="49">
        <v>304.17</v>
      </c>
      <c r="H470" s="49" t="s">
        <v>19</v>
      </c>
      <c r="I470" s="51">
        <v>46217</v>
      </c>
      <c r="J470" s="54">
        <f>INT(Cobros[[#This Row],[Fecha Cargo]])</f>
        <v>46185</v>
      </c>
      <c r="K470" s="54">
        <f>INT(Cobros[[#This Row],[Fecha Aplicacion]])</f>
        <v>46217</v>
      </c>
      <c r="L470" s="55" t="str">
        <f>INDEX(Clientes[Días Plazo],MATCH(Cobros[[#This Row],[Cod. Cliente]],Clientes[Codigo],0),1)</f>
        <v>30</v>
      </c>
      <c r="M470" s="45" t="str">
        <f>IF(Cobros[[#This Row],[Dias de Credito]]&lt;=0,"Contado","Credito")</f>
        <v>Credito</v>
      </c>
      <c r="N470" s="45">
        <f>Cobros[[#This Row],[Fecha Aplicación S]]-Cobros[[#This Row],[Fecha Cargo S]]</f>
        <v>32</v>
      </c>
      <c r="O470" s="45">
        <f>Cobros[[#This Row],[Dias al pago]]-Cobros[[#This Row],[Dias de Credito]]</f>
        <v>2</v>
      </c>
      <c r="P470" s="45">
        <f>SUMIFS(TablaDias[Porcentaje],TablaDias[Tipo],Cobros[[#This Row],[Tipo]],TablaDias[Desde ],"&lt;="&amp;MAX(0,Cobros[[#This Row],[Dias pasado]]),TablaDias[Hasta ],"&gt;="&amp;Cobros[[#This Row],[Dias pasado]])</f>
        <v>100</v>
      </c>
      <c r="Q4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70">
        <f>IF(COUNTIF(PAPEL[Numero],Cobros[[#This Row],[Doc. Cargo]])&gt;0,1,0)</f>
        <v>0</v>
      </c>
      <c r="S470" s="46">
        <f t="array" ref="S4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0" s="46">
        <f t="array" ref="T470">INDEX(Ventas[[Unidades]:[2]],MATCH("Gerente de Venta",Ventas[Vendedor %],0),6+Cobros[[#This Row],[Mes]])</f>
        <v>0.005</v>
      </c>
      <c r="U470" s="34">
        <f>IF(Cobros[[#This Row],[Tipo]]="Credito",IF(60&gt;=Cobros[[#This Row],[Dias al pago]],1,0),IF(Cobros[[#This Row],[Dias al pago]]&lt;=3,1,0))</f>
        <v>1</v>
      </c>
      <c r="V470" s="46">
        <f>(Cobros[[#This Row],[% A pagar Vendedor]]/100)*Cobros[[#This Row],[Valor Pagado]]*Cobros[[#This Row],[Vencido]]*(Cobros[[#This Row],[% aplicar]]/100)*IF(Cobros[[#This Row],[% A pagar Vendedor]]&gt;0,1,0)</f>
        <v>3.802125</v>
      </c>
      <c r="W470" s="46">
        <f>0.5%*Cobros[[#This Row],[Valor Pagado]]</f>
        <v>1.52085</v>
      </c>
      <c r="X470" s="60"/>
    </row>
    <row r="471" spans="1:23">
      <c r="A471" s="49" t="s">
        <v>3884</v>
      </c>
      <c r="B471" s="49" t="s">
        <v>4587</v>
      </c>
      <c r="C471" s="49" t="s">
        <v>484</v>
      </c>
      <c r="D471" s="49" t="s">
        <v>485</v>
      </c>
      <c r="E471" s="49" t="s">
        <v>4470</v>
      </c>
      <c r="F471" s="51">
        <v>46185</v>
      </c>
      <c r="G471" s="49">
        <v>1142.86</v>
      </c>
      <c r="H471" s="49" t="s">
        <v>19</v>
      </c>
      <c r="I471" s="51">
        <v>46217</v>
      </c>
      <c r="J471" s="54">
        <f>INT(Cobros[[#This Row],[Fecha Cargo]])</f>
        <v>46185</v>
      </c>
      <c r="K471" s="54">
        <f>INT(Cobros[[#This Row],[Fecha Aplicacion]])</f>
        <v>46217</v>
      </c>
      <c r="L471" s="55">
        <v>30</v>
      </c>
      <c r="M471" s="45" t="str">
        <f>IF(Cobros[[#This Row],[Dias de Credito]]&lt;=0,"Contado","Credito")</f>
        <v>Credito</v>
      </c>
      <c r="N471" s="45">
        <f>Cobros[[#This Row],[Fecha Aplicación S]]-Cobros[[#This Row],[Fecha Cargo S]]</f>
        <v>32</v>
      </c>
      <c r="O471" s="45">
        <f>Cobros[[#This Row],[Dias al pago]]-Cobros[[#This Row],[Dias de Credito]]</f>
        <v>2</v>
      </c>
      <c r="P471" s="45">
        <f>SUMIFS(TablaDias[Porcentaje],TablaDias[Tipo],Cobros[[#This Row],[Tipo]],TablaDias[Desde ],"&lt;="&amp;MAX(0,Cobros[[#This Row],[Dias pasado]]),TablaDias[Hasta ],"&gt;="&amp;Cobros[[#This Row],[Dias pasado]])</f>
        <v>100</v>
      </c>
      <c r="Q4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71">
        <f>IF(COUNTIF(PAPEL[Numero],Cobros[[#This Row],[Doc. Cargo]])&gt;0,1,0)</f>
        <v>0</v>
      </c>
      <c r="S471" s="46">
        <f t="array" ref="S4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1" s="46">
        <f t="array" ref="T471">INDEX(Ventas[[Unidades]:[2]],MATCH("Gerente de Venta",Ventas[Vendedor %],0),6+Cobros[[#This Row],[Mes]])</f>
        <v>0.005</v>
      </c>
      <c r="U471" s="34">
        <f>IF(Cobros[[#This Row],[Tipo]]="Credito",IF(60&gt;=Cobros[[#This Row],[Dias al pago]],1,0),IF(Cobros[[#This Row],[Dias al pago]]&lt;=3,1,0))</f>
        <v>1</v>
      </c>
      <c r="V471" s="46">
        <f>(Cobros[[#This Row],[% A pagar Vendedor]]/100)*Cobros[[#This Row],[Valor Pagado]]*Cobros[[#This Row],[Vencido]]*(Cobros[[#This Row],[% aplicar]]/100)*IF(Cobros[[#This Row],[% A pagar Vendedor]]&gt;0,1,0)</f>
        <v>14.28575</v>
      </c>
      <c r="W471" s="46">
        <f>0.5%*Cobros[[#This Row],[Valor Pagado]]</f>
        <v>5.7143</v>
      </c>
    </row>
    <row r="472" spans="1:23">
      <c r="A472" s="49" t="s">
        <v>3922</v>
      </c>
      <c r="B472" s="49" t="s">
        <v>4588</v>
      </c>
      <c r="C472" s="49" t="s">
        <v>3305</v>
      </c>
      <c r="D472" s="49" t="s">
        <v>3306</v>
      </c>
      <c r="E472" s="49" t="s">
        <v>4589</v>
      </c>
      <c r="F472" s="51">
        <v>46209</v>
      </c>
      <c r="G472" s="49">
        <v>84</v>
      </c>
      <c r="H472" s="49" t="s">
        <v>20</v>
      </c>
      <c r="I472" s="51">
        <v>46217</v>
      </c>
      <c r="J472" s="54">
        <f>INT(Cobros[[#This Row],[Fecha Cargo]])</f>
        <v>46209</v>
      </c>
      <c r="K472" s="54">
        <f>INT(Cobros[[#This Row],[Fecha Aplicacion]])</f>
        <v>46217</v>
      </c>
      <c r="L472" s="55">
        <f>INDEX(Clientes[Días Plazo],MATCH(Cobros[[#This Row],[Cod. Cliente]],Clientes[Codigo],0),1)</f>
        <v>0</v>
      </c>
      <c r="M472" s="45" t="str">
        <f>IF(Cobros[[#This Row],[Dias de Credito]]&lt;=0,"Contado","Credito")</f>
        <v>Contado</v>
      </c>
      <c r="N472" s="45">
        <f>Cobros[[#This Row],[Fecha Aplicación S]]-Cobros[[#This Row],[Fecha Cargo S]]</f>
        <v>8</v>
      </c>
      <c r="O472" s="45">
        <f>Cobros[[#This Row],[Dias al pago]]-Cobros[[#This Row],[Dias de Credito]]</f>
        <v>8</v>
      </c>
      <c r="P472" s="45">
        <f>SUMIFS(TablaDias[Porcentaje],TablaDias[Tipo],Cobros[[#This Row],[Tipo]],TablaDias[Desde ],"&lt;="&amp;MAX(0,Cobros[[#This Row],[Dias pasado]]),TablaDias[Hasta ],"&gt;="&amp;Cobros[[#This Row],[Dias pasado]])</f>
        <v>0</v>
      </c>
      <c r="Q4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2">
        <f>IF(COUNTIF(PAPEL[Numero],Cobros[[#This Row],[Doc. Cargo]])&gt;0,1,0)</f>
        <v>0</v>
      </c>
      <c r="S472" s="46">
        <f t="array" ref="S4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2" s="46">
        <f t="array" ref="T472">INDEX(Ventas[[Unidades]:[2]],MATCH("Gerente de Venta",Ventas[Vendedor %],0),6+Cobros[[#This Row],[Mes]])</f>
        <v>0.005</v>
      </c>
      <c r="U472" s="34">
        <f>IF(Cobros[[#This Row],[Tipo]]="Credito",IF(60&gt;=Cobros[[#This Row],[Dias al pago]],1,0),IF(Cobros[[#This Row],[Dias al pago]]&lt;=3,1,0))</f>
        <v>0</v>
      </c>
      <c r="V472" s="46">
        <f>(Cobros[[#This Row],[% A pagar Vendedor]]/100)*Cobros[[#This Row],[Valor Pagado]]*Cobros[[#This Row],[Vencido]]*(Cobros[[#This Row],[% aplicar]]/100)*IF(Cobros[[#This Row],[% A pagar Vendedor]]&gt;0,1,0)</f>
        <v>0</v>
      </c>
      <c r="W472" s="46">
        <f>0.5%*Cobros[[#This Row],[Valor Pagado]]</f>
        <v>0.42</v>
      </c>
    </row>
    <row r="473" ht="30" spans="1:23">
      <c r="A473" s="49" t="s">
        <v>3875</v>
      </c>
      <c r="B473" s="49" t="s">
        <v>4590</v>
      </c>
      <c r="C473" s="49" t="s">
        <v>960</v>
      </c>
      <c r="D473" s="49" t="s">
        <v>961</v>
      </c>
      <c r="E473" s="49" t="s">
        <v>4591</v>
      </c>
      <c r="F473" s="51">
        <v>46211</v>
      </c>
      <c r="G473" s="49">
        <v>37.5</v>
      </c>
      <c r="H473" s="49" t="s">
        <v>22</v>
      </c>
      <c r="I473" s="51">
        <v>46217</v>
      </c>
      <c r="J473" s="54">
        <f>INT(Cobros[[#This Row],[Fecha Cargo]])</f>
        <v>46211</v>
      </c>
      <c r="K473" s="54">
        <f>INT(Cobros[[#This Row],[Fecha Aplicacion]])</f>
        <v>46217</v>
      </c>
      <c r="L473" s="55" t="str">
        <f>INDEX(Clientes[Días Plazo],MATCH(Cobros[[#This Row],[Cod. Cliente]],Clientes[Codigo],0),1)</f>
        <v>21</v>
      </c>
      <c r="M473" s="45" t="str">
        <f>IF(Cobros[[#This Row],[Dias de Credito]]&lt;=0,"Contado","Credito")</f>
        <v>Credito</v>
      </c>
      <c r="N473" s="45">
        <f>Cobros[[#This Row],[Fecha Aplicación S]]-Cobros[[#This Row],[Fecha Cargo S]]</f>
        <v>6</v>
      </c>
      <c r="O473" s="45">
        <f>Cobros[[#This Row],[Dias al pago]]-Cobros[[#This Row],[Dias de Credito]]</f>
        <v>-15</v>
      </c>
      <c r="P473" s="45">
        <f>SUMIFS(TablaDias[Porcentaje],TablaDias[Tipo],Cobros[[#This Row],[Tipo]],TablaDias[Desde ],"&lt;="&amp;MAX(0,Cobros[[#This Row],[Dias pasado]]),TablaDias[Hasta ],"&gt;="&amp;Cobros[[#This Row],[Dias pasado]])</f>
        <v>100</v>
      </c>
      <c r="Q47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3">
        <f>IF(COUNTIF(PAPEL[Numero],Cobros[[#This Row],[Doc. Cargo]])&gt;0,1,0)</f>
        <v>0</v>
      </c>
      <c r="S473" s="46">
        <f t="array" ref="S4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73" s="46">
        <f t="array" ref="T473">INDEX(Ventas[[Unidades]:[2]],MATCH("Gerente de Venta",Ventas[Vendedor %],0),6+Cobros[[#This Row],[Mes]])</f>
        <v>0.005</v>
      </c>
      <c r="U473" s="34">
        <f>IF(Cobros[[#This Row],[Tipo]]="Credito",IF(60&gt;=Cobros[[#This Row],[Dias al pago]],1,0),IF(Cobros[[#This Row],[Dias al pago]]&lt;=3,1,0))</f>
        <v>1</v>
      </c>
      <c r="V473" s="46">
        <f>(Cobros[[#This Row],[% A pagar Vendedor]]/100)*Cobros[[#This Row],[Valor Pagado]]*Cobros[[#This Row],[Vencido]]*(Cobros[[#This Row],[% aplicar]]/100)*IF(Cobros[[#This Row],[% A pagar Vendedor]]&gt;0,1,0)</f>
        <v>0.375</v>
      </c>
      <c r="W473" s="46">
        <f>0.5%*Cobros[[#This Row],[Valor Pagado]]</f>
        <v>0.1875</v>
      </c>
    </row>
    <row r="474" ht="30" spans="1:23">
      <c r="A474" s="49" t="s">
        <v>3875</v>
      </c>
      <c r="B474" s="49" t="s">
        <v>4590</v>
      </c>
      <c r="C474" s="49" t="s">
        <v>960</v>
      </c>
      <c r="D474" s="49" t="s">
        <v>961</v>
      </c>
      <c r="E474" s="49" t="s">
        <v>4592</v>
      </c>
      <c r="F474" s="51">
        <v>46212</v>
      </c>
      <c r="G474" s="49">
        <v>762.5</v>
      </c>
      <c r="H474" s="49" t="s">
        <v>22</v>
      </c>
      <c r="I474" s="51">
        <v>46217</v>
      </c>
      <c r="J474" s="54">
        <f>INT(Cobros[[#This Row],[Fecha Cargo]])</f>
        <v>46212</v>
      </c>
      <c r="K474" s="54">
        <f>INT(Cobros[[#This Row],[Fecha Aplicacion]])</f>
        <v>46217</v>
      </c>
      <c r="L474" s="55" t="str">
        <f>INDEX(Clientes[Días Plazo],MATCH(Cobros[[#This Row],[Cod. Cliente]],Clientes[Codigo],0),1)</f>
        <v>21</v>
      </c>
      <c r="M474" s="45" t="str">
        <f>IF(Cobros[[#This Row],[Dias de Credito]]&lt;=0,"Contado","Credito")</f>
        <v>Credito</v>
      </c>
      <c r="N474" s="45">
        <f>Cobros[[#This Row],[Fecha Aplicación S]]-Cobros[[#This Row],[Fecha Cargo S]]</f>
        <v>5</v>
      </c>
      <c r="O474" s="45">
        <f>Cobros[[#This Row],[Dias al pago]]-Cobros[[#This Row],[Dias de Credito]]</f>
        <v>-16</v>
      </c>
      <c r="P474" s="45">
        <f>SUMIFS(TablaDias[Porcentaje],TablaDias[Tipo],Cobros[[#This Row],[Tipo]],TablaDias[Desde ],"&lt;="&amp;MAX(0,Cobros[[#This Row],[Dias pasado]]),TablaDias[Hasta ],"&gt;="&amp;Cobros[[#This Row],[Dias pasado]])</f>
        <v>100</v>
      </c>
      <c r="Q47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4">
        <f>IF(COUNTIF(PAPEL[Numero],Cobros[[#This Row],[Doc. Cargo]])&gt;0,1,0)</f>
        <v>0</v>
      </c>
      <c r="S474" s="46">
        <f t="array" ref="S4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74" s="46">
        <f t="array" ref="T474">INDEX(Ventas[[Unidades]:[2]],MATCH("Gerente de Venta",Ventas[Vendedor %],0),6+Cobros[[#This Row],[Mes]])</f>
        <v>0.005</v>
      </c>
      <c r="U474" s="34">
        <f>IF(Cobros[[#This Row],[Tipo]]="Credito",IF(60&gt;=Cobros[[#This Row],[Dias al pago]],1,0),IF(Cobros[[#This Row],[Dias al pago]]&lt;=3,1,0))</f>
        <v>1</v>
      </c>
      <c r="V474" s="46">
        <f>(Cobros[[#This Row],[% A pagar Vendedor]]/100)*Cobros[[#This Row],[Valor Pagado]]*Cobros[[#This Row],[Vencido]]*(Cobros[[#This Row],[% aplicar]]/100)*IF(Cobros[[#This Row],[% A pagar Vendedor]]&gt;0,1,0)</f>
        <v>7.625</v>
      </c>
      <c r="W474" s="46">
        <f>0.5%*Cobros[[#This Row],[Valor Pagado]]</f>
        <v>3.8125</v>
      </c>
    </row>
    <row r="475" ht="30" spans="1:23">
      <c r="A475" s="49" t="s">
        <v>3884</v>
      </c>
      <c r="B475" s="49" t="s">
        <v>4593</v>
      </c>
      <c r="C475" s="49" t="s">
        <v>3229</v>
      </c>
      <c r="D475" s="49" t="s">
        <v>3230</v>
      </c>
      <c r="E475" s="49" t="s">
        <v>4594</v>
      </c>
      <c r="F475" s="51">
        <v>46217</v>
      </c>
      <c r="G475" s="49">
        <v>18.75</v>
      </c>
      <c r="H475" s="49" t="s">
        <v>22</v>
      </c>
      <c r="I475" s="51">
        <v>46217</v>
      </c>
      <c r="J475" s="54">
        <f>INT(Cobros[[#This Row],[Fecha Cargo]])</f>
        <v>46217</v>
      </c>
      <c r="K475" s="54">
        <f>INT(Cobros[[#This Row],[Fecha Aplicacion]])</f>
        <v>46217</v>
      </c>
      <c r="L475" s="55">
        <f>INDEX(Clientes[Días Plazo],MATCH(Cobros[[#This Row],[Cod. Cliente]],Clientes[Codigo],0),1)</f>
        <v>0</v>
      </c>
      <c r="M475" s="45" t="str">
        <f>IF(Cobros[[#This Row],[Dias de Credito]]&lt;=0,"Contado","Credito")</f>
        <v>Contado</v>
      </c>
      <c r="N475" s="45">
        <f>Cobros[[#This Row],[Fecha Aplicación S]]-Cobros[[#This Row],[Fecha Cargo S]]</f>
        <v>0</v>
      </c>
      <c r="O475" s="45">
        <f>Cobros[[#This Row],[Dias al pago]]-Cobros[[#This Row],[Dias de Credito]]</f>
        <v>0</v>
      </c>
      <c r="P475" s="45">
        <f>SUMIFS(TablaDias[Porcentaje],TablaDias[Tipo],Cobros[[#This Row],[Tipo]],TablaDias[Desde ],"&lt;="&amp;MAX(0,Cobros[[#This Row],[Dias pasado]]),TablaDias[Hasta ],"&gt;="&amp;Cobros[[#This Row],[Dias pasado]])</f>
        <v>100</v>
      </c>
      <c r="Q4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5">
        <f>IF(COUNTIF(PAPEL[Numero],Cobros[[#This Row],[Doc. Cargo]])&gt;0,1,0)</f>
        <v>0</v>
      </c>
      <c r="S475" s="46">
        <f t="array" ref="S4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75" s="46">
        <f t="array" ref="T475">INDEX(Ventas[[Unidades]:[2]],MATCH("Gerente de Venta",Ventas[Vendedor %],0),6+Cobros[[#This Row],[Mes]])</f>
        <v>0.005</v>
      </c>
      <c r="U475" s="34">
        <f>IF(Cobros[[#This Row],[Tipo]]="Credito",IF(60&gt;=Cobros[[#This Row],[Dias al pago]],1,0),IF(Cobros[[#This Row],[Dias al pago]]&lt;=3,1,0))</f>
        <v>1</v>
      </c>
      <c r="V475" s="46">
        <f>(Cobros[[#This Row],[% A pagar Vendedor]]/100)*Cobros[[#This Row],[Valor Pagado]]*Cobros[[#This Row],[Vencido]]*(Cobros[[#This Row],[% aplicar]]/100)*IF(Cobros[[#This Row],[% A pagar Vendedor]]&gt;0,1,0)</f>
        <v>0.1875</v>
      </c>
      <c r="W475" s="46">
        <f>0.5%*Cobros[[#This Row],[Valor Pagado]]</f>
        <v>0.09375</v>
      </c>
    </row>
    <row r="476" spans="1:23">
      <c r="A476" s="49" t="s">
        <v>3860</v>
      </c>
      <c r="B476" s="49" t="s">
        <v>4595</v>
      </c>
      <c r="C476" s="49" t="s">
        <v>2719</v>
      </c>
      <c r="D476" s="49" t="s">
        <v>2720</v>
      </c>
      <c r="E476" s="49" t="s">
        <v>4596</v>
      </c>
      <c r="F476" s="51">
        <v>46217</v>
      </c>
      <c r="G476" s="49">
        <v>710.29</v>
      </c>
      <c r="H476" s="49" t="s">
        <v>16</v>
      </c>
      <c r="I476" s="51">
        <v>46217</v>
      </c>
      <c r="J476" s="54">
        <f>INT(Cobros[[#This Row],[Fecha Cargo]])</f>
        <v>46217</v>
      </c>
      <c r="K476" s="54">
        <f>INT(Cobros[[#This Row],[Fecha Aplicacion]])</f>
        <v>46217</v>
      </c>
      <c r="L476" s="55">
        <f>INDEX(Clientes[Días Plazo],MATCH(Cobros[[#This Row],[Cod. Cliente]],Clientes[Codigo],0),1)</f>
        <v>0</v>
      </c>
      <c r="M476" s="45" t="str">
        <f>IF(Cobros[[#This Row],[Dias de Credito]]&lt;=0,"Contado","Credito")</f>
        <v>Contado</v>
      </c>
      <c r="N476" s="45">
        <f>Cobros[[#This Row],[Fecha Aplicación S]]-Cobros[[#This Row],[Fecha Cargo S]]</f>
        <v>0</v>
      </c>
      <c r="O476" s="45">
        <f>Cobros[[#This Row],[Dias al pago]]-Cobros[[#This Row],[Dias de Credito]]</f>
        <v>0</v>
      </c>
      <c r="P476" s="45">
        <f>SUMIFS(TablaDias[Porcentaje],TablaDias[Tipo],Cobros[[#This Row],[Tipo]],TablaDias[Desde ],"&lt;="&amp;MAX(0,Cobros[[#This Row],[Dias pasado]]),TablaDias[Hasta ],"&gt;="&amp;Cobros[[#This Row],[Dias pasado]])</f>
        <v>100</v>
      </c>
      <c r="Q4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6">
        <f>IF(COUNTIF(PAPEL[Numero],Cobros[[#This Row],[Doc. Cargo]])&gt;0,1,0)</f>
        <v>0</v>
      </c>
      <c r="S476" s="46">
        <f t="array" ref="S4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6" s="47">
        <v>0.005</v>
      </c>
      <c r="U476" s="34">
        <f>IF(Cobros[[#This Row],[Tipo]]="Credito",IF(60&gt;=Cobros[[#This Row],[Dias al pago]],1,0),IF(Cobros[[#This Row],[Dias al pago]]&lt;=3,1,0))</f>
        <v>1</v>
      </c>
      <c r="V476" s="46">
        <f>(Cobros[[#This Row],[% A pagar Vendedor]]/100)*Cobros[[#This Row],[Valor Pagado]]*Cobros[[#This Row],[Vencido]]*(Cobros[[#This Row],[% aplicar]]/100)*IF(Cobros[[#This Row],[% A pagar Vendedor]]&gt;0,1,0)</f>
        <v>8.878625</v>
      </c>
      <c r="W476" s="46">
        <f>0.5%*Cobros[[#This Row],[Valor Pagado]]</f>
        <v>3.55145</v>
      </c>
    </row>
    <row r="477" spans="1:23">
      <c r="A477" s="49" t="s">
        <v>3875</v>
      </c>
      <c r="B477" s="49" t="s">
        <v>4597</v>
      </c>
      <c r="C477" s="49" t="s">
        <v>1220</v>
      </c>
      <c r="D477" s="49" t="s">
        <v>1221</v>
      </c>
      <c r="E477" s="49" t="s">
        <v>4598</v>
      </c>
      <c r="F477" s="51">
        <v>46217</v>
      </c>
      <c r="G477" s="49">
        <v>50</v>
      </c>
      <c r="H477" s="49" t="s">
        <v>20</v>
      </c>
      <c r="I477" s="51">
        <v>46217</v>
      </c>
      <c r="J477" s="54">
        <f>INT(Cobros[[#This Row],[Fecha Cargo]])</f>
        <v>46217</v>
      </c>
      <c r="K477" s="54">
        <f>INT(Cobros[[#This Row],[Fecha Aplicacion]])</f>
        <v>46217</v>
      </c>
      <c r="L477" s="55">
        <v>30</v>
      </c>
      <c r="M477" s="45" t="str">
        <f>IF(Cobros[[#This Row],[Dias de Credito]]&lt;=0,"Contado","Credito")</f>
        <v>Credito</v>
      </c>
      <c r="N477" s="45">
        <f>Cobros[[#This Row],[Fecha Aplicación S]]-Cobros[[#This Row],[Fecha Cargo S]]</f>
        <v>0</v>
      </c>
      <c r="O477" s="45">
        <f>Cobros[[#This Row],[Dias al pago]]-Cobros[[#This Row],[Dias de Credito]]</f>
        <v>-30</v>
      </c>
      <c r="P477" s="45">
        <f>SUMIFS(TablaDias[Porcentaje],TablaDias[Tipo],Cobros[[#This Row],[Tipo]],TablaDias[Desde ],"&lt;="&amp;MAX(0,Cobros[[#This Row],[Dias pasado]]),TablaDias[Hasta ],"&gt;="&amp;Cobros[[#This Row],[Dias pasado]])</f>
        <v>100</v>
      </c>
      <c r="Q4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7">
        <f>IF(COUNTIF(PAPEL[Numero],Cobros[[#This Row],[Doc. Cargo]])&gt;0,1,0)</f>
        <v>0</v>
      </c>
      <c r="S477" s="46">
        <f t="array" ref="S4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7" s="46">
        <f t="array" ref="T477">INDEX(Ventas[[Unidades]:[2]],MATCH("Gerente de Venta",Ventas[Vendedor %],0),6+Cobros[[#This Row],[Mes]])</f>
        <v>0.005</v>
      </c>
      <c r="U477" s="34">
        <f>IF(Cobros[[#This Row],[Tipo]]="Credito",IF(60&gt;=Cobros[[#This Row],[Dias al pago]],1,0),IF(Cobros[[#This Row],[Dias al pago]]&lt;=3,1,0))</f>
        <v>1</v>
      </c>
      <c r="V477" s="46">
        <f>(Cobros[[#This Row],[% A pagar Vendedor]]/100)*Cobros[[#This Row],[Valor Pagado]]*Cobros[[#This Row],[Vencido]]*(Cobros[[#This Row],[% aplicar]]/100)*IF(Cobros[[#This Row],[% A pagar Vendedor]]&gt;0,1,0)</f>
        <v>0.625</v>
      </c>
      <c r="W477" s="46">
        <f>0.5%*Cobros[[#This Row],[Valor Pagado]]</f>
        <v>0.25</v>
      </c>
    </row>
    <row r="478" spans="1:23">
      <c r="A478" s="49" t="s">
        <v>3860</v>
      </c>
      <c r="B478" s="49" t="s">
        <v>4599</v>
      </c>
      <c r="C478" s="49" t="s">
        <v>1756</v>
      </c>
      <c r="D478" s="49" t="s">
        <v>1757</v>
      </c>
      <c r="E478" s="49" t="s">
        <v>4065</v>
      </c>
      <c r="F478" s="51">
        <v>46206</v>
      </c>
      <c r="G478" s="49">
        <v>570</v>
      </c>
      <c r="H478" s="49" t="s">
        <v>19</v>
      </c>
      <c r="I478" s="51">
        <v>46217</v>
      </c>
      <c r="J478" s="54">
        <f>INT(Cobros[[#This Row],[Fecha Cargo]])</f>
        <v>46206</v>
      </c>
      <c r="K478" s="54">
        <f>INT(Cobros[[#This Row],[Fecha Aplicacion]])</f>
        <v>46217</v>
      </c>
      <c r="L478" s="55">
        <v>30</v>
      </c>
      <c r="M478" s="45" t="str">
        <f>IF(Cobros[[#This Row],[Dias de Credito]]&lt;=0,"Contado","Credito")</f>
        <v>Credito</v>
      </c>
      <c r="N478" s="45">
        <f>Cobros[[#This Row],[Fecha Aplicación S]]-Cobros[[#This Row],[Fecha Cargo S]]</f>
        <v>11</v>
      </c>
      <c r="O478" s="45">
        <f>Cobros[[#This Row],[Dias al pago]]-Cobros[[#This Row],[Dias de Credito]]</f>
        <v>-19</v>
      </c>
      <c r="P478" s="45">
        <f>SUMIFS(TablaDias[Porcentaje],TablaDias[Tipo],Cobros[[#This Row],[Tipo]],TablaDias[Desde ],"&lt;="&amp;MAX(0,Cobros[[#This Row],[Dias pasado]]),TablaDias[Hasta ],"&gt;="&amp;Cobros[[#This Row],[Dias pasado]])</f>
        <v>100</v>
      </c>
      <c r="Q4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8">
        <f>IF(COUNTIF(PAPEL[Numero],Cobros[[#This Row],[Doc. Cargo]])&gt;0,1,0)</f>
        <v>0</v>
      </c>
      <c r="S478" s="46">
        <f t="array" ref="S4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8" s="46">
        <f t="array" ref="T478">INDEX(Ventas[[Unidades]:[2]],MATCH("Gerente de Venta",Ventas[Vendedor %],0),6+Cobros[[#This Row],[Mes]])</f>
        <v>0.005</v>
      </c>
      <c r="U478" s="34">
        <f>IF(Cobros[[#This Row],[Tipo]]="Credito",IF(60&gt;=Cobros[[#This Row],[Dias al pago]],1,0),IF(Cobros[[#This Row],[Dias al pago]]&lt;=3,1,0))</f>
        <v>1</v>
      </c>
      <c r="V478" s="46">
        <f>(Cobros[[#This Row],[% A pagar Vendedor]]/100)*Cobros[[#This Row],[Valor Pagado]]*Cobros[[#This Row],[Vencido]]*(Cobros[[#This Row],[% aplicar]]/100)*IF(Cobros[[#This Row],[% A pagar Vendedor]]&gt;0,1,0)</f>
        <v>7.125</v>
      </c>
      <c r="W478" s="46">
        <f>0.5%*Cobros[[#This Row],[Valor Pagado]]</f>
        <v>2.85</v>
      </c>
    </row>
    <row r="479" spans="1:23">
      <c r="A479" s="49" t="s">
        <v>3860</v>
      </c>
      <c r="B479" s="49" t="s">
        <v>4600</v>
      </c>
      <c r="C479" s="49" t="s">
        <v>3200</v>
      </c>
      <c r="D479" s="49" t="s">
        <v>3201</v>
      </c>
      <c r="E479" s="49" t="s">
        <v>4601</v>
      </c>
      <c r="F479" s="51">
        <v>46217</v>
      </c>
      <c r="G479" s="49">
        <v>210</v>
      </c>
      <c r="H479" s="49" t="s">
        <v>16</v>
      </c>
      <c r="I479" s="51">
        <v>46217</v>
      </c>
      <c r="J479" s="54">
        <f>INT(Cobros[[#This Row],[Fecha Cargo]])</f>
        <v>46217</v>
      </c>
      <c r="K479" s="54">
        <f>INT(Cobros[[#This Row],[Fecha Aplicacion]])</f>
        <v>46217</v>
      </c>
      <c r="L479" s="55">
        <v>30</v>
      </c>
      <c r="M479" s="45" t="str">
        <f>IF(Cobros[[#This Row],[Dias de Credito]]&lt;=0,"Contado","Credito")</f>
        <v>Credito</v>
      </c>
      <c r="N479" s="45">
        <f>Cobros[[#This Row],[Fecha Aplicación S]]-Cobros[[#This Row],[Fecha Cargo S]]</f>
        <v>0</v>
      </c>
      <c r="O479" s="45">
        <f>Cobros[[#This Row],[Dias al pago]]-Cobros[[#This Row],[Dias de Credito]]</f>
        <v>-30</v>
      </c>
      <c r="P479" s="45">
        <f>SUMIFS(TablaDias[Porcentaje],TablaDias[Tipo],Cobros[[#This Row],[Tipo]],TablaDias[Desde ],"&lt;="&amp;MAX(0,Cobros[[#This Row],[Dias pasado]]),TablaDias[Hasta ],"&gt;="&amp;Cobros[[#This Row],[Dias pasado]])</f>
        <v>100</v>
      </c>
      <c r="Q4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79">
        <f>IF(COUNTIF(PAPEL[Numero],Cobros[[#This Row],[Doc. Cargo]])&gt;0,1,0)</f>
        <v>0</v>
      </c>
      <c r="S479" s="46">
        <f t="array" ref="S4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79" s="47">
        <v>0.005</v>
      </c>
      <c r="U479" s="34">
        <f>IF(Cobros[[#This Row],[Tipo]]="Credito",IF(60&gt;=Cobros[[#This Row],[Dias al pago]],1,0),IF(Cobros[[#This Row],[Dias al pago]]&lt;=3,1,0))</f>
        <v>1</v>
      </c>
      <c r="V479" s="46">
        <f>(Cobros[[#This Row],[% A pagar Vendedor]]/100)*Cobros[[#This Row],[Valor Pagado]]*Cobros[[#This Row],[Vencido]]*(Cobros[[#This Row],[% aplicar]]/100)*IF(Cobros[[#This Row],[% A pagar Vendedor]]&gt;0,1,0)</f>
        <v>2.625</v>
      </c>
      <c r="W479" s="46">
        <f>0.5%*Cobros[[#This Row],[Valor Pagado]]</f>
        <v>1.05</v>
      </c>
    </row>
    <row r="480" spans="1:24">
      <c r="A480" s="49" t="s">
        <v>3860</v>
      </c>
      <c r="B480" s="49" t="s">
        <v>4602</v>
      </c>
      <c r="C480" s="49" t="s">
        <v>3715</v>
      </c>
      <c r="D480" s="49" t="s">
        <v>3716</v>
      </c>
      <c r="E480" s="49" t="s">
        <v>4603</v>
      </c>
      <c r="F480" s="51">
        <v>46213</v>
      </c>
      <c r="G480" s="49">
        <v>500</v>
      </c>
      <c r="H480" s="49" t="s">
        <v>16</v>
      </c>
      <c r="I480" s="51">
        <v>46217</v>
      </c>
      <c r="J480" s="54">
        <f>INT(Cobros[[#This Row],[Fecha Cargo]])</f>
        <v>46213</v>
      </c>
      <c r="K480" s="54">
        <f>INT(Cobros[[#This Row],[Fecha Aplicacion]])</f>
        <v>46217</v>
      </c>
      <c r="L480" s="55" t="str">
        <f>INDEX(Clientes[Días Plazo],MATCH(Cobros[[#This Row],[Cod. Cliente]],Clientes[Codigo],0),1)</f>
        <v>7</v>
      </c>
      <c r="M480" s="45" t="str">
        <f>IF(Cobros[[#This Row],[Dias de Credito]]&lt;=0,"Contado","Credito")</f>
        <v>Credito</v>
      </c>
      <c r="N480" s="45">
        <f>Cobros[[#This Row],[Fecha Aplicación S]]-Cobros[[#This Row],[Fecha Cargo S]]</f>
        <v>4</v>
      </c>
      <c r="O480" s="45">
        <f>Cobros[[#This Row],[Dias al pago]]-Cobros[[#This Row],[Dias de Credito]]</f>
        <v>-3</v>
      </c>
      <c r="P480" s="45">
        <f>SUMIFS(TablaDias[Porcentaje],TablaDias[Tipo],Cobros[[#This Row],[Tipo]],TablaDias[Desde ],"&lt;="&amp;MAX(0,Cobros[[#This Row],[Dias pasado]]),TablaDias[Hasta ],"&gt;="&amp;Cobros[[#This Row],[Dias pasado]])</f>
        <v>100</v>
      </c>
      <c r="Q4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0">
        <f>IF(COUNTIF(PAPEL[Numero],Cobros[[#This Row],[Doc. Cargo]])&gt;0,1,0)</f>
        <v>0</v>
      </c>
      <c r="S480" s="46">
        <f t="array" ref="S4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0" s="47">
        <v>0.005</v>
      </c>
      <c r="U480" s="34">
        <f>IF(Cobros[[#This Row],[Tipo]]="Credito",IF(60&gt;=Cobros[[#This Row],[Dias al pago]],1,0),IF(Cobros[[#This Row],[Dias al pago]]&lt;=3,1,0))</f>
        <v>1</v>
      </c>
      <c r="V480" s="46">
        <f>(Cobros[[#This Row],[% A pagar Vendedor]]/100)*Cobros[[#This Row],[Valor Pagado]]*Cobros[[#This Row],[Vencido]]*(Cobros[[#This Row],[% aplicar]]/100)*IF(Cobros[[#This Row],[% A pagar Vendedor]]&gt;0,1,0)</f>
        <v>6.25</v>
      </c>
      <c r="W480" s="46">
        <f>0.5%*Cobros[[#This Row],[Valor Pagado]]</f>
        <v>2.5</v>
      </c>
      <c r="X480" s="60"/>
    </row>
    <row r="481" spans="1:24">
      <c r="A481" s="49" t="s">
        <v>3860</v>
      </c>
      <c r="B481" s="49" t="s">
        <v>4604</v>
      </c>
      <c r="C481" s="49" t="s">
        <v>3672</v>
      </c>
      <c r="D481" s="49" t="s">
        <v>3673</v>
      </c>
      <c r="E481" s="49" t="s">
        <v>4605</v>
      </c>
      <c r="F481" s="51">
        <v>46217</v>
      </c>
      <c r="G481" s="49">
        <v>85.3</v>
      </c>
      <c r="H481" s="49" t="s">
        <v>18</v>
      </c>
      <c r="I481" s="51">
        <v>46217</v>
      </c>
      <c r="J481" s="54">
        <f>INT(Cobros[[#This Row],[Fecha Cargo]])</f>
        <v>46217</v>
      </c>
      <c r="K481" s="54">
        <f>INT(Cobros[[#This Row],[Fecha Aplicacion]])</f>
        <v>46217</v>
      </c>
      <c r="L481" s="55">
        <f>INDEX(Clientes[Días Plazo],MATCH(Cobros[[#This Row],[Cod. Cliente]],Clientes[Codigo],0),1)</f>
        <v>0</v>
      </c>
      <c r="M481" s="45" t="str">
        <f>IF(Cobros[[#This Row],[Dias de Credito]]&lt;=0,"Contado","Credito")</f>
        <v>Contado</v>
      </c>
      <c r="N481" s="45">
        <f>Cobros[[#This Row],[Fecha Aplicación S]]-Cobros[[#This Row],[Fecha Cargo S]]</f>
        <v>0</v>
      </c>
      <c r="O481" s="45">
        <f>Cobros[[#This Row],[Dias al pago]]-Cobros[[#This Row],[Dias de Credito]]</f>
        <v>0</v>
      </c>
      <c r="P481" s="45">
        <f>SUMIFS(TablaDias[Porcentaje],TablaDias[Tipo],Cobros[[#This Row],[Tipo]],TablaDias[Desde ],"&lt;="&amp;MAX(0,Cobros[[#This Row],[Dias pasado]]),TablaDias[Hasta ],"&gt;="&amp;Cobros[[#This Row],[Dias pasado]])</f>
        <v>100</v>
      </c>
      <c r="Q4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1">
        <f>IF(COUNTIF(PAPEL[Numero],Cobros[[#This Row],[Doc. Cargo]])&gt;0,1,0)</f>
        <v>0</v>
      </c>
      <c r="S481" s="46">
        <f t="array" ref="S4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1" s="46">
        <f t="array" ref="T481">INDEX(Ventas[[Unidades]:[2]],MATCH("Gerente de Venta",Ventas[Vendedor %],0),6+Cobros[[#This Row],[Mes]])</f>
        <v>0.005</v>
      </c>
      <c r="U481" s="34">
        <f>IF(Cobros[[#This Row],[Tipo]]="Credito",IF(60&gt;=Cobros[[#This Row],[Dias al pago]],1,0),IF(Cobros[[#This Row],[Dias al pago]]&lt;=3,1,0))</f>
        <v>1</v>
      </c>
      <c r="V481" s="46">
        <f>(Cobros[[#This Row],[% A pagar Vendedor]]/100)*Cobros[[#This Row],[Valor Pagado]]*Cobros[[#This Row],[Vencido]]*(Cobros[[#This Row],[% aplicar]]/100)*IF(Cobros[[#This Row],[% A pagar Vendedor]]&gt;0,1,0)</f>
        <v>1.06625</v>
      </c>
      <c r="W481" s="46">
        <f>0.5%*Cobros[[#This Row],[Valor Pagado]]</f>
        <v>0.4265</v>
      </c>
      <c r="X481" s="60"/>
    </row>
    <row r="482" spans="1:24">
      <c r="A482" s="49" t="s">
        <v>3860</v>
      </c>
      <c r="B482" s="49" t="s">
        <v>4606</v>
      </c>
      <c r="C482" s="49" t="s">
        <v>1220</v>
      </c>
      <c r="D482" s="49" t="s">
        <v>1221</v>
      </c>
      <c r="E482" s="49" t="s">
        <v>4607</v>
      </c>
      <c r="F482" s="51">
        <v>46216</v>
      </c>
      <c r="G482" s="49">
        <v>85</v>
      </c>
      <c r="H482" s="49" t="s">
        <v>20</v>
      </c>
      <c r="I482" s="51">
        <v>46217</v>
      </c>
      <c r="J482" s="54">
        <f>INT(Cobros[[#This Row],[Fecha Cargo]])</f>
        <v>46216</v>
      </c>
      <c r="K482" s="54">
        <f>INT(Cobros[[#This Row],[Fecha Aplicacion]])</f>
        <v>46217</v>
      </c>
      <c r="L482" s="55">
        <f>INDEX(Clientes[Días Plazo],MATCH(Cobros[[#This Row],[Cod. Cliente]],Clientes[Codigo],0),1)</f>
        <v>0</v>
      </c>
      <c r="M482" s="45" t="str">
        <f>IF(Cobros[[#This Row],[Dias de Credito]]&lt;=0,"Contado","Credito")</f>
        <v>Contado</v>
      </c>
      <c r="N482" s="45">
        <f>Cobros[[#This Row],[Fecha Aplicación S]]-Cobros[[#This Row],[Fecha Cargo S]]</f>
        <v>1</v>
      </c>
      <c r="O482" s="45">
        <f>Cobros[[#This Row],[Dias al pago]]-Cobros[[#This Row],[Dias de Credito]]</f>
        <v>1</v>
      </c>
      <c r="P482" s="45">
        <f>SUMIFS(TablaDias[Porcentaje],TablaDias[Tipo],Cobros[[#This Row],[Tipo]],TablaDias[Desde ],"&lt;="&amp;MAX(0,Cobros[[#This Row],[Dias pasado]]),TablaDias[Hasta ],"&gt;="&amp;Cobros[[#This Row],[Dias pasado]])</f>
        <v>100</v>
      </c>
      <c r="Q4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2">
        <f>IF(COUNTIF(PAPEL[Numero],Cobros[[#This Row],[Doc. Cargo]])&gt;0,1,0)</f>
        <v>0</v>
      </c>
      <c r="S482" s="46">
        <f t="array" ref="S4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2" s="46">
        <f t="array" ref="T482">INDEX(Ventas[[Unidades]:[2]],MATCH("Gerente de Venta",Ventas[Vendedor %],0),6+Cobros[[#This Row],[Mes]])</f>
        <v>0.005</v>
      </c>
      <c r="U482" s="34">
        <f>IF(Cobros[[#This Row],[Tipo]]="Credito",IF(60&gt;=Cobros[[#This Row],[Dias al pago]],1,0),IF(Cobros[[#This Row],[Dias al pago]]&lt;=3,1,0))</f>
        <v>1</v>
      </c>
      <c r="V482" s="46">
        <f>(Cobros[[#This Row],[% A pagar Vendedor]]/100)*Cobros[[#This Row],[Valor Pagado]]*Cobros[[#This Row],[Vencido]]*(Cobros[[#This Row],[% aplicar]]/100)*IF(Cobros[[#This Row],[% A pagar Vendedor]]&gt;0,1,0)</f>
        <v>1.0625</v>
      </c>
      <c r="W482" s="46">
        <f>0.5%*Cobros[[#This Row],[Valor Pagado]]</f>
        <v>0.425</v>
      </c>
      <c r="X482" s="60"/>
    </row>
    <row r="483" ht="30" spans="1:23">
      <c r="A483" s="49" t="s">
        <v>3860</v>
      </c>
      <c r="B483" s="49" t="s">
        <v>4608</v>
      </c>
      <c r="C483" s="49" t="s">
        <v>1415</v>
      </c>
      <c r="D483" s="49" t="s">
        <v>1416</v>
      </c>
      <c r="E483" s="49" t="s">
        <v>4358</v>
      </c>
      <c r="F483" s="51">
        <v>46171</v>
      </c>
      <c r="G483" s="49">
        <v>18650</v>
      </c>
      <c r="H483" s="49" t="s">
        <v>22</v>
      </c>
      <c r="I483" s="51">
        <v>46218</v>
      </c>
      <c r="J483" s="54">
        <f>INT(Cobros[[#This Row],[Fecha Cargo]])</f>
        <v>46171</v>
      </c>
      <c r="K483" s="54">
        <f>INT(Cobros[[#This Row],[Fecha Aplicacion]])</f>
        <v>46218</v>
      </c>
      <c r="L483" s="55" t="str">
        <f>INDEX(Clientes[Días Plazo],MATCH(Cobros[[#This Row],[Cod. Cliente]],Clientes[Codigo],0),1)</f>
        <v>21</v>
      </c>
      <c r="M483" s="45" t="str">
        <f>IF(Cobros[[#This Row],[Dias de Credito]]&lt;=0,"Contado","Credito")</f>
        <v>Credito</v>
      </c>
      <c r="N483" s="45">
        <f>Cobros[[#This Row],[Fecha Aplicación S]]-Cobros[[#This Row],[Fecha Cargo S]]</f>
        <v>47</v>
      </c>
      <c r="O483" s="45">
        <f>Cobros[[#This Row],[Dias al pago]]-Cobros[[#This Row],[Dias de Credito]]</f>
        <v>26</v>
      </c>
      <c r="P483" s="45">
        <f>SUMIFS(TablaDias[Porcentaje],TablaDias[Tipo],Cobros[[#This Row],[Tipo]],TablaDias[Desde ],"&lt;="&amp;MAX(0,Cobros[[#This Row],[Dias pasado]]),TablaDias[Hasta ],"&gt;="&amp;Cobros[[#This Row],[Dias pasado]])</f>
        <v>50</v>
      </c>
      <c r="Q4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483">
        <f>IF(COUNTIF(PAPEL[Numero],Cobros[[#This Row],[Doc. Cargo]])&gt;0,1,0)</f>
        <v>0</v>
      </c>
      <c r="S483" s="46">
        <f t="array" ref="S4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483" s="46">
        <f t="array" ref="T483">INDEX(Ventas[[Unidades]:[2]],MATCH("Gerente de Venta",Ventas[Vendedor %],0),6+Cobros[[#This Row],[Mes]])</f>
        <v>0.005</v>
      </c>
      <c r="U483" s="34">
        <f>IF(Cobros[[#This Row],[Tipo]]="Credito",IF(60&gt;=Cobros[[#This Row],[Dias al pago]],1,0),IF(Cobros[[#This Row],[Dias al pago]]&lt;=3,1,0))</f>
        <v>1</v>
      </c>
      <c r="V483" s="46">
        <f>(Cobros[[#This Row],[% A pagar Vendedor]]/100)*Cobros[[#This Row],[Valor Pagado]]*Cobros[[#This Row],[Vencido]]*(Cobros[[#This Row],[% aplicar]]/100)*IF(Cobros[[#This Row],[% A pagar Vendedor]]&gt;0,1,0)</f>
        <v>93.25</v>
      </c>
      <c r="W483" s="46">
        <f>0.5%*Cobros[[#This Row],[Valor Pagado]]</f>
        <v>93.25</v>
      </c>
    </row>
    <row r="484" spans="1:23">
      <c r="A484" s="49" t="s">
        <v>3860</v>
      </c>
      <c r="B484" s="49" t="s">
        <v>4609</v>
      </c>
      <c r="C484" s="49" t="s">
        <v>1756</v>
      </c>
      <c r="D484" s="49" t="s">
        <v>1757</v>
      </c>
      <c r="E484" s="49" t="s">
        <v>4065</v>
      </c>
      <c r="F484" s="51">
        <v>46206</v>
      </c>
      <c r="G484" s="49">
        <v>1.17</v>
      </c>
      <c r="H484" s="49" t="s">
        <v>19</v>
      </c>
      <c r="I484" s="51">
        <v>46218</v>
      </c>
      <c r="J484" s="54">
        <f>INT(Cobros[[#This Row],[Fecha Cargo]])</f>
        <v>46206</v>
      </c>
      <c r="K484" s="54">
        <f>INT(Cobros[[#This Row],[Fecha Aplicacion]])</f>
        <v>46218</v>
      </c>
      <c r="L484" s="55">
        <v>0</v>
      </c>
      <c r="M484" s="45" t="str">
        <f>IF(Cobros[[#This Row],[Dias de Credito]]&lt;=0,"Contado","Credito")</f>
        <v>Contado</v>
      </c>
      <c r="N484" s="45">
        <v>0</v>
      </c>
      <c r="O484" s="45">
        <f>Cobros[[#This Row],[Dias al pago]]-Cobros[[#This Row],[Dias de Credito]]</f>
        <v>0</v>
      </c>
      <c r="P484" s="45">
        <f>SUMIFS(TablaDias[Porcentaje],TablaDias[Tipo],Cobros[[#This Row],[Tipo]],TablaDias[Desde ],"&lt;="&amp;MAX(0,Cobros[[#This Row],[Dias pasado]]),TablaDias[Hasta ],"&gt;="&amp;Cobros[[#This Row],[Dias pasado]])</f>
        <v>100</v>
      </c>
      <c r="Q4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4">
        <f>IF(COUNTIF(PAPEL[Numero],Cobros[[#This Row],[Doc. Cargo]])&gt;0,1,0)</f>
        <v>0</v>
      </c>
      <c r="S484" s="46">
        <f t="array" ref="S4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4" s="46">
        <f t="array" ref="T484">INDEX(Ventas[[Unidades]:[2]],MATCH("Gerente de Venta",Ventas[Vendedor %],0),6+Cobros[[#This Row],[Mes]])</f>
        <v>0.005</v>
      </c>
      <c r="U484" s="34">
        <f>IF(Cobros[[#This Row],[Tipo]]="Credito",IF(60&gt;=Cobros[[#This Row],[Dias al pago]],1,0),IF(Cobros[[#This Row],[Dias al pago]]&lt;=3,1,0))</f>
        <v>1</v>
      </c>
      <c r="V484" s="46">
        <f>(Cobros[[#This Row],[% A pagar Vendedor]]/100)*Cobros[[#This Row],[Valor Pagado]]*Cobros[[#This Row],[Vencido]]*(Cobros[[#This Row],[% aplicar]]/100)*IF(Cobros[[#This Row],[% A pagar Vendedor]]&gt;0,1,0)</f>
        <v>0.014625</v>
      </c>
      <c r="W484" s="46">
        <f>0.5%*Cobros[[#This Row],[Valor Pagado]]</f>
        <v>0.00585</v>
      </c>
    </row>
    <row r="485" spans="1:23">
      <c r="A485" s="49" t="s">
        <v>3860</v>
      </c>
      <c r="B485" s="49" t="s">
        <v>4609</v>
      </c>
      <c r="C485" s="49" t="s">
        <v>1756</v>
      </c>
      <c r="D485" s="49" t="s">
        <v>1757</v>
      </c>
      <c r="E485" s="49" t="s">
        <v>4610</v>
      </c>
      <c r="F485" s="51">
        <v>46209</v>
      </c>
      <c r="G485" s="49">
        <v>298.83</v>
      </c>
      <c r="H485" s="49" t="s">
        <v>19</v>
      </c>
      <c r="I485" s="51">
        <v>46218</v>
      </c>
      <c r="J485" s="54">
        <f>INT(Cobros[[#This Row],[Fecha Cargo]])</f>
        <v>46209</v>
      </c>
      <c r="K485" s="54">
        <f>INT(Cobros[[#This Row],[Fecha Aplicacion]])</f>
        <v>46218</v>
      </c>
      <c r="L485" s="55" t="str">
        <f>INDEX(Clientes[Días Plazo],MATCH(Cobros[[#This Row],[Cod. Cliente]],Clientes[Codigo],0),1)</f>
        <v>7</v>
      </c>
      <c r="M485" s="45" t="str">
        <f>IF(Cobros[[#This Row],[Dias de Credito]]&lt;=0,"Contado","Credito")</f>
        <v>Credito</v>
      </c>
      <c r="N485" s="45">
        <f>Cobros[[#This Row],[Fecha Aplicación S]]-Cobros[[#This Row],[Fecha Cargo S]]</f>
        <v>9</v>
      </c>
      <c r="O485" s="45">
        <f>Cobros[[#This Row],[Dias al pago]]-Cobros[[#This Row],[Dias de Credito]]</f>
        <v>2</v>
      </c>
      <c r="P485" s="45">
        <f>SUMIFS(TablaDias[Porcentaje],TablaDias[Tipo],Cobros[[#This Row],[Tipo]],TablaDias[Desde ],"&lt;="&amp;MAX(0,Cobros[[#This Row],[Dias pasado]]),TablaDias[Hasta ],"&gt;="&amp;Cobros[[#This Row],[Dias pasado]])</f>
        <v>100</v>
      </c>
      <c r="Q4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5">
        <f>IF(COUNTIF(PAPEL[Numero],Cobros[[#This Row],[Doc. Cargo]])&gt;0,1,0)</f>
        <v>0</v>
      </c>
      <c r="S485" s="46">
        <f t="array" ref="S4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5" s="46">
        <f t="array" ref="T485">INDEX(Ventas[[Unidades]:[2]],MATCH("Gerente de Venta",Ventas[Vendedor %],0),6+Cobros[[#This Row],[Mes]])</f>
        <v>0.005</v>
      </c>
      <c r="U485" s="34">
        <f>IF(Cobros[[#This Row],[Tipo]]="Credito",IF(60&gt;=Cobros[[#This Row],[Dias al pago]],1,0),IF(Cobros[[#This Row],[Dias al pago]]&lt;=3,1,0))</f>
        <v>1</v>
      </c>
      <c r="V485" s="46">
        <f>(Cobros[[#This Row],[% A pagar Vendedor]]/100)*Cobros[[#This Row],[Valor Pagado]]*Cobros[[#This Row],[Vencido]]*(Cobros[[#This Row],[% aplicar]]/100)*IF(Cobros[[#This Row],[% A pagar Vendedor]]&gt;0,1,0)</f>
        <v>3.735375</v>
      </c>
      <c r="W485" s="46">
        <f>0.5%*Cobros[[#This Row],[Valor Pagado]]</f>
        <v>1.49415</v>
      </c>
    </row>
    <row r="486" spans="1:23">
      <c r="A486" s="49" t="s">
        <v>3875</v>
      </c>
      <c r="B486" s="49" t="s">
        <v>4611</v>
      </c>
      <c r="C486" s="49" t="s">
        <v>3167</v>
      </c>
      <c r="D486" s="49" t="s">
        <v>3168</v>
      </c>
      <c r="E486" s="49" t="s">
        <v>4197</v>
      </c>
      <c r="F486" s="51">
        <v>46196</v>
      </c>
      <c r="G486" s="49">
        <v>1873.94</v>
      </c>
      <c r="H486" s="49" t="s">
        <v>19</v>
      </c>
      <c r="I486" s="51">
        <v>46218</v>
      </c>
      <c r="J486" s="54">
        <f>INT(Cobros[[#This Row],[Fecha Cargo]])</f>
        <v>46196</v>
      </c>
      <c r="K486" s="54">
        <f>INT(Cobros[[#This Row],[Fecha Aplicacion]])</f>
        <v>46218</v>
      </c>
      <c r="L486" s="55" t="str">
        <f>INDEX(Clientes[Días Plazo],MATCH(Cobros[[#This Row],[Cod. Cliente]],Clientes[Codigo],0),1)</f>
        <v>7</v>
      </c>
      <c r="M486" s="45" t="str">
        <f>IF(Cobros[[#This Row],[Dias de Credito]]&lt;=0,"Contado","Credito")</f>
        <v>Credito</v>
      </c>
      <c r="N486" s="45">
        <f>Cobros[[#This Row],[Fecha Aplicación S]]-Cobros[[#This Row],[Fecha Cargo S]]</f>
        <v>22</v>
      </c>
      <c r="O486" s="45">
        <f>Cobros[[#This Row],[Dias al pago]]-Cobros[[#This Row],[Dias de Credito]]</f>
        <v>15</v>
      </c>
      <c r="P486" s="45">
        <f>SUMIFS(TablaDias[Porcentaje],TablaDias[Tipo],Cobros[[#This Row],[Tipo]],TablaDias[Desde ],"&lt;="&amp;MAX(0,Cobros[[#This Row],[Dias pasado]]),TablaDias[Hasta ],"&gt;="&amp;Cobros[[#This Row],[Dias pasado]])</f>
        <v>100</v>
      </c>
      <c r="Q4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86">
        <f>IF(COUNTIF(PAPEL[Numero],Cobros[[#This Row],[Doc. Cargo]])&gt;0,1,0)</f>
        <v>0</v>
      </c>
      <c r="S486" s="46">
        <f t="array" ref="S4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6" s="46">
        <f t="array" ref="T486">INDEX(Ventas[[Unidades]:[2]],MATCH("Gerente de Venta",Ventas[Vendedor %],0),6+Cobros[[#This Row],[Mes]])</f>
        <v>0.005</v>
      </c>
      <c r="U486" s="34">
        <f>IF(Cobros[[#This Row],[Tipo]]="Credito",IF(60&gt;=Cobros[[#This Row],[Dias al pago]],1,0),IF(Cobros[[#This Row],[Dias al pago]]&lt;=3,1,0))</f>
        <v>1</v>
      </c>
      <c r="V486" s="46">
        <f>(Cobros[[#This Row],[% A pagar Vendedor]]/100)*Cobros[[#This Row],[Valor Pagado]]*Cobros[[#This Row],[Vencido]]*(Cobros[[#This Row],[% aplicar]]/100)*IF(Cobros[[#This Row],[% A pagar Vendedor]]&gt;0,1,0)</f>
        <v>23.42425</v>
      </c>
      <c r="W486" s="46">
        <f>0.5%*Cobros[[#This Row],[Valor Pagado]]</f>
        <v>9.3697</v>
      </c>
    </row>
    <row r="487" ht="30" spans="1:24">
      <c r="A487" s="49" t="s">
        <v>3860</v>
      </c>
      <c r="B487" s="49" t="s">
        <v>4612</v>
      </c>
      <c r="C487" s="49" t="s">
        <v>1428</v>
      </c>
      <c r="D487" s="49" t="s">
        <v>1429</v>
      </c>
      <c r="E487" s="49" t="s">
        <v>4613</v>
      </c>
      <c r="F487" s="51">
        <v>46217</v>
      </c>
      <c r="G487" s="49">
        <v>521.6</v>
      </c>
      <c r="H487" s="49" t="s">
        <v>3865</v>
      </c>
      <c r="I487" s="51">
        <v>46218</v>
      </c>
      <c r="J487" s="54">
        <f>INT(Cobros[[#This Row],[Fecha Cargo]])</f>
        <v>46217</v>
      </c>
      <c r="K487" s="54">
        <f>INT(Cobros[[#This Row],[Fecha Aplicacion]])</f>
        <v>46218</v>
      </c>
      <c r="L487" s="55" t="str">
        <f>INDEX(Clientes[Días Plazo],MATCH(Cobros[[#This Row],[Cod. Cliente]],Clientes[Codigo],0),1)</f>
        <v>3</v>
      </c>
      <c r="M487" s="45" t="str">
        <f>IF(Cobros[[#This Row],[Dias de Credito]]&lt;=0,"Contado","Credito")</f>
        <v>Credito</v>
      </c>
      <c r="N487" s="45">
        <f>Cobros[[#This Row],[Fecha Aplicación S]]-Cobros[[#This Row],[Fecha Cargo S]]</f>
        <v>1</v>
      </c>
      <c r="O487" s="45">
        <f>Cobros[[#This Row],[Dias al pago]]-Cobros[[#This Row],[Dias de Credito]]</f>
        <v>-2</v>
      </c>
      <c r="P487" s="45">
        <f>SUMIFS(TablaDias[Porcentaje],TablaDias[Tipo],Cobros[[#This Row],[Tipo]],TablaDias[Desde ],"&lt;="&amp;MAX(0,Cobros[[#This Row],[Dias pasado]]),TablaDias[Hasta ],"&gt;="&amp;Cobros[[#This Row],[Dias pasado]])</f>
        <v>100</v>
      </c>
      <c r="Q4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7">
        <f>IF(COUNTIF(PAPEL[Numero],Cobros[[#This Row],[Doc. Cargo]])&gt;0,1,0)</f>
        <v>0</v>
      </c>
      <c r="S487" s="46">
        <v>1</v>
      </c>
      <c r="T487" s="46">
        <f t="array" ref="T487">INDEX(Ventas[[Unidades]:[2]],MATCH("Gerente de Venta",Ventas[Vendedor %],0),6+Cobros[[#This Row],[Mes]])</f>
        <v>0.005</v>
      </c>
      <c r="U487" s="34">
        <f>IF(Cobros[[#This Row],[Tipo]]="Credito",IF(60&gt;=Cobros[[#This Row],[Dias al pago]],1,0),IF(Cobros[[#This Row],[Dias al pago]]&lt;=3,1,0))</f>
        <v>1</v>
      </c>
      <c r="V487" s="46">
        <f>(Cobros[[#This Row],[% A pagar Vendedor]]/100)*Cobros[[#This Row],[Valor Pagado]]*Cobros[[#This Row],[Vencido]]*(Cobros[[#This Row],[% aplicar]]/100)*IF(Cobros[[#This Row],[% A pagar Vendedor]]&gt;0,1,0)</f>
        <v>5.216</v>
      </c>
      <c r="W487" s="46">
        <f>0.5%*Cobros[[#This Row],[Valor Pagado]]</f>
        <v>2.608</v>
      </c>
      <c r="X487" s="34"/>
    </row>
    <row r="488" ht="30" spans="1:24">
      <c r="A488" s="49" t="s">
        <v>3860</v>
      </c>
      <c r="B488" s="49" t="s">
        <v>4614</v>
      </c>
      <c r="C488" s="49" t="s">
        <v>395</v>
      </c>
      <c r="D488" s="49" t="s">
        <v>396</v>
      </c>
      <c r="E488" s="49" t="s">
        <v>4615</v>
      </c>
      <c r="F488" s="51">
        <v>46206</v>
      </c>
      <c r="G488" s="49">
        <v>170.45</v>
      </c>
      <c r="H488" s="49" t="s">
        <v>1355</v>
      </c>
      <c r="I488" s="51">
        <v>46206</v>
      </c>
      <c r="J488" s="54">
        <f>INT(Cobros[[#This Row],[Fecha Cargo]])</f>
        <v>46206</v>
      </c>
      <c r="K488" s="54">
        <f>INT(Cobros[[#This Row],[Fecha Aplicacion]])</f>
        <v>46206</v>
      </c>
      <c r="L488" s="55">
        <f>INDEX(Clientes[Días Plazo],MATCH(Cobros[[#This Row],[Cod. Cliente]],Clientes[Codigo],0),1)</f>
        <v>0</v>
      </c>
      <c r="M488" s="45" t="str">
        <f>IF(Cobros[[#This Row],[Dias de Credito]]&lt;=0,"Contado","Credito")</f>
        <v>Contado</v>
      </c>
      <c r="N488" s="45">
        <f>Cobros[[#This Row],[Fecha Aplicación S]]-Cobros[[#This Row],[Fecha Cargo S]]</f>
        <v>0</v>
      </c>
      <c r="O488" s="45">
        <f>Cobros[[#This Row],[Dias al pago]]-Cobros[[#This Row],[Dias de Credito]]</f>
        <v>0</v>
      </c>
      <c r="P488" s="45">
        <f>SUMIFS(TablaDias[Porcentaje],TablaDias[Tipo],Cobros[[#This Row],[Tipo]],TablaDias[Desde ],"&lt;="&amp;MAX(0,Cobros[[#This Row],[Dias pasado]]),TablaDias[Hasta ],"&gt;="&amp;Cobros[[#This Row],[Dias pasado]])</f>
        <v>100</v>
      </c>
      <c r="Q4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8">
        <f>IF(COUNTIF(PAPEL[Numero],Cobros[[#This Row],[Doc. Cargo]])&gt;0,1,0)</f>
        <v>0</v>
      </c>
      <c r="S488" s="46">
        <v>1</v>
      </c>
      <c r="T488" s="46">
        <f t="array" ref="T488">INDEX(Ventas[[Unidades]:[2]],MATCH("Gerente de Venta",Ventas[Vendedor %],0),6+Cobros[[#This Row],[Mes]])</f>
        <v>0.005</v>
      </c>
      <c r="U488" s="34">
        <f>IF(Cobros[[#This Row],[Tipo]]="Credito",IF(60&gt;=Cobros[[#This Row],[Dias al pago]],1,0),IF(Cobros[[#This Row],[Dias al pago]]&lt;=3,1,0))</f>
        <v>1</v>
      </c>
      <c r="V488" s="46">
        <f>(Cobros[[#This Row],[% A pagar Vendedor]]/100)*Cobros[[#This Row],[Valor Pagado]]*Cobros[[#This Row],[Vencido]]*(Cobros[[#This Row],[% aplicar]]/100)*IF(Cobros[[#This Row],[% A pagar Vendedor]]&gt;0,1,0)</f>
        <v>1.7045</v>
      </c>
      <c r="W488" s="46">
        <f>0.5%*Cobros[[#This Row],[Valor Pagado]]</f>
        <v>0.85225</v>
      </c>
      <c r="X488" s="34"/>
    </row>
    <row r="489" spans="1:24">
      <c r="A489" s="49" t="s">
        <v>3904</v>
      </c>
      <c r="B489" s="49" t="s">
        <v>4616</v>
      </c>
      <c r="C489" s="49" t="s">
        <v>3305</v>
      </c>
      <c r="D489" s="49" t="s">
        <v>3306</v>
      </c>
      <c r="E489" s="49" t="s">
        <v>4617</v>
      </c>
      <c r="F489" s="51">
        <v>46218</v>
      </c>
      <c r="G489" s="49">
        <v>100.4</v>
      </c>
      <c r="H489" s="49" t="s">
        <v>20</v>
      </c>
      <c r="I489" s="51">
        <v>46218</v>
      </c>
      <c r="J489" s="54">
        <f>INT(Cobros[[#This Row],[Fecha Cargo]])</f>
        <v>46218</v>
      </c>
      <c r="K489" s="54">
        <f>INT(Cobros[[#This Row],[Fecha Aplicacion]])</f>
        <v>46218</v>
      </c>
      <c r="L489" s="55">
        <f>INDEX(Clientes[Días Plazo],MATCH(Cobros[[#This Row],[Cod. Cliente]],Clientes[Codigo],0),1)</f>
        <v>0</v>
      </c>
      <c r="M489" s="45" t="str">
        <f>IF(Cobros[[#This Row],[Dias de Credito]]&lt;=0,"Contado","Credito")</f>
        <v>Contado</v>
      </c>
      <c r="N489" s="45">
        <f>Cobros[[#This Row],[Fecha Aplicación S]]-Cobros[[#This Row],[Fecha Cargo S]]</f>
        <v>0</v>
      </c>
      <c r="O489" s="45">
        <f>Cobros[[#This Row],[Dias al pago]]-Cobros[[#This Row],[Dias de Credito]]</f>
        <v>0</v>
      </c>
      <c r="P489" s="45">
        <f>SUMIFS(TablaDias[Porcentaje],TablaDias[Tipo],Cobros[[#This Row],[Tipo]],TablaDias[Desde ],"&lt;="&amp;MAX(0,Cobros[[#This Row],[Dias pasado]]),TablaDias[Hasta ],"&gt;="&amp;Cobros[[#This Row],[Dias pasado]])</f>
        <v>100</v>
      </c>
      <c r="Q48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89">
        <f>IF(COUNTIF(PAPEL[Numero],Cobros[[#This Row],[Doc. Cargo]])&gt;0,1,0)</f>
        <v>0</v>
      </c>
      <c r="S489" s="46">
        <f t="array" ref="S4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89" s="46">
        <f t="array" ref="T489">INDEX(Ventas[[Unidades]:[2]],MATCH("Gerente de Venta",Ventas[Vendedor %],0),6+Cobros[[#This Row],[Mes]])</f>
        <v>0.005</v>
      </c>
      <c r="U489" s="34">
        <f>IF(Cobros[[#This Row],[Tipo]]="Credito",IF(60&gt;=Cobros[[#This Row],[Dias al pago]],1,0),IF(Cobros[[#This Row],[Dias al pago]]&lt;=3,1,0))</f>
        <v>1</v>
      </c>
      <c r="V489" s="46">
        <f>(Cobros[[#This Row],[% A pagar Vendedor]]/100)*Cobros[[#This Row],[Valor Pagado]]*Cobros[[#This Row],[Vencido]]*(Cobros[[#This Row],[% aplicar]]/100)*IF(Cobros[[#This Row],[% A pagar Vendedor]]&gt;0,1,0)</f>
        <v>1.255</v>
      </c>
      <c r="W489" s="46">
        <f>0.5%*Cobros[[#This Row],[Valor Pagado]]</f>
        <v>0.502</v>
      </c>
      <c r="X489" s="34"/>
    </row>
    <row r="490" spans="1:24">
      <c r="A490" s="49" t="s">
        <v>3875</v>
      </c>
      <c r="B490" s="49" t="s">
        <v>4618</v>
      </c>
      <c r="C490" s="49" t="s">
        <v>1222</v>
      </c>
      <c r="D490" s="49" t="s">
        <v>1223</v>
      </c>
      <c r="E490" s="49" t="s">
        <v>4495</v>
      </c>
      <c r="F490" s="51">
        <v>46216</v>
      </c>
      <c r="G490" s="49">
        <v>220</v>
      </c>
      <c r="H490" s="49" t="s">
        <v>20</v>
      </c>
      <c r="I490" s="51">
        <v>46218</v>
      </c>
      <c r="J490" s="54">
        <f>INT(Cobros[[#This Row],[Fecha Cargo]])</f>
        <v>46216</v>
      </c>
      <c r="K490" s="54">
        <f>INT(Cobros[[#This Row],[Fecha Aplicacion]])</f>
        <v>46218</v>
      </c>
      <c r="L490" s="55" t="str">
        <f>INDEX(Clientes[Días Plazo],MATCH(Cobros[[#This Row],[Cod. Cliente]],Clientes[Codigo],0),1)</f>
        <v>7</v>
      </c>
      <c r="M490" s="45" t="str">
        <f>IF(Cobros[[#This Row],[Dias de Credito]]&lt;=0,"Contado","Credito")</f>
        <v>Credito</v>
      </c>
      <c r="N490" s="45">
        <f>Cobros[[#This Row],[Fecha Aplicación S]]-Cobros[[#This Row],[Fecha Cargo S]]</f>
        <v>2</v>
      </c>
      <c r="O490" s="45">
        <f>Cobros[[#This Row],[Dias al pago]]-Cobros[[#This Row],[Dias de Credito]]</f>
        <v>-5</v>
      </c>
      <c r="P490" s="45">
        <f>SUMIFS(TablaDias[Porcentaje],TablaDias[Tipo],Cobros[[#This Row],[Tipo]],TablaDias[Desde ],"&lt;="&amp;MAX(0,Cobros[[#This Row],[Dias pasado]]),TablaDias[Hasta ],"&gt;="&amp;Cobros[[#This Row],[Dias pasado]])</f>
        <v>100</v>
      </c>
      <c r="Q4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0">
        <f>IF(COUNTIF(PAPEL[Numero],Cobros[[#This Row],[Doc. Cargo]])&gt;0,1,0)</f>
        <v>0</v>
      </c>
      <c r="S490" s="46">
        <f t="array" ref="S4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0" s="46">
        <f t="array" ref="T490">INDEX(Ventas[[Unidades]:[2]],MATCH("Gerente de Venta",Ventas[Vendedor %],0),6+Cobros[[#This Row],[Mes]])</f>
        <v>0.005</v>
      </c>
      <c r="U490" s="34">
        <f>IF(Cobros[[#This Row],[Tipo]]="Credito",IF(60&gt;=Cobros[[#This Row],[Dias al pago]],1,0),IF(Cobros[[#This Row],[Dias al pago]]&lt;=3,1,0))</f>
        <v>1</v>
      </c>
      <c r="V490" s="46">
        <f>(Cobros[[#This Row],[% A pagar Vendedor]]/100)*Cobros[[#This Row],[Valor Pagado]]*Cobros[[#This Row],[Vencido]]*(Cobros[[#This Row],[% aplicar]]/100)*IF(Cobros[[#This Row],[% A pagar Vendedor]]&gt;0,1,0)</f>
        <v>2.75</v>
      </c>
      <c r="W490" s="46">
        <f>0.5%*Cobros[[#This Row],[Valor Pagado]]</f>
        <v>1.1</v>
      </c>
      <c r="X490" s="34"/>
    </row>
    <row r="491" ht="30" spans="1:24">
      <c r="A491" s="49" t="s">
        <v>3931</v>
      </c>
      <c r="B491" s="49" t="s">
        <v>4619</v>
      </c>
      <c r="C491" s="49" t="s">
        <v>974</v>
      </c>
      <c r="D491" s="49" t="s">
        <v>974</v>
      </c>
      <c r="E491" s="49" t="s">
        <v>4620</v>
      </c>
      <c r="F491" s="51">
        <v>46216</v>
      </c>
      <c r="G491" s="49">
        <v>1849.2</v>
      </c>
      <c r="H491" s="49" t="s">
        <v>16</v>
      </c>
      <c r="I491" s="51">
        <v>46204</v>
      </c>
      <c r="J491" s="54">
        <f>INT(Cobros[[#This Row],[Fecha Cargo]])</f>
        <v>46216</v>
      </c>
      <c r="K491" s="54">
        <f>INT(Cobros[[#This Row],[Fecha Aplicacion]])</f>
        <v>46204</v>
      </c>
      <c r="L491" s="55">
        <v>30</v>
      </c>
      <c r="M491" s="45" t="str">
        <f>IF(Cobros[[#This Row],[Dias de Credito]]&lt;=0,"Contado","Credito")</f>
        <v>Credito</v>
      </c>
      <c r="N491" s="45">
        <f>Cobros[[#This Row],[Fecha Aplicación S]]-Cobros[[#This Row],[Fecha Cargo S]]</f>
        <v>-12</v>
      </c>
      <c r="O491" s="45">
        <f>Cobros[[#This Row],[Dias al pago]]-Cobros[[#This Row],[Dias de Credito]]</f>
        <v>-42</v>
      </c>
      <c r="P491" s="45">
        <f>SUMIFS(TablaDias[Porcentaje],TablaDias[Tipo],Cobros[[#This Row],[Tipo]],TablaDias[Desde ],"&lt;="&amp;MAX(0,Cobros[[#This Row],[Dias pasado]]),TablaDias[Hasta ],"&gt;="&amp;Cobros[[#This Row],[Dias pasado]])</f>
        <v>100</v>
      </c>
      <c r="Q4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1">
        <f>IF(COUNTIF(PAPEL[Numero],Cobros[[#This Row],[Doc. Cargo]])&gt;0,1,0)</f>
        <v>0</v>
      </c>
      <c r="S491" s="46">
        <f t="array" ref="S49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1" s="47">
        <v>0.005</v>
      </c>
      <c r="U491" s="34">
        <f>IF(Cobros[[#This Row],[Tipo]]="Credito",IF(60&gt;=Cobros[[#This Row],[Dias al pago]],1,0),IF(Cobros[[#This Row],[Dias al pago]]&lt;=3,1,0))</f>
        <v>1</v>
      </c>
      <c r="V491" s="46">
        <f>(Cobros[[#This Row],[% A pagar Vendedor]]/100)*Cobros[[#This Row],[Valor Pagado]]*Cobros[[#This Row],[Vencido]]*(Cobros[[#This Row],[% aplicar]]/100)*IF(Cobros[[#This Row],[% A pagar Vendedor]]&gt;0,1,0)</f>
        <v>23.115</v>
      </c>
      <c r="W491" s="46">
        <f>0.5%*Cobros[[#This Row],[Valor Pagado]]</f>
        <v>9.246</v>
      </c>
      <c r="X491" s="34"/>
    </row>
    <row r="492" ht="30" spans="1:24">
      <c r="A492" s="49" t="s">
        <v>3931</v>
      </c>
      <c r="B492" s="49" t="s">
        <v>4449</v>
      </c>
      <c r="C492" s="49" t="s">
        <v>974</v>
      </c>
      <c r="D492" s="49" t="s">
        <v>974</v>
      </c>
      <c r="E492" s="49" t="s">
        <v>4620</v>
      </c>
      <c r="F492" s="51">
        <v>46216</v>
      </c>
      <c r="G492" s="49">
        <v>40.8</v>
      </c>
      <c r="H492" s="49" t="s">
        <v>16</v>
      </c>
      <c r="I492" s="51">
        <v>46213</v>
      </c>
      <c r="J492" s="54">
        <f>INT(Cobros[[#This Row],[Fecha Cargo]])</f>
        <v>46216</v>
      </c>
      <c r="K492" s="54">
        <f>INT(Cobros[[#This Row],[Fecha Aplicacion]])</f>
        <v>46213</v>
      </c>
      <c r="L492" s="55">
        <f>INDEX(Clientes[Días Plazo],MATCH(Cobros[[#This Row],[Cod. Cliente]],Clientes[Codigo],0),1)</f>
        <v>0</v>
      </c>
      <c r="M492" s="45" t="str">
        <f>IF(Cobros[[#This Row],[Dias de Credito]]&lt;=0,"Contado","Credito")</f>
        <v>Contado</v>
      </c>
      <c r="N492" s="45">
        <f>Cobros[[#This Row],[Fecha Aplicación S]]-Cobros[[#This Row],[Fecha Cargo S]]</f>
        <v>-3</v>
      </c>
      <c r="O492" s="45">
        <f>Cobros[[#This Row],[Dias al pago]]-Cobros[[#This Row],[Dias de Credito]]</f>
        <v>-3</v>
      </c>
      <c r="P492" s="45">
        <f>SUMIFS(TablaDias[Porcentaje],TablaDias[Tipo],Cobros[[#This Row],[Tipo]],TablaDias[Desde ],"&lt;="&amp;MAX(0,Cobros[[#This Row],[Dias pasado]]),TablaDias[Hasta ],"&gt;="&amp;Cobros[[#This Row],[Dias pasado]])</f>
        <v>100</v>
      </c>
      <c r="Q4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2">
        <f>IF(COUNTIF(PAPEL[Numero],Cobros[[#This Row],[Doc. Cargo]])&gt;0,1,0)</f>
        <v>0</v>
      </c>
      <c r="S492" s="46">
        <f t="array" ref="S4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2" s="47">
        <v>0.005</v>
      </c>
      <c r="U492" s="34">
        <f>IF(Cobros[[#This Row],[Tipo]]="Credito",IF(60&gt;=Cobros[[#This Row],[Dias al pago]],1,0),IF(Cobros[[#This Row],[Dias al pago]]&lt;=3,1,0))</f>
        <v>1</v>
      </c>
      <c r="V492" s="46">
        <f>(Cobros[[#This Row],[% A pagar Vendedor]]/100)*Cobros[[#This Row],[Valor Pagado]]*Cobros[[#This Row],[Vencido]]*(Cobros[[#This Row],[% aplicar]]/100)*IF(Cobros[[#This Row],[% A pagar Vendedor]]&gt;0,1,0)</f>
        <v>0.51</v>
      </c>
      <c r="W492" s="46">
        <f>0.5%*Cobros[[#This Row],[Valor Pagado]]</f>
        <v>0.204</v>
      </c>
      <c r="X492" s="34"/>
    </row>
    <row r="493" spans="1:24">
      <c r="A493" s="49" t="s">
        <v>3954</v>
      </c>
      <c r="B493" s="49" t="s">
        <v>4621</v>
      </c>
      <c r="C493" s="49" t="s">
        <v>616</v>
      </c>
      <c r="D493" s="49" t="s">
        <v>617</v>
      </c>
      <c r="E493" s="49" t="s">
        <v>4622</v>
      </c>
      <c r="F493" s="51">
        <v>46108</v>
      </c>
      <c r="G493" s="49">
        <v>1057.4</v>
      </c>
      <c r="H493" s="49" t="s">
        <v>18</v>
      </c>
      <c r="I493" s="51">
        <v>46218</v>
      </c>
      <c r="J493" s="54">
        <f>INT(Cobros[[#This Row],[Fecha Cargo]])</f>
        <v>46108</v>
      </c>
      <c r="K493" s="54">
        <f>INT(Cobros[[#This Row],[Fecha Aplicacion]])</f>
        <v>46218</v>
      </c>
      <c r="L493" s="55" t="str">
        <f>INDEX(Clientes[Días Plazo],MATCH(Cobros[[#This Row],[Cod. Cliente]],Clientes[Codigo],0),1)</f>
        <v>15</v>
      </c>
      <c r="M493" s="45" t="str">
        <f>IF(Cobros[[#This Row],[Dias de Credito]]&lt;=0,"Contado","Credito")</f>
        <v>Credito</v>
      </c>
      <c r="N493" s="45">
        <f>Cobros[[#This Row],[Fecha Aplicación S]]-Cobros[[#This Row],[Fecha Cargo S]]</f>
        <v>110</v>
      </c>
      <c r="O493" s="45">
        <f>Cobros[[#This Row],[Dias al pago]]-Cobros[[#This Row],[Dias de Credito]]</f>
        <v>95</v>
      </c>
      <c r="P493" s="45">
        <f>SUMIFS(TablaDias[Porcentaje],TablaDias[Tipo],Cobros[[#This Row],[Tipo]],TablaDias[Desde ],"&lt;="&amp;MAX(0,Cobros[[#This Row],[Dias pasado]]),TablaDias[Hasta ],"&gt;="&amp;Cobros[[#This Row],[Dias pasado]])</f>
        <v>0</v>
      </c>
      <c r="Q4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3">
        <f>IF(COUNTIF(PAPEL[Numero],Cobros[[#This Row],[Doc. Cargo]])&gt;0,1,0)</f>
        <v>0</v>
      </c>
      <c r="S493" s="46">
        <f t="array" ref="S4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3" s="46">
        <f t="array" ref="T493">INDEX(Ventas[[Unidades]:[2]],MATCH("Gerente de Venta",Ventas[Vendedor %],0),6+Cobros[[#This Row],[Mes]])</f>
        <v>0.005</v>
      </c>
      <c r="U493" s="34">
        <f>IF(Cobros[[#This Row],[Tipo]]="Credito",IF(60&gt;=Cobros[[#This Row],[Dias al pago]],1,0),IF(Cobros[[#This Row],[Dias al pago]]&lt;=3,1,0))</f>
        <v>0</v>
      </c>
      <c r="V493" s="46">
        <f>(Cobros[[#This Row],[% A pagar Vendedor]]/100)*Cobros[[#This Row],[Valor Pagado]]*Cobros[[#This Row],[Vencido]]*(Cobros[[#This Row],[% aplicar]]/100)*IF(Cobros[[#This Row],[% A pagar Vendedor]]&gt;0,1,0)</f>
        <v>0</v>
      </c>
      <c r="W493" s="46">
        <f>0.5%*Cobros[[#This Row],[Valor Pagado]]</f>
        <v>5.287</v>
      </c>
      <c r="X493" s="62"/>
    </row>
    <row r="494" spans="1:24">
      <c r="A494" s="49" t="s">
        <v>3954</v>
      </c>
      <c r="B494" s="49" t="s">
        <v>4621</v>
      </c>
      <c r="C494" s="49" t="s">
        <v>616</v>
      </c>
      <c r="D494" s="49" t="s">
        <v>617</v>
      </c>
      <c r="E494" s="49" t="s">
        <v>4623</v>
      </c>
      <c r="F494" s="51">
        <v>46108</v>
      </c>
      <c r="G494" s="49">
        <v>280.7</v>
      </c>
      <c r="H494" s="49" t="s">
        <v>18</v>
      </c>
      <c r="I494" s="51">
        <v>46218</v>
      </c>
      <c r="J494" s="54">
        <f>INT(Cobros[[#This Row],[Fecha Cargo]])</f>
        <v>46108</v>
      </c>
      <c r="K494" s="54">
        <f>INT(Cobros[[#This Row],[Fecha Aplicacion]])</f>
        <v>46218</v>
      </c>
      <c r="L494" s="55" t="str">
        <f>INDEX(Clientes[Días Plazo],MATCH(Cobros[[#This Row],[Cod. Cliente]],Clientes[Codigo],0),1)</f>
        <v>15</v>
      </c>
      <c r="M494" s="45" t="str">
        <f>IF(Cobros[[#This Row],[Dias de Credito]]&lt;=0,"Contado","Credito")</f>
        <v>Credito</v>
      </c>
      <c r="N494" s="45">
        <f>Cobros[[#This Row],[Fecha Aplicación S]]-Cobros[[#This Row],[Fecha Cargo S]]</f>
        <v>110</v>
      </c>
      <c r="O494" s="45">
        <f>Cobros[[#This Row],[Dias al pago]]-Cobros[[#This Row],[Dias de Credito]]</f>
        <v>95</v>
      </c>
      <c r="P494" s="45">
        <f>SUMIFS(TablaDias[Porcentaje],TablaDias[Tipo],Cobros[[#This Row],[Tipo]],TablaDias[Desde ],"&lt;="&amp;MAX(0,Cobros[[#This Row],[Dias pasado]]),TablaDias[Hasta ],"&gt;="&amp;Cobros[[#This Row],[Dias pasado]])</f>
        <v>0</v>
      </c>
      <c r="Q4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4">
        <f>IF(COUNTIF(PAPEL[Numero],Cobros[[#This Row],[Doc. Cargo]])&gt;0,1,0)</f>
        <v>0</v>
      </c>
      <c r="S494" s="46">
        <f t="array" ref="S4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4" s="46">
        <f t="array" ref="T494">INDEX(Ventas[[Unidades]:[2]],MATCH("Gerente de Venta",Ventas[Vendedor %],0),6+Cobros[[#This Row],[Mes]])</f>
        <v>0.005</v>
      </c>
      <c r="U494" s="34">
        <f>IF(Cobros[[#This Row],[Tipo]]="Credito",IF(60&gt;=Cobros[[#This Row],[Dias al pago]],1,0),IF(Cobros[[#This Row],[Dias al pago]]&lt;=3,1,0))</f>
        <v>0</v>
      </c>
      <c r="V494" s="46">
        <f>(Cobros[[#This Row],[% A pagar Vendedor]]/100)*Cobros[[#This Row],[Valor Pagado]]*Cobros[[#This Row],[Vencido]]*(Cobros[[#This Row],[% aplicar]]/100)*IF(Cobros[[#This Row],[% A pagar Vendedor]]&gt;0,1,0)</f>
        <v>0</v>
      </c>
      <c r="W494" s="46">
        <f>0.5%*Cobros[[#This Row],[Valor Pagado]]</f>
        <v>1.4035</v>
      </c>
      <c r="X494" s="60"/>
    </row>
    <row r="495" ht="30" spans="1:24">
      <c r="A495" s="49" t="s">
        <v>3954</v>
      </c>
      <c r="B495" s="49" t="s">
        <v>4624</v>
      </c>
      <c r="C495" s="49" t="s">
        <v>974</v>
      </c>
      <c r="D495" s="49" t="s">
        <v>974</v>
      </c>
      <c r="E495" s="49" t="s">
        <v>4625</v>
      </c>
      <c r="F495" s="51">
        <v>46126</v>
      </c>
      <c r="G495" s="49">
        <v>2350</v>
      </c>
      <c r="H495" s="49" t="s">
        <v>16</v>
      </c>
      <c r="I495" s="51">
        <v>46218</v>
      </c>
      <c r="J495" s="54">
        <f>INT(Cobros[[#This Row],[Fecha Cargo]])</f>
        <v>46126</v>
      </c>
      <c r="K495" s="54">
        <f>INT(Cobros[[#This Row],[Fecha Aplicacion]])</f>
        <v>46218</v>
      </c>
      <c r="L495" s="55">
        <v>30</v>
      </c>
      <c r="M495" s="45" t="str">
        <f>IF(Cobros[[#This Row],[Dias de Credito]]&lt;=0,"Contado","Credito")</f>
        <v>Credito</v>
      </c>
      <c r="N495" s="45">
        <f>Cobros[[#This Row],[Fecha Aplicación S]]-Cobros[[#This Row],[Fecha Cargo S]]</f>
        <v>92</v>
      </c>
      <c r="O495" s="45">
        <f>Cobros[[#This Row],[Dias al pago]]-Cobros[[#This Row],[Dias de Credito]]</f>
        <v>62</v>
      </c>
      <c r="P495" s="45">
        <f>SUMIFS(TablaDias[Porcentaje],TablaDias[Tipo],Cobros[[#This Row],[Tipo]],TablaDias[Desde ],"&lt;="&amp;MAX(0,Cobros[[#This Row],[Dias pasado]]),TablaDias[Hasta ],"&gt;="&amp;Cobros[[#This Row],[Dias pasado]])</f>
        <v>0</v>
      </c>
      <c r="Q4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5">
        <f>IF(COUNTIF(PAPEL[Numero],Cobros[[#This Row],[Doc. Cargo]])&gt;0,1,0)</f>
        <v>0</v>
      </c>
      <c r="S495" s="46">
        <f t="array" ref="S4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5" s="47">
        <v>0.005</v>
      </c>
      <c r="U495" s="34">
        <f>IF(Cobros[[#This Row],[Tipo]]="Credito",IF(60&gt;=Cobros[[#This Row],[Dias al pago]],1,0),IF(Cobros[[#This Row],[Dias al pago]]&lt;=3,1,0))</f>
        <v>0</v>
      </c>
      <c r="V495" s="46">
        <f>(Cobros[[#This Row],[% A pagar Vendedor]]/100)*Cobros[[#This Row],[Valor Pagado]]*Cobros[[#This Row],[Vencido]]*(Cobros[[#This Row],[% aplicar]]/100)*IF(Cobros[[#This Row],[% A pagar Vendedor]]&gt;0,1,0)</f>
        <v>0</v>
      </c>
      <c r="W495" s="46">
        <f>0.5%*Cobros[[#This Row],[Valor Pagado]]</f>
        <v>11.75</v>
      </c>
      <c r="X495" s="34"/>
    </row>
    <row r="496" spans="1:24">
      <c r="A496" s="49" t="s">
        <v>3860</v>
      </c>
      <c r="B496" s="49" t="s">
        <v>4626</v>
      </c>
      <c r="C496" s="49" t="s">
        <v>1222</v>
      </c>
      <c r="D496" s="49" t="s">
        <v>1223</v>
      </c>
      <c r="E496" s="49" t="s">
        <v>4495</v>
      </c>
      <c r="F496" s="51">
        <v>46216</v>
      </c>
      <c r="G496" s="49">
        <v>118.5</v>
      </c>
      <c r="H496" s="49" t="s">
        <v>20</v>
      </c>
      <c r="I496" s="51">
        <v>46218</v>
      </c>
      <c r="J496" s="54">
        <f>INT(Cobros[[#This Row],[Fecha Cargo]])</f>
        <v>46216</v>
      </c>
      <c r="K496" s="54">
        <f>INT(Cobros[[#This Row],[Fecha Aplicacion]])</f>
        <v>46218</v>
      </c>
      <c r="L496" s="55" t="str">
        <f>INDEX(Clientes[Días Plazo],MATCH(Cobros[[#This Row],[Cod. Cliente]],Clientes[Codigo],0),1)</f>
        <v>7</v>
      </c>
      <c r="M496" s="45" t="str">
        <f>IF(Cobros[[#This Row],[Dias de Credito]]&lt;=0,"Contado","Credito")</f>
        <v>Credito</v>
      </c>
      <c r="N496" s="45">
        <f>Cobros[[#This Row],[Fecha Aplicación S]]-Cobros[[#This Row],[Fecha Cargo S]]</f>
        <v>2</v>
      </c>
      <c r="O496" s="45">
        <f>Cobros[[#This Row],[Dias al pago]]-Cobros[[#This Row],[Dias de Credito]]</f>
        <v>-5</v>
      </c>
      <c r="P496" s="45">
        <f>SUMIFS(TablaDias[Porcentaje],TablaDias[Tipo],Cobros[[#This Row],[Tipo]],TablaDias[Desde ],"&lt;="&amp;MAX(0,Cobros[[#This Row],[Dias pasado]]),TablaDias[Hasta ],"&gt;="&amp;Cobros[[#This Row],[Dias pasado]])</f>
        <v>100</v>
      </c>
      <c r="Q4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6">
        <f>IF(COUNTIF(PAPEL[Numero],Cobros[[#This Row],[Doc. Cargo]])&gt;0,1,0)</f>
        <v>0</v>
      </c>
      <c r="S496" s="46">
        <f t="array" ref="S4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6" s="46">
        <f t="array" ref="T496">INDEX(Ventas[[Unidades]:[2]],MATCH("Gerente de Venta",Ventas[Vendedor %],0),6+Cobros[[#This Row],[Mes]])</f>
        <v>0.005</v>
      </c>
      <c r="U496" s="34">
        <f>IF(Cobros[[#This Row],[Tipo]]="Credito",IF(60&gt;=Cobros[[#This Row],[Dias al pago]],1,0),IF(Cobros[[#This Row],[Dias al pago]]&lt;=3,1,0))</f>
        <v>1</v>
      </c>
      <c r="V496" s="46">
        <f>(Cobros[[#This Row],[% A pagar Vendedor]]/100)*Cobros[[#This Row],[Valor Pagado]]*Cobros[[#This Row],[Vencido]]*(Cobros[[#This Row],[% aplicar]]/100)*IF(Cobros[[#This Row],[% A pagar Vendedor]]&gt;0,1,0)</f>
        <v>1.48125</v>
      </c>
      <c r="W496" s="46">
        <f>0.5%*Cobros[[#This Row],[Valor Pagado]]</f>
        <v>0.5925</v>
      </c>
      <c r="X496" s="34"/>
    </row>
    <row r="497" ht="30" spans="1:23">
      <c r="A497" s="49" t="s">
        <v>3860</v>
      </c>
      <c r="B497" s="49" t="s">
        <v>4627</v>
      </c>
      <c r="C497" s="49" t="s">
        <v>3448</v>
      </c>
      <c r="D497" s="49" t="s">
        <v>3449</v>
      </c>
      <c r="E497" s="49" t="s">
        <v>4628</v>
      </c>
      <c r="F497" s="51">
        <v>46037</v>
      </c>
      <c r="G497" s="49">
        <v>3000</v>
      </c>
      <c r="H497" s="49" t="s">
        <v>16</v>
      </c>
      <c r="I497" s="51">
        <v>46218</v>
      </c>
      <c r="J497" s="54">
        <f>INT(Cobros[[#This Row],[Fecha Cargo]])</f>
        <v>46037</v>
      </c>
      <c r="K497" s="54">
        <f>INT(Cobros[[#This Row],[Fecha Aplicacion]])</f>
        <v>46218</v>
      </c>
      <c r="L497" s="55">
        <f>INDEX(Clientes[Días Plazo],MATCH(Cobros[[#This Row],[Cod. Cliente]],Clientes[Codigo],0),1)</f>
        <v>0</v>
      </c>
      <c r="M497" s="45" t="str">
        <f>IF(Cobros[[#This Row],[Dias de Credito]]&lt;=0,"Contado","Credito")</f>
        <v>Contado</v>
      </c>
      <c r="N497" s="45">
        <f>Cobros[[#This Row],[Fecha Aplicación S]]-Cobros[[#This Row],[Fecha Cargo S]]</f>
        <v>181</v>
      </c>
      <c r="O497" s="45">
        <f>Cobros[[#This Row],[Dias al pago]]-Cobros[[#This Row],[Dias de Credito]]</f>
        <v>181</v>
      </c>
      <c r="P497" s="45">
        <f>SUMIFS(TablaDias[Porcentaje],TablaDias[Tipo],Cobros[[#This Row],[Tipo]],TablaDias[Desde ],"&lt;="&amp;MAX(0,Cobros[[#This Row],[Dias pasado]]),TablaDias[Hasta ],"&gt;="&amp;Cobros[[#This Row],[Dias pasado]])</f>
        <v>0</v>
      </c>
      <c r="Q4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497">
        <f>IF(COUNTIF(PAPEL[Numero],Cobros[[#This Row],[Doc. Cargo]])&gt;0,1,0)</f>
        <v>0</v>
      </c>
      <c r="S497" s="46">
        <f t="array" ref="S4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497" s="47">
        <v>0.005</v>
      </c>
      <c r="U497" s="34">
        <f>IF(Cobros[[#This Row],[Tipo]]="Credito",IF(60&gt;=Cobros[[#This Row],[Dias al pago]],1,0),IF(Cobros[[#This Row],[Dias al pago]]&lt;=3,1,0))</f>
        <v>0</v>
      </c>
      <c r="V497" s="46">
        <f>(Cobros[[#This Row],[% A pagar Vendedor]]/100)*Cobros[[#This Row],[Valor Pagado]]*Cobros[[#This Row],[Vencido]]*(Cobros[[#This Row],[% aplicar]]/100)*IF(Cobros[[#This Row],[% A pagar Vendedor]]&gt;0,1,0)</f>
        <v>0</v>
      </c>
      <c r="W497" s="46">
        <f>0.5%*Cobros[[#This Row],[Valor Pagado]]</f>
        <v>15</v>
      </c>
    </row>
    <row r="498" ht="30" spans="1:23">
      <c r="A498" s="49" t="s">
        <v>3860</v>
      </c>
      <c r="B498" s="49" t="s">
        <v>4629</v>
      </c>
      <c r="C498" s="49" t="s">
        <v>2318</v>
      </c>
      <c r="D498" s="49" t="s">
        <v>2319</v>
      </c>
      <c r="E498" s="49" t="s">
        <v>3866</v>
      </c>
      <c r="F498" s="51">
        <v>46181</v>
      </c>
      <c r="G498" s="49">
        <v>1237.18</v>
      </c>
      <c r="H498" s="49" t="s">
        <v>3865</v>
      </c>
      <c r="I498" s="51">
        <v>46218</v>
      </c>
      <c r="J498" s="54">
        <f>INT(Cobros[[#This Row],[Fecha Cargo]])</f>
        <v>46181</v>
      </c>
      <c r="K498" s="54">
        <f>INT(Cobros[[#This Row],[Fecha Aplicacion]])</f>
        <v>46218</v>
      </c>
      <c r="L498" s="55" t="str">
        <f>INDEX(Clientes[Días Plazo],MATCH(Cobros[[#This Row],[Cod. Cliente]],Clientes[Codigo],0),1)</f>
        <v>15</v>
      </c>
      <c r="M498" s="45" t="str">
        <f>IF(Cobros[[#This Row],[Dias de Credito]]&lt;=0,"Contado","Credito")</f>
        <v>Credito</v>
      </c>
      <c r="N498" s="45">
        <f>Cobros[[#This Row],[Fecha Aplicación S]]-Cobros[[#This Row],[Fecha Cargo S]]</f>
        <v>37</v>
      </c>
      <c r="O498" s="45">
        <f>Cobros[[#This Row],[Dias al pago]]-Cobros[[#This Row],[Dias de Credito]]</f>
        <v>22</v>
      </c>
      <c r="P498" s="45">
        <f>SUMIFS(TablaDias[Porcentaje],TablaDias[Tipo],Cobros[[#This Row],[Tipo]],TablaDias[Desde ],"&lt;="&amp;MAX(0,Cobros[[#This Row],[Dias pasado]]),TablaDias[Hasta ],"&gt;="&amp;Cobros[[#This Row],[Dias pasado]])</f>
        <v>50</v>
      </c>
      <c r="Q4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98">
        <f>IF(COUNTIF(PAPEL[Numero],Cobros[[#This Row],[Doc. Cargo]])&gt;0,1,0)</f>
        <v>0</v>
      </c>
      <c r="S498" s="46">
        <v>1</v>
      </c>
      <c r="T498" s="46">
        <f t="array" ref="T498">INDEX(Ventas[[Unidades]:[2]],MATCH("Gerente de Venta",Ventas[Vendedor %],0),6+Cobros[[#This Row],[Mes]])</f>
        <v>0.005</v>
      </c>
      <c r="U498" s="34">
        <f>IF(Cobros[[#This Row],[Tipo]]="Credito",IF(60&gt;=Cobros[[#This Row],[Dias al pago]],1,0),IF(Cobros[[#This Row],[Dias al pago]]&lt;=3,1,0))</f>
        <v>1</v>
      </c>
      <c r="V498" s="46">
        <f>(Cobros[[#This Row],[% A pagar Vendedor]]/100)*Cobros[[#This Row],[Valor Pagado]]*Cobros[[#This Row],[Vencido]]*(Cobros[[#This Row],[% aplicar]]/100)*IF(Cobros[[#This Row],[% A pagar Vendedor]]&gt;0,1,0)</f>
        <v>6.1859</v>
      </c>
      <c r="W498" s="46">
        <f>0.5%*Cobros[[#This Row],[Valor Pagado]]</f>
        <v>6.1859</v>
      </c>
    </row>
    <row r="499" ht="30" spans="1:24">
      <c r="A499" s="49" t="s">
        <v>3860</v>
      </c>
      <c r="B499" s="49" t="s">
        <v>4630</v>
      </c>
      <c r="C499" s="49" t="s">
        <v>534</v>
      </c>
      <c r="D499" s="49" t="s">
        <v>535</v>
      </c>
      <c r="E499" s="49" t="s">
        <v>4266</v>
      </c>
      <c r="F499" s="51">
        <v>46176</v>
      </c>
      <c r="G499" s="49">
        <v>1500</v>
      </c>
      <c r="H499" s="49" t="s">
        <v>3865</v>
      </c>
      <c r="I499" s="51">
        <v>46218</v>
      </c>
      <c r="J499" s="54">
        <f>INT(Cobros[[#This Row],[Fecha Cargo]])</f>
        <v>46176</v>
      </c>
      <c r="K499" s="54">
        <f>INT(Cobros[[#This Row],[Fecha Aplicacion]])</f>
        <v>46218</v>
      </c>
      <c r="L499" s="55" t="str">
        <f>INDEX(Clientes[Días Plazo],MATCH(Cobros[[#This Row],[Cod. Cliente]],Clientes[Codigo],0),1)</f>
        <v>21</v>
      </c>
      <c r="M499" s="45" t="str">
        <f>IF(Cobros[[#This Row],[Dias de Credito]]&lt;=0,"Contado","Credito")</f>
        <v>Credito</v>
      </c>
      <c r="N499" s="45">
        <f>Cobros[[#This Row],[Fecha Aplicación S]]-Cobros[[#This Row],[Fecha Cargo S]]</f>
        <v>42</v>
      </c>
      <c r="O499" s="45">
        <f>Cobros[[#This Row],[Dias al pago]]-Cobros[[#This Row],[Dias de Credito]]</f>
        <v>21</v>
      </c>
      <c r="P499" s="45">
        <f>SUMIFS(TablaDias[Porcentaje],TablaDias[Tipo],Cobros[[#This Row],[Tipo]],TablaDias[Desde ],"&lt;="&amp;MAX(0,Cobros[[#This Row],[Dias pasado]]),TablaDias[Hasta ],"&gt;="&amp;Cobros[[#This Row],[Dias pasado]])</f>
        <v>50</v>
      </c>
      <c r="Q4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499">
        <f>IF(COUNTIF(PAPEL[Numero],Cobros[[#This Row],[Doc. Cargo]])&gt;0,1,0)</f>
        <v>0</v>
      </c>
      <c r="S499" s="46">
        <v>1</v>
      </c>
      <c r="T499" s="46">
        <f t="array" ref="T499">INDEX(Ventas[[Unidades]:[2]],MATCH("Gerente de Venta",Ventas[Vendedor %],0),6+Cobros[[#This Row],[Mes]])</f>
        <v>0.005</v>
      </c>
      <c r="U499" s="34">
        <f>IF(Cobros[[#This Row],[Tipo]]="Credito",IF(60&gt;=Cobros[[#This Row],[Dias al pago]],1,0),IF(Cobros[[#This Row],[Dias al pago]]&lt;=3,1,0))</f>
        <v>1</v>
      </c>
      <c r="V499" s="46">
        <f>(Cobros[[#This Row],[% A pagar Vendedor]]/100)*Cobros[[#This Row],[Valor Pagado]]*Cobros[[#This Row],[Vencido]]*(Cobros[[#This Row],[% aplicar]]/100)*IF(Cobros[[#This Row],[% A pagar Vendedor]]&gt;0,1,0)</f>
        <v>7.5</v>
      </c>
      <c r="W499" s="46">
        <f>0.5%*Cobros[[#This Row],[Valor Pagado]]</f>
        <v>7.5</v>
      </c>
      <c r="X499" s="60"/>
    </row>
    <row r="500" spans="1:23">
      <c r="A500" s="49" t="s">
        <v>3904</v>
      </c>
      <c r="B500" s="49" t="s">
        <v>4631</v>
      </c>
      <c r="C500" s="49" t="s">
        <v>1308</v>
      </c>
      <c r="D500" s="49" t="s">
        <v>1309</v>
      </c>
      <c r="E500" s="49" t="s">
        <v>4632</v>
      </c>
      <c r="F500" s="51">
        <v>46216</v>
      </c>
      <c r="G500" s="49">
        <v>7598.86</v>
      </c>
      <c r="H500" s="49" t="s">
        <v>16</v>
      </c>
      <c r="I500" s="51">
        <v>46216</v>
      </c>
      <c r="J500" s="54">
        <f>INT(Cobros[[#This Row],[Fecha Cargo]])</f>
        <v>46216</v>
      </c>
      <c r="K500" s="54">
        <f>INT(Cobros[[#This Row],[Fecha Aplicacion]])</f>
        <v>46216</v>
      </c>
      <c r="L500" s="55">
        <f>INDEX(Clientes[Días Plazo],MATCH(Cobros[[#This Row],[Cod. Cliente]],Clientes[Codigo],0),1)</f>
        <v>0</v>
      </c>
      <c r="M500" s="45" t="str">
        <f>IF(Cobros[[#This Row],[Dias de Credito]]&lt;=0,"Contado","Credito")</f>
        <v>Contado</v>
      </c>
      <c r="N500" s="45">
        <f>Cobros[[#This Row],[Fecha Aplicación S]]-Cobros[[#This Row],[Fecha Cargo S]]</f>
        <v>0</v>
      </c>
      <c r="O500" s="45">
        <f>Cobros[[#This Row],[Dias al pago]]-Cobros[[#This Row],[Dias de Credito]]</f>
        <v>0</v>
      </c>
      <c r="P500" s="45">
        <f>SUMIFS(TablaDias[Porcentaje],TablaDias[Tipo],Cobros[[#This Row],[Tipo]],TablaDias[Desde ],"&lt;="&amp;MAX(0,Cobros[[#This Row],[Dias pasado]]),TablaDias[Hasta ],"&gt;="&amp;Cobros[[#This Row],[Dias pasado]])</f>
        <v>100</v>
      </c>
      <c r="Q5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0">
        <f>IF(COUNTIF(PAPEL[Numero],Cobros[[#This Row],[Doc. Cargo]])&gt;0,1,0)</f>
        <v>0</v>
      </c>
      <c r="S500" s="46">
        <f t="array" ref="S5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0" s="47">
        <v>0.005</v>
      </c>
      <c r="U500" s="34">
        <f>IF(Cobros[[#This Row],[Tipo]]="Credito",IF(60&gt;=Cobros[[#This Row],[Dias al pago]],1,0),IF(Cobros[[#This Row],[Dias al pago]]&lt;=3,1,0))</f>
        <v>1</v>
      </c>
      <c r="V500" s="46">
        <f>(Cobros[[#This Row],[% A pagar Vendedor]]/100)*Cobros[[#This Row],[Valor Pagado]]*Cobros[[#This Row],[Vencido]]*(Cobros[[#This Row],[% aplicar]]/100)*IF(Cobros[[#This Row],[% A pagar Vendedor]]&gt;0,1,0)</f>
        <v>94.98575</v>
      </c>
      <c r="W500" s="46">
        <f>0.5%*Cobros[[#This Row],[Valor Pagado]]</f>
        <v>37.9943</v>
      </c>
    </row>
    <row r="501" spans="1:23">
      <c r="A501" s="49" t="s">
        <v>3860</v>
      </c>
      <c r="B501" s="49" t="s">
        <v>4633</v>
      </c>
      <c r="C501" s="49" t="s">
        <v>2529</v>
      </c>
      <c r="D501" s="49" t="s">
        <v>2530</v>
      </c>
      <c r="E501" s="49" t="s">
        <v>4634</v>
      </c>
      <c r="F501" s="51">
        <v>46218</v>
      </c>
      <c r="G501" s="49">
        <v>583.1</v>
      </c>
      <c r="H501" s="49" t="s">
        <v>16</v>
      </c>
      <c r="I501" s="51">
        <v>46218</v>
      </c>
      <c r="J501" s="54">
        <f>INT(Cobros[[#This Row],[Fecha Cargo]])</f>
        <v>46218</v>
      </c>
      <c r="K501" s="54">
        <f>INT(Cobros[[#This Row],[Fecha Aplicacion]])</f>
        <v>46218</v>
      </c>
      <c r="L501" s="55">
        <v>30</v>
      </c>
      <c r="M501" s="45" t="str">
        <f>IF(Cobros[[#This Row],[Dias de Credito]]&lt;=0,"Contado","Credito")</f>
        <v>Credito</v>
      </c>
      <c r="N501" s="45">
        <f>Cobros[[#This Row],[Fecha Aplicación S]]-Cobros[[#This Row],[Fecha Cargo S]]</f>
        <v>0</v>
      </c>
      <c r="O501" s="45">
        <f>Cobros[[#This Row],[Dias al pago]]-Cobros[[#This Row],[Dias de Credito]]</f>
        <v>-30</v>
      </c>
      <c r="P501" s="45">
        <f>SUMIFS(TablaDias[Porcentaje],TablaDias[Tipo],Cobros[[#This Row],[Tipo]],TablaDias[Desde ],"&lt;="&amp;MAX(0,Cobros[[#This Row],[Dias pasado]]),TablaDias[Hasta ],"&gt;="&amp;Cobros[[#This Row],[Dias pasado]])</f>
        <v>100</v>
      </c>
      <c r="Q50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1">
        <f>IF(COUNTIF(PAPEL[Numero],Cobros[[#This Row],[Doc. Cargo]])&gt;0,1,0)</f>
        <v>0</v>
      </c>
      <c r="S501" s="46">
        <f t="array" ref="S5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1" s="47">
        <v>0.005</v>
      </c>
      <c r="U501" s="34">
        <f>IF(Cobros[[#This Row],[Tipo]]="Credito",IF(60&gt;=Cobros[[#This Row],[Dias al pago]],1,0),IF(Cobros[[#This Row],[Dias al pago]]&lt;=3,1,0))</f>
        <v>1</v>
      </c>
      <c r="V501" s="46">
        <f>(Cobros[[#This Row],[% A pagar Vendedor]]/100)*Cobros[[#This Row],[Valor Pagado]]*Cobros[[#This Row],[Vencido]]*(Cobros[[#This Row],[% aplicar]]/100)*IF(Cobros[[#This Row],[% A pagar Vendedor]]&gt;0,1,0)</f>
        <v>7.28875</v>
      </c>
      <c r="W501" s="46">
        <f>0.5%*Cobros[[#This Row],[Valor Pagado]]</f>
        <v>2.9155</v>
      </c>
    </row>
    <row r="502" spans="1:23">
      <c r="A502" s="49" t="s">
        <v>3860</v>
      </c>
      <c r="B502" s="49" t="s">
        <v>4635</v>
      </c>
      <c r="C502" s="49" t="s">
        <v>608</v>
      </c>
      <c r="D502" s="49" t="s">
        <v>609</v>
      </c>
      <c r="E502" s="49" t="s">
        <v>4636</v>
      </c>
      <c r="F502" s="51">
        <v>46218</v>
      </c>
      <c r="G502" s="49">
        <v>226.2</v>
      </c>
      <c r="H502" s="49" t="s">
        <v>20</v>
      </c>
      <c r="I502" s="51">
        <v>46218</v>
      </c>
      <c r="J502" s="54">
        <f>INT(Cobros[[#This Row],[Fecha Cargo]])</f>
        <v>46218</v>
      </c>
      <c r="K502" s="54">
        <f>INT(Cobros[[#This Row],[Fecha Aplicacion]])</f>
        <v>46218</v>
      </c>
      <c r="L502" s="55">
        <v>30</v>
      </c>
      <c r="M502" s="45" t="str">
        <f>IF(Cobros[[#This Row],[Dias de Credito]]&lt;=0,"Contado","Credito")</f>
        <v>Credito</v>
      </c>
      <c r="N502" s="45">
        <f>Cobros[[#This Row],[Fecha Aplicación S]]-Cobros[[#This Row],[Fecha Cargo S]]</f>
        <v>0</v>
      </c>
      <c r="O502" s="45">
        <f>Cobros[[#This Row],[Dias al pago]]-Cobros[[#This Row],[Dias de Credito]]</f>
        <v>-30</v>
      </c>
      <c r="P502" s="45">
        <f>SUMIFS(TablaDias[Porcentaje],TablaDias[Tipo],Cobros[[#This Row],[Tipo]],TablaDias[Desde ],"&lt;="&amp;MAX(0,Cobros[[#This Row],[Dias pasado]]),TablaDias[Hasta ],"&gt;="&amp;Cobros[[#This Row],[Dias pasado]])</f>
        <v>100</v>
      </c>
      <c r="Q5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2">
        <f>IF(COUNTIF(PAPEL[Numero],Cobros[[#This Row],[Doc. Cargo]])&gt;0,1,0)</f>
        <v>0</v>
      </c>
      <c r="S502" s="46">
        <f t="array" ref="S5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2" s="46">
        <f t="array" ref="T502">0.005</f>
        <v>0.005</v>
      </c>
      <c r="U502" s="34">
        <f>IF(Cobros[[#This Row],[Tipo]]="Credito",IF(60&gt;=Cobros[[#This Row],[Dias al pago]],1,0),IF(Cobros[[#This Row],[Dias al pago]]&lt;=3,1,0))</f>
        <v>1</v>
      </c>
      <c r="V502" s="46">
        <f>(Cobros[[#This Row],[% A pagar Vendedor]]/100)*Cobros[[#This Row],[Valor Pagado]]*Cobros[[#This Row],[Vencido]]*(Cobros[[#This Row],[% aplicar]]/100)*IF(Cobros[[#This Row],[% A pagar Vendedor]]&gt;0,1,0)</f>
        <v>2.8275</v>
      </c>
      <c r="W502" s="46">
        <f>0.5%*Cobros[[#This Row],[Valor Pagado]]</f>
        <v>1.131</v>
      </c>
    </row>
    <row r="503" spans="1:23">
      <c r="A503" s="49" t="s">
        <v>3875</v>
      </c>
      <c r="B503" s="49" t="s">
        <v>4637</v>
      </c>
      <c r="C503" s="49" t="s">
        <v>608</v>
      </c>
      <c r="D503" s="49" t="s">
        <v>609</v>
      </c>
      <c r="E503" s="49" t="s">
        <v>4636</v>
      </c>
      <c r="F503" s="51">
        <v>46218</v>
      </c>
      <c r="G503" s="49">
        <v>400</v>
      </c>
      <c r="H503" s="49" t="s">
        <v>20</v>
      </c>
      <c r="I503" s="51">
        <v>46218</v>
      </c>
      <c r="J503" s="54">
        <f>INT(Cobros[[#This Row],[Fecha Cargo]])</f>
        <v>46218</v>
      </c>
      <c r="K503" s="54">
        <f>INT(Cobros[[#This Row],[Fecha Aplicacion]])</f>
        <v>46218</v>
      </c>
      <c r="L503" s="55">
        <v>30</v>
      </c>
      <c r="M503" s="45" t="str">
        <f>IF(Cobros[[#This Row],[Dias de Credito]]&lt;=0,"Contado","Credito")</f>
        <v>Credito</v>
      </c>
      <c r="N503" s="45">
        <f>Cobros[[#This Row],[Fecha Aplicación S]]-Cobros[[#This Row],[Fecha Cargo S]]</f>
        <v>0</v>
      </c>
      <c r="O503" s="45">
        <f>Cobros[[#This Row],[Dias al pago]]-Cobros[[#This Row],[Dias de Credito]]</f>
        <v>-30</v>
      </c>
      <c r="P503" s="45">
        <f>SUMIFS(TablaDias[Porcentaje],TablaDias[Tipo],Cobros[[#This Row],[Tipo]],TablaDias[Desde ],"&lt;="&amp;MAX(0,Cobros[[#This Row],[Dias pasado]]),TablaDias[Hasta ],"&gt;="&amp;Cobros[[#This Row],[Dias pasado]])</f>
        <v>100</v>
      </c>
      <c r="Q5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3">
        <f>IF(COUNTIF(PAPEL[Numero],Cobros[[#This Row],[Doc. Cargo]])&gt;0,1,0)</f>
        <v>0</v>
      </c>
      <c r="S503" s="46">
        <f t="array" ref="S5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3" s="46">
        <f t="array" ref="T503">INDEX(Ventas[[Unidades]:[2]],MATCH("Gerente de Venta",Ventas[Vendedor %],0),6+Cobros[[#This Row],[Mes]])</f>
        <v>0.005</v>
      </c>
      <c r="U503" s="34">
        <f>IF(Cobros[[#This Row],[Tipo]]="Credito",IF(60&gt;=Cobros[[#This Row],[Dias al pago]],1,0),IF(Cobros[[#This Row],[Dias al pago]]&lt;=3,1,0))</f>
        <v>1</v>
      </c>
      <c r="V503" s="46">
        <f>(Cobros[[#This Row],[% A pagar Vendedor]]/100)*Cobros[[#This Row],[Valor Pagado]]*Cobros[[#This Row],[Vencido]]*(Cobros[[#This Row],[% aplicar]]/100)*IF(Cobros[[#This Row],[% A pagar Vendedor]]&gt;0,1,0)</f>
        <v>5</v>
      </c>
      <c r="W503" s="46">
        <f>0.5%*Cobros[[#This Row],[Valor Pagado]]</f>
        <v>2</v>
      </c>
    </row>
    <row r="504" spans="1:23">
      <c r="A504" s="49" t="s">
        <v>3860</v>
      </c>
      <c r="B504" s="49" t="s">
        <v>4638</v>
      </c>
      <c r="C504" s="49" t="s">
        <v>2576</v>
      </c>
      <c r="D504" s="49" t="s">
        <v>2577</v>
      </c>
      <c r="E504" s="49" t="s">
        <v>4529</v>
      </c>
      <c r="F504" s="51">
        <v>46204</v>
      </c>
      <c r="G504" s="49">
        <v>466.55</v>
      </c>
      <c r="H504" s="49" t="s">
        <v>20</v>
      </c>
      <c r="I504" s="51">
        <v>46218</v>
      </c>
      <c r="J504" s="54">
        <f>INT(Cobros[[#This Row],[Fecha Cargo]])</f>
        <v>46204</v>
      </c>
      <c r="K504" s="54">
        <f>INT(Cobros[[#This Row],[Fecha Aplicacion]])</f>
        <v>46218</v>
      </c>
      <c r="L504" s="55">
        <v>0</v>
      </c>
      <c r="M504" s="45" t="str">
        <f>IF(Cobros[[#This Row],[Dias de Credito]]&lt;=0,"Contado","Credito")</f>
        <v>Contado</v>
      </c>
      <c r="N504" s="45">
        <f>Cobros[[#This Row],[Fecha Aplicación S]]-Cobros[[#This Row],[Fecha Cargo S]]</f>
        <v>14</v>
      </c>
      <c r="O504" s="45">
        <f>Cobros[[#This Row],[Dias al pago]]-Cobros[[#This Row],[Dias de Credito]]</f>
        <v>14</v>
      </c>
      <c r="P504" s="45">
        <f>SUMIFS(TablaDias[Porcentaje],TablaDias[Tipo],Cobros[[#This Row],[Tipo]],TablaDias[Desde ],"&lt;="&amp;MAX(0,Cobros[[#This Row],[Dias pasado]]),TablaDias[Hasta ],"&gt;="&amp;Cobros[[#This Row],[Dias pasado]])</f>
        <v>0</v>
      </c>
      <c r="Q5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4">
        <f>IF(COUNTIF(PAPEL[Numero],Cobros[[#This Row],[Doc. Cargo]])&gt;0,1,0)</f>
        <v>0</v>
      </c>
      <c r="S504" s="46">
        <f t="array" ref="S5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4" s="46">
        <f t="array" ref="T504">INDEX(Ventas[[Unidades]:[2]],MATCH("Gerente de Venta",Ventas[Vendedor %],0),6+Cobros[[#This Row],[Mes]])</f>
        <v>0.005</v>
      </c>
      <c r="U504" s="34">
        <f>IF(Cobros[[#This Row],[Tipo]]="Credito",IF(60&gt;=Cobros[[#This Row],[Dias al pago]],1,0),IF(Cobros[[#This Row],[Dias al pago]]&lt;=3,1,0))</f>
        <v>0</v>
      </c>
      <c r="V504" s="46">
        <f>(Cobros[[#This Row],[% A pagar Vendedor]]/100)*Cobros[[#This Row],[Valor Pagado]]*Cobros[[#This Row],[Vencido]]*(Cobros[[#This Row],[% aplicar]]/100)*IF(Cobros[[#This Row],[% A pagar Vendedor]]&gt;0,1,0)</f>
        <v>0</v>
      </c>
      <c r="W504" s="46">
        <f>0.5%*Cobros[[#This Row],[Valor Pagado]]</f>
        <v>2.33275</v>
      </c>
    </row>
    <row r="505" spans="1:23">
      <c r="A505" s="49" t="s">
        <v>3860</v>
      </c>
      <c r="B505" s="49" t="s">
        <v>4638</v>
      </c>
      <c r="C505" s="49" t="s">
        <v>2576</v>
      </c>
      <c r="D505" s="49" t="s">
        <v>2577</v>
      </c>
      <c r="E505" s="49" t="s">
        <v>4639</v>
      </c>
      <c r="F505" s="51">
        <v>46206</v>
      </c>
      <c r="G505" s="49">
        <v>104.3</v>
      </c>
      <c r="H505" s="49" t="s">
        <v>20</v>
      </c>
      <c r="I505" s="51">
        <v>46218</v>
      </c>
      <c r="J505" s="54">
        <f>INT(Cobros[[#This Row],[Fecha Cargo]])</f>
        <v>46206</v>
      </c>
      <c r="K505" s="54">
        <f>INT(Cobros[[#This Row],[Fecha Aplicacion]])</f>
        <v>46218</v>
      </c>
      <c r="L505" s="55" t="str">
        <f>INDEX(Clientes[Días Plazo],MATCH(Cobros[[#This Row],[Cod. Cliente]],Clientes[Codigo],0),1)</f>
        <v>7</v>
      </c>
      <c r="M505" s="45" t="str">
        <f>IF(Cobros[[#This Row],[Dias de Credito]]&lt;=0,"Contado","Credito")</f>
        <v>Credito</v>
      </c>
      <c r="N505" s="45">
        <f>Cobros[[#This Row],[Fecha Aplicación S]]-Cobros[[#This Row],[Fecha Cargo S]]</f>
        <v>12</v>
      </c>
      <c r="O505" s="45">
        <f>Cobros[[#This Row],[Dias al pago]]-Cobros[[#This Row],[Dias de Credito]]</f>
        <v>5</v>
      </c>
      <c r="P505" s="45">
        <f>SUMIFS(TablaDias[Porcentaje],TablaDias[Tipo],Cobros[[#This Row],[Tipo]],TablaDias[Desde ],"&lt;="&amp;MAX(0,Cobros[[#This Row],[Dias pasado]]),TablaDias[Hasta ],"&gt;="&amp;Cobros[[#This Row],[Dias pasado]])</f>
        <v>100</v>
      </c>
      <c r="Q5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5">
        <f>IF(COUNTIF(PAPEL[Numero],Cobros[[#This Row],[Doc. Cargo]])&gt;0,1,0)</f>
        <v>0</v>
      </c>
      <c r="S505" s="46">
        <f t="array" ref="S5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5" s="46">
        <f t="array" ref="T505">INDEX(Ventas[[Unidades]:[2]],MATCH("Gerente de Venta",Ventas[Vendedor %],0),6+Cobros[[#This Row],[Mes]])</f>
        <v>0.005</v>
      </c>
      <c r="U505" s="34">
        <f>IF(Cobros[[#This Row],[Tipo]]="Credito",IF(60&gt;=Cobros[[#This Row],[Dias al pago]],1,0),IF(Cobros[[#This Row],[Dias al pago]]&lt;=3,1,0))</f>
        <v>1</v>
      </c>
      <c r="V505" s="46">
        <f>(Cobros[[#This Row],[% A pagar Vendedor]]/100)*Cobros[[#This Row],[Valor Pagado]]*Cobros[[#This Row],[Vencido]]*(Cobros[[#This Row],[% aplicar]]/100)*IF(Cobros[[#This Row],[% A pagar Vendedor]]&gt;0,1,0)</f>
        <v>1.30375</v>
      </c>
      <c r="W505" s="46">
        <f>0.5%*Cobros[[#This Row],[Valor Pagado]]</f>
        <v>0.5215</v>
      </c>
    </row>
    <row r="506" spans="1:24">
      <c r="A506" s="49" t="s">
        <v>3860</v>
      </c>
      <c r="B506" s="49" t="s">
        <v>4638</v>
      </c>
      <c r="C506" s="49" t="s">
        <v>2576</v>
      </c>
      <c r="D506" s="49" t="s">
        <v>2577</v>
      </c>
      <c r="E506" s="49" t="s">
        <v>4640</v>
      </c>
      <c r="F506" s="51">
        <v>46209</v>
      </c>
      <c r="G506" s="49">
        <v>85</v>
      </c>
      <c r="H506" s="49" t="s">
        <v>20</v>
      </c>
      <c r="I506" s="51">
        <v>46218</v>
      </c>
      <c r="J506" s="54">
        <f>INT(Cobros[[#This Row],[Fecha Cargo]])</f>
        <v>46209</v>
      </c>
      <c r="K506" s="54">
        <f>INT(Cobros[[#This Row],[Fecha Aplicacion]])</f>
        <v>46218</v>
      </c>
      <c r="L506" s="55" t="str">
        <f>INDEX(Clientes[Días Plazo],MATCH(Cobros[[#This Row],[Cod. Cliente]],Clientes[Codigo],0),1)</f>
        <v>7</v>
      </c>
      <c r="M506" s="45" t="str">
        <f>IF(Cobros[[#This Row],[Dias de Credito]]&lt;=0,"Contado","Credito")</f>
        <v>Credito</v>
      </c>
      <c r="N506" s="45">
        <f>Cobros[[#This Row],[Fecha Aplicación S]]-Cobros[[#This Row],[Fecha Cargo S]]</f>
        <v>9</v>
      </c>
      <c r="O506" s="45">
        <f>Cobros[[#This Row],[Dias al pago]]-Cobros[[#This Row],[Dias de Credito]]</f>
        <v>2</v>
      </c>
      <c r="P506" s="45">
        <f>SUMIFS(TablaDias[Porcentaje],TablaDias[Tipo],Cobros[[#This Row],[Tipo]],TablaDias[Desde ],"&lt;="&amp;MAX(0,Cobros[[#This Row],[Dias pasado]]),TablaDias[Hasta ],"&gt;="&amp;Cobros[[#This Row],[Dias pasado]])</f>
        <v>100</v>
      </c>
      <c r="Q5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6">
        <f>IF(COUNTIF(PAPEL[Numero],Cobros[[#This Row],[Doc. Cargo]])&gt;0,1,0)</f>
        <v>0</v>
      </c>
      <c r="S506" s="46">
        <f t="array" ref="S50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6" s="46">
        <f t="array" ref="T506">INDEX(Ventas[[Unidades]:[2]],MATCH("Gerente de Venta",Ventas[Vendedor %],0),6+Cobros[[#This Row],[Mes]])</f>
        <v>0.005</v>
      </c>
      <c r="U506" s="34">
        <f>IF(Cobros[[#This Row],[Tipo]]="Credito",IF(60&gt;=Cobros[[#This Row],[Dias al pago]],1,0),IF(Cobros[[#This Row],[Dias al pago]]&lt;=3,1,0))</f>
        <v>1</v>
      </c>
      <c r="V506" s="46">
        <f>(Cobros[[#This Row],[% A pagar Vendedor]]/100)*Cobros[[#This Row],[Valor Pagado]]*Cobros[[#This Row],[Vencido]]*(Cobros[[#This Row],[% aplicar]]/100)*IF(Cobros[[#This Row],[% A pagar Vendedor]]&gt;0,1,0)</f>
        <v>1.0625</v>
      </c>
      <c r="W506" s="46">
        <f>0.5%*Cobros[[#This Row],[Valor Pagado]]</f>
        <v>0.425</v>
      </c>
      <c r="X506" s="34"/>
    </row>
    <row r="507" spans="1:23">
      <c r="A507" s="49" t="s">
        <v>3860</v>
      </c>
      <c r="B507" s="49" t="s">
        <v>4641</v>
      </c>
      <c r="C507" s="49" t="s">
        <v>1222</v>
      </c>
      <c r="D507" s="49" t="s">
        <v>1223</v>
      </c>
      <c r="E507" s="49" t="s">
        <v>4495</v>
      </c>
      <c r="F507" s="51">
        <v>46216</v>
      </c>
      <c r="G507" s="49">
        <v>124.4</v>
      </c>
      <c r="H507" s="49" t="s">
        <v>20</v>
      </c>
      <c r="I507" s="51">
        <v>46218</v>
      </c>
      <c r="J507" s="54">
        <f>INT(Cobros[[#This Row],[Fecha Cargo]])</f>
        <v>46216</v>
      </c>
      <c r="K507" s="54">
        <f>INT(Cobros[[#This Row],[Fecha Aplicacion]])</f>
        <v>46218</v>
      </c>
      <c r="L507" s="55" t="str">
        <f>INDEX(Clientes[Días Plazo],MATCH(Cobros[[#This Row],[Cod. Cliente]],Clientes[Codigo],0),1)</f>
        <v>7</v>
      </c>
      <c r="M507" s="45" t="str">
        <f>IF(Cobros[[#This Row],[Dias de Credito]]&lt;=0,"Contado","Credito")</f>
        <v>Credito</v>
      </c>
      <c r="N507" s="45">
        <f>Cobros[[#This Row],[Fecha Aplicación S]]-Cobros[[#This Row],[Fecha Cargo S]]</f>
        <v>2</v>
      </c>
      <c r="O507" s="45">
        <f>Cobros[[#This Row],[Dias al pago]]-Cobros[[#This Row],[Dias de Credito]]</f>
        <v>-5</v>
      </c>
      <c r="P507" s="45">
        <f>SUMIFS(TablaDias[Porcentaje],TablaDias[Tipo],Cobros[[#This Row],[Tipo]],TablaDias[Desde ],"&lt;="&amp;MAX(0,Cobros[[#This Row],[Dias pasado]]),TablaDias[Hasta ],"&gt;="&amp;Cobros[[#This Row],[Dias pasado]])</f>
        <v>100</v>
      </c>
      <c r="Q5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7">
        <f>IF(COUNTIF(PAPEL[Numero],Cobros[[#This Row],[Doc. Cargo]])&gt;0,1,0)</f>
        <v>0</v>
      </c>
      <c r="S507" s="46">
        <f t="array" ref="S5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7" s="46">
        <f t="array" ref="T507">0.005</f>
        <v>0.005</v>
      </c>
      <c r="U507" s="34">
        <f>IF(Cobros[[#This Row],[Tipo]]="Credito",IF(60&gt;=Cobros[[#This Row],[Dias al pago]],1,0),IF(Cobros[[#This Row],[Dias al pago]]&lt;=3,1,0))</f>
        <v>1</v>
      </c>
      <c r="V507" s="46">
        <f>(Cobros[[#This Row],[% A pagar Vendedor]]/100)*Cobros[[#This Row],[Valor Pagado]]*Cobros[[#This Row],[Vencido]]*(Cobros[[#This Row],[% aplicar]]/100)*IF(Cobros[[#This Row],[% A pagar Vendedor]]&gt;0,1,0)</f>
        <v>1.555</v>
      </c>
      <c r="W507" s="46">
        <f>0.5%*Cobros[[#This Row],[Valor Pagado]]</f>
        <v>0.622</v>
      </c>
    </row>
    <row r="508" ht="30" spans="1:23">
      <c r="A508" s="49" t="s">
        <v>3860</v>
      </c>
      <c r="B508" s="49" t="s">
        <v>4642</v>
      </c>
      <c r="C508" s="49" t="s">
        <v>1954</v>
      </c>
      <c r="D508" s="49" t="s">
        <v>1955</v>
      </c>
      <c r="E508" s="49" t="s">
        <v>4643</v>
      </c>
      <c r="F508" s="51">
        <v>46185</v>
      </c>
      <c r="G508" s="49">
        <v>1337.25</v>
      </c>
      <c r="H508" s="49" t="s">
        <v>1355</v>
      </c>
      <c r="I508" s="51">
        <v>46218</v>
      </c>
      <c r="J508" s="54">
        <f>INT(Cobros[[#This Row],[Fecha Cargo]])</f>
        <v>46185</v>
      </c>
      <c r="K508" s="54">
        <f>INT(Cobros[[#This Row],[Fecha Aplicacion]])</f>
        <v>46218</v>
      </c>
      <c r="L508" s="55" t="str">
        <f>INDEX(Clientes[Días Plazo],MATCH(Cobros[[#This Row],[Cod. Cliente]],Clientes[Codigo],0),1)</f>
        <v>30</v>
      </c>
      <c r="M508" s="45" t="str">
        <f>IF(Cobros[[#This Row],[Dias de Credito]]&lt;=0,"Contado","Credito")</f>
        <v>Credito</v>
      </c>
      <c r="N508" s="45">
        <f>Cobros[[#This Row],[Fecha Aplicación S]]-Cobros[[#This Row],[Fecha Cargo S]]</f>
        <v>33</v>
      </c>
      <c r="O508" s="45">
        <f>Cobros[[#This Row],[Dias al pago]]-Cobros[[#This Row],[Dias de Credito]]</f>
        <v>3</v>
      </c>
      <c r="P508" s="45">
        <f>SUMIFS(TablaDias[Porcentaje],TablaDias[Tipo],Cobros[[#This Row],[Tipo]],TablaDias[Desde ],"&lt;="&amp;MAX(0,Cobros[[#This Row],[Dias pasado]]),TablaDias[Hasta ],"&gt;="&amp;Cobros[[#This Row],[Dias pasado]])</f>
        <v>100</v>
      </c>
      <c r="Q5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08">
        <f>IF(COUNTIF(PAPEL[Numero],Cobros[[#This Row],[Doc. Cargo]])&gt;0,1,0)</f>
        <v>0</v>
      </c>
      <c r="S508" s="46">
        <v>1</v>
      </c>
      <c r="T508" s="46">
        <f t="array" ref="T508">INDEX(Ventas[[Unidades]:[2]],MATCH("Gerente de Venta",Ventas[Vendedor %],0),6+Cobros[[#This Row],[Mes]])</f>
        <v>0.005</v>
      </c>
      <c r="U508" s="34">
        <f>IF(Cobros[[#This Row],[Tipo]]="Credito",IF(60&gt;=Cobros[[#This Row],[Dias al pago]],1,0),IF(Cobros[[#This Row],[Dias al pago]]&lt;=3,1,0))</f>
        <v>1</v>
      </c>
      <c r="V508" s="46">
        <f>(Cobros[[#This Row],[% A pagar Vendedor]]/100)*Cobros[[#This Row],[Valor Pagado]]*Cobros[[#This Row],[Vencido]]*(Cobros[[#This Row],[% aplicar]]/100)*IF(Cobros[[#This Row],[% A pagar Vendedor]]&gt;0,1,0)</f>
        <v>13.3725</v>
      </c>
      <c r="W508" s="46">
        <f>0.5%*Cobros[[#This Row],[Valor Pagado]]</f>
        <v>6.68625</v>
      </c>
    </row>
    <row r="509" spans="1:23">
      <c r="A509" s="49" t="s">
        <v>3875</v>
      </c>
      <c r="B509" s="49" t="s">
        <v>4644</v>
      </c>
      <c r="C509" s="49" t="s">
        <v>1220</v>
      </c>
      <c r="D509" s="49" t="s">
        <v>1221</v>
      </c>
      <c r="E509" s="49" t="s">
        <v>4645</v>
      </c>
      <c r="F509" s="51">
        <v>46218</v>
      </c>
      <c r="G509" s="49">
        <v>100</v>
      </c>
      <c r="H509" s="49" t="s">
        <v>20</v>
      </c>
      <c r="I509" s="51">
        <v>46218</v>
      </c>
      <c r="J509" s="54">
        <f>INT(Cobros[[#This Row],[Fecha Cargo]])</f>
        <v>46218</v>
      </c>
      <c r="K509" s="54">
        <f>INT(Cobros[[#This Row],[Fecha Aplicacion]])</f>
        <v>46218</v>
      </c>
      <c r="L509" s="55">
        <f>INDEX(Clientes[Días Plazo],MATCH(Cobros[[#This Row],[Cod. Cliente]],Clientes[Codigo],0),1)</f>
        <v>0</v>
      </c>
      <c r="M509" s="45" t="str">
        <f>IF(Cobros[[#This Row],[Dias de Credito]]&lt;=0,"Contado","Credito")</f>
        <v>Contado</v>
      </c>
      <c r="N509" s="45">
        <f>Cobros[[#This Row],[Fecha Aplicación S]]-Cobros[[#This Row],[Fecha Cargo S]]</f>
        <v>0</v>
      </c>
      <c r="O509" s="45">
        <f>Cobros[[#This Row],[Dias al pago]]-Cobros[[#This Row],[Dias de Credito]]</f>
        <v>0</v>
      </c>
      <c r="P509" s="45">
        <f>SUMIFS(TablaDias[Porcentaje],TablaDias[Tipo],Cobros[[#This Row],[Tipo]],TablaDias[Desde ],"&lt;="&amp;MAX(0,Cobros[[#This Row],[Dias pasado]]),TablaDias[Hasta ],"&gt;="&amp;Cobros[[#This Row],[Dias pasado]])</f>
        <v>100</v>
      </c>
      <c r="Q5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09">
        <f>IF(COUNTIF(PAPEL[Numero],Cobros[[#This Row],[Doc. Cargo]])&gt;0,1,0)</f>
        <v>0</v>
      </c>
      <c r="S509" s="46">
        <f t="array" ref="S5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09" s="46">
        <f t="array" ref="T509">INDEX(Ventas[[Unidades]:[2]],MATCH("Gerente de Venta",Ventas[Vendedor %],0),6+Cobros[[#This Row],[Mes]])</f>
        <v>0.005</v>
      </c>
      <c r="U509" s="34">
        <f>IF(Cobros[[#This Row],[Tipo]]="Credito",IF(60&gt;=Cobros[[#This Row],[Dias al pago]],1,0),IF(Cobros[[#This Row],[Dias al pago]]&lt;=3,1,0))</f>
        <v>1</v>
      </c>
      <c r="V509" s="46">
        <f>(Cobros[[#This Row],[% A pagar Vendedor]]/100)*Cobros[[#This Row],[Valor Pagado]]*Cobros[[#This Row],[Vencido]]*(Cobros[[#This Row],[% aplicar]]/100)*IF(Cobros[[#This Row],[% A pagar Vendedor]]&gt;0,1,0)</f>
        <v>1.25</v>
      </c>
      <c r="W509" s="46">
        <f>0.5%*Cobros[[#This Row],[Valor Pagado]]</f>
        <v>0.5</v>
      </c>
    </row>
    <row r="510" spans="1:23">
      <c r="A510" s="49" t="s">
        <v>3875</v>
      </c>
      <c r="B510" s="49" t="s">
        <v>4440</v>
      </c>
      <c r="C510" s="49" t="s">
        <v>1220</v>
      </c>
      <c r="D510" s="49" t="s">
        <v>1221</v>
      </c>
      <c r="E510" s="49" t="s">
        <v>4645</v>
      </c>
      <c r="F510" s="51">
        <v>46218</v>
      </c>
      <c r="G510" s="49">
        <v>1.05</v>
      </c>
      <c r="H510" s="49" t="s">
        <v>20</v>
      </c>
      <c r="I510" s="51">
        <v>46213</v>
      </c>
      <c r="J510" s="54">
        <f>INT(Cobros[[#This Row],[Fecha Cargo]])</f>
        <v>46218</v>
      </c>
      <c r="K510" s="54">
        <f>INT(Cobros[[#This Row],[Fecha Aplicacion]])</f>
        <v>46213</v>
      </c>
      <c r="L510" s="55">
        <f>INDEX(Clientes[Días Plazo],MATCH(Cobros[[#This Row],[Cod. Cliente]],Clientes[Codigo],0),1)</f>
        <v>0</v>
      </c>
      <c r="M510" s="45" t="str">
        <f>IF(Cobros[[#This Row],[Dias de Credito]]&lt;=0,"Contado","Credito")</f>
        <v>Contado</v>
      </c>
      <c r="N510" s="45">
        <f>Cobros[[#This Row],[Fecha Aplicación S]]-Cobros[[#This Row],[Fecha Cargo S]]</f>
        <v>-5</v>
      </c>
      <c r="O510" s="45">
        <f>Cobros[[#This Row],[Dias al pago]]-Cobros[[#This Row],[Dias de Credito]]</f>
        <v>-5</v>
      </c>
      <c r="P510" s="45">
        <f>SUMIFS(TablaDias[Porcentaje],TablaDias[Tipo],Cobros[[#This Row],[Tipo]],TablaDias[Desde ],"&lt;="&amp;MAX(0,Cobros[[#This Row],[Dias pasado]]),TablaDias[Hasta ],"&gt;="&amp;Cobros[[#This Row],[Dias pasado]])</f>
        <v>100</v>
      </c>
      <c r="Q5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0">
        <f>IF(COUNTIF(PAPEL[Numero],Cobros[[#This Row],[Doc. Cargo]])&gt;0,1,0)</f>
        <v>0</v>
      </c>
      <c r="S510" s="46">
        <f t="array" ref="S5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0" s="46">
        <f t="array" ref="T510">INDEX(Ventas[[Unidades]:[2]],MATCH("Gerente de Venta",Ventas[Vendedor %],0),6+Cobros[[#This Row],[Mes]])</f>
        <v>0.005</v>
      </c>
      <c r="U510" s="34">
        <f>IF(Cobros[[#This Row],[Tipo]]="Credito",IF(60&gt;=Cobros[[#This Row],[Dias al pago]],1,0),IF(Cobros[[#This Row],[Dias al pago]]&lt;=3,1,0))</f>
        <v>1</v>
      </c>
      <c r="V510" s="46">
        <f>(Cobros[[#This Row],[% A pagar Vendedor]]/100)*Cobros[[#This Row],[Valor Pagado]]*Cobros[[#This Row],[Vencido]]*(Cobros[[#This Row],[% aplicar]]/100)*IF(Cobros[[#This Row],[% A pagar Vendedor]]&gt;0,1,0)</f>
        <v>0.013125</v>
      </c>
      <c r="W510" s="46">
        <f>0.5%*Cobros[[#This Row],[Valor Pagado]]</f>
        <v>0.00525</v>
      </c>
    </row>
    <row r="511" spans="1:23">
      <c r="A511" s="49" t="s">
        <v>3875</v>
      </c>
      <c r="B511" s="49" t="s">
        <v>4300</v>
      </c>
      <c r="C511" s="49" t="s">
        <v>1220</v>
      </c>
      <c r="D511" s="49" t="s">
        <v>1221</v>
      </c>
      <c r="E511" s="49" t="s">
        <v>4645</v>
      </c>
      <c r="F511" s="51">
        <v>46218</v>
      </c>
      <c r="G511" s="49">
        <v>0.4</v>
      </c>
      <c r="H511" s="49" t="s">
        <v>20</v>
      </c>
      <c r="I511" s="51">
        <v>46212</v>
      </c>
      <c r="J511" s="54">
        <f>INT(Cobros[[#This Row],[Fecha Cargo]])</f>
        <v>46218</v>
      </c>
      <c r="K511" s="54">
        <f>INT(Cobros[[#This Row],[Fecha Aplicacion]])</f>
        <v>46212</v>
      </c>
      <c r="L511" s="55">
        <f>INDEX(Clientes[Días Plazo],MATCH(Cobros[[#This Row],[Cod. Cliente]],Clientes[Codigo],0),1)</f>
        <v>0</v>
      </c>
      <c r="M511" s="45" t="str">
        <f>IF(Cobros[[#This Row],[Dias de Credito]]&lt;=0,"Contado","Credito")</f>
        <v>Contado</v>
      </c>
      <c r="N511" s="45">
        <f>Cobros[[#This Row],[Fecha Aplicación S]]-Cobros[[#This Row],[Fecha Cargo S]]</f>
        <v>-6</v>
      </c>
      <c r="O511" s="45">
        <f>Cobros[[#This Row],[Dias al pago]]-Cobros[[#This Row],[Dias de Credito]]</f>
        <v>-6</v>
      </c>
      <c r="P511" s="45">
        <f>SUMIFS(TablaDias[Porcentaje],TablaDias[Tipo],Cobros[[#This Row],[Tipo]],TablaDias[Desde ],"&lt;="&amp;MAX(0,Cobros[[#This Row],[Dias pasado]]),TablaDias[Hasta ],"&gt;="&amp;Cobros[[#This Row],[Dias pasado]])</f>
        <v>100</v>
      </c>
      <c r="Q5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1">
        <f>IF(COUNTIF(PAPEL[Numero],Cobros[[#This Row],[Doc. Cargo]])&gt;0,1,0)</f>
        <v>0</v>
      </c>
      <c r="S511" s="46">
        <f t="array" ref="S5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1" s="46">
        <f t="array" ref="T511">INDEX(Ventas[[Unidades]:[2]],MATCH("Gerente de Venta",Ventas[Vendedor %],0),6+Cobros[[#This Row],[Mes]])</f>
        <v>0.005</v>
      </c>
      <c r="U511" s="34">
        <f>IF(Cobros[[#This Row],[Tipo]]="Credito",IF(60&gt;=Cobros[[#This Row],[Dias al pago]],1,0),IF(Cobros[[#This Row],[Dias al pago]]&lt;=3,1,0))</f>
        <v>1</v>
      </c>
      <c r="V511" s="46">
        <f>(Cobros[[#This Row],[% A pagar Vendedor]]/100)*Cobros[[#This Row],[Valor Pagado]]*Cobros[[#This Row],[Vencido]]*(Cobros[[#This Row],[% aplicar]]/100)*IF(Cobros[[#This Row],[% A pagar Vendedor]]&gt;0,1,0)</f>
        <v>0.005</v>
      </c>
      <c r="W511" s="46">
        <f>0.5%*Cobros[[#This Row],[Valor Pagado]]</f>
        <v>0.002</v>
      </c>
    </row>
    <row r="512" spans="1:23">
      <c r="A512" s="49" t="s">
        <v>3875</v>
      </c>
      <c r="B512" s="49" t="s">
        <v>4646</v>
      </c>
      <c r="C512" s="49" t="s">
        <v>1220</v>
      </c>
      <c r="D512" s="49" t="s">
        <v>1221</v>
      </c>
      <c r="E512" s="49" t="s">
        <v>4645</v>
      </c>
      <c r="F512" s="51">
        <v>46218</v>
      </c>
      <c r="G512" s="49">
        <v>5.55</v>
      </c>
      <c r="H512" s="49" t="s">
        <v>20</v>
      </c>
      <c r="I512" s="51">
        <v>46218</v>
      </c>
      <c r="J512" s="54">
        <f>INT(Cobros[[#This Row],[Fecha Cargo]])</f>
        <v>46218</v>
      </c>
      <c r="K512" s="54">
        <f>INT(Cobros[[#This Row],[Fecha Aplicacion]])</f>
        <v>46218</v>
      </c>
      <c r="L512" s="55">
        <f>INDEX(Clientes[Días Plazo],MATCH(Cobros[[#This Row],[Cod. Cliente]],Clientes[Codigo],0),1)</f>
        <v>0</v>
      </c>
      <c r="M512" s="45" t="str">
        <f>IF(Cobros[[#This Row],[Dias de Credito]]&lt;=0,"Contado","Credito")</f>
        <v>Contado</v>
      </c>
      <c r="N512" s="45">
        <f>Cobros[[#This Row],[Fecha Aplicación S]]-Cobros[[#This Row],[Fecha Cargo S]]</f>
        <v>0</v>
      </c>
      <c r="O512" s="45">
        <f>Cobros[[#This Row],[Dias al pago]]-Cobros[[#This Row],[Dias de Credito]]</f>
        <v>0</v>
      </c>
      <c r="P512" s="45">
        <f>SUMIFS(TablaDias[Porcentaje],TablaDias[Tipo],Cobros[[#This Row],[Tipo]],TablaDias[Desde ],"&lt;="&amp;MAX(0,Cobros[[#This Row],[Dias pasado]]),TablaDias[Hasta ],"&gt;="&amp;Cobros[[#This Row],[Dias pasado]])</f>
        <v>100</v>
      </c>
      <c r="Q51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2">
        <f>IF(COUNTIF(PAPEL[Numero],Cobros[[#This Row],[Doc. Cargo]])&gt;0,1,0)</f>
        <v>0</v>
      </c>
      <c r="S512" s="46">
        <f t="array" ref="S5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2" s="46">
        <f t="array" ref="T512">INDEX(Ventas[[Unidades]:[2]],MATCH("Gerente de Venta",Ventas[Vendedor %],0),6+Cobros[[#This Row],[Mes]])</f>
        <v>0.005</v>
      </c>
      <c r="U512" s="34">
        <f>IF(Cobros[[#This Row],[Tipo]]="Credito",IF(60&gt;=Cobros[[#This Row],[Dias al pago]],1,0),IF(Cobros[[#This Row],[Dias al pago]]&lt;=3,1,0))</f>
        <v>1</v>
      </c>
      <c r="V512" s="46">
        <f>(Cobros[[#This Row],[% A pagar Vendedor]]/100)*Cobros[[#This Row],[Valor Pagado]]*Cobros[[#This Row],[Vencido]]*(Cobros[[#This Row],[% aplicar]]/100)*IF(Cobros[[#This Row],[% A pagar Vendedor]]&gt;0,1,0)</f>
        <v>0.069375</v>
      </c>
      <c r="W512" s="46">
        <f>0.5%*Cobros[[#This Row],[Valor Pagado]]</f>
        <v>0.02775</v>
      </c>
    </row>
    <row r="513" spans="1:23">
      <c r="A513" s="49" t="s">
        <v>3875</v>
      </c>
      <c r="B513" s="49" t="s">
        <v>4646</v>
      </c>
      <c r="C513" s="49" t="s">
        <v>1220</v>
      </c>
      <c r="D513" s="49" t="s">
        <v>1221</v>
      </c>
      <c r="E513" s="49" t="s">
        <v>4647</v>
      </c>
      <c r="F513" s="51">
        <v>46218</v>
      </c>
      <c r="G513" s="49">
        <v>104.65</v>
      </c>
      <c r="H513" s="49" t="s">
        <v>20</v>
      </c>
      <c r="I513" s="51">
        <v>46218</v>
      </c>
      <c r="J513" s="54">
        <f>INT(Cobros[[#This Row],[Fecha Cargo]])</f>
        <v>46218</v>
      </c>
      <c r="K513" s="54">
        <f>INT(Cobros[[#This Row],[Fecha Aplicacion]])</f>
        <v>46218</v>
      </c>
      <c r="L513" s="55">
        <f>INDEX(Clientes[Días Plazo],MATCH(Cobros[[#This Row],[Cod. Cliente]],Clientes[Codigo],0),1)</f>
        <v>0</v>
      </c>
      <c r="M513" s="45" t="str">
        <f>IF(Cobros[[#This Row],[Dias de Credito]]&lt;=0,"Contado","Credito")</f>
        <v>Contado</v>
      </c>
      <c r="N513" s="45">
        <f>Cobros[[#This Row],[Fecha Aplicación S]]-Cobros[[#This Row],[Fecha Cargo S]]</f>
        <v>0</v>
      </c>
      <c r="O513" s="45">
        <f>Cobros[[#This Row],[Dias al pago]]-Cobros[[#This Row],[Dias de Credito]]</f>
        <v>0</v>
      </c>
      <c r="P513" s="45">
        <f>SUMIFS(TablaDias[Porcentaje],TablaDias[Tipo],Cobros[[#This Row],[Tipo]],TablaDias[Desde ],"&lt;="&amp;MAX(0,Cobros[[#This Row],[Dias pasado]]),TablaDias[Hasta ],"&gt;="&amp;Cobros[[#This Row],[Dias pasado]])</f>
        <v>100</v>
      </c>
      <c r="Q51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3">
        <f>IF(COUNTIF(PAPEL[Numero],Cobros[[#This Row],[Doc. Cargo]])&gt;0,1,0)</f>
        <v>0</v>
      </c>
      <c r="S513" s="46">
        <f t="array" ref="S5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3" s="46">
        <f t="array" ref="T513">INDEX(Ventas[[Unidades]:[2]],MATCH("Gerente de Venta",Ventas[Vendedor %],0),6+Cobros[[#This Row],[Mes]])</f>
        <v>0.005</v>
      </c>
      <c r="U513" s="34">
        <f>IF(Cobros[[#This Row],[Tipo]]="Credito",IF(60&gt;=Cobros[[#This Row],[Dias al pago]],1,0),IF(Cobros[[#This Row],[Dias al pago]]&lt;=3,1,0))</f>
        <v>1</v>
      </c>
      <c r="V513" s="46">
        <f>(Cobros[[#This Row],[% A pagar Vendedor]]/100)*Cobros[[#This Row],[Valor Pagado]]*Cobros[[#This Row],[Vencido]]*(Cobros[[#This Row],[% aplicar]]/100)*IF(Cobros[[#This Row],[% A pagar Vendedor]]&gt;0,1,0)</f>
        <v>1.308125</v>
      </c>
      <c r="W513" s="46">
        <f>0.5%*Cobros[[#This Row],[Valor Pagado]]</f>
        <v>0.52325</v>
      </c>
    </row>
    <row r="514" spans="1:23">
      <c r="A514" s="49" t="s">
        <v>3875</v>
      </c>
      <c r="B514" s="49" t="s">
        <v>4032</v>
      </c>
      <c r="C514" s="49" t="s">
        <v>3703</v>
      </c>
      <c r="D514" s="49" t="s">
        <v>3704</v>
      </c>
      <c r="E514" s="49" t="s">
        <v>4648</v>
      </c>
      <c r="F514" s="51">
        <v>46209</v>
      </c>
      <c r="G514" s="49">
        <v>3.41</v>
      </c>
      <c r="H514" s="49" t="s">
        <v>18</v>
      </c>
      <c r="I514" s="51">
        <v>46209</v>
      </c>
      <c r="J514" s="54">
        <f>INT(Cobros[[#This Row],[Fecha Cargo]])</f>
        <v>46209</v>
      </c>
      <c r="K514" s="54">
        <f>INT(Cobros[[#This Row],[Fecha Aplicacion]])</f>
        <v>46209</v>
      </c>
      <c r="L514" s="55" t="str">
        <f>INDEX(Clientes[Días Plazo],MATCH(Cobros[[#This Row],[Cod. Cliente]],Clientes[Codigo],0),1)</f>
        <v>7</v>
      </c>
      <c r="M514" s="45" t="str">
        <f>IF(Cobros[[#This Row],[Dias de Credito]]&lt;=0,"Contado","Credito")</f>
        <v>Credito</v>
      </c>
      <c r="N514" s="45">
        <f>Cobros[[#This Row],[Fecha Aplicación S]]-Cobros[[#This Row],[Fecha Cargo S]]</f>
        <v>0</v>
      </c>
      <c r="O514" s="45">
        <f>Cobros[[#This Row],[Dias al pago]]-Cobros[[#This Row],[Dias de Credito]]</f>
        <v>-7</v>
      </c>
      <c r="P514" s="45">
        <f>SUMIFS(TablaDias[Porcentaje],TablaDias[Tipo],Cobros[[#This Row],[Tipo]],TablaDias[Desde ],"&lt;="&amp;MAX(0,Cobros[[#This Row],[Dias pasado]]),TablaDias[Hasta ],"&gt;="&amp;Cobros[[#This Row],[Dias pasado]])</f>
        <v>100</v>
      </c>
      <c r="Q51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4">
        <f>IF(COUNTIF(PAPEL[Numero],Cobros[[#This Row],[Doc. Cargo]])&gt;0,1,0)</f>
        <v>0</v>
      </c>
      <c r="S514" s="46">
        <f t="array" ref="S5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4" s="46">
        <f t="array" ref="T514">INDEX(Ventas[[Unidades]:[2]],MATCH("Gerente de Venta",Ventas[Vendedor %],0),6+Cobros[[#This Row],[Mes]])</f>
        <v>0.005</v>
      </c>
      <c r="U514" s="34">
        <f>IF(Cobros[[#This Row],[Tipo]]="Credito",IF(60&gt;=Cobros[[#This Row],[Dias al pago]],1,0),IF(Cobros[[#This Row],[Dias al pago]]&lt;=3,1,0))</f>
        <v>1</v>
      </c>
      <c r="V514" s="46">
        <f>(Cobros[[#This Row],[% A pagar Vendedor]]/100)*Cobros[[#This Row],[Valor Pagado]]*Cobros[[#This Row],[Vencido]]*(Cobros[[#This Row],[% aplicar]]/100)*IF(Cobros[[#This Row],[% A pagar Vendedor]]&gt;0,1,0)</f>
        <v>0.042625</v>
      </c>
      <c r="W514" s="46">
        <f>0.5%*Cobros[[#This Row],[Valor Pagado]]</f>
        <v>0.01705</v>
      </c>
    </row>
    <row r="515" spans="1:23">
      <c r="A515" s="49" t="s">
        <v>3875</v>
      </c>
      <c r="B515" s="49" t="s">
        <v>4649</v>
      </c>
      <c r="C515" s="49" t="s">
        <v>3703</v>
      </c>
      <c r="D515" s="49" t="s">
        <v>3704</v>
      </c>
      <c r="E515" s="49" t="s">
        <v>4648</v>
      </c>
      <c r="F515" s="51">
        <v>46209</v>
      </c>
      <c r="G515" s="49">
        <v>510.59</v>
      </c>
      <c r="H515" s="49" t="s">
        <v>18</v>
      </c>
      <c r="I515" s="51">
        <v>46218</v>
      </c>
      <c r="J515" s="54">
        <f>INT(Cobros[[#This Row],[Fecha Cargo]])</f>
        <v>46209</v>
      </c>
      <c r="K515" s="54">
        <f>INT(Cobros[[#This Row],[Fecha Aplicacion]])</f>
        <v>46218</v>
      </c>
      <c r="L515" s="55" t="str">
        <f>INDEX(Clientes[Días Plazo],MATCH(Cobros[[#This Row],[Cod. Cliente]],Clientes[Codigo],0),1)</f>
        <v>7</v>
      </c>
      <c r="M515" s="45" t="str">
        <f>IF(Cobros[[#This Row],[Dias de Credito]]&lt;=0,"Contado","Credito")</f>
        <v>Credito</v>
      </c>
      <c r="N515" s="45">
        <f>Cobros[[#This Row],[Fecha Aplicación S]]-Cobros[[#This Row],[Fecha Cargo S]]</f>
        <v>9</v>
      </c>
      <c r="O515" s="45">
        <f>Cobros[[#This Row],[Dias al pago]]-Cobros[[#This Row],[Dias de Credito]]</f>
        <v>2</v>
      </c>
      <c r="P515" s="45">
        <f>SUMIFS(TablaDias[Porcentaje],TablaDias[Tipo],Cobros[[#This Row],[Tipo]],TablaDias[Desde ],"&lt;="&amp;MAX(0,Cobros[[#This Row],[Dias pasado]]),TablaDias[Hasta ],"&gt;="&amp;Cobros[[#This Row],[Dias pasado]])</f>
        <v>100</v>
      </c>
      <c r="Q51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5">
        <f>IF(COUNTIF(PAPEL[Numero],Cobros[[#This Row],[Doc. Cargo]])&gt;0,1,0)</f>
        <v>0</v>
      </c>
      <c r="S515" s="46">
        <f t="array" ref="S5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5" s="46">
        <f t="array" ref="T515">INDEX(Ventas[[Unidades]:[2]],MATCH("Gerente de Venta",Ventas[Vendedor %],0),6+Cobros[[#This Row],[Mes]])</f>
        <v>0.005</v>
      </c>
      <c r="U515" s="34">
        <f>IF(Cobros[[#This Row],[Tipo]]="Credito",IF(60&gt;=Cobros[[#This Row],[Dias al pago]],1,0),IF(Cobros[[#This Row],[Dias al pago]]&lt;=3,1,0))</f>
        <v>1</v>
      </c>
      <c r="V515" s="46">
        <f>(Cobros[[#This Row],[% A pagar Vendedor]]/100)*Cobros[[#This Row],[Valor Pagado]]*Cobros[[#This Row],[Vencido]]*(Cobros[[#This Row],[% aplicar]]/100)*IF(Cobros[[#This Row],[% A pagar Vendedor]]&gt;0,1,0)</f>
        <v>6.382375</v>
      </c>
      <c r="W515" s="46">
        <f>0.5%*Cobros[[#This Row],[Valor Pagado]]</f>
        <v>2.55295</v>
      </c>
    </row>
    <row r="516" spans="1:23">
      <c r="A516" s="49" t="s">
        <v>3860</v>
      </c>
      <c r="B516" s="49" t="s">
        <v>4650</v>
      </c>
      <c r="C516" s="49" t="s">
        <v>3820</v>
      </c>
      <c r="D516" s="49" t="s">
        <v>3821</v>
      </c>
      <c r="E516" s="49" t="s">
        <v>4651</v>
      </c>
      <c r="F516" s="51">
        <v>46218</v>
      </c>
      <c r="G516" s="49">
        <v>166.85</v>
      </c>
      <c r="H516" s="49" t="s">
        <v>16</v>
      </c>
      <c r="I516" s="51">
        <v>46218</v>
      </c>
      <c r="J516" s="54">
        <f>INT(Cobros[[#This Row],[Fecha Cargo]])</f>
        <v>46218</v>
      </c>
      <c r="K516" s="54">
        <f>INT(Cobros[[#This Row],[Fecha Aplicacion]])</f>
        <v>46218</v>
      </c>
      <c r="L516" s="55">
        <f>INDEX(Clientes[Días Plazo],MATCH(Cobros[[#This Row],[Cod. Cliente]],Clientes[Codigo],0),1)</f>
        <v>0</v>
      </c>
      <c r="M516" s="45" t="str">
        <f>IF(Cobros[[#This Row],[Dias de Credito]]&lt;=0,"Contado","Credito")</f>
        <v>Contado</v>
      </c>
      <c r="N516" s="45">
        <f>Cobros[[#This Row],[Fecha Aplicación S]]-Cobros[[#This Row],[Fecha Cargo S]]</f>
        <v>0</v>
      </c>
      <c r="O516" s="45">
        <f>Cobros[[#This Row],[Dias al pago]]-Cobros[[#This Row],[Dias de Credito]]</f>
        <v>0</v>
      </c>
      <c r="P516" s="45">
        <f>SUMIFS(TablaDias[Porcentaje],TablaDias[Tipo],Cobros[[#This Row],[Tipo]],TablaDias[Desde ],"&lt;="&amp;MAX(0,Cobros[[#This Row],[Dias pasado]]),TablaDias[Hasta ],"&gt;="&amp;Cobros[[#This Row],[Dias pasado]])</f>
        <v>100</v>
      </c>
      <c r="Q51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6">
        <f>IF(COUNTIF(PAPEL[Numero],Cobros[[#This Row],[Doc. Cargo]])&gt;0,1,0)</f>
        <v>0</v>
      </c>
      <c r="S516" s="46">
        <f t="array" ref="S5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6" s="47">
        <v>0.005</v>
      </c>
      <c r="U516" s="34">
        <f>IF(Cobros[[#This Row],[Tipo]]="Credito",IF(60&gt;=Cobros[[#This Row],[Dias al pago]],1,0),IF(Cobros[[#This Row],[Dias al pago]]&lt;=3,1,0))</f>
        <v>1</v>
      </c>
      <c r="V516" s="46">
        <f>(Cobros[[#This Row],[% A pagar Vendedor]]/100)*Cobros[[#This Row],[Valor Pagado]]*Cobros[[#This Row],[Vencido]]*(Cobros[[#This Row],[% aplicar]]/100)*IF(Cobros[[#This Row],[% A pagar Vendedor]]&gt;0,1,0)</f>
        <v>2.085625</v>
      </c>
      <c r="W516" s="46">
        <f>0.5%*Cobros[[#This Row],[Valor Pagado]]</f>
        <v>0.83425</v>
      </c>
    </row>
    <row r="517" spans="1:23">
      <c r="A517" s="49" t="s">
        <v>3860</v>
      </c>
      <c r="B517" s="49" t="s">
        <v>4652</v>
      </c>
      <c r="C517" s="49" t="s">
        <v>3820</v>
      </c>
      <c r="D517" s="49" t="s">
        <v>3821</v>
      </c>
      <c r="E517" s="49" t="s">
        <v>4653</v>
      </c>
      <c r="F517" s="51">
        <v>46218</v>
      </c>
      <c r="G517" s="49">
        <v>62.25</v>
      </c>
      <c r="H517" s="49" t="s">
        <v>16</v>
      </c>
      <c r="I517" s="51">
        <v>46218</v>
      </c>
      <c r="J517" s="54">
        <f>INT(Cobros[[#This Row],[Fecha Cargo]])</f>
        <v>46218</v>
      </c>
      <c r="K517" s="54">
        <f>INT(Cobros[[#This Row],[Fecha Aplicacion]])</f>
        <v>46218</v>
      </c>
      <c r="L517" s="55">
        <f>INDEX(Clientes[Días Plazo],MATCH(Cobros[[#This Row],[Cod. Cliente]],Clientes[Codigo],0),1)</f>
        <v>0</v>
      </c>
      <c r="M517" s="45" t="str">
        <f>IF(Cobros[[#This Row],[Dias de Credito]]&lt;=0,"Contado","Credito")</f>
        <v>Contado</v>
      </c>
      <c r="N517" s="45">
        <f>Cobros[[#This Row],[Fecha Aplicación S]]-Cobros[[#This Row],[Fecha Cargo S]]</f>
        <v>0</v>
      </c>
      <c r="O517" s="45">
        <f>Cobros[[#This Row],[Dias al pago]]-Cobros[[#This Row],[Dias de Credito]]</f>
        <v>0</v>
      </c>
      <c r="P517" s="45">
        <f>SUMIFS(TablaDias[Porcentaje],TablaDias[Tipo],Cobros[[#This Row],[Tipo]],TablaDias[Desde ],"&lt;="&amp;MAX(0,Cobros[[#This Row],[Dias pasado]]),TablaDias[Hasta ],"&gt;="&amp;Cobros[[#This Row],[Dias pasado]])</f>
        <v>100</v>
      </c>
      <c r="Q51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7">
        <f>IF(COUNTIF(PAPEL[Numero],Cobros[[#This Row],[Doc. Cargo]])&gt;0,1,0)</f>
        <v>0</v>
      </c>
      <c r="S517" s="46">
        <f t="array" ref="S5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7" s="47">
        <v>0.005</v>
      </c>
      <c r="U517" s="34">
        <f>IF(Cobros[[#This Row],[Tipo]]="Credito",IF(60&gt;=Cobros[[#This Row],[Dias al pago]],1,0),IF(Cobros[[#This Row],[Dias al pago]]&lt;=3,1,0))</f>
        <v>1</v>
      </c>
      <c r="V517" s="46">
        <f>(Cobros[[#This Row],[% A pagar Vendedor]]/100)*Cobros[[#This Row],[Valor Pagado]]*Cobros[[#This Row],[Vencido]]*(Cobros[[#This Row],[% aplicar]]/100)*IF(Cobros[[#This Row],[% A pagar Vendedor]]&gt;0,1,0)</f>
        <v>0.778125</v>
      </c>
      <c r="W517" s="46">
        <f>0.5%*Cobros[[#This Row],[Valor Pagado]]</f>
        <v>0.31125</v>
      </c>
    </row>
    <row r="518" ht="30" spans="1:23">
      <c r="A518" s="49" t="s">
        <v>3875</v>
      </c>
      <c r="B518" s="49" t="s">
        <v>4654</v>
      </c>
      <c r="C518" s="49" t="s">
        <v>3727</v>
      </c>
      <c r="D518" s="49" t="s">
        <v>3728</v>
      </c>
      <c r="E518" s="49" t="s">
        <v>4655</v>
      </c>
      <c r="F518" s="51">
        <v>46218</v>
      </c>
      <c r="G518" s="49">
        <v>71</v>
      </c>
      <c r="H518" s="49" t="s">
        <v>22</v>
      </c>
      <c r="I518" s="51">
        <v>46218</v>
      </c>
      <c r="J518" s="54">
        <f>INT(Cobros[[#This Row],[Fecha Cargo]])</f>
        <v>46218</v>
      </c>
      <c r="K518" s="54">
        <f>INT(Cobros[[#This Row],[Fecha Aplicacion]])</f>
        <v>46218</v>
      </c>
      <c r="L518" s="55">
        <f>INDEX(Clientes[Días Plazo],MATCH(Cobros[[#This Row],[Cod. Cliente]],Clientes[Codigo],0),1)</f>
        <v>0</v>
      </c>
      <c r="M518" s="45" t="str">
        <f>IF(Cobros[[#This Row],[Dias de Credito]]&lt;=0,"Contado","Credito")</f>
        <v>Contado</v>
      </c>
      <c r="N518" s="45">
        <f>Cobros[[#This Row],[Fecha Aplicación S]]-Cobros[[#This Row],[Fecha Cargo S]]</f>
        <v>0</v>
      </c>
      <c r="O518" s="45">
        <f>Cobros[[#This Row],[Dias al pago]]-Cobros[[#This Row],[Dias de Credito]]</f>
        <v>0</v>
      </c>
      <c r="P518" s="45">
        <f>SUMIFS(TablaDias[Porcentaje],TablaDias[Tipo],Cobros[[#This Row],[Tipo]],TablaDias[Desde ],"&lt;="&amp;MAX(0,Cobros[[#This Row],[Dias pasado]]),TablaDias[Hasta ],"&gt;="&amp;Cobros[[#This Row],[Dias pasado]])</f>
        <v>100</v>
      </c>
      <c r="Q51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8">
        <f>IF(COUNTIF(PAPEL[Numero],Cobros[[#This Row],[Doc. Cargo]])&gt;0,1,0)</f>
        <v>0</v>
      </c>
      <c r="S518" s="46">
        <f t="array" ref="S5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18" s="46">
        <f t="array" ref="T518">INDEX(Ventas[[Unidades]:[2]],MATCH("Gerente de Venta",Ventas[Vendedor %],0),6+Cobros[[#This Row],[Mes]])</f>
        <v>0.005</v>
      </c>
      <c r="U518" s="34">
        <f>IF(Cobros[[#This Row],[Tipo]]="Credito",IF(60&gt;=Cobros[[#This Row],[Dias al pago]],1,0),IF(Cobros[[#This Row],[Dias al pago]]&lt;=3,1,0))</f>
        <v>1</v>
      </c>
      <c r="V518" s="46">
        <f>(Cobros[[#This Row],[% A pagar Vendedor]]/100)*Cobros[[#This Row],[Valor Pagado]]*Cobros[[#This Row],[Vencido]]*(Cobros[[#This Row],[% aplicar]]/100)*IF(Cobros[[#This Row],[% A pagar Vendedor]]&gt;0,1,0)</f>
        <v>0.71</v>
      </c>
      <c r="W518" s="46">
        <f>0.5%*Cobros[[#This Row],[Valor Pagado]]</f>
        <v>0.355</v>
      </c>
    </row>
    <row r="519" spans="1:23">
      <c r="A519" s="49" t="s">
        <v>3922</v>
      </c>
      <c r="B519" s="49" t="s">
        <v>4656</v>
      </c>
      <c r="C519" s="49" t="s">
        <v>2576</v>
      </c>
      <c r="D519" s="49" t="s">
        <v>2577</v>
      </c>
      <c r="E519" s="49" t="s">
        <v>4657</v>
      </c>
      <c r="F519" s="51">
        <v>46218</v>
      </c>
      <c r="G519" s="49">
        <v>3762</v>
      </c>
      <c r="H519" s="49" t="s">
        <v>20</v>
      </c>
      <c r="I519" s="51">
        <v>46218</v>
      </c>
      <c r="J519" s="54">
        <f>INT(Cobros[[#This Row],[Fecha Cargo]])</f>
        <v>46218</v>
      </c>
      <c r="K519" s="54">
        <f>INT(Cobros[[#This Row],[Fecha Aplicacion]])</f>
        <v>46218</v>
      </c>
      <c r="L519" s="55" t="str">
        <f>INDEX(Clientes[Días Plazo],MATCH(Cobros[[#This Row],[Cod. Cliente]],Clientes[Codigo],0),1)</f>
        <v>7</v>
      </c>
      <c r="M519" s="45" t="str">
        <f>IF(Cobros[[#This Row],[Dias de Credito]]&lt;=0,"Contado","Credito")</f>
        <v>Credito</v>
      </c>
      <c r="N519" s="45">
        <f>Cobros[[#This Row],[Fecha Aplicación S]]-Cobros[[#This Row],[Fecha Cargo S]]</f>
        <v>0</v>
      </c>
      <c r="O519" s="45">
        <f>Cobros[[#This Row],[Dias al pago]]-Cobros[[#This Row],[Dias de Credito]]</f>
        <v>-7</v>
      </c>
      <c r="P519" s="45">
        <f>SUMIFS(TablaDias[Porcentaje],TablaDias[Tipo],Cobros[[#This Row],[Tipo]],TablaDias[Desde ],"&lt;="&amp;MAX(0,Cobros[[#This Row],[Dias pasado]]),TablaDias[Hasta ],"&gt;="&amp;Cobros[[#This Row],[Dias pasado]])</f>
        <v>100</v>
      </c>
      <c r="Q51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19">
        <f>IF(COUNTIF(PAPEL[Numero],Cobros[[#This Row],[Doc. Cargo]])&gt;0,1,0)</f>
        <v>0</v>
      </c>
      <c r="S519" s="46">
        <f t="array" ref="S5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19" s="46">
        <f t="array" ref="T519">INDEX(Ventas[[Unidades]:[2]],MATCH("Gerente de Venta",Ventas[Vendedor %],0),6+Cobros[[#This Row],[Mes]])</f>
        <v>0.005</v>
      </c>
      <c r="U519" s="34">
        <f>IF(Cobros[[#This Row],[Tipo]]="Credito",IF(60&gt;=Cobros[[#This Row],[Dias al pago]],1,0),IF(Cobros[[#This Row],[Dias al pago]]&lt;=3,1,0))</f>
        <v>1</v>
      </c>
      <c r="V519" s="46">
        <f>(Cobros[[#This Row],[% A pagar Vendedor]]/100)*Cobros[[#This Row],[Valor Pagado]]*Cobros[[#This Row],[Vencido]]*(Cobros[[#This Row],[% aplicar]]/100)*IF(Cobros[[#This Row],[% A pagar Vendedor]]&gt;0,1,0)</f>
        <v>47.025</v>
      </c>
      <c r="W519" s="46">
        <f>0.5%*Cobros[[#This Row],[Valor Pagado]]</f>
        <v>18.81</v>
      </c>
    </row>
    <row r="520" spans="1:24">
      <c r="A520" s="49" t="s">
        <v>3860</v>
      </c>
      <c r="B520" s="49" t="s">
        <v>4658</v>
      </c>
      <c r="C520" s="49" t="s">
        <v>1915</v>
      </c>
      <c r="D520" s="49" t="s">
        <v>1916</v>
      </c>
      <c r="E520" s="49" t="s">
        <v>4659</v>
      </c>
      <c r="F520" s="51">
        <v>46210</v>
      </c>
      <c r="G520" s="49">
        <v>173.99</v>
      </c>
      <c r="H520" s="49" t="s">
        <v>19</v>
      </c>
      <c r="I520" s="51">
        <v>46210</v>
      </c>
      <c r="J520" s="54">
        <f>INT(Cobros[[#This Row],[Fecha Cargo]])</f>
        <v>46210</v>
      </c>
      <c r="K520" s="54">
        <f>INT(Cobros[[#This Row],[Fecha Aplicacion]])</f>
        <v>46210</v>
      </c>
      <c r="L520" s="55">
        <f>INDEX(Clientes[Días Plazo],MATCH(Cobros[[#This Row],[Cod. Cliente]],Clientes[Codigo],0),1)</f>
        <v>0</v>
      </c>
      <c r="M520" s="45" t="str">
        <f>IF(Cobros[[#This Row],[Dias de Credito]]&lt;=0,"Contado","Credito")</f>
        <v>Contado</v>
      </c>
      <c r="N520" s="45">
        <f>Cobros[[#This Row],[Fecha Aplicación S]]-Cobros[[#This Row],[Fecha Cargo S]]</f>
        <v>0</v>
      </c>
      <c r="O520" s="45">
        <f>Cobros[[#This Row],[Dias al pago]]-Cobros[[#This Row],[Dias de Credito]]</f>
        <v>0</v>
      </c>
      <c r="P520" s="45">
        <f>SUMIFS(TablaDias[Porcentaje],TablaDias[Tipo],Cobros[[#This Row],[Tipo]],TablaDias[Desde ],"&lt;="&amp;MAX(0,Cobros[[#This Row],[Dias pasado]]),TablaDias[Hasta ],"&gt;="&amp;Cobros[[#This Row],[Dias pasado]])</f>
        <v>100</v>
      </c>
      <c r="Q52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20">
        <f>IF(COUNTIF(PAPEL[Numero],Cobros[[#This Row],[Doc. Cargo]])&gt;0,1,0)</f>
        <v>0</v>
      </c>
      <c r="S520" s="46">
        <f t="array" ref="S5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20" s="46">
        <f t="array" ref="T520">INDEX(Ventas[[Unidades]:[2]],MATCH("Gerente de Venta",Ventas[Vendedor %],0),6+Cobros[[#This Row],[Mes]])</f>
        <v>0.005</v>
      </c>
      <c r="U520" s="34">
        <f>IF(Cobros[[#This Row],[Tipo]]="Credito",IF(60&gt;=Cobros[[#This Row],[Dias al pago]],1,0),IF(Cobros[[#This Row],[Dias al pago]]&lt;=3,1,0))</f>
        <v>1</v>
      </c>
      <c r="V520" s="46">
        <f>(Cobros[[#This Row],[% A pagar Vendedor]]/100)*Cobros[[#This Row],[Valor Pagado]]*Cobros[[#This Row],[Vencido]]*(Cobros[[#This Row],[% aplicar]]/100)*IF(Cobros[[#This Row],[% A pagar Vendedor]]&gt;0,1,0)</f>
        <v>2.174875</v>
      </c>
      <c r="W520" s="46">
        <f>0.5%*Cobros[[#This Row],[Valor Pagado]]</f>
        <v>0.86995</v>
      </c>
      <c r="X520" s="60"/>
    </row>
    <row r="521" ht="30" spans="1:23">
      <c r="A521" s="49" t="s">
        <v>3931</v>
      </c>
      <c r="B521" s="49" t="s">
        <v>4660</v>
      </c>
      <c r="C521" s="49" t="s">
        <v>2934</v>
      </c>
      <c r="D521" s="49" t="s">
        <v>2935</v>
      </c>
      <c r="E521" s="49" t="s">
        <v>4502</v>
      </c>
      <c r="F521" s="51">
        <v>46183</v>
      </c>
      <c r="G521" s="49">
        <v>2250</v>
      </c>
      <c r="H521" s="49" t="s">
        <v>22</v>
      </c>
      <c r="I521" s="51">
        <v>46218</v>
      </c>
      <c r="J521" s="54">
        <f>INT(Cobros[[#This Row],[Fecha Cargo]])</f>
        <v>46183</v>
      </c>
      <c r="K521" s="54">
        <f>INT(Cobros[[#This Row],[Fecha Aplicacion]])</f>
        <v>46218</v>
      </c>
      <c r="L521" s="55" t="str">
        <f>INDEX(Clientes[Días Plazo],MATCH(Cobros[[#This Row],[Cod. Cliente]],Clientes[Codigo],0),1)</f>
        <v>21</v>
      </c>
      <c r="M521" s="45" t="str">
        <f>IF(Cobros[[#This Row],[Dias de Credito]]&lt;=0,"Contado","Credito")</f>
        <v>Credito</v>
      </c>
      <c r="N521" s="45">
        <f>Cobros[[#This Row],[Fecha Aplicación S]]-Cobros[[#This Row],[Fecha Cargo S]]</f>
        <v>35</v>
      </c>
      <c r="O521" s="45">
        <f>Cobros[[#This Row],[Dias al pago]]-Cobros[[#This Row],[Dias de Credito]]</f>
        <v>14</v>
      </c>
      <c r="P521" s="45">
        <f>SUMIFS(TablaDias[Porcentaje],TablaDias[Tipo],Cobros[[#This Row],[Tipo]],TablaDias[Desde ],"&lt;="&amp;MAX(0,Cobros[[#This Row],[Dias pasado]]),TablaDias[Hasta ],"&gt;="&amp;Cobros[[#This Row],[Dias pasado]])</f>
        <v>100</v>
      </c>
      <c r="Q52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21">
        <f>IF(COUNTIF(PAPEL[Numero],Cobros[[#This Row],[Doc. Cargo]])&gt;0,1,0)</f>
        <v>0</v>
      </c>
      <c r="S521" s="46">
        <f t="array" ref="S5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21" s="46">
        <f t="array" ref="T521">INDEX(Ventas[[Unidades]:[2]],MATCH("Gerente de Venta",Ventas[Vendedor %],0),6+Cobros[[#This Row],[Mes]])</f>
        <v>0.005</v>
      </c>
      <c r="U521" s="34">
        <f>IF(Cobros[[#This Row],[Tipo]]="Credito",IF(60&gt;=Cobros[[#This Row],[Dias al pago]],1,0),IF(Cobros[[#This Row],[Dias al pago]]&lt;=3,1,0))</f>
        <v>1</v>
      </c>
      <c r="V521" s="46">
        <f>(Cobros[[#This Row],[% A pagar Vendedor]]/100)*Cobros[[#This Row],[Valor Pagado]]*Cobros[[#This Row],[Vencido]]*(Cobros[[#This Row],[% aplicar]]/100)*IF(Cobros[[#This Row],[% A pagar Vendedor]]&gt;0,1,0)</f>
        <v>22.5</v>
      </c>
      <c r="W521" s="46">
        <f>0.5%*Cobros[[#This Row],[Valor Pagado]]</f>
        <v>11.25</v>
      </c>
    </row>
    <row r="522" spans="1:23">
      <c r="A522" s="49" t="s">
        <v>3922</v>
      </c>
      <c r="B522" s="49" t="s">
        <v>4656</v>
      </c>
      <c r="C522" s="49" t="s">
        <v>2576</v>
      </c>
      <c r="D522" s="49" t="s">
        <v>2577</v>
      </c>
      <c r="E522" s="49" t="s">
        <v>4661</v>
      </c>
      <c r="F522" s="51">
        <v>46211</v>
      </c>
      <c r="G522" s="49">
        <v>601.92</v>
      </c>
      <c r="H522" s="49" t="s">
        <v>20</v>
      </c>
      <c r="I522" s="51">
        <v>46218</v>
      </c>
      <c r="J522" s="54">
        <f>INT(Cobros[[#This Row],[Fecha Cargo]])</f>
        <v>46211</v>
      </c>
      <c r="K522" s="54">
        <f>INT(Cobros[[#This Row],[Fecha Aplicacion]])</f>
        <v>46218</v>
      </c>
      <c r="L522" s="55" t="str">
        <f>INDEX(Clientes[Días Plazo],MATCH(Cobros[[#This Row],[Cod. Cliente]],Clientes[Codigo],0),1)</f>
        <v>7</v>
      </c>
      <c r="M522" s="45" t="str">
        <f>IF(Cobros[[#This Row],[Dias de Credito]]&lt;=0,"Contado","Credito")</f>
        <v>Credito</v>
      </c>
      <c r="N522" s="45">
        <f>Cobros[[#This Row],[Fecha Aplicación S]]-Cobros[[#This Row],[Fecha Cargo S]]</f>
        <v>7</v>
      </c>
      <c r="O522" s="45">
        <f>Cobros[[#This Row],[Dias al pago]]-Cobros[[#This Row],[Dias de Credito]]</f>
        <v>0</v>
      </c>
      <c r="P522" s="45">
        <f>SUMIFS(TablaDias[Porcentaje],TablaDias[Tipo],Cobros[[#This Row],[Tipo]],TablaDias[Desde ],"&lt;="&amp;MAX(0,Cobros[[#This Row],[Dias pasado]]),TablaDias[Hasta ],"&gt;="&amp;Cobros[[#This Row],[Dias pasado]])</f>
        <v>100</v>
      </c>
      <c r="Q52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22">
        <f>IF(COUNTIF(PAPEL[Numero],Cobros[[#This Row],[Doc. Cargo]])&gt;0,1,0)</f>
        <v>0</v>
      </c>
      <c r="S522" s="46">
        <f t="array" ref="S5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22" s="46">
        <f t="array" ref="T522">INDEX(Ventas[[Unidades]:[2]],MATCH("Gerente de Venta",Ventas[Vendedor %],0),6+Cobros[[#This Row],[Mes]])</f>
        <v>0.005</v>
      </c>
      <c r="U522" s="34">
        <f>IF(Cobros[[#This Row],[Tipo]]="Credito",IF(60&gt;=Cobros[[#This Row],[Dias al pago]],1,0),IF(Cobros[[#This Row],[Dias al pago]]&lt;=3,1,0))</f>
        <v>1</v>
      </c>
      <c r="V522" s="46">
        <f>(Cobros[[#This Row],[% A pagar Vendedor]]/100)*Cobros[[#This Row],[Valor Pagado]]*Cobros[[#This Row],[Vencido]]*(Cobros[[#This Row],[% aplicar]]/100)*IF(Cobros[[#This Row],[% A pagar Vendedor]]&gt;0,1,0)</f>
        <v>7.524</v>
      </c>
      <c r="W522" s="46">
        <f>0.5%*Cobros[[#This Row],[Valor Pagado]]</f>
        <v>3.0096</v>
      </c>
    </row>
    <row r="523" spans="1:23">
      <c r="A523" s="49" t="s">
        <v>3860</v>
      </c>
      <c r="B523" s="49" t="s">
        <v>4638</v>
      </c>
      <c r="C523" s="49" t="s">
        <v>2576</v>
      </c>
      <c r="D523" s="49" t="s">
        <v>2577</v>
      </c>
      <c r="E523" s="49" t="s">
        <v>4661</v>
      </c>
      <c r="F523" s="51">
        <v>46211</v>
      </c>
      <c r="G523" s="49">
        <v>0.15</v>
      </c>
      <c r="H523" s="49" t="s">
        <v>20</v>
      </c>
      <c r="I523" s="51">
        <v>46218</v>
      </c>
      <c r="J523" s="54">
        <f>INT(Cobros[[#This Row],[Fecha Cargo]])</f>
        <v>46211</v>
      </c>
      <c r="K523" s="54">
        <f>INT(Cobros[[#This Row],[Fecha Aplicacion]])</f>
        <v>46218</v>
      </c>
      <c r="L523" s="55" t="str">
        <f>INDEX(Clientes[Días Plazo],MATCH(Cobros[[#This Row],[Cod. Cliente]],Clientes[Codigo],0),1)</f>
        <v>7</v>
      </c>
      <c r="M523" s="45" t="str">
        <f>IF(Cobros[[#This Row],[Dias de Credito]]&lt;=0,"Contado","Credito")</f>
        <v>Credito</v>
      </c>
      <c r="N523" s="45">
        <f>Cobros[[#This Row],[Fecha Aplicación S]]-Cobros[[#This Row],[Fecha Cargo S]]</f>
        <v>7</v>
      </c>
      <c r="O523" s="45">
        <f>Cobros[[#This Row],[Dias al pago]]-Cobros[[#This Row],[Dias de Credito]]</f>
        <v>0</v>
      </c>
      <c r="P523" s="45">
        <f>SUMIFS(TablaDias[Porcentaje],TablaDias[Tipo],Cobros[[#This Row],[Tipo]],TablaDias[Desde ],"&lt;="&amp;MAX(0,Cobros[[#This Row],[Dias pasado]]),TablaDias[Hasta ],"&gt;="&amp;Cobros[[#This Row],[Dias pasado]])</f>
        <v>100</v>
      </c>
      <c r="Q52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23">
        <f>IF(COUNTIF(PAPEL[Numero],Cobros[[#This Row],[Doc. Cargo]])&gt;0,1,0)</f>
        <v>0</v>
      </c>
      <c r="S523" s="46">
        <f t="array" ref="S5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23" s="46">
        <f t="array" ref="T523">INDEX(Ventas[[Unidades]:[2]],MATCH("Gerente de Venta",Ventas[Vendedor %],0),6+Cobros[[#This Row],[Mes]])</f>
        <v>0.005</v>
      </c>
      <c r="U523" s="34">
        <f>IF(Cobros[[#This Row],[Tipo]]="Credito",IF(60&gt;=Cobros[[#This Row],[Dias al pago]],1,0),IF(Cobros[[#This Row],[Dias al pago]]&lt;=3,1,0))</f>
        <v>1</v>
      </c>
      <c r="V523" s="46">
        <f>(Cobros[[#This Row],[% A pagar Vendedor]]/100)*Cobros[[#This Row],[Valor Pagado]]*Cobros[[#This Row],[Vencido]]*(Cobros[[#This Row],[% aplicar]]/100)*IF(Cobros[[#This Row],[% A pagar Vendedor]]&gt;0,1,0)</f>
        <v>0.001875</v>
      </c>
      <c r="W523" s="46">
        <f>0.5%*Cobros[[#This Row],[Valor Pagado]]</f>
        <v>0.00075</v>
      </c>
    </row>
    <row r="524" spans="1:23">
      <c r="A524" s="49" t="s">
        <v>3860</v>
      </c>
      <c r="B524" s="49" t="s">
        <v>4662</v>
      </c>
      <c r="C524" s="49" t="s">
        <v>2576</v>
      </c>
      <c r="D524" s="49" t="s">
        <v>2577</v>
      </c>
      <c r="E524" s="49" t="s">
        <v>4661</v>
      </c>
      <c r="F524" s="51">
        <v>46211</v>
      </c>
      <c r="G524" s="49">
        <v>24.93</v>
      </c>
      <c r="H524" s="49" t="s">
        <v>20</v>
      </c>
      <c r="I524" s="51">
        <v>46219</v>
      </c>
      <c r="J524" s="54">
        <f>INT(Cobros[[#This Row],[Fecha Cargo]])</f>
        <v>46211</v>
      </c>
      <c r="K524" s="54">
        <f>INT(Cobros[[#This Row],[Fecha Aplicacion]])</f>
        <v>46219</v>
      </c>
      <c r="L524" s="55" t="str">
        <f>INDEX(Clientes[Días Plazo],MATCH(Cobros[[#This Row],[Cod. Cliente]],Clientes[Codigo],0),1)</f>
        <v>7</v>
      </c>
      <c r="M524" s="45" t="str">
        <f>IF(Cobros[[#This Row],[Dias de Credito]]&lt;=0,"Contado","Credito")</f>
        <v>Credito</v>
      </c>
      <c r="N524" s="45">
        <f>Cobros[[#This Row],[Fecha Aplicación S]]-Cobros[[#This Row],[Fecha Cargo S]]</f>
        <v>8</v>
      </c>
      <c r="O524" s="45">
        <f>Cobros[[#This Row],[Dias al pago]]-Cobros[[#This Row],[Dias de Credito]]</f>
        <v>1</v>
      </c>
      <c r="P524" s="45">
        <f>SUMIFS(TablaDias[Porcentaje],TablaDias[Tipo],Cobros[[#This Row],[Tipo]],TablaDias[Desde ],"&lt;="&amp;MAX(0,Cobros[[#This Row],[Dias pasado]]),TablaDias[Hasta ],"&gt;="&amp;Cobros[[#This Row],[Dias pasado]])</f>
        <v>100</v>
      </c>
      <c r="Q52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24">
        <f>IF(COUNTIF(PAPEL[Numero],Cobros[[#This Row],[Doc. Cargo]])&gt;0,1,0)</f>
        <v>0</v>
      </c>
      <c r="S524" s="46">
        <f t="array" ref="S5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24" s="46">
        <f t="array" ref="T524">INDEX(Ventas[[Unidades]:[2]],MATCH("Gerente de Venta",Ventas[Vendedor %],0),6+Cobros[[#This Row],[Mes]])</f>
        <v>0.005</v>
      </c>
      <c r="U524" s="34">
        <f>IF(Cobros[[#This Row],[Tipo]]="Credito",IF(60&gt;=Cobros[[#This Row],[Dias al pago]],1,0),IF(Cobros[[#This Row],[Dias al pago]]&lt;=3,1,0))</f>
        <v>1</v>
      </c>
      <c r="V524" s="46">
        <f>(Cobros[[#This Row],[% A pagar Vendedor]]/100)*Cobros[[#This Row],[Valor Pagado]]*Cobros[[#This Row],[Vencido]]*(Cobros[[#This Row],[% aplicar]]/100)*IF(Cobros[[#This Row],[% A pagar Vendedor]]&gt;0,1,0)</f>
        <v>0.311625</v>
      </c>
      <c r="W524" s="46">
        <f>0.5%*Cobros[[#This Row],[Valor Pagado]]</f>
        <v>0.12465</v>
      </c>
    </row>
    <row r="525" ht="30" spans="1:24">
      <c r="A525" s="49" t="s">
        <v>3954</v>
      </c>
      <c r="B525" s="49" t="s">
        <v>4663</v>
      </c>
      <c r="C525" s="49" t="s">
        <v>3531</v>
      </c>
      <c r="D525" s="49" t="s">
        <v>3532</v>
      </c>
      <c r="E525" s="49" t="s">
        <v>4664</v>
      </c>
      <c r="F525" s="51">
        <v>46192</v>
      </c>
      <c r="G525" s="49">
        <v>780</v>
      </c>
      <c r="H525" s="49" t="s">
        <v>3865</v>
      </c>
      <c r="I525" s="51">
        <v>46219</v>
      </c>
      <c r="J525" s="54">
        <f>INT(Cobros[[#This Row],[Fecha Cargo]])</f>
        <v>46192</v>
      </c>
      <c r="K525" s="54">
        <f>INT(Cobros[[#This Row],[Fecha Aplicacion]])</f>
        <v>46219</v>
      </c>
      <c r="L525" s="55" t="str">
        <f>INDEX(Clientes[Días Plazo],MATCH(Cobros[[#This Row],[Cod. Cliente]],Clientes[Codigo],0),1)</f>
        <v>15</v>
      </c>
      <c r="M525" s="45" t="str">
        <f>IF(Cobros[[#This Row],[Dias de Credito]]&lt;=0,"Contado","Credito")</f>
        <v>Credito</v>
      </c>
      <c r="N525" s="45">
        <f>Cobros[[#This Row],[Fecha Aplicación S]]-Cobros[[#This Row],[Fecha Cargo S]]</f>
        <v>27</v>
      </c>
      <c r="O525" s="45">
        <f>Cobros[[#This Row],[Dias al pago]]-Cobros[[#This Row],[Dias de Credito]]</f>
        <v>12</v>
      </c>
      <c r="P525" s="45">
        <f>SUMIFS(TablaDias[Porcentaje],TablaDias[Tipo],Cobros[[#This Row],[Tipo]],TablaDias[Desde ],"&lt;="&amp;MAX(0,Cobros[[#This Row],[Dias pasado]]),TablaDias[Hasta ],"&gt;="&amp;Cobros[[#This Row],[Dias pasado]])</f>
        <v>100</v>
      </c>
      <c r="Q52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25">
        <f>IF(COUNTIF(PAPEL[Numero],Cobros[[#This Row],[Doc. Cargo]])&gt;0,1,0)</f>
        <v>0</v>
      </c>
      <c r="S525" s="46">
        <v>1</v>
      </c>
      <c r="T525" s="46">
        <f t="array" ref="T525">INDEX(Ventas[[Unidades]:[2]],MATCH("Gerente de Venta",Ventas[Vendedor %],0),6+Cobros[[#This Row],[Mes]])</f>
        <v>0.005</v>
      </c>
      <c r="U525" s="34">
        <f>IF(Cobros[[#This Row],[Tipo]]="Credito",IF(60&gt;=Cobros[[#This Row],[Dias al pago]],1,0),IF(Cobros[[#This Row],[Dias al pago]]&lt;=3,1,0))</f>
        <v>1</v>
      </c>
      <c r="V525" s="46">
        <f>(Cobros[[#This Row],[% A pagar Vendedor]]/100)*Cobros[[#This Row],[Valor Pagado]]*Cobros[[#This Row],[Vencido]]*(Cobros[[#This Row],[% aplicar]]/100)*IF(Cobros[[#This Row],[% A pagar Vendedor]]&gt;0,1,0)</f>
        <v>7.8</v>
      </c>
      <c r="W525" s="46">
        <f>0.5%*Cobros[[#This Row],[Valor Pagado]]</f>
        <v>3.9</v>
      </c>
      <c r="X525" s="60"/>
    </row>
    <row r="526" spans="1:23">
      <c r="A526" s="49" t="s">
        <v>3860</v>
      </c>
      <c r="B526" s="49" t="s">
        <v>4665</v>
      </c>
      <c r="C526" s="49" t="s">
        <v>3123</v>
      </c>
      <c r="D526" s="49" t="s">
        <v>3124</v>
      </c>
      <c r="E526" s="49" t="s">
        <v>4666</v>
      </c>
      <c r="F526" s="51">
        <v>46183</v>
      </c>
      <c r="G526" s="49">
        <v>11385</v>
      </c>
      <c r="H526" s="49" t="s">
        <v>16</v>
      </c>
      <c r="I526" s="51">
        <v>46219</v>
      </c>
      <c r="J526" s="54">
        <f>INT(Cobros[[#This Row],[Fecha Cargo]])</f>
        <v>46183</v>
      </c>
      <c r="K526" s="54">
        <f>INT(Cobros[[#This Row],[Fecha Aplicacion]])</f>
        <v>46219</v>
      </c>
      <c r="L526" s="55" t="str">
        <f>INDEX(Clientes[Días Plazo],MATCH(Cobros[[#This Row],[Cod. Cliente]],Clientes[Codigo],0),1)</f>
        <v>15</v>
      </c>
      <c r="M526" s="45" t="str">
        <f>IF(Cobros[[#This Row],[Dias de Credito]]&lt;=0,"Contado","Credito")</f>
        <v>Credito</v>
      </c>
      <c r="N526" s="45">
        <f>Cobros[[#This Row],[Fecha Aplicación S]]-Cobros[[#This Row],[Fecha Cargo S]]</f>
        <v>36</v>
      </c>
      <c r="O526" s="45">
        <f>Cobros[[#This Row],[Dias al pago]]-Cobros[[#This Row],[Dias de Credito]]</f>
        <v>21</v>
      </c>
      <c r="P526" s="45">
        <f>SUMIFS(TablaDias[Porcentaje],TablaDias[Tipo],Cobros[[#This Row],[Tipo]],TablaDias[Desde ],"&lt;="&amp;MAX(0,Cobros[[#This Row],[Dias pasado]]),TablaDias[Hasta ],"&gt;="&amp;Cobros[[#This Row],[Dias pasado]])</f>
        <v>50</v>
      </c>
      <c r="Q52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26">
        <f>IF(COUNTIF(PAPEL[Numero],Cobros[[#This Row],[Doc. Cargo]])&gt;0,1,0)</f>
        <v>0</v>
      </c>
      <c r="S526" s="46">
        <f t="array" ref="S5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26" s="47">
        <v>0.005</v>
      </c>
      <c r="U526" s="34">
        <f>IF(Cobros[[#This Row],[Tipo]]="Credito",IF(60&gt;=Cobros[[#This Row],[Dias al pago]],1,0),IF(Cobros[[#This Row],[Dias al pago]]&lt;=3,1,0))</f>
        <v>1</v>
      </c>
      <c r="V526" s="46">
        <f>(Cobros[[#This Row],[% A pagar Vendedor]]/100)*Cobros[[#This Row],[Valor Pagado]]*Cobros[[#This Row],[Vencido]]*(Cobros[[#This Row],[% aplicar]]/100)*IF(Cobros[[#This Row],[% A pagar Vendedor]]&gt;0,1,0)</f>
        <v>56.925</v>
      </c>
      <c r="W526" s="46">
        <f>0.5%*Cobros[[#This Row],[Valor Pagado]]</f>
        <v>56.925</v>
      </c>
    </row>
    <row r="527" spans="1:23">
      <c r="A527" s="49" t="s">
        <v>3860</v>
      </c>
      <c r="B527" s="49" t="s">
        <v>4667</v>
      </c>
      <c r="C527" s="49" t="s">
        <v>1756</v>
      </c>
      <c r="D527" s="49" t="s">
        <v>1757</v>
      </c>
      <c r="E527" s="49" t="s">
        <v>4610</v>
      </c>
      <c r="F527" s="51">
        <v>46209</v>
      </c>
      <c r="G527" s="49">
        <v>200</v>
      </c>
      <c r="H527" s="49" t="s">
        <v>19</v>
      </c>
      <c r="I527" s="51">
        <v>46219</v>
      </c>
      <c r="J527" s="54">
        <f>INT(Cobros[[#This Row],[Fecha Cargo]])</f>
        <v>46209</v>
      </c>
      <c r="K527" s="54">
        <f>INT(Cobros[[#This Row],[Fecha Aplicacion]])</f>
        <v>46219</v>
      </c>
      <c r="L527" s="55" t="str">
        <f>INDEX(Clientes[Días Plazo],MATCH(Cobros[[#This Row],[Cod. Cliente]],Clientes[Codigo],0),1)</f>
        <v>7</v>
      </c>
      <c r="M527" s="45" t="str">
        <f>IF(Cobros[[#This Row],[Dias de Credito]]&lt;=0,"Contado","Credito")</f>
        <v>Credito</v>
      </c>
      <c r="N527" s="45">
        <f>Cobros[[#This Row],[Fecha Aplicación S]]-Cobros[[#This Row],[Fecha Cargo S]]</f>
        <v>10</v>
      </c>
      <c r="O527" s="45">
        <f>Cobros[[#This Row],[Dias al pago]]-Cobros[[#This Row],[Dias de Credito]]</f>
        <v>3</v>
      </c>
      <c r="P527" s="45">
        <f>SUMIFS(TablaDias[Porcentaje],TablaDias[Tipo],Cobros[[#This Row],[Tipo]],TablaDias[Desde ],"&lt;="&amp;MAX(0,Cobros[[#This Row],[Dias pasado]]),TablaDias[Hasta ],"&gt;="&amp;Cobros[[#This Row],[Dias pasado]])</f>
        <v>100</v>
      </c>
      <c r="Q52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27">
        <f>IF(COUNTIF(PAPEL[Numero],Cobros[[#This Row],[Doc. Cargo]])&gt;0,1,0)</f>
        <v>0</v>
      </c>
      <c r="S527" s="46">
        <f t="array" ref="S5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27" s="46">
        <f t="array" ref="T527">INDEX(Ventas[[Unidades]:[2]],MATCH("Gerente de Venta",Ventas[Vendedor %],0),6+Cobros[[#This Row],[Mes]])</f>
        <v>0.005</v>
      </c>
      <c r="U527" s="34">
        <f>IF(Cobros[[#This Row],[Tipo]]="Credito",IF(60&gt;=Cobros[[#This Row],[Dias al pago]],1,0),IF(Cobros[[#This Row],[Dias al pago]]&lt;=3,1,0))</f>
        <v>1</v>
      </c>
      <c r="V527" s="46">
        <f>(Cobros[[#This Row],[% A pagar Vendedor]]/100)*Cobros[[#This Row],[Valor Pagado]]*Cobros[[#This Row],[Vencido]]*(Cobros[[#This Row],[% aplicar]]/100)*IF(Cobros[[#This Row],[% A pagar Vendedor]]&gt;0,1,0)</f>
        <v>2.5</v>
      </c>
      <c r="W527" s="46">
        <f>0.5%*Cobros[[#This Row],[Valor Pagado]]</f>
        <v>1</v>
      </c>
    </row>
    <row r="528" ht="30" spans="1:23">
      <c r="A528" s="49" t="s">
        <v>3860</v>
      </c>
      <c r="B528" s="49" t="s">
        <v>4668</v>
      </c>
      <c r="C528" s="49" t="s">
        <v>3531</v>
      </c>
      <c r="D528" s="49" t="s">
        <v>3532</v>
      </c>
      <c r="E528" s="49" t="s">
        <v>4664</v>
      </c>
      <c r="F528" s="51">
        <v>46192</v>
      </c>
      <c r="G528" s="49">
        <v>880</v>
      </c>
      <c r="H528" s="49" t="s">
        <v>3865</v>
      </c>
      <c r="I528" s="51">
        <v>46219</v>
      </c>
      <c r="J528" s="54">
        <f>INT(Cobros[[#This Row],[Fecha Cargo]])</f>
        <v>46192</v>
      </c>
      <c r="K528" s="54">
        <f>INT(Cobros[[#This Row],[Fecha Aplicacion]])</f>
        <v>46219</v>
      </c>
      <c r="L528" s="55" t="str">
        <f>INDEX(Clientes[Días Plazo],MATCH(Cobros[[#This Row],[Cod. Cliente]],Clientes[Codigo],0),1)</f>
        <v>15</v>
      </c>
      <c r="M528" s="45" t="str">
        <f>IF(Cobros[[#This Row],[Dias de Credito]]&lt;=0,"Contado","Credito")</f>
        <v>Credito</v>
      </c>
      <c r="N528" s="45">
        <v>0</v>
      </c>
      <c r="O528" s="45">
        <f>Cobros[[#This Row],[Dias al pago]]-Cobros[[#This Row],[Dias de Credito]]</f>
        <v>-15</v>
      </c>
      <c r="P528" s="45">
        <f>SUMIFS(TablaDias[Porcentaje],TablaDias[Tipo],Cobros[[#This Row],[Tipo]],TablaDias[Desde ],"&lt;="&amp;MAX(0,Cobros[[#This Row],[Dias pasado]]),TablaDias[Hasta ],"&gt;="&amp;Cobros[[#This Row],[Dias pasado]])</f>
        <v>100</v>
      </c>
      <c r="Q52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28">
        <f>IF(COUNTIF(PAPEL[Numero],Cobros[[#This Row],[Doc. Cargo]])&gt;0,1,0)</f>
        <v>0</v>
      </c>
      <c r="S528" s="46">
        <v>1</v>
      </c>
      <c r="T528" s="46">
        <f t="array" ref="T528">INDEX(Ventas[[Unidades]:[2]],MATCH("Gerente de Venta",Ventas[Vendedor %],0),6+Cobros[[#This Row],[Mes]])</f>
        <v>0.005</v>
      </c>
      <c r="U528" s="34">
        <f>IF(Cobros[[#This Row],[Tipo]]="Credito",IF(60&gt;=Cobros[[#This Row],[Dias al pago]],1,0),IF(Cobros[[#This Row],[Dias al pago]]&lt;=3,1,0))</f>
        <v>1</v>
      </c>
      <c r="V528" s="46">
        <f>(Cobros[[#This Row],[% A pagar Vendedor]]/100)*Cobros[[#This Row],[Valor Pagado]]*Cobros[[#This Row],[Vencido]]*(Cobros[[#This Row],[% aplicar]]/100)*IF(Cobros[[#This Row],[% A pagar Vendedor]]&gt;0,1,0)</f>
        <v>8.8</v>
      </c>
      <c r="W528" s="46">
        <f>0.5%*Cobros[[#This Row],[Valor Pagado]]</f>
        <v>4.4</v>
      </c>
    </row>
    <row r="529" ht="30" spans="1:23">
      <c r="A529" s="49" t="s">
        <v>3860</v>
      </c>
      <c r="B529" s="49" t="s">
        <v>4668</v>
      </c>
      <c r="C529" s="49" t="s">
        <v>3531</v>
      </c>
      <c r="D529" s="49" t="s">
        <v>3532</v>
      </c>
      <c r="E529" s="49" t="s">
        <v>4669</v>
      </c>
      <c r="F529" s="51">
        <v>46195</v>
      </c>
      <c r="G529" s="49">
        <v>481</v>
      </c>
      <c r="H529" s="49" t="s">
        <v>3865</v>
      </c>
      <c r="I529" s="51">
        <v>46219</v>
      </c>
      <c r="J529" s="54">
        <f>INT(Cobros[[#This Row],[Fecha Cargo]])</f>
        <v>46195</v>
      </c>
      <c r="K529" s="54">
        <f>INT(Cobros[[#This Row],[Fecha Aplicacion]])</f>
        <v>46219</v>
      </c>
      <c r="L529" s="55" t="str">
        <f>INDEX(Clientes[Días Plazo],MATCH(Cobros[[#This Row],[Cod. Cliente]],Clientes[Codigo],0),1)</f>
        <v>15</v>
      </c>
      <c r="M529" s="45" t="str">
        <f>IF(Cobros[[#This Row],[Dias de Credito]]&lt;=0,"Contado","Credito")</f>
        <v>Credito</v>
      </c>
      <c r="N529" s="45">
        <f>Cobros[[#This Row],[Fecha Aplicación S]]-Cobros[[#This Row],[Fecha Cargo S]]</f>
        <v>24</v>
      </c>
      <c r="O529" s="45">
        <f>Cobros[[#This Row],[Dias al pago]]-Cobros[[#This Row],[Dias de Credito]]</f>
        <v>9</v>
      </c>
      <c r="P529" s="45">
        <f>SUMIFS(TablaDias[Porcentaje],TablaDias[Tipo],Cobros[[#This Row],[Tipo]],TablaDias[Desde ],"&lt;="&amp;MAX(0,Cobros[[#This Row],[Dias pasado]]),TablaDias[Hasta ],"&gt;="&amp;Cobros[[#This Row],[Dias pasado]])</f>
        <v>100</v>
      </c>
      <c r="Q52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29">
        <f>IF(COUNTIF(PAPEL[Numero],Cobros[[#This Row],[Doc. Cargo]])&gt;0,1,0)</f>
        <v>0</v>
      </c>
      <c r="S529" s="46">
        <v>1</v>
      </c>
      <c r="T529" s="46">
        <f t="array" ref="T529">INDEX(Ventas[[Unidades]:[2]],MATCH("Gerente de Venta",Ventas[Vendedor %],0),6+Cobros[[#This Row],[Mes]])</f>
        <v>0.005</v>
      </c>
      <c r="U529" s="34">
        <f>IF(Cobros[[#This Row],[Tipo]]="Credito",IF(60&gt;=Cobros[[#This Row],[Dias al pago]],1,0),IF(Cobros[[#This Row],[Dias al pago]]&lt;=3,1,0))</f>
        <v>1</v>
      </c>
      <c r="V529" s="46">
        <f>(Cobros[[#This Row],[% A pagar Vendedor]]/100)*Cobros[[#This Row],[Valor Pagado]]*Cobros[[#This Row],[Vencido]]*(Cobros[[#This Row],[% aplicar]]/100)*IF(Cobros[[#This Row],[% A pagar Vendedor]]&gt;0,1,0)</f>
        <v>4.81</v>
      </c>
      <c r="W529" s="46">
        <f>0.5%*Cobros[[#This Row],[Valor Pagado]]</f>
        <v>2.405</v>
      </c>
    </row>
    <row r="530" ht="30" spans="1:23">
      <c r="A530" s="49" t="s">
        <v>3860</v>
      </c>
      <c r="B530" s="49" t="s">
        <v>4670</v>
      </c>
      <c r="C530" s="49" t="s">
        <v>853</v>
      </c>
      <c r="D530" s="49" t="s">
        <v>854</v>
      </c>
      <c r="E530" s="49" t="s">
        <v>4671</v>
      </c>
      <c r="F530" s="51">
        <v>46181</v>
      </c>
      <c r="G530" s="49">
        <v>4977.9</v>
      </c>
      <c r="H530" s="49" t="s">
        <v>1355</v>
      </c>
      <c r="I530" s="51">
        <v>46219</v>
      </c>
      <c r="J530" s="54">
        <f>INT(Cobros[[#This Row],[Fecha Cargo]])</f>
        <v>46181</v>
      </c>
      <c r="K530" s="54">
        <f>INT(Cobros[[#This Row],[Fecha Aplicacion]])</f>
        <v>46219</v>
      </c>
      <c r="L530" s="55" t="str">
        <f>INDEX(Clientes[Días Plazo],MATCH(Cobros[[#This Row],[Cod. Cliente]],Clientes[Codigo],0),1)</f>
        <v>30</v>
      </c>
      <c r="M530" s="45" t="str">
        <f>IF(Cobros[[#This Row],[Dias de Credito]]&lt;=0,"Contado","Credito")</f>
        <v>Credito</v>
      </c>
      <c r="N530" s="45">
        <f>Cobros[[#This Row],[Fecha Aplicación S]]-Cobros[[#This Row],[Fecha Cargo S]]</f>
        <v>38</v>
      </c>
      <c r="O530" s="45">
        <f>Cobros[[#This Row],[Dias al pago]]-Cobros[[#This Row],[Dias de Credito]]</f>
        <v>8</v>
      </c>
      <c r="P530" s="45">
        <f>SUMIFS(TablaDias[Porcentaje],TablaDias[Tipo],Cobros[[#This Row],[Tipo]],TablaDias[Desde ],"&lt;="&amp;MAX(0,Cobros[[#This Row],[Dias pasado]]),TablaDias[Hasta ],"&gt;="&amp;Cobros[[#This Row],[Dias pasado]])</f>
        <v>100</v>
      </c>
      <c r="Q53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30">
        <f>IF(COUNTIF(PAPEL[Numero],Cobros[[#This Row],[Doc. Cargo]])&gt;0,1,0)</f>
        <v>0</v>
      </c>
      <c r="S530" s="46">
        <v>1</v>
      </c>
      <c r="T530" s="46">
        <f t="array" ref="T530">INDEX(Ventas[[Unidades]:[2]],MATCH("Gerente de Venta",Ventas[Vendedor %],0),6+Cobros[[#This Row],[Mes]])</f>
        <v>0.005</v>
      </c>
      <c r="U530" s="34">
        <f>IF(Cobros[[#This Row],[Tipo]]="Credito",IF(60&gt;=Cobros[[#This Row],[Dias al pago]],1,0),IF(Cobros[[#This Row],[Dias al pago]]&lt;=3,1,0))</f>
        <v>1</v>
      </c>
      <c r="V530" s="46">
        <f>(Cobros[[#This Row],[% A pagar Vendedor]]/100)*Cobros[[#This Row],[Valor Pagado]]*Cobros[[#This Row],[Vencido]]*(Cobros[[#This Row],[% aplicar]]/100)*IF(Cobros[[#This Row],[% A pagar Vendedor]]&gt;0,1,0)</f>
        <v>49.779</v>
      </c>
      <c r="W530" s="46">
        <f>0.5%*Cobros[[#This Row],[Valor Pagado]]</f>
        <v>24.8895</v>
      </c>
    </row>
    <row r="531" spans="1:23">
      <c r="A531" s="49" t="s">
        <v>3860</v>
      </c>
      <c r="B531" s="49" t="s">
        <v>4672</v>
      </c>
      <c r="C531" s="49" t="s">
        <v>128</v>
      </c>
      <c r="D531" s="49" t="s">
        <v>129</v>
      </c>
      <c r="E531" s="49" t="s">
        <v>4673</v>
      </c>
      <c r="F531" s="51">
        <v>46219</v>
      </c>
      <c r="G531" s="49">
        <v>259</v>
      </c>
      <c r="H531" s="49" t="s">
        <v>16</v>
      </c>
      <c r="I531" s="51">
        <v>46219</v>
      </c>
      <c r="J531" s="54">
        <f>INT(Cobros[[#This Row],[Fecha Cargo]])</f>
        <v>46219</v>
      </c>
      <c r="K531" s="54">
        <f>INT(Cobros[[#This Row],[Fecha Aplicacion]])</f>
        <v>46219</v>
      </c>
      <c r="L531" s="55">
        <f>INDEX(Clientes[Días Plazo],MATCH(Cobros[[#This Row],[Cod. Cliente]],Clientes[Codigo],0),1)</f>
        <v>0</v>
      </c>
      <c r="M531" s="45" t="str">
        <f>IF(Cobros[[#This Row],[Dias de Credito]]&lt;=0,"Contado","Credito")</f>
        <v>Contado</v>
      </c>
      <c r="N531" s="45">
        <f>Cobros[[#This Row],[Fecha Aplicación S]]-Cobros[[#This Row],[Fecha Cargo S]]</f>
        <v>0</v>
      </c>
      <c r="O531" s="45">
        <f>Cobros[[#This Row],[Dias al pago]]-Cobros[[#This Row],[Dias de Credito]]</f>
        <v>0</v>
      </c>
      <c r="P531" s="45">
        <f>SUMIFS(TablaDias[Porcentaje],TablaDias[Tipo],Cobros[[#This Row],[Tipo]],TablaDias[Desde ],"&lt;="&amp;MAX(0,Cobros[[#This Row],[Dias pasado]]),TablaDias[Hasta ],"&gt;="&amp;Cobros[[#This Row],[Dias pasado]])</f>
        <v>100</v>
      </c>
      <c r="Q53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1">
        <f>IF(COUNTIF(PAPEL[Numero],Cobros[[#This Row],[Doc. Cargo]])&gt;0,1,0)</f>
        <v>0</v>
      </c>
      <c r="S531" s="46">
        <f t="array" ref="S5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31" s="47">
        <v>0.005</v>
      </c>
      <c r="U531" s="34">
        <f>IF(Cobros[[#This Row],[Tipo]]="Credito",IF(60&gt;=Cobros[[#This Row],[Dias al pago]],1,0),IF(Cobros[[#This Row],[Dias al pago]]&lt;=3,1,0))</f>
        <v>1</v>
      </c>
      <c r="V531" s="46">
        <f>(Cobros[[#This Row],[% A pagar Vendedor]]/100)*Cobros[[#This Row],[Valor Pagado]]*Cobros[[#This Row],[Vencido]]*(Cobros[[#This Row],[% aplicar]]/100)*IF(Cobros[[#This Row],[% A pagar Vendedor]]&gt;0,1,0)</f>
        <v>3.2375</v>
      </c>
      <c r="W531" s="46">
        <f>0.5%*Cobros[[#This Row],[Valor Pagado]]</f>
        <v>1.295</v>
      </c>
    </row>
    <row r="532" spans="1:24">
      <c r="A532" s="49" t="s">
        <v>3860</v>
      </c>
      <c r="B532" s="49" t="s">
        <v>4674</v>
      </c>
      <c r="C532" s="49" t="s">
        <v>1754</v>
      </c>
      <c r="D532" s="49" t="s">
        <v>1755</v>
      </c>
      <c r="E532" s="49" t="s">
        <v>4675</v>
      </c>
      <c r="F532" s="51">
        <v>46219</v>
      </c>
      <c r="G532" s="49">
        <v>185</v>
      </c>
      <c r="H532" s="49" t="s">
        <v>19</v>
      </c>
      <c r="I532" s="51">
        <v>46219</v>
      </c>
      <c r="J532" s="54">
        <f>INT(Cobros[[#This Row],[Fecha Cargo]])</f>
        <v>46219</v>
      </c>
      <c r="K532" s="54">
        <f>INT(Cobros[[#This Row],[Fecha Aplicacion]])</f>
        <v>46219</v>
      </c>
      <c r="L532" s="55">
        <f>INDEX(Clientes[Días Plazo],MATCH(Cobros[[#This Row],[Cod. Cliente]],Clientes[Codigo],0),1)</f>
        <v>0</v>
      </c>
      <c r="M532" s="45" t="str">
        <f>IF(Cobros[[#This Row],[Dias de Credito]]&lt;=0,"Contado","Credito")</f>
        <v>Contado</v>
      </c>
      <c r="N532" s="45">
        <f>Cobros[[#This Row],[Fecha Aplicación S]]-Cobros[[#This Row],[Fecha Cargo S]]</f>
        <v>0</v>
      </c>
      <c r="O532" s="45">
        <f>Cobros[[#This Row],[Dias al pago]]-Cobros[[#This Row],[Dias de Credito]]</f>
        <v>0</v>
      </c>
      <c r="P532" s="45">
        <f>SUMIFS(TablaDias[Porcentaje],TablaDias[Tipo],Cobros[[#This Row],[Tipo]],TablaDias[Desde ],"&lt;="&amp;MAX(0,Cobros[[#This Row],[Dias pasado]]),TablaDias[Hasta ],"&gt;="&amp;Cobros[[#This Row],[Dias pasado]])</f>
        <v>100</v>
      </c>
      <c r="Q53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2">
        <f>IF(COUNTIF(PAPEL[Numero],Cobros[[#This Row],[Doc. Cargo]])&gt;0,1,0)</f>
        <v>0</v>
      </c>
      <c r="S532" s="46">
        <f t="array" ref="S5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32" s="46">
        <f t="array" ref="T532">INDEX(Ventas[[Unidades]:[2]],MATCH("Gerente de Venta",Ventas[Vendedor %],0),6+Cobros[[#This Row],[Mes]])</f>
        <v>0.005</v>
      </c>
      <c r="U532" s="34">
        <f>IF(Cobros[[#This Row],[Tipo]]="Credito",IF(60&gt;=Cobros[[#This Row],[Dias al pago]],1,0),IF(Cobros[[#This Row],[Dias al pago]]&lt;=3,1,0))</f>
        <v>1</v>
      </c>
      <c r="V532" s="46">
        <f>(Cobros[[#This Row],[% A pagar Vendedor]]/100)*Cobros[[#This Row],[Valor Pagado]]*Cobros[[#This Row],[Vencido]]*(Cobros[[#This Row],[% aplicar]]/100)*IF(Cobros[[#This Row],[% A pagar Vendedor]]&gt;0,1,0)</f>
        <v>2.3125</v>
      </c>
      <c r="W532" s="46">
        <f>0.5%*Cobros[[#This Row],[Valor Pagado]]</f>
        <v>0.925</v>
      </c>
      <c r="X532" s="66"/>
    </row>
    <row r="533" ht="30" spans="1:23">
      <c r="A533" s="49" t="s">
        <v>3860</v>
      </c>
      <c r="B533" s="49" t="s">
        <v>4676</v>
      </c>
      <c r="C533" s="49" t="s">
        <v>2525</v>
      </c>
      <c r="D533" s="49" t="s">
        <v>2526</v>
      </c>
      <c r="E533" s="49" t="s">
        <v>4677</v>
      </c>
      <c r="F533" s="51">
        <v>46219</v>
      </c>
      <c r="G533" s="49">
        <v>42.5</v>
      </c>
      <c r="H533" s="49" t="s">
        <v>22</v>
      </c>
      <c r="I533" s="51">
        <v>46219</v>
      </c>
      <c r="J533" s="54">
        <f>INT(Cobros[[#This Row],[Fecha Cargo]])</f>
        <v>46219</v>
      </c>
      <c r="K533" s="54">
        <f>INT(Cobros[[#This Row],[Fecha Aplicacion]])</f>
        <v>46219</v>
      </c>
      <c r="L533" s="55">
        <f>INDEX(Clientes[Días Plazo],MATCH(Cobros[[#This Row],[Cod. Cliente]],Clientes[Codigo],0),1)</f>
        <v>0</v>
      </c>
      <c r="M533" s="45" t="str">
        <f>IF(Cobros[[#This Row],[Dias de Credito]]&lt;=0,"Contado","Credito")</f>
        <v>Contado</v>
      </c>
      <c r="N533" s="45">
        <f>Cobros[[#This Row],[Fecha Aplicación S]]-Cobros[[#This Row],[Fecha Cargo S]]</f>
        <v>0</v>
      </c>
      <c r="O533" s="45">
        <f>Cobros[[#This Row],[Dias al pago]]-Cobros[[#This Row],[Dias de Credito]]</f>
        <v>0</v>
      </c>
      <c r="P533" s="45">
        <f>SUMIFS(TablaDias[Porcentaje],TablaDias[Tipo],Cobros[[#This Row],[Tipo]],TablaDias[Desde ],"&lt;="&amp;MAX(0,Cobros[[#This Row],[Dias pasado]]),TablaDias[Hasta ],"&gt;="&amp;Cobros[[#This Row],[Dias pasado]])</f>
        <v>100</v>
      </c>
      <c r="Q53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3">
        <f>IF(COUNTIF(PAPEL[Numero],Cobros[[#This Row],[Doc. Cargo]])&gt;0,1,0)</f>
        <v>0</v>
      </c>
      <c r="S533" s="46">
        <f t="array" ref="S5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33" s="46">
        <f t="array" ref="T533">INDEX(Ventas[[Unidades]:[2]],MATCH("Gerente de Venta",Ventas[Vendedor %],0),6+Cobros[[#This Row],[Mes]])</f>
        <v>0.005</v>
      </c>
      <c r="U533" s="34">
        <f>IF(Cobros[[#This Row],[Tipo]]="Credito",IF(60&gt;=Cobros[[#This Row],[Dias al pago]],1,0),IF(Cobros[[#This Row],[Dias al pago]]&lt;=3,1,0))</f>
        <v>1</v>
      </c>
      <c r="V533" s="46">
        <f>(Cobros[[#This Row],[% A pagar Vendedor]]/100)*Cobros[[#This Row],[Valor Pagado]]*Cobros[[#This Row],[Vencido]]*(Cobros[[#This Row],[% aplicar]]/100)*IF(Cobros[[#This Row],[% A pagar Vendedor]]&gt;0,1,0)</f>
        <v>0.425</v>
      </c>
      <c r="W533" s="46">
        <f>0.5%*Cobros[[#This Row],[Valor Pagado]]</f>
        <v>0.2125</v>
      </c>
    </row>
    <row r="534" spans="1:24">
      <c r="A534" s="49" t="s">
        <v>3860</v>
      </c>
      <c r="B534" s="49" t="s">
        <v>4678</v>
      </c>
      <c r="C534" s="49" t="s">
        <v>3533</v>
      </c>
      <c r="D534" s="49" t="s">
        <v>3534</v>
      </c>
      <c r="E534" s="49" t="s">
        <v>4679</v>
      </c>
      <c r="F534" s="51">
        <v>46219</v>
      </c>
      <c r="G534" s="49">
        <v>123.4</v>
      </c>
      <c r="H534" s="49" t="s">
        <v>20</v>
      </c>
      <c r="I534" s="51">
        <v>46219</v>
      </c>
      <c r="J534" s="54">
        <f>INT(Cobros[[#This Row],[Fecha Cargo]])</f>
        <v>46219</v>
      </c>
      <c r="K534" s="54">
        <f>INT(Cobros[[#This Row],[Fecha Aplicacion]])</f>
        <v>46219</v>
      </c>
      <c r="L534" s="55">
        <f>INDEX(Clientes[Días Plazo],MATCH(Cobros[[#This Row],[Cod. Cliente]],Clientes[Codigo],0),1)</f>
        <v>0</v>
      </c>
      <c r="M534" s="45" t="str">
        <f>IF(Cobros[[#This Row],[Dias de Credito]]&lt;=0,"Contado","Credito")</f>
        <v>Contado</v>
      </c>
      <c r="N534" s="45">
        <f>Cobros[[#This Row],[Fecha Aplicación S]]-Cobros[[#This Row],[Fecha Cargo S]]</f>
        <v>0</v>
      </c>
      <c r="O534" s="45">
        <f>Cobros[[#This Row],[Dias al pago]]-Cobros[[#This Row],[Dias de Credito]]</f>
        <v>0</v>
      </c>
      <c r="P534" s="45">
        <f>SUMIFS(TablaDias[Porcentaje],TablaDias[Tipo],Cobros[[#This Row],[Tipo]],TablaDias[Desde ],"&lt;="&amp;MAX(0,Cobros[[#This Row],[Dias pasado]]),TablaDias[Hasta ],"&gt;="&amp;Cobros[[#This Row],[Dias pasado]])</f>
        <v>100</v>
      </c>
      <c r="Q5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4">
        <f>IF(COUNTIF(PAPEL[Numero],Cobros[[#This Row],[Doc. Cargo]])&gt;0,1,0)</f>
        <v>0</v>
      </c>
      <c r="S534" s="46">
        <f t="array" ref="S5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34" s="46">
        <f t="array" ref="T534">INDEX(Ventas[[Unidades]:[2]],MATCH("Gerente de Venta",Ventas[Vendedor %],0),6+Cobros[[#This Row],[Mes]])</f>
        <v>0.005</v>
      </c>
      <c r="U534" s="34">
        <f>IF(Cobros[[#This Row],[Tipo]]="Credito",IF(60&gt;=Cobros[[#This Row],[Dias al pago]],1,0),IF(Cobros[[#This Row],[Dias al pago]]&lt;=3,1,0))</f>
        <v>1</v>
      </c>
      <c r="V534" s="46">
        <f>(Cobros[[#This Row],[% A pagar Vendedor]]/100)*Cobros[[#This Row],[Valor Pagado]]*Cobros[[#This Row],[Vencido]]*(Cobros[[#This Row],[% aplicar]]/100)*IF(Cobros[[#This Row],[% A pagar Vendedor]]&gt;0,1,0)</f>
        <v>1.5425</v>
      </c>
      <c r="W534" s="46">
        <f>0.5%*Cobros[[#This Row],[Valor Pagado]]</f>
        <v>0.617</v>
      </c>
      <c r="X534" s="34"/>
    </row>
    <row r="535" ht="30" spans="1:24">
      <c r="A535" s="49" t="s">
        <v>3931</v>
      </c>
      <c r="B535" s="49" t="s">
        <v>4680</v>
      </c>
      <c r="C535" s="49" t="s">
        <v>3303</v>
      </c>
      <c r="D535" s="49" t="s">
        <v>3304</v>
      </c>
      <c r="E535" s="49" t="s">
        <v>4681</v>
      </c>
      <c r="F535" s="51">
        <v>46185</v>
      </c>
      <c r="G535" s="49">
        <v>4999.7</v>
      </c>
      <c r="H535" s="49" t="s">
        <v>3865</v>
      </c>
      <c r="I535" s="51">
        <v>46219</v>
      </c>
      <c r="J535" s="54">
        <f>INT(Cobros[[#This Row],[Fecha Cargo]])</f>
        <v>46185</v>
      </c>
      <c r="K535" s="54">
        <f>INT(Cobros[[#This Row],[Fecha Aplicacion]])</f>
        <v>46219</v>
      </c>
      <c r="L535" s="55" t="str">
        <f>INDEX(Clientes[Días Plazo],MATCH(Cobros[[#This Row],[Cod. Cliente]],Clientes[Codigo],0),1)</f>
        <v>15</v>
      </c>
      <c r="M535" s="45" t="str">
        <f>IF(Cobros[[#This Row],[Dias de Credito]]&lt;=0,"Contado","Credito")</f>
        <v>Credito</v>
      </c>
      <c r="N535" s="45">
        <f>Cobros[[#This Row],[Fecha Aplicación S]]-Cobros[[#This Row],[Fecha Cargo S]]</f>
        <v>34</v>
      </c>
      <c r="O535" s="45">
        <f>Cobros[[#This Row],[Dias al pago]]-Cobros[[#This Row],[Dias de Credito]]</f>
        <v>19</v>
      </c>
      <c r="P535" s="45">
        <f>SUMIFS(TablaDias[Porcentaje],TablaDias[Tipo],Cobros[[#This Row],[Tipo]],TablaDias[Desde ],"&lt;="&amp;MAX(0,Cobros[[#This Row],[Dias pasado]]),TablaDias[Hasta ],"&gt;="&amp;Cobros[[#This Row],[Dias pasado]])</f>
        <v>50</v>
      </c>
      <c r="Q53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35">
        <f>IF(COUNTIF(PAPEL[Numero],Cobros[[#This Row],[Doc. Cargo]])&gt;0,1,0)</f>
        <v>0</v>
      </c>
      <c r="S535" s="46">
        <v>1</v>
      </c>
      <c r="T535" s="46">
        <f t="array" ref="T535">INDEX(Ventas[[Unidades]:[2]],MATCH("Gerente de Venta",Ventas[Vendedor %],0),6+Cobros[[#This Row],[Mes]])</f>
        <v>0.005</v>
      </c>
      <c r="U535" s="34">
        <f>IF(Cobros[[#This Row],[Tipo]]="Credito",IF(60&gt;=Cobros[[#This Row],[Dias al pago]],1,0),IF(Cobros[[#This Row],[Dias al pago]]&lt;=3,1,0))</f>
        <v>1</v>
      </c>
      <c r="V535" s="46">
        <f>(Cobros[[#This Row],[% A pagar Vendedor]]/100)*Cobros[[#This Row],[Valor Pagado]]*Cobros[[#This Row],[Vencido]]*(Cobros[[#This Row],[% aplicar]]/100)*IF(Cobros[[#This Row],[% A pagar Vendedor]]&gt;0,1,0)</f>
        <v>24.9985</v>
      </c>
      <c r="W535" s="46">
        <f>0.5%*Cobros[[#This Row],[Valor Pagado]]</f>
        <v>24.9985</v>
      </c>
      <c r="X535" s="34"/>
    </row>
    <row r="536" ht="30" spans="1:24">
      <c r="A536" s="49" t="s">
        <v>3931</v>
      </c>
      <c r="B536" s="49" t="s">
        <v>4179</v>
      </c>
      <c r="C536" s="49" t="s">
        <v>3303</v>
      </c>
      <c r="D536" s="49" t="s">
        <v>3304</v>
      </c>
      <c r="E536" s="49" t="s">
        <v>4682</v>
      </c>
      <c r="F536" s="51">
        <v>46218</v>
      </c>
      <c r="G536" s="49">
        <v>561.51</v>
      </c>
      <c r="H536" s="49" t="s">
        <v>3865</v>
      </c>
      <c r="I536" s="51">
        <v>46210</v>
      </c>
      <c r="J536" s="54">
        <f>INT(Cobros[[#This Row],[Fecha Cargo]])</f>
        <v>46218</v>
      </c>
      <c r="K536" s="54">
        <f>INT(Cobros[[#This Row],[Fecha Aplicacion]])</f>
        <v>46210</v>
      </c>
      <c r="L536" s="55">
        <v>0</v>
      </c>
      <c r="M536" s="45" t="str">
        <f>IF(Cobros[[#This Row],[Dias de Credito]]&lt;=0,"Contado","Credito")</f>
        <v>Contado</v>
      </c>
      <c r="N536" s="45">
        <f>Cobros[[#This Row],[Fecha Aplicación S]]-Cobros[[#This Row],[Fecha Cargo S]]</f>
        <v>-8</v>
      </c>
      <c r="O536" s="45">
        <f>Cobros[[#This Row],[Dias al pago]]-Cobros[[#This Row],[Dias de Credito]]</f>
        <v>-8</v>
      </c>
      <c r="P536" s="45">
        <f>SUMIFS(TablaDias[Porcentaje],TablaDias[Tipo],Cobros[[#This Row],[Tipo]],TablaDias[Desde ],"&lt;="&amp;MAX(0,Cobros[[#This Row],[Dias pasado]]),TablaDias[Hasta ],"&gt;="&amp;Cobros[[#This Row],[Dias pasado]])</f>
        <v>100</v>
      </c>
      <c r="Q53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6">
        <f>IF(COUNTIF(PAPEL[Numero],Cobros[[#This Row],[Doc. Cargo]])&gt;0,1,0)</f>
        <v>0</v>
      </c>
      <c r="S536" s="46">
        <v>1</v>
      </c>
      <c r="T536" s="46">
        <f t="array" ref="T536">INDEX(Ventas[[Unidades]:[2]],MATCH("Gerente de Venta",Ventas[Vendedor %],0),6+Cobros[[#This Row],[Mes]])</f>
        <v>0.005</v>
      </c>
      <c r="U536" s="34">
        <f>IF(Cobros[[#This Row],[Tipo]]="Credito",IF(60&gt;=Cobros[[#This Row],[Dias al pago]],1,0),IF(Cobros[[#This Row],[Dias al pago]]&lt;=3,1,0))</f>
        <v>1</v>
      </c>
      <c r="V536" s="46">
        <f>(Cobros[[#This Row],[% A pagar Vendedor]]/100)*Cobros[[#This Row],[Valor Pagado]]*Cobros[[#This Row],[Vencido]]*(Cobros[[#This Row],[% aplicar]]/100)*IF(Cobros[[#This Row],[% A pagar Vendedor]]&gt;0,1,0)</f>
        <v>5.6151</v>
      </c>
      <c r="W536" s="46">
        <f>0.5%*Cobros[[#This Row],[Valor Pagado]]</f>
        <v>2.80755</v>
      </c>
      <c r="X536" s="34"/>
    </row>
    <row r="537" ht="30" spans="1:23">
      <c r="A537" s="49" t="s">
        <v>3875</v>
      </c>
      <c r="B537" s="49" t="s">
        <v>4683</v>
      </c>
      <c r="C537" s="49" t="s">
        <v>354</v>
      </c>
      <c r="D537" s="49" t="s">
        <v>355</v>
      </c>
      <c r="E537" s="49" t="s">
        <v>4684</v>
      </c>
      <c r="F537" s="51">
        <v>46219</v>
      </c>
      <c r="G537" s="49">
        <v>100</v>
      </c>
      <c r="H537" s="49" t="s">
        <v>22</v>
      </c>
      <c r="I537" s="51">
        <v>46219</v>
      </c>
      <c r="J537" s="54">
        <f>INT(Cobros[[#This Row],[Fecha Cargo]])</f>
        <v>46219</v>
      </c>
      <c r="K537" s="54">
        <f>INT(Cobros[[#This Row],[Fecha Aplicacion]])</f>
        <v>46219</v>
      </c>
      <c r="L537" s="55">
        <f>INDEX(Clientes[Días Plazo],MATCH(Cobros[[#This Row],[Cod. Cliente]],Clientes[Codigo],0),1)</f>
        <v>0</v>
      </c>
      <c r="M537" s="45" t="str">
        <f>IF(Cobros[[#This Row],[Dias de Credito]]&lt;=0,"Contado","Credito")</f>
        <v>Contado</v>
      </c>
      <c r="N537" s="45">
        <f>Cobros[[#This Row],[Fecha Aplicación S]]-Cobros[[#This Row],[Fecha Cargo S]]</f>
        <v>0</v>
      </c>
      <c r="O537" s="45">
        <f>Cobros[[#This Row],[Dias al pago]]-Cobros[[#This Row],[Dias de Credito]]</f>
        <v>0</v>
      </c>
      <c r="P537" s="45">
        <f>SUMIFS(TablaDias[Porcentaje],TablaDias[Tipo],Cobros[[#This Row],[Tipo]],TablaDias[Desde ],"&lt;="&amp;MAX(0,Cobros[[#This Row],[Dias pasado]]),TablaDias[Hasta ],"&gt;="&amp;Cobros[[#This Row],[Dias pasado]])</f>
        <v>100</v>
      </c>
      <c r="Q53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37">
        <f>IF(COUNTIF(PAPEL[Numero],Cobros[[#This Row],[Doc. Cargo]])&gt;0,1,0)</f>
        <v>0</v>
      </c>
      <c r="S537" s="46">
        <f t="array" ref="S5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37" s="46">
        <f t="array" ref="T537">INDEX(Ventas[[Unidades]:[2]],MATCH("Gerente de Venta",Ventas[Vendedor %],0),6+Cobros[[#This Row],[Mes]])</f>
        <v>0.005</v>
      </c>
      <c r="U537" s="34">
        <f>IF(Cobros[[#This Row],[Tipo]]="Credito",IF(60&gt;=Cobros[[#This Row],[Dias al pago]],1,0),IF(Cobros[[#This Row],[Dias al pago]]&lt;=3,1,0))</f>
        <v>1</v>
      </c>
      <c r="V537" s="46">
        <f>(Cobros[[#This Row],[% A pagar Vendedor]]/100)*Cobros[[#This Row],[Valor Pagado]]*Cobros[[#This Row],[Vencido]]*(Cobros[[#This Row],[% aplicar]]/100)*IF(Cobros[[#This Row],[% A pagar Vendedor]]&gt;0,1,0)</f>
        <v>1</v>
      </c>
      <c r="W537" s="46">
        <f>0.5%*Cobros[[#This Row],[Valor Pagado]]</f>
        <v>0.5</v>
      </c>
    </row>
    <row r="538" spans="1:23">
      <c r="A538" s="49" t="s">
        <v>3860</v>
      </c>
      <c r="B538" s="49" t="s">
        <v>4685</v>
      </c>
      <c r="C538" s="49" t="s">
        <v>2047</v>
      </c>
      <c r="D538" s="49" t="s">
        <v>2048</v>
      </c>
      <c r="E538" s="49" t="s">
        <v>4549</v>
      </c>
      <c r="F538" s="51">
        <v>46196</v>
      </c>
      <c r="G538" s="49">
        <v>9708</v>
      </c>
      <c r="H538" s="49" t="s">
        <v>18</v>
      </c>
      <c r="I538" s="51">
        <v>46219</v>
      </c>
      <c r="J538" s="54">
        <f>INT(Cobros[[#This Row],[Fecha Cargo]])</f>
        <v>46196</v>
      </c>
      <c r="K538" s="54">
        <f>INT(Cobros[[#This Row],[Fecha Aplicacion]])</f>
        <v>46219</v>
      </c>
      <c r="L538" s="55">
        <v>30</v>
      </c>
      <c r="M538" s="45" t="str">
        <f>IF(Cobros[[#This Row],[Dias de Credito]]&lt;=0,"Contado","Credito")</f>
        <v>Credito</v>
      </c>
      <c r="N538" s="45">
        <f>Cobros[[#This Row],[Fecha Aplicación S]]-Cobros[[#This Row],[Fecha Cargo S]]</f>
        <v>23</v>
      </c>
      <c r="O538" s="45">
        <f>Cobros[[#This Row],[Dias al pago]]-Cobros[[#This Row],[Dias de Credito]]</f>
        <v>-7</v>
      </c>
      <c r="P538" s="45">
        <f>SUMIFS(TablaDias[Porcentaje],TablaDias[Tipo],Cobros[[#This Row],[Tipo]],TablaDias[Desde ],"&lt;="&amp;MAX(0,Cobros[[#This Row],[Dias pasado]]),TablaDias[Hasta ],"&gt;="&amp;Cobros[[#This Row],[Dias pasado]])</f>
        <v>100</v>
      </c>
      <c r="Q53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38">
        <f>IF(COUNTIF(PAPEL[Numero],Cobros[[#This Row],[Doc. Cargo]])&gt;0,1,0)</f>
        <v>0</v>
      </c>
      <c r="S538" s="46">
        <f t="array" ref="S5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38" s="46">
        <f t="array" ref="T538">INDEX(Ventas[[Unidades]:[2]],MATCH("Gerente de Venta",Ventas[Vendedor %],0),6+Cobros[[#This Row],[Mes]])</f>
        <v>0.005</v>
      </c>
      <c r="U538" s="34">
        <f>IF(Cobros[[#This Row],[Tipo]]="Credito",IF(60&gt;=Cobros[[#This Row],[Dias al pago]],1,0),IF(Cobros[[#This Row],[Dias al pago]]&lt;=3,1,0))</f>
        <v>1</v>
      </c>
      <c r="V538" s="46">
        <f>(Cobros[[#This Row],[% A pagar Vendedor]]/100)*Cobros[[#This Row],[Valor Pagado]]*Cobros[[#This Row],[Vencido]]*(Cobros[[#This Row],[% aplicar]]/100)*IF(Cobros[[#This Row],[% A pagar Vendedor]]&gt;0,1,0)</f>
        <v>97.08</v>
      </c>
      <c r="W538" s="46">
        <f>0.5%*Cobros[[#This Row],[Valor Pagado]]</f>
        <v>48.54</v>
      </c>
    </row>
    <row r="539" spans="1:23">
      <c r="A539" s="49" t="s">
        <v>3860</v>
      </c>
      <c r="B539" s="49" t="s">
        <v>4685</v>
      </c>
      <c r="C539" s="49" t="s">
        <v>2047</v>
      </c>
      <c r="D539" s="49" t="s">
        <v>2048</v>
      </c>
      <c r="E539" s="49" t="s">
        <v>4686</v>
      </c>
      <c r="F539" s="51">
        <v>46211</v>
      </c>
      <c r="G539" s="49">
        <v>2</v>
      </c>
      <c r="H539" s="49" t="s">
        <v>18</v>
      </c>
      <c r="I539" s="51">
        <v>46219</v>
      </c>
      <c r="J539" s="54">
        <f>INT(Cobros[[#This Row],[Fecha Cargo]])</f>
        <v>46211</v>
      </c>
      <c r="K539" s="54">
        <f>INT(Cobros[[#This Row],[Fecha Aplicacion]])</f>
        <v>46219</v>
      </c>
      <c r="L539" s="55">
        <v>30</v>
      </c>
      <c r="M539" s="45" t="str">
        <f>IF(Cobros[[#This Row],[Dias de Credito]]&lt;=0,"Contado","Credito")</f>
        <v>Credito</v>
      </c>
      <c r="N539" s="45">
        <f>Cobros[[#This Row],[Fecha Aplicación S]]-Cobros[[#This Row],[Fecha Cargo S]]</f>
        <v>8</v>
      </c>
      <c r="O539" s="45">
        <v>0</v>
      </c>
      <c r="P539" s="45">
        <f>SUMIFS(TablaDias[Porcentaje],TablaDias[Tipo],Cobros[[#This Row],[Tipo]],TablaDias[Desde ],"&lt;="&amp;MAX(0,Cobros[[#This Row],[Dias pasado]]),TablaDias[Hasta ],"&gt;="&amp;Cobros[[#This Row],[Dias pasado]])</f>
        <v>100</v>
      </c>
      <c r="Q539">
        <v>1</v>
      </c>
      <c r="R539">
        <f>IF(COUNTIF(PAPEL[Numero],Cobros[[#This Row],[Doc. Cargo]])&gt;0,1,0)</f>
        <v>0</v>
      </c>
      <c r="S539" s="46">
        <f t="array" ref="S5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39" s="46">
        <f t="array" ref="T539">INDEX(Ventas[[Unidades]:[2]],MATCH("Gerente de Venta",Ventas[Vendedor %],0),6+Cobros[[#This Row],[Mes]])</f>
        <v>0.005</v>
      </c>
      <c r="U539" s="34">
        <f>IF(Cobros[[#This Row],[Tipo]]="Credito",IF(60&gt;=Cobros[[#This Row],[Dias al pago]],1,0),IF(Cobros[[#This Row],[Dias al pago]]&lt;=3,1,0))</f>
        <v>1</v>
      </c>
      <c r="V539" s="46">
        <f>(Cobros[[#This Row],[% A pagar Vendedor]]/100)*Cobros[[#This Row],[Valor Pagado]]*Cobros[[#This Row],[Vencido]]*(Cobros[[#This Row],[% aplicar]]/100)*IF(Cobros[[#This Row],[% A pagar Vendedor]]&gt;0,1,0)</f>
        <v>0.02</v>
      </c>
      <c r="W539" s="46">
        <f>0.5%*Cobros[[#This Row],[Valor Pagado]]</f>
        <v>0.01</v>
      </c>
    </row>
    <row r="540" spans="1:23">
      <c r="A540" s="49" t="s">
        <v>3860</v>
      </c>
      <c r="B540" s="49" t="s">
        <v>4687</v>
      </c>
      <c r="C540" s="49" t="s">
        <v>1915</v>
      </c>
      <c r="D540" s="49" t="s">
        <v>1916</v>
      </c>
      <c r="E540" s="49" t="s">
        <v>4688</v>
      </c>
      <c r="F540" s="51">
        <v>46219</v>
      </c>
      <c r="G540" s="49">
        <v>1872</v>
      </c>
      <c r="H540" s="49" t="s">
        <v>19</v>
      </c>
      <c r="I540" s="51">
        <v>46218</v>
      </c>
      <c r="J540" s="54">
        <f>INT(Cobros[[#This Row],[Fecha Cargo]])</f>
        <v>46219</v>
      </c>
      <c r="K540" s="54">
        <f>INT(Cobros[[#This Row],[Fecha Aplicacion]])</f>
        <v>46218</v>
      </c>
      <c r="L540" s="55">
        <f>INDEX(Clientes[Días Plazo],MATCH(Cobros[[#This Row],[Cod. Cliente]],Clientes[Codigo],0),1)</f>
        <v>0</v>
      </c>
      <c r="M540" s="45" t="str">
        <f>IF(Cobros[[#This Row],[Dias de Credito]]&lt;=0,"Contado","Credito")</f>
        <v>Contado</v>
      </c>
      <c r="N540" s="45">
        <f>Cobros[[#This Row],[Fecha Aplicación S]]-Cobros[[#This Row],[Fecha Cargo S]]</f>
        <v>-1</v>
      </c>
      <c r="O540" s="45">
        <f>Cobros[[#This Row],[Dias al pago]]-Cobros[[#This Row],[Dias de Credito]]</f>
        <v>-1</v>
      </c>
      <c r="P540" s="45">
        <f>SUMIFS(TablaDias[Porcentaje],TablaDias[Tipo],Cobros[[#This Row],[Tipo]],TablaDias[Desde ],"&lt;="&amp;MAX(0,Cobros[[#This Row],[Dias pasado]]),TablaDias[Hasta ],"&gt;="&amp;Cobros[[#This Row],[Dias pasado]])</f>
        <v>100</v>
      </c>
      <c r="Q54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40">
        <f>IF(COUNTIF(PAPEL[Numero],Cobros[[#This Row],[Doc. Cargo]])&gt;0,1,0)</f>
        <v>0</v>
      </c>
      <c r="S540" s="46">
        <f t="array" ref="S5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0" s="46">
        <f t="array" ref="T540">INDEX(Ventas[[Unidades]:[2]],MATCH("Gerente de Venta",Ventas[Vendedor %],0),6+Cobros[[#This Row],[Mes]])</f>
        <v>0.005</v>
      </c>
      <c r="U540" s="34">
        <f>IF(Cobros[[#This Row],[Tipo]]="Credito",IF(60&gt;=Cobros[[#This Row],[Dias al pago]],1,0),IF(Cobros[[#This Row],[Dias al pago]]&lt;=3,1,0))</f>
        <v>1</v>
      </c>
      <c r="V540" s="46">
        <f>(Cobros[[#This Row],[% A pagar Vendedor]]/100)*Cobros[[#This Row],[Valor Pagado]]*Cobros[[#This Row],[Vencido]]*(Cobros[[#This Row],[% aplicar]]/100)*IF(Cobros[[#This Row],[% A pagar Vendedor]]&gt;0,1,0)</f>
        <v>23.4</v>
      </c>
      <c r="W540" s="46">
        <f>0.5%*Cobros[[#This Row],[Valor Pagado]]</f>
        <v>9.36</v>
      </c>
    </row>
    <row r="541" spans="1:23">
      <c r="A541" s="49" t="s">
        <v>3860</v>
      </c>
      <c r="B541" s="49" t="s">
        <v>4689</v>
      </c>
      <c r="C541" s="49" t="s">
        <v>1915</v>
      </c>
      <c r="D541" s="49" t="s">
        <v>1916</v>
      </c>
      <c r="E541" s="49" t="s">
        <v>4690</v>
      </c>
      <c r="F541" s="51">
        <v>46203</v>
      </c>
      <c r="G541" s="49">
        <v>29.3</v>
      </c>
      <c r="H541" s="49" t="s">
        <v>19</v>
      </c>
      <c r="I541" s="51">
        <v>46219</v>
      </c>
      <c r="J541" s="54">
        <f>INT(Cobros[[#This Row],[Fecha Cargo]])</f>
        <v>46203</v>
      </c>
      <c r="K541" s="54">
        <f>INT(Cobros[[#This Row],[Fecha Aplicacion]])</f>
        <v>46219</v>
      </c>
      <c r="L541" s="55">
        <f>INDEX(Clientes[Días Plazo],MATCH(Cobros[[#This Row],[Cod. Cliente]],Clientes[Codigo],0),1)</f>
        <v>0</v>
      </c>
      <c r="M541" s="45" t="str">
        <f>IF(Cobros[[#This Row],[Dias de Credito]]&lt;=0,"Contado","Credito")</f>
        <v>Contado</v>
      </c>
      <c r="N541" s="45">
        <f>Cobros[[#This Row],[Fecha Aplicación S]]-Cobros[[#This Row],[Fecha Cargo S]]</f>
        <v>16</v>
      </c>
      <c r="O541" s="45">
        <f>Cobros[[#This Row],[Dias al pago]]-Cobros[[#This Row],[Dias de Credito]]</f>
        <v>16</v>
      </c>
      <c r="P541" s="45">
        <f>SUMIFS(TablaDias[Porcentaje],TablaDias[Tipo],Cobros[[#This Row],[Tipo]],TablaDias[Desde ],"&lt;="&amp;MAX(0,Cobros[[#This Row],[Dias pasado]]),TablaDias[Hasta ],"&gt;="&amp;Cobros[[#This Row],[Dias pasado]])</f>
        <v>0</v>
      </c>
      <c r="Q541">
        <v>1</v>
      </c>
      <c r="R541">
        <f>IF(COUNTIF(PAPEL[Numero],Cobros[[#This Row],[Doc. Cargo]])&gt;0,1,0)</f>
        <v>0</v>
      </c>
      <c r="S541" s="46">
        <f t="array" ref="S5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1" s="46">
        <f t="array" ref="T541">INDEX(Ventas[[Unidades]:[2]],MATCH("Gerente de Venta",Ventas[Vendedor %],0),6+Cobros[[#This Row],[Mes]])</f>
        <v>0.005</v>
      </c>
      <c r="U541" s="34">
        <f>IF(Cobros[[#This Row],[Tipo]]="Credito",IF(60&gt;=Cobros[[#This Row],[Dias al pago]],1,0),IF(Cobros[[#This Row],[Dias al pago]]&lt;=3,1,0))</f>
        <v>0</v>
      </c>
      <c r="V541" s="46">
        <f>(Cobros[[#This Row],[% A pagar Vendedor]]/100)*Cobros[[#This Row],[Valor Pagado]]*Cobros[[#This Row],[Vencido]]*(Cobros[[#This Row],[% aplicar]]/100)*IF(Cobros[[#This Row],[% A pagar Vendedor]]&gt;0,1,0)</f>
        <v>0</v>
      </c>
      <c r="W541" s="46">
        <f>0.5%*Cobros[[#This Row],[Valor Pagado]]</f>
        <v>0.1465</v>
      </c>
    </row>
    <row r="542" spans="1:23">
      <c r="A542" s="49" t="s">
        <v>3860</v>
      </c>
      <c r="B542" s="49" t="s">
        <v>4691</v>
      </c>
      <c r="C542" s="49" t="s">
        <v>1662</v>
      </c>
      <c r="D542" s="49" t="s">
        <v>1663</v>
      </c>
      <c r="E542" s="49" t="s">
        <v>4692</v>
      </c>
      <c r="F542" s="51">
        <v>46219</v>
      </c>
      <c r="G542" s="49">
        <v>1440.45</v>
      </c>
      <c r="H542" s="49" t="s">
        <v>16</v>
      </c>
      <c r="I542" s="51">
        <v>46219</v>
      </c>
      <c r="J542" s="54">
        <f>INT(Cobros[[#This Row],[Fecha Cargo]])</f>
        <v>46219</v>
      </c>
      <c r="K542" s="54">
        <f>INT(Cobros[[#This Row],[Fecha Aplicacion]])</f>
        <v>46219</v>
      </c>
      <c r="L542" s="55">
        <f>INDEX(Clientes[Días Plazo],MATCH(Cobros[[#This Row],[Cod. Cliente]],Clientes[Codigo],0),1)</f>
        <v>0</v>
      </c>
      <c r="M542" s="45" t="str">
        <f>IF(Cobros[[#This Row],[Dias de Credito]]&lt;=0,"Contado","Credito")</f>
        <v>Contado</v>
      </c>
      <c r="N542" s="45">
        <f>Cobros[[#This Row],[Fecha Aplicación S]]-Cobros[[#This Row],[Fecha Cargo S]]</f>
        <v>0</v>
      </c>
      <c r="O542" s="45">
        <f>Cobros[[#This Row],[Dias al pago]]-Cobros[[#This Row],[Dias de Credito]]</f>
        <v>0</v>
      </c>
      <c r="P542" s="45">
        <f>SUMIFS(TablaDias[Porcentaje],TablaDias[Tipo],Cobros[[#This Row],[Tipo]],TablaDias[Desde ],"&lt;="&amp;MAX(0,Cobros[[#This Row],[Dias pasado]]),TablaDias[Hasta ],"&gt;="&amp;Cobros[[#This Row],[Dias pasado]])</f>
        <v>100</v>
      </c>
      <c r="Q54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42">
        <f>IF(COUNTIF(PAPEL[Numero],Cobros[[#This Row],[Doc. Cargo]])&gt;0,1,0)</f>
        <v>0</v>
      </c>
      <c r="S542" s="46">
        <f t="array" ref="S5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2" s="47">
        <v>0.005</v>
      </c>
      <c r="U542" s="34">
        <f>IF(Cobros[[#This Row],[Tipo]]="Credito",IF(60&gt;=Cobros[[#This Row],[Dias al pago]],1,0),IF(Cobros[[#This Row],[Dias al pago]]&lt;=3,1,0))</f>
        <v>1</v>
      </c>
      <c r="V542" s="46">
        <f>(Cobros[[#This Row],[% A pagar Vendedor]]/100)*Cobros[[#This Row],[Valor Pagado]]*Cobros[[#This Row],[Vencido]]*(Cobros[[#This Row],[% aplicar]]/100)*IF(Cobros[[#This Row],[% A pagar Vendedor]]&gt;0,1,0)</f>
        <v>18.005625</v>
      </c>
      <c r="W542" s="46">
        <f>0.5%*Cobros[[#This Row],[Valor Pagado]]</f>
        <v>7.20225</v>
      </c>
    </row>
    <row r="543" ht="30" spans="1:23">
      <c r="A543" s="49" t="s">
        <v>3884</v>
      </c>
      <c r="B543" s="49" t="s">
        <v>4693</v>
      </c>
      <c r="C543" s="49" t="s">
        <v>1008</v>
      </c>
      <c r="D543" s="49" t="s">
        <v>1009</v>
      </c>
      <c r="E543" s="49" t="s">
        <v>4018</v>
      </c>
      <c r="F543" s="51">
        <v>46196</v>
      </c>
      <c r="G543" s="49">
        <v>657.75</v>
      </c>
      <c r="H543" s="49" t="s">
        <v>3865</v>
      </c>
      <c r="I543" s="51">
        <v>46219</v>
      </c>
      <c r="J543" s="54">
        <f>INT(Cobros[[#This Row],[Fecha Cargo]])</f>
        <v>46196</v>
      </c>
      <c r="K543" s="54">
        <f>INT(Cobros[[#This Row],[Fecha Aplicacion]])</f>
        <v>46219</v>
      </c>
      <c r="L543" s="55" t="str">
        <f>INDEX(Clientes[Días Plazo],MATCH(Cobros[[#This Row],[Cod. Cliente]],Clientes[Codigo],0),1)</f>
        <v>15</v>
      </c>
      <c r="M543" s="45" t="str">
        <f>IF(Cobros[[#This Row],[Dias de Credito]]&lt;=0,"Contado","Credito")</f>
        <v>Credito</v>
      </c>
      <c r="N543" s="45">
        <f>Cobros[[#This Row],[Fecha Aplicación S]]-Cobros[[#This Row],[Fecha Cargo S]]</f>
        <v>23</v>
      </c>
      <c r="O543" s="45">
        <f>Cobros[[#This Row],[Dias al pago]]-Cobros[[#This Row],[Dias de Credito]]</f>
        <v>8</v>
      </c>
      <c r="P543" s="45">
        <f>SUMIFS(TablaDias[Porcentaje],TablaDias[Tipo],Cobros[[#This Row],[Tipo]],TablaDias[Desde ],"&lt;="&amp;MAX(0,Cobros[[#This Row],[Dias pasado]]),TablaDias[Hasta ],"&gt;="&amp;Cobros[[#This Row],[Dias pasado]])</f>
        <v>100</v>
      </c>
      <c r="Q54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43">
        <f>IF(COUNTIF(PAPEL[Numero],Cobros[[#This Row],[Doc. Cargo]])&gt;0,1,0)</f>
        <v>0</v>
      </c>
      <c r="S543" s="46">
        <v>1</v>
      </c>
      <c r="T543" s="46">
        <f t="array" ref="T543">INDEX(Ventas[[Unidades]:[2]],MATCH("Gerente de Venta",Ventas[Vendedor %],0),6+Cobros[[#This Row],[Mes]])</f>
        <v>0.005</v>
      </c>
      <c r="U543" s="34">
        <f>IF(Cobros[[#This Row],[Tipo]]="Credito",IF(60&gt;=Cobros[[#This Row],[Dias al pago]],1,0),IF(Cobros[[#This Row],[Dias al pago]]&lt;=3,1,0))</f>
        <v>1</v>
      </c>
      <c r="V543" s="46">
        <f>(Cobros[[#This Row],[% A pagar Vendedor]]/100)*Cobros[[#This Row],[Valor Pagado]]*Cobros[[#This Row],[Vencido]]*(Cobros[[#This Row],[% aplicar]]/100)*IF(Cobros[[#This Row],[% A pagar Vendedor]]&gt;0,1,0)</f>
        <v>6.5775</v>
      </c>
      <c r="W543" s="46">
        <f>0.5%*Cobros[[#This Row],[Valor Pagado]]</f>
        <v>3.28875</v>
      </c>
    </row>
    <row r="544" spans="1:23">
      <c r="A544" s="49" t="s">
        <v>3860</v>
      </c>
      <c r="B544" s="49" t="s">
        <v>4522</v>
      </c>
      <c r="C544" s="49" t="s">
        <v>3747</v>
      </c>
      <c r="D544" s="49" t="s">
        <v>3748</v>
      </c>
      <c r="E544" s="49" t="s">
        <v>4694</v>
      </c>
      <c r="F544" s="51">
        <v>46185</v>
      </c>
      <c r="G544" s="49">
        <v>1.77</v>
      </c>
      <c r="H544" s="49" t="s">
        <v>19</v>
      </c>
      <c r="I544" s="51">
        <v>46216</v>
      </c>
      <c r="J544" s="54">
        <f>INT(Cobros[[#This Row],[Fecha Cargo]])</f>
        <v>46185</v>
      </c>
      <c r="K544" s="54">
        <f>INT(Cobros[[#This Row],[Fecha Aplicacion]])</f>
        <v>46216</v>
      </c>
      <c r="L544" s="55" t="str">
        <f>INDEX(Clientes[Días Plazo],MATCH(Cobros[[#This Row],[Cod. Cliente]],Clientes[Codigo],0),1)</f>
        <v>21</v>
      </c>
      <c r="M544" s="45" t="str">
        <f>IF(Cobros[[#This Row],[Dias de Credito]]&lt;=0,"Contado","Credito")</f>
        <v>Credito</v>
      </c>
      <c r="N544" s="45">
        <f>Cobros[[#This Row],[Fecha Aplicación S]]-Cobros[[#This Row],[Fecha Cargo S]]</f>
        <v>31</v>
      </c>
      <c r="O544" s="45">
        <f>Cobros[[#This Row],[Dias al pago]]-Cobros[[#This Row],[Dias de Credito]]</f>
        <v>10</v>
      </c>
      <c r="P544" s="45">
        <f>SUMIFS(TablaDias[Porcentaje],TablaDias[Tipo],Cobros[[#This Row],[Tipo]],TablaDias[Desde ],"&lt;="&amp;MAX(0,Cobros[[#This Row],[Dias pasado]]),TablaDias[Hasta ],"&gt;="&amp;Cobros[[#This Row],[Dias pasado]])</f>
        <v>100</v>
      </c>
      <c r="Q54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44">
        <f>IF(COUNTIF(PAPEL[Numero],Cobros[[#This Row],[Doc. Cargo]])&gt;0,1,0)</f>
        <v>0</v>
      </c>
      <c r="S544" s="46">
        <f t="array" ref="S5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4" s="46">
        <f t="array" ref="T544">INDEX(Ventas[[Unidades]:[2]],MATCH("Gerente de Venta",Ventas[Vendedor %],0),6+Cobros[[#This Row],[Mes]])</f>
        <v>0.005</v>
      </c>
      <c r="U544" s="34">
        <f>IF(Cobros[[#This Row],[Tipo]]="Credito",IF(60&gt;=Cobros[[#This Row],[Dias al pago]],1,0),IF(Cobros[[#This Row],[Dias al pago]]&lt;=3,1,0))</f>
        <v>1</v>
      </c>
      <c r="V544" s="46">
        <f>(Cobros[[#This Row],[% A pagar Vendedor]]/100)*Cobros[[#This Row],[Valor Pagado]]*Cobros[[#This Row],[Vencido]]*(Cobros[[#This Row],[% aplicar]]/100)*IF(Cobros[[#This Row],[% A pagar Vendedor]]&gt;0,1,0)</f>
        <v>0.022125</v>
      </c>
      <c r="W544" s="46">
        <f>0.5%*Cobros[[#This Row],[Valor Pagado]]</f>
        <v>0.00885</v>
      </c>
    </row>
    <row r="545" spans="1:23">
      <c r="A545" s="49" t="s">
        <v>3860</v>
      </c>
      <c r="B545" s="49" t="s">
        <v>4695</v>
      </c>
      <c r="C545" s="49" t="s">
        <v>3747</v>
      </c>
      <c r="D545" s="49" t="s">
        <v>3748</v>
      </c>
      <c r="E545" s="49" t="s">
        <v>4694</v>
      </c>
      <c r="F545" s="51">
        <v>46185</v>
      </c>
      <c r="G545" s="49">
        <v>1104.43</v>
      </c>
      <c r="H545" s="49" t="s">
        <v>19</v>
      </c>
      <c r="I545" s="51">
        <v>46219</v>
      </c>
      <c r="J545" s="54">
        <f>INT(Cobros[[#This Row],[Fecha Cargo]])</f>
        <v>46185</v>
      </c>
      <c r="K545" s="54">
        <f>INT(Cobros[[#This Row],[Fecha Aplicacion]])</f>
        <v>46219</v>
      </c>
      <c r="L545" s="55" t="str">
        <f>INDEX(Clientes[Días Plazo],MATCH(Cobros[[#This Row],[Cod. Cliente]],Clientes[Codigo],0),1)</f>
        <v>21</v>
      </c>
      <c r="M545" s="45" t="str">
        <f>IF(Cobros[[#This Row],[Dias de Credito]]&lt;=0,"Contado","Credito")</f>
        <v>Credito</v>
      </c>
      <c r="N545" s="45">
        <f>Cobros[[#This Row],[Fecha Aplicación S]]-Cobros[[#This Row],[Fecha Cargo S]]</f>
        <v>34</v>
      </c>
      <c r="O545" s="45">
        <f>Cobros[[#This Row],[Dias al pago]]-Cobros[[#This Row],[Dias de Credito]]</f>
        <v>13</v>
      </c>
      <c r="P545" s="45">
        <f>SUMIFS(TablaDias[Porcentaje],TablaDias[Tipo],Cobros[[#This Row],[Tipo]],TablaDias[Desde ],"&lt;="&amp;MAX(0,Cobros[[#This Row],[Dias pasado]]),TablaDias[Hasta ],"&gt;="&amp;Cobros[[#This Row],[Dias pasado]])</f>
        <v>100</v>
      </c>
      <c r="Q54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45">
        <f>IF(COUNTIF(PAPEL[Numero],Cobros[[#This Row],[Doc. Cargo]])&gt;0,1,0)</f>
        <v>0</v>
      </c>
      <c r="S545" s="46">
        <f t="array" ref="S5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5" s="46">
        <f t="array" ref="T545">INDEX(Ventas[[Unidades]:[2]],MATCH("Gerente de Venta",Ventas[Vendedor %],0),6+Cobros[[#This Row],[Mes]])</f>
        <v>0.005</v>
      </c>
      <c r="U545" s="34">
        <f>IF(Cobros[[#This Row],[Tipo]]="Credito",IF(60&gt;=Cobros[[#This Row],[Dias al pago]],1,0),IF(Cobros[[#This Row],[Dias al pago]]&lt;=3,1,0))</f>
        <v>1</v>
      </c>
      <c r="V545" s="46">
        <f>(Cobros[[#This Row],[% A pagar Vendedor]]/100)*Cobros[[#This Row],[Valor Pagado]]*Cobros[[#This Row],[Vencido]]*(Cobros[[#This Row],[% aplicar]]/100)*IF(Cobros[[#This Row],[% A pagar Vendedor]]&gt;0,1,0)</f>
        <v>13.805375</v>
      </c>
      <c r="W545" s="46">
        <f>0.5%*Cobros[[#This Row],[Valor Pagado]]</f>
        <v>5.52215</v>
      </c>
    </row>
    <row r="546" spans="1:24">
      <c r="A546" s="49" t="s">
        <v>3860</v>
      </c>
      <c r="B546" s="49" t="s">
        <v>4695</v>
      </c>
      <c r="C546" s="49" t="s">
        <v>3747</v>
      </c>
      <c r="D546" s="49" t="s">
        <v>3748</v>
      </c>
      <c r="E546" s="49" t="s">
        <v>4696</v>
      </c>
      <c r="F546" s="51">
        <v>46189</v>
      </c>
      <c r="G546" s="49">
        <v>1176.5</v>
      </c>
      <c r="H546" s="49" t="s">
        <v>19</v>
      </c>
      <c r="I546" s="51">
        <v>46219</v>
      </c>
      <c r="J546" s="54">
        <f>INT(Cobros[[#This Row],[Fecha Cargo]])</f>
        <v>46189</v>
      </c>
      <c r="K546" s="54">
        <f>INT(Cobros[[#This Row],[Fecha Aplicacion]])</f>
        <v>46219</v>
      </c>
      <c r="L546" s="55" t="str">
        <f>INDEX(Clientes[Días Plazo],MATCH(Cobros[[#This Row],[Cod. Cliente]],Clientes[Codigo],0),1)</f>
        <v>21</v>
      </c>
      <c r="M546" s="45" t="str">
        <f>IF(Cobros[[#This Row],[Dias de Credito]]&lt;=0,"Contado","Credito")</f>
        <v>Credito</v>
      </c>
      <c r="N546" s="45">
        <f>Cobros[[#This Row],[Fecha Aplicación S]]-Cobros[[#This Row],[Fecha Cargo S]]</f>
        <v>30</v>
      </c>
      <c r="O546" s="45">
        <f>Cobros[[#This Row],[Dias al pago]]-Cobros[[#This Row],[Dias de Credito]]</f>
        <v>9</v>
      </c>
      <c r="P546" s="45">
        <f>SUMIFS(TablaDias[Porcentaje],TablaDias[Tipo],Cobros[[#This Row],[Tipo]],TablaDias[Desde ],"&lt;="&amp;MAX(0,Cobros[[#This Row],[Dias pasado]]),TablaDias[Hasta ],"&gt;="&amp;Cobros[[#This Row],[Dias pasado]])</f>
        <v>100</v>
      </c>
      <c r="Q54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46">
        <f>IF(COUNTIF(PAPEL[Numero],Cobros[[#This Row],[Doc. Cargo]])&gt;0,1,0)</f>
        <v>0</v>
      </c>
      <c r="S546" s="46">
        <f t="array" ref="S5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6" s="46">
        <f t="array" ref="T546">INDEX(Ventas[[Unidades]:[2]],MATCH("Gerente de Venta",Ventas[Vendedor %],0),6+Cobros[[#This Row],[Mes]])</f>
        <v>0.005</v>
      </c>
      <c r="U546" s="34">
        <f>IF(Cobros[[#This Row],[Tipo]]="Credito",IF(60&gt;=Cobros[[#This Row],[Dias al pago]],1,0),IF(Cobros[[#This Row],[Dias al pago]]&lt;=3,1,0))</f>
        <v>1</v>
      </c>
      <c r="V546" s="46">
        <f>(Cobros[[#This Row],[% A pagar Vendedor]]/100)*Cobros[[#This Row],[Valor Pagado]]*Cobros[[#This Row],[Vencido]]*(Cobros[[#This Row],[% aplicar]]/100)*IF(Cobros[[#This Row],[% A pagar Vendedor]]&gt;0,1,0)</f>
        <v>14.70625</v>
      </c>
      <c r="W546" s="46">
        <f>0.5%*Cobros[[#This Row],[Valor Pagado]]</f>
        <v>5.8825</v>
      </c>
      <c r="X546" s="60"/>
    </row>
    <row r="547" spans="1:23">
      <c r="A547" s="49" t="s">
        <v>3860</v>
      </c>
      <c r="B547" s="49" t="s">
        <v>4695</v>
      </c>
      <c r="C547" s="49" t="s">
        <v>3747</v>
      </c>
      <c r="D547" s="49" t="s">
        <v>3748</v>
      </c>
      <c r="E547" s="49" t="s">
        <v>4697</v>
      </c>
      <c r="F547" s="51">
        <v>46190</v>
      </c>
      <c r="G547" s="49">
        <v>1.77</v>
      </c>
      <c r="H547" s="49" t="s">
        <v>19</v>
      </c>
      <c r="I547" s="51">
        <v>46219</v>
      </c>
      <c r="J547" s="54">
        <f>INT(Cobros[[#This Row],[Fecha Cargo]])</f>
        <v>46190</v>
      </c>
      <c r="K547" s="54">
        <f>INT(Cobros[[#This Row],[Fecha Aplicacion]])</f>
        <v>46219</v>
      </c>
      <c r="L547" s="55" t="str">
        <f>INDEX(Clientes[Días Plazo],MATCH(Cobros[[#This Row],[Cod. Cliente]],Clientes[Codigo],0),1)</f>
        <v>21</v>
      </c>
      <c r="M547" s="45" t="str">
        <f>IF(Cobros[[#This Row],[Dias de Credito]]&lt;=0,"Contado","Credito")</f>
        <v>Credito</v>
      </c>
      <c r="N547" s="45">
        <f>Cobros[[#This Row],[Fecha Aplicación S]]-Cobros[[#This Row],[Fecha Cargo S]]</f>
        <v>29</v>
      </c>
      <c r="O547" s="45">
        <f>Cobros[[#This Row],[Dias al pago]]-Cobros[[#This Row],[Dias de Credito]]</f>
        <v>8</v>
      </c>
      <c r="P547" s="45">
        <f>SUMIFS(TablaDias[Porcentaje],TablaDias[Tipo],Cobros[[#This Row],[Tipo]],TablaDias[Desde ],"&lt;="&amp;MAX(0,Cobros[[#This Row],[Dias pasado]]),TablaDias[Hasta ],"&gt;="&amp;Cobros[[#This Row],[Dias pasado]])</f>
        <v>100</v>
      </c>
      <c r="Q54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47">
        <f>IF(COUNTIF(PAPEL[Numero],Cobros[[#This Row],[Doc. Cargo]])&gt;0,1,0)</f>
        <v>0</v>
      </c>
      <c r="S547" s="46">
        <f t="array" ref="S5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7" s="46">
        <f t="array" ref="T547">INDEX(Ventas[[Unidades]:[2]],MATCH("Gerente de Venta",Ventas[Vendedor %],0),6+Cobros[[#This Row],[Mes]])</f>
        <v>0.005</v>
      </c>
      <c r="U547" s="34">
        <f>IF(Cobros[[#This Row],[Tipo]]="Credito",IF(60&gt;=Cobros[[#This Row],[Dias al pago]],1,0),IF(Cobros[[#This Row],[Dias al pago]]&lt;=3,1,0))</f>
        <v>1</v>
      </c>
      <c r="V547" s="46">
        <f>(Cobros[[#This Row],[% A pagar Vendedor]]/100)*Cobros[[#This Row],[Valor Pagado]]*Cobros[[#This Row],[Vencido]]*(Cobros[[#This Row],[% aplicar]]/100)*IF(Cobros[[#This Row],[% A pagar Vendedor]]&gt;0,1,0)</f>
        <v>0.022125</v>
      </c>
      <c r="W547" s="46">
        <f>0.5%*Cobros[[#This Row],[Valor Pagado]]</f>
        <v>0.00885</v>
      </c>
    </row>
    <row r="548" spans="1:24">
      <c r="A548" s="49" t="s">
        <v>3884</v>
      </c>
      <c r="B548" s="49" t="s">
        <v>4698</v>
      </c>
      <c r="C548" s="49" t="s">
        <v>915</v>
      </c>
      <c r="D548" s="49" t="s">
        <v>916</v>
      </c>
      <c r="E548" s="49" t="s">
        <v>4699</v>
      </c>
      <c r="F548" s="51">
        <v>46219</v>
      </c>
      <c r="G548" s="49">
        <v>175</v>
      </c>
      <c r="H548" s="49" t="s">
        <v>16</v>
      </c>
      <c r="I548" s="51">
        <v>46219</v>
      </c>
      <c r="J548" s="54">
        <f>INT(Cobros[[#This Row],[Fecha Cargo]])</f>
        <v>46219</v>
      </c>
      <c r="K548" s="54">
        <f>INT(Cobros[[#This Row],[Fecha Aplicacion]])</f>
        <v>46219</v>
      </c>
      <c r="L548" s="55">
        <f>INDEX(Clientes[Días Plazo],MATCH(Cobros[[#This Row],[Cod. Cliente]],Clientes[Codigo],0),1)</f>
        <v>0</v>
      </c>
      <c r="M548" s="45" t="str">
        <f>IF(Cobros[[#This Row],[Dias de Credito]]&lt;=0,"Contado","Credito")</f>
        <v>Contado</v>
      </c>
      <c r="N548" s="45">
        <f>Cobros[[#This Row],[Fecha Aplicación S]]-Cobros[[#This Row],[Fecha Cargo S]]</f>
        <v>0</v>
      </c>
      <c r="O548" s="45">
        <f>Cobros[[#This Row],[Dias al pago]]-Cobros[[#This Row],[Dias de Credito]]</f>
        <v>0</v>
      </c>
      <c r="P548" s="45">
        <f>SUMIFS(TablaDias[Porcentaje],TablaDias[Tipo],Cobros[[#This Row],[Tipo]],TablaDias[Desde ],"&lt;="&amp;MAX(0,Cobros[[#This Row],[Dias pasado]]),TablaDias[Hasta ],"&gt;="&amp;Cobros[[#This Row],[Dias pasado]])</f>
        <v>100</v>
      </c>
      <c r="Q54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48">
        <f>IF(COUNTIF(PAPEL[Numero],Cobros[[#This Row],[Doc. Cargo]])&gt;0,1,0)</f>
        <v>0</v>
      </c>
      <c r="S548" s="46">
        <f t="array" ref="S5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48" s="47">
        <v>0.005</v>
      </c>
      <c r="U548" s="34">
        <f>IF(Cobros[[#This Row],[Tipo]]="Credito",IF(60&gt;=Cobros[[#This Row],[Dias al pago]],1,0),IF(Cobros[[#This Row],[Dias al pago]]&lt;=3,1,0))</f>
        <v>1</v>
      </c>
      <c r="V548" s="46">
        <f>(Cobros[[#This Row],[% A pagar Vendedor]]/100)*Cobros[[#This Row],[Valor Pagado]]*Cobros[[#This Row],[Vencido]]*(Cobros[[#This Row],[% aplicar]]/100)*IF(Cobros[[#This Row],[% A pagar Vendedor]]&gt;0,1,0)</f>
        <v>2.1875</v>
      </c>
      <c r="W548" s="46">
        <f>0.5%*Cobros[[#This Row],[Valor Pagado]]</f>
        <v>0.875</v>
      </c>
      <c r="X548" s="60"/>
    </row>
    <row r="549" ht="30" spans="1:24">
      <c r="A549" s="49" t="s">
        <v>3884</v>
      </c>
      <c r="B549" s="49" t="s">
        <v>4700</v>
      </c>
      <c r="C549" s="49" t="s">
        <v>160</v>
      </c>
      <c r="D549" s="49" t="s">
        <v>161</v>
      </c>
      <c r="E549" s="49" t="s">
        <v>4701</v>
      </c>
      <c r="F549" s="51">
        <v>46216</v>
      </c>
      <c r="G549" s="49">
        <v>107</v>
      </c>
      <c r="H549" s="49" t="s">
        <v>22</v>
      </c>
      <c r="I549" s="51">
        <v>46216</v>
      </c>
      <c r="J549" s="54">
        <f>INT(Cobros[[#This Row],[Fecha Cargo]])</f>
        <v>46216</v>
      </c>
      <c r="K549" s="54">
        <f>INT(Cobros[[#This Row],[Fecha Aplicacion]])</f>
        <v>46216</v>
      </c>
      <c r="L549" s="55">
        <f>INDEX(Clientes[Días Plazo],MATCH(Cobros[[#This Row],[Cod. Cliente]],Clientes[Codigo],0),1)</f>
        <v>0</v>
      </c>
      <c r="M549" s="45" t="str">
        <f>IF(Cobros[[#This Row],[Dias de Credito]]&lt;=0,"Contado","Credito")</f>
        <v>Contado</v>
      </c>
      <c r="N549" s="45">
        <f>Cobros[[#This Row],[Fecha Aplicación S]]-Cobros[[#This Row],[Fecha Cargo S]]</f>
        <v>0</v>
      </c>
      <c r="O549" s="45">
        <f>Cobros[[#This Row],[Dias al pago]]-Cobros[[#This Row],[Dias de Credito]]</f>
        <v>0</v>
      </c>
      <c r="P549" s="45">
        <f>SUMIFS(TablaDias[Porcentaje],TablaDias[Tipo],Cobros[[#This Row],[Tipo]],TablaDias[Desde ],"&lt;="&amp;MAX(0,Cobros[[#This Row],[Dias pasado]]),TablaDias[Hasta ],"&gt;="&amp;Cobros[[#This Row],[Dias pasado]])</f>
        <v>100</v>
      </c>
      <c r="Q54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49">
        <f>IF(COUNTIF(PAPEL[Numero],Cobros[[#This Row],[Doc. Cargo]])&gt;0,1,0)</f>
        <v>0</v>
      </c>
      <c r="S549" s="46">
        <f t="array" ref="S5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49" s="46">
        <f t="array" ref="T549">INDEX(Ventas[[Unidades]:[2]],MATCH("Gerente de Venta",Ventas[Vendedor %],0),6+Cobros[[#This Row],[Mes]])</f>
        <v>0.005</v>
      </c>
      <c r="U549" s="34">
        <f>IF(Cobros[[#This Row],[Tipo]]="Credito",IF(60&gt;=Cobros[[#This Row],[Dias al pago]],1,0),IF(Cobros[[#This Row],[Dias al pago]]&lt;=3,1,0))</f>
        <v>1</v>
      </c>
      <c r="V549" s="46">
        <f>(Cobros[[#This Row],[% A pagar Vendedor]]/100)*Cobros[[#This Row],[Valor Pagado]]*Cobros[[#This Row],[Vencido]]*(Cobros[[#This Row],[% aplicar]]/100)*IF(Cobros[[#This Row],[% A pagar Vendedor]]&gt;0,1,0)</f>
        <v>1.07</v>
      </c>
      <c r="W549" s="46">
        <f>0.5%*Cobros[[#This Row],[Valor Pagado]]</f>
        <v>0.535</v>
      </c>
      <c r="X549" s="60"/>
    </row>
    <row r="550" ht="30" spans="1:24">
      <c r="A550" s="49" t="s">
        <v>3904</v>
      </c>
      <c r="B550" s="49" t="s">
        <v>4702</v>
      </c>
      <c r="C550" s="49" t="s">
        <v>160</v>
      </c>
      <c r="D550" s="49" t="s">
        <v>161</v>
      </c>
      <c r="E550" s="49" t="s">
        <v>4703</v>
      </c>
      <c r="F550" s="51">
        <v>46219</v>
      </c>
      <c r="G550" s="49">
        <v>409.65</v>
      </c>
      <c r="H550" s="49" t="s">
        <v>22</v>
      </c>
      <c r="I550" s="51">
        <v>46219</v>
      </c>
      <c r="J550" s="54">
        <f>INT(Cobros[[#This Row],[Fecha Cargo]])</f>
        <v>46219</v>
      </c>
      <c r="K550" s="54">
        <f>INT(Cobros[[#This Row],[Fecha Aplicacion]])</f>
        <v>46219</v>
      </c>
      <c r="L550" s="55">
        <f>INDEX(Clientes[Días Plazo],MATCH(Cobros[[#This Row],[Cod. Cliente]],Clientes[Codigo],0),1)</f>
        <v>0</v>
      </c>
      <c r="M550" s="45" t="str">
        <f>IF(Cobros[[#This Row],[Dias de Credito]]&lt;=0,"Contado","Credito")</f>
        <v>Contado</v>
      </c>
      <c r="N550" s="45">
        <v>0</v>
      </c>
      <c r="O550" s="45">
        <f>Cobros[[#This Row],[Dias al pago]]-Cobros[[#This Row],[Dias de Credito]]</f>
        <v>0</v>
      </c>
      <c r="P550" s="45">
        <f>SUMIFS(TablaDias[Porcentaje],TablaDias[Tipo],Cobros[[#This Row],[Tipo]],TablaDias[Desde ],"&lt;="&amp;MAX(0,Cobros[[#This Row],[Dias pasado]]),TablaDias[Hasta ],"&gt;="&amp;Cobros[[#This Row],[Dias pasado]])</f>
        <v>100</v>
      </c>
      <c r="Q55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0">
        <f>IF(COUNTIF(PAPEL[Numero],Cobros[[#This Row],[Doc. Cargo]])&gt;0,1,0)</f>
        <v>0</v>
      </c>
      <c r="S550" s="46">
        <f t="array" ref="S5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50" s="46">
        <f t="array" ref="T550">INDEX(Ventas[[Unidades]:[2]],MATCH("Gerente de Venta",Ventas[Vendedor %],0),6+Cobros[[#This Row],[Mes]])</f>
        <v>0.005</v>
      </c>
      <c r="U550" s="34">
        <f>IF(Cobros[[#This Row],[Tipo]]="Credito",IF(60&gt;=Cobros[[#This Row],[Dias al pago]],1,0),IF(Cobros[[#This Row],[Dias al pago]]&lt;=3,1,0))</f>
        <v>1</v>
      </c>
      <c r="V550" s="46">
        <f>(Cobros[[#This Row],[% A pagar Vendedor]]/100)*Cobros[[#This Row],[Valor Pagado]]*Cobros[[#This Row],[Vencido]]*(Cobros[[#This Row],[% aplicar]]/100)*IF(Cobros[[#This Row],[% A pagar Vendedor]]&gt;0,1,0)</f>
        <v>4.0965</v>
      </c>
      <c r="W550" s="46">
        <f>0.5%*Cobros[[#This Row],[Valor Pagado]]</f>
        <v>2.04825</v>
      </c>
      <c r="X550" s="60"/>
    </row>
    <row r="551" spans="1:23">
      <c r="A551" s="49" t="s">
        <v>3904</v>
      </c>
      <c r="B551" s="49" t="s">
        <v>4704</v>
      </c>
      <c r="C551" s="49" t="s">
        <v>2919</v>
      </c>
      <c r="D551" s="49" t="s">
        <v>2920</v>
      </c>
      <c r="E551" s="49" t="s">
        <v>4705</v>
      </c>
      <c r="F551" s="51">
        <v>46219</v>
      </c>
      <c r="G551" s="49">
        <v>450.33</v>
      </c>
      <c r="H551" s="49" t="s">
        <v>19</v>
      </c>
      <c r="I551" s="51">
        <v>46219</v>
      </c>
      <c r="J551" s="54">
        <f>INT(Cobros[[#This Row],[Fecha Cargo]])</f>
        <v>46219</v>
      </c>
      <c r="K551" s="54">
        <f>INT(Cobros[[#This Row],[Fecha Aplicacion]])</f>
        <v>46219</v>
      </c>
      <c r="L551" s="55">
        <f>INDEX(Clientes[Días Plazo],MATCH(Cobros[[#This Row],[Cod. Cliente]],Clientes[Codigo],0),1)</f>
        <v>0</v>
      </c>
      <c r="M551" s="45" t="str">
        <f>IF(Cobros[[#This Row],[Dias de Credito]]&lt;=0,"Contado","Credito")</f>
        <v>Contado</v>
      </c>
      <c r="N551" s="45">
        <f>Cobros[[#This Row],[Fecha Aplicación S]]-Cobros[[#This Row],[Fecha Cargo S]]</f>
        <v>0</v>
      </c>
      <c r="O551" s="45">
        <f>Cobros[[#This Row],[Dias al pago]]-Cobros[[#This Row],[Dias de Credito]]</f>
        <v>0</v>
      </c>
      <c r="P551" s="45">
        <f>SUMIFS(TablaDias[Porcentaje],TablaDias[Tipo],Cobros[[#This Row],[Tipo]],TablaDias[Desde ],"&lt;="&amp;MAX(0,Cobros[[#This Row],[Dias pasado]]),TablaDias[Hasta ],"&gt;="&amp;Cobros[[#This Row],[Dias pasado]])</f>
        <v>100</v>
      </c>
      <c r="Q55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1">
        <f>IF(COUNTIF(PAPEL[Numero],Cobros[[#This Row],[Doc. Cargo]])&gt;0,1,0)</f>
        <v>0</v>
      </c>
      <c r="S551" s="46">
        <f t="array" ref="S5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51" s="46">
        <f t="array" ref="T551">INDEX(Ventas[[Unidades]:[2]],MATCH("Gerente de Venta",Ventas[Vendedor %],0),6+Cobros[[#This Row],[Mes]])</f>
        <v>0.005</v>
      </c>
      <c r="U551" s="34">
        <f>IF(Cobros[[#This Row],[Tipo]]="Credito",IF(60&gt;=Cobros[[#This Row],[Dias al pago]],1,0),IF(Cobros[[#This Row],[Dias al pago]]&lt;=3,1,0))</f>
        <v>1</v>
      </c>
      <c r="V551" s="46">
        <f>(Cobros[[#This Row],[% A pagar Vendedor]]/100)*Cobros[[#This Row],[Valor Pagado]]*Cobros[[#This Row],[Vencido]]*(Cobros[[#This Row],[% aplicar]]/100)*IF(Cobros[[#This Row],[% A pagar Vendedor]]&gt;0,1,0)</f>
        <v>5.629125</v>
      </c>
      <c r="W551" s="46">
        <f>0.5%*Cobros[[#This Row],[Valor Pagado]]</f>
        <v>2.25165</v>
      </c>
    </row>
    <row r="552" spans="1:24">
      <c r="A552" s="49" t="s">
        <v>3904</v>
      </c>
      <c r="B552" s="49" t="s">
        <v>4706</v>
      </c>
      <c r="C552" s="49" t="s">
        <v>1991</v>
      </c>
      <c r="D552" s="49" t="s">
        <v>1992</v>
      </c>
      <c r="E552" s="49" t="s">
        <v>4707</v>
      </c>
      <c r="F552" s="51">
        <v>46219</v>
      </c>
      <c r="G552" s="49">
        <v>1420</v>
      </c>
      <c r="H552" s="49" t="s">
        <v>19</v>
      </c>
      <c r="I552" s="51">
        <v>46218</v>
      </c>
      <c r="J552" s="54">
        <f>INT(Cobros[[#This Row],[Fecha Cargo]])</f>
        <v>46219</v>
      </c>
      <c r="K552" s="54">
        <f>INT(Cobros[[#This Row],[Fecha Aplicacion]])</f>
        <v>46218</v>
      </c>
      <c r="L552" s="55">
        <f>INDEX(Clientes[Días Plazo],MATCH(Cobros[[#This Row],[Cod. Cliente]],Clientes[Codigo],0),1)</f>
        <v>0</v>
      </c>
      <c r="M552" s="45" t="str">
        <f>IF(Cobros[[#This Row],[Dias de Credito]]&lt;=0,"Contado","Credito")</f>
        <v>Contado</v>
      </c>
      <c r="N552" s="45">
        <f>Cobros[[#This Row],[Fecha Aplicación S]]-Cobros[[#This Row],[Fecha Cargo S]]</f>
        <v>-1</v>
      </c>
      <c r="O552" s="45">
        <f>Cobros[[#This Row],[Dias al pago]]-Cobros[[#This Row],[Dias de Credito]]</f>
        <v>-1</v>
      </c>
      <c r="P552" s="45">
        <f>SUMIFS(TablaDias[Porcentaje],TablaDias[Tipo],Cobros[[#This Row],[Tipo]],TablaDias[Desde ],"&lt;="&amp;MAX(0,Cobros[[#This Row],[Dias pasado]]),TablaDias[Hasta ],"&gt;="&amp;Cobros[[#This Row],[Dias pasado]])</f>
        <v>100</v>
      </c>
      <c r="Q55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2">
        <f>IF(COUNTIF(PAPEL[Numero],Cobros[[#This Row],[Doc. Cargo]])&gt;0,1,0)</f>
        <v>0</v>
      </c>
      <c r="S552" s="46">
        <f t="array" ref="S5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52" s="46">
        <f t="array" ref="T552">INDEX(Ventas[[Unidades]:[2]],MATCH("Gerente de Venta",Ventas[Vendedor %],0),6+Cobros[[#This Row],[Mes]])</f>
        <v>0.005</v>
      </c>
      <c r="U552" s="34">
        <f>IF(Cobros[[#This Row],[Tipo]]="Credito",IF(60&gt;=Cobros[[#This Row],[Dias al pago]],1,0),IF(Cobros[[#This Row],[Dias al pago]]&lt;=3,1,0))</f>
        <v>1</v>
      </c>
      <c r="V552" s="46">
        <f>(Cobros[[#This Row],[% A pagar Vendedor]]/100)*Cobros[[#This Row],[Valor Pagado]]*Cobros[[#This Row],[Vencido]]*(Cobros[[#This Row],[% aplicar]]/100)*IF(Cobros[[#This Row],[% A pagar Vendedor]]&gt;0,1,0)</f>
        <v>17.75</v>
      </c>
      <c r="W552" s="46">
        <f>0.5%*Cobros[[#This Row],[Valor Pagado]]</f>
        <v>7.1</v>
      </c>
      <c r="X552" s="60"/>
    </row>
    <row r="553" ht="30" spans="1:23">
      <c r="A553" s="49" t="s">
        <v>3904</v>
      </c>
      <c r="B553" s="49" t="s">
        <v>4708</v>
      </c>
      <c r="C553" s="49" t="s">
        <v>3204</v>
      </c>
      <c r="D553" s="49" t="s">
        <v>3205</v>
      </c>
      <c r="E553" s="49" t="s">
        <v>4709</v>
      </c>
      <c r="F553" s="51">
        <v>46219</v>
      </c>
      <c r="G553" s="49">
        <v>185.5</v>
      </c>
      <c r="H553" s="49" t="s">
        <v>22</v>
      </c>
      <c r="I553" s="51">
        <v>46219</v>
      </c>
      <c r="J553" s="54">
        <f>INT(Cobros[[#This Row],[Fecha Cargo]])</f>
        <v>46219</v>
      </c>
      <c r="K553" s="54">
        <f>INT(Cobros[[#This Row],[Fecha Aplicacion]])</f>
        <v>46219</v>
      </c>
      <c r="L553" s="55" t="str">
        <f>INDEX(Clientes[Días Plazo],MATCH(Cobros[[#This Row],[Cod. Cliente]],Clientes[Codigo],0),1)</f>
        <v>7</v>
      </c>
      <c r="M553" s="45" t="str">
        <f>IF(Cobros[[#This Row],[Dias de Credito]]&lt;=0,"Contado","Credito")</f>
        <v>Credito</v>
      </c>
      <c r="N553" s="45">
        <f>Cobros[[#This Row],[Fecha Aplicación S]]-Cobros[[#This Row],[Fecha Cargo S]]</f>
        <v>0</v>
      </c>
      <c r="O553" s="45">
        <f>Cobros[[#This Row],[Dias al pago]]-Cobros[[#This Row],[Dias de Credito]]</f>
        <v>-7</v>
      </c>
      <c r="P553" s="45">
        <f>SUMIFS(TablaDias[Porcentaje],TablaDias[Tipo],Cobros[[#This Row],[Tipo]],TablaDias[Desde ],"&lt;="&amp;MAX(0,Cobros[[#This Row],[Dias pasado]]),TablaDias[Hasta ],"&gt;="&amp;Cobros[[#This Row],[Dias pasado]])</f>
        <v>100</v>
      </c>
      <c r="Q55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3">
        <f>IF(COUNTIF(PAPEL[Numero],Cobros[[#This Row],[Doc. Cargo]])&gt;0,1,0)</f>
        <v>0</v>
      </c>
      <c r="S553" s="46">
        <f t="array" ref="S5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53" s="46">
        <f t="array" ref="T553">INDEX(Ventas[[Unidades]:[2]],MATCH("Gerente de Venta",Ventas[Vendedor %],0),6+Cobros[[#This Row],[Mes]])</f>
        <v>0.005</v>
      </c>
      <c r="U553" s="34">
        <f>IF(Cobros[[#This Row],[Tipo]]="Credito",IF(60&gt;=Cobros[[#This Row],[Dias al pago]],1,0),IF(Cobros[[#This Row],[Dias al pago]]&lt;=3,1,0))</f>
        <v>1</v>
      </c>
      <c r="V553" s="46">
        <f>(Cobros[[#This Row],[% A pagar Vendedor]]/100)*Cobros[[#This Row],[Valor Pagado]]*Cobros[[#This Row],[Vencido]]*(Cobros[[#This Row],[% aplicar]]/100)*IF(Cobros[[#This Row],[% A pagar Vendedor]]&gt;0,1,0)</f>
        <v>1.855</v>
      </c>
      <c r="W553" s="46">
        <f>0.5%*Cobros[[#This Row],[Valor Pagado]]</f>
        <v>0.9275</v>
      </c>
    </row>
    <row r="554" ht="30" spans="1:23">
      <c r="A554" s="49" t="s">
        <v>3875</v>
      </c>
      <c r="B554" s="49" t="s">
        <v>4710</v>
      </c>
      <c r="C554" s="49" t="s">
        <v>173</v>
      </c>
      <c r="D554" s="49" t="s">
        <v>4711</v>
      </c>
      <c r="E554" s="49" t="s">
        <v>4712</v>
      </c>
      <c r="F554" s="51">
        <v>46219</v>
      </c>
      <c r="G554" s="49">
        <v>901.25</v>
      </c>
      <c r="H554" s="49" t="s">
        <v>3865</v>
      </c>
      <c r="I554" s="51">
        <v>46219</v>
      </c>
      <c r="J554" s="54">
        <f>INT(Cobros[[#This Row],[Fecha Cargo]])</f>
        <v>46219</v>
      </c>
      <c r="K554" s="54">
        <f>INT(Cobros[[#This Row],[Fecha Aplicacion]])</f>
        <v>46219</v>
      </c>
      <c r="L554" s="55">
        <f>INDEX(Clientes[Días Plazo],MATCH(Cobros[[#This Row],[Cod. Cliente]],Clientes[Codigo],0),1)</f>
        <v>0</v>
      </c>
      <c r="M554" s="45" t="str">
        <f>IF(Cobros[[#This Row],[Dias de Credito]]&lt;=0,"Contado","Credito")</f>
        <v>Contado</v>
      </c>
      <c r="N554" s="45">
        <f>Cobros[[#This Row],[Fecha Aplicación S]]-Cobros[[#This Row],[Fecha Cargo S]]</f>
        <v>0</v>
      </c>
      <c r="O554" s="45">
        <f>Cobros[[#This Row],[Dias al pago]]-Cobros[[#This Row],[Dias de Credito]]</f>
        <v>0</v>
      </c>
      <c r="P554" s="45">
        <f>SUMIFS(TablaDias[Porcentaje],TablaDias[Tipo],Cobros[[#This Row],[Tipo]],TablaDias[Desde ],"&lt;="&amp;MAX(0,Cobros[[#This Row],[Dias pasado]]),TablaDias[Hasta ],"&gt;="&amp;Cobros[[#This Row],[Dias pasado]])</f>
        <v>100</v>
      </c>
      <c r="Q55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4">
        <f>IF(COUNTIF(PAPEL[Numero],Cobros[[#This Row],[Doc. Cargo]])&gt;0,1,0)</f>
        <v>0</v>
      </c>
      <c r="S554" s="46">
        <v>1</v>
      </c>
      <c r="T554" s="46">
        <f t="array" ref="T554">INDEX(Ventas[[Unidades]:[2]],MATCH("Gerente de Venta",Ventas[Vendedor %],0),6+Cobros[[#This Row],[Mes]])</f>
        <v>0.005</v>
      </c>
      <c r="U554" s="34">
        <f>IF(Cobros[[#This Row],[Tipo]]="Credito",IF(60&gt;=Cobros[[#This Row],[Dias al pago]],1,0),IF(Cobros[[#This Row],[Dias al pago]]&lt;=3,1,0))</f>
        <v>1</v>
      </c>
      <c r="V554" s="46">
        <f>(Cobros[[#This Row],[% A pagar Vendedor]]/100)*Cobros[[#This Row],[Valor Pagado]]*Cobros[[#This Row],[Vencido]]*(Cobros[[#This Row],[% aplicar]]/100)*IF(Cobros[[#This Row],[% A pagar Vendedor]]&gt;0,1,0)</f>
        <v>9.0125</v>
      </c>
      <c r="W554" s="46">
        <f>0.5%*Cobros[[#This Row],[Valor Pagado]]</f>
        <v>4.50625</v>
      </c>
    </row>
    <row r="555" spans="1:24">
      <c r="A555" s="49" t="s">
        <v>3875</v>
      </c>
      <c r="B555" s="49" t="s">
        <v>4713</v>
      </c>
      <c r="C555" s="49" t="s">
        <v>1220</v>
      </c>
      <c r="D555" s="49" t="s">
        <v>1221</v>
      </c>
      <c r="E555" s="49" t="s">
        <v>4714</v>
      </c>
      <c r="F555" s="51">
        <v>46219</v>
      </c>
      <c r="G555" s="49">
        <v>1254</v>
      </c>
      <c r="H555" s="49" t="s">
        <v>20</v>
      </c>
      <c r="I555" s="51">
        <v>46219</v>
      </c>
      <c r="J555" s="54">
        <f>INT(Cobros[[#This Row],[Fecha Cargo]])</f>
        <v>46219</v>
      </c>
      <c r="K555" s="54">
        <f>INT(Cobros[[#This Row],[Fecha Aplicacion]])</f>
        <v>46219</v>
      </c>
      <c r="L555" s="55">
        <f>INDEX(Clientes[Días Plazo],MATCH(Cobros[[#This Row],[Cod. Cliente]],Clientes[Codigo],0),1)</f>
        <v>0</v>
      </c>
      <c r="M555" s="45" t="str">
        <f>IF(Cobros[[#This Row],[Dias de Credito]]&lt;=0,"Contado","Credito")</f>
        <v>Contado</v>
      </c>
      <c r="N555" s="45">
        <f>Cobros[[#This Row],[Fecha Aplicación S]]-Cobros[[#This Row],[Fecha Cargo S]]</f>
        <v>0</v>
      </c>
      <c r="O555" s="45">
        <f>Cobros[[#This Row],[Dias al pago]]-Cobros[[#This Row],[Dias de Credito]]</f>
        <v>0</v>
      </c>
      <c r="P555" s="45">
        <f>SUMIFS(TablaDias[Porcentaje],TablaDias[Tipo],Cobros[[#This Row],[Tipo]],TablaDias[Desde ],"&lt;="&amp;MAX(0,Cobros[[#This Row],[Dias pasado]]),TablaDias[Hasta ],"&gt;="&amp;Cobros[[#This Row],[Dias pasado]])</f>
        <v>100</v>
      </c>
      <c r="Q55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5">
        <f>IF(COUNTIF(PAPEL[Numero],Cobros[[#This Row],[Doc. Cargo]])&gt;0,1,0)</f>
        <v>0</v>
      </c>
      <c r="S555" s="46">
        <f t="array" ref="S5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55" s="46">
        <f t="array" ref="T555">INDEX(Ventas[[Unidades]:[2]],MATCH("Gerente de Venta",Ventas[Vendedor %],0),6+Cobros[[#This Row],[Mes]])</f>
        <v>0.005</v>
      </c>
      <c r="U555" s="34">
        <f>IF(Cobros[[#This Row],[Tipo]]="Credito",IF(60&gt;=Cobros[[#This Row],[Dias al pago]],1,0),IF(Cobros[[#This Row],[Dias al pago]]&lt;=3,1,0))</f>
        <v>1</v>
      </c>
      <c r="V555" s="46">
        <f>(Cobros[[#This Row],[% A pagar Vendedor]]/100)*Cobros[[#This Row],[Valor Pagado]]*Cobros[[#This Row],[Vencido]]*(Cobros[[#This Row],[% aplicar]]/100)*IF(Cobros[[#This Row],[% A pagar Vendedor]]&gt;0,1,0)</f>
        <v>15.675</v>
      </c>
      <c r="W555" s="46">
        <f>0.5%*Cobros[[#This Row],[Valor Pagado]]</f>
        <v>6.27</v>
      </c>
      <c r="X555" s="60"/>
    </row>
    <row r="556" ht="30" spans="1:23">
      <c r="A556" s="49" t="s">
        <v>3860</v>
      </c>
      <c r="B556" s="49" t="s">
        <v>4715</v>
      </c>
      <c r="C556" s="49" t="s">
        <v>3094</v>
      </c>
      <c r="D556" s="49" t="s">
        <v>3095</v>
      </c>
      <c r="E556" s="49" t="s">
        <v>4716</v>
      </c>
      <c r="F556" s="51">
        <v>46164</v>
      </c>
      <c r="G556" s="49">
        <v>1400</v>
      </c>
      <c r="H556" s="49" t="s">
        <v>3865</v>
      </c>
      <c r="I556" s="51">
        <v>46211</v>
      </c>
      <c r="J556" s="54">
        <f>INT(Cobros[[#This Row],[Fecha Cargo]])</f>
        <v>46164</v>
      </c>
      <c r="K556" s="54">
        <f>INT(Cobros[[#This Row],[Fecha Aplicacion]])</f>
        <v>46211</v>
      </c>
      <c r="L556" s="55" t="str">
        <f>INDEX(Clientes[Días Plazo],MATCH(Cobros[[#This Row],[Cod. Cliente]],Clientes[Codigo],0),1)</f>
        <v>15</v>
      </c>
      <c r="M556" s="45" t="str">
        <f>IF(Cobros[[#This Row],[Dias de Credito]]&lt;=0,"Contado","Credito")</f>
        <v>Credito</v>
      </c>
      <c r="N556" s="45">
        <f>Cobros[[#This Row],[Fecha Aplicación S]]-Cobros[[#This Row],[Fecha Cargo S]]</f>
        <v>47</v>
      </c>
      <c r="O556" s="45">
        <f>Cobros[[#This Row],[Dias al pago]]-Cobros[[#This Row],[Dias de Credito]]</f>
        <v>32</v>
      </c>
      <c r="P556" s="45">
        <f>SUMIFS(TablaDias[Porcentaje],TablaDias[Tipo],Cobros[[#This Row],[Tipo]],TablaDias[Desde ],"&lt;="&amp;MAX(0,Cobros[[#This Row],[Dias pasado]]),TablaDias[Hasta ],"&gt;="&amp;Cobros[[#This Row],[Dias pasado]])</f>
        <v>30</v>
      </c>
      <c r="Q55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56">
        <f>IF(COUNTIF(PAPEL[Numero],Cobros[[#This Row],[Doc. Cargo]])&gt;0,1,0)</f>
        <v>0</v>
      </c>
      <c r="S556" s="46">
        <v>1</v>
      </c>
      <c r="T556" s="46">
        <f t="array" ref="T556">INDEX(Ventas[[Unidades]:[2]],MATCH("Gerente de Venta",Ventas[Vendedor %],0),6+Cobros[[#This Row],[Mes]])</f>
        <v>0.005</v>
      </c>
      <c r="U556" s="34">
        <f>IF(Cobros[[#This Row],[Tipo]]="Credito",IF(60&gt;=Cobros[[#This Row],[Dias al pago]],1,0),IF(Cobros[[#This Row],[Dias al pago]]&lt;=3,1,0))</f>
        <v>1</v>
      </c>
      <c r="V556" s="46">
        <f>(Cobros[[#This Row],[% A pagar Vendedor]]/100)*Cobros[[#This Row],[Valor Pagado]]*Cobros[[#This Row],[Vencido]]*(Cobros[[#This Row],[% aplicar]]/100)*IF(Cobros[[#This Row],[% A pagar Vendedor]]&gt;0,1,0)</f>
        <v>4.2</v>
      </c>
      <c r="W556" s="46">
        <f>0.5%*Cobros[[#This Row],[Valor Pagado]]</f>
        <v>7</v>
      </c>
    </row>
    <row r="557" spans="1:23">
      <c r="A557" s="49" t="s">
        <v>3860</v>
      </c>
      <c r="B557" s="49" t="s">
        <v>4717</v>
      </c>
      <c r="C557" s="49" t="s">
        <v>1222</v>
      </c>
      <c r="D557" s="49" t="s">
        <v>1223</v>
      </c>
      <c r="E557" s="49" t="s">
        <v>4495</v>
      </c>
      <c r="F557" s="51">
        <v>46216</v>
      </c>
      <c r="G557" s="49">
        <v>907.5</v>
      </c>
      <c r="H557" s="49" t="s">
        <v>20</v>
      </c>
      <c r="I557" s="51">
        <v>46220</v>
      </c>
      <c r="J557" s="54">
        <f>INT(Cobros[[#This Row],[Fecha Cargo]])</f>
        <v>46216</v>
      </c>
      <c r="K557" s="54">
        <f>INT(Cobros[[#This Row],[Fecha Aplicacion]])</f>
        <v>46220</v>
      </c>
      <c r="L557" s="55" t="str">
        <f>INDEX(Clientes[Días Plazo],MATCH(Cobros[[#This Row],[Cod. Cliente]],Clientes[Codigo],0),1)</f>
        <v>7</v>
      </c>
      <c r="M557" s="45" t="str">
        <f>IF(Cobros[[#This Row],[Dias de Credito]]&lt;=0,"Contado","Credito")</f>
        <v>Credito</v>
      </c>
      <c r="N557" s="45">
        <f>Cobros[[#This Row],[Fecha Aplicación S]]-Cobros[[#This Row],[Fecha Cargo S]]</f>
        <v>4</v>
      </c>
      <c r="O557" s="45">
        <f>Cobros[[#This Row],[Dias al pago]]-Cobros[[#This Row],[Dias de Credito]]</f>
        <v>-3</v>
      </c>
      <c r="P557" s="45">
        <f>SUMIFS(TablaDias[Porcentaje],TablaDias[Tipo],Cobros[[#This Row],[Tipo]],TablaDias[Desde ],"&lt;="&amp;MAX(0,Cobros[[#This Row],[Dias pasado]]),TablaDias[Hasta ],"&gt;="&amp;Cobros[[#This Row],[Dias pasado]])</f>
        <v>100</v>
      </c>
      <c r="Q55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7">
        <f>IF(COUNTIF(PAPEL[Numero],Cobros[[#This Row],[Doc. Cargo]])&gt;0,1,0)</f>
        <v>0</v>
      </c>
      <c r="S557" s="46">
        <f t="array" ref="S5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57" s="46">
        <f t="array" ref="T557">INDEX(Ventas[[Unidades]:[2]],MATCH("Gerente de Venta",Ventas[Vendedor %],0),6+Cobros[[#This Row],[Mes]])</f>
        <v>0.005</v>
      </c>
      <c r="U557" s="34">
        <f>IF(Cobros[[#This Row],[Tipo]]="Credito",IF(60&gt;=Cobros[[#This Row],[Dias al pago]],1,0),IF(Cobros[[#This Row],[Dias al pago]]&lt;=3,1,0))</f>
        <v>1</v>
      </c>
      <c r="V557" s="46">
        <f>(Cobros[[#This Row],[% A pagar Vendedor]]/100)*Cobros[[#This Row],[Valor Pagado]]*Cobros[[#This Row],[Vencido]]*(Cobros[[#This Row],[% aplicar]]/100)*IF(Cobros[[#This Row],[% A pagar Vendedor]]&gt;0,1,0)</f>
        <v>11.34375</v>
      </c>
      <c r="W557" s="46">
        <f>0.5%*Cobros[[#This Row],[Valor Pagado]]</f>
        <v>4.5375</v>
      </c>
    </row>
    <row r="558" ht="30" spans="1:23">
      <c r="A558" s="49" t="s">
        <v>3884</v>
      </c>
      <c r="B558" s="49" t="s">
        <v>4718</v>
      </c>
      <c r="C558" s="49" t="s">
        <v>1006</v>
      </c>
      <c r="D558" s="49" t="s">
        <v>1007</v>
      </c>
      <c r="E558" s="49" t="s">
        <v>4719</v>
      </c>
      <c r="F558" s="51">
        <v>46220</v>
      </c>
      <c r="G558" s="49">
        <v>300</v>
      </c>
      <c r="H558" s="49" t="s">
        <v>22</v>
      </c>
      <c r="I558" s="51">
        <v>46220</v>
      </c>
      <c r="J558" s="54">
        <f>INT(Cobros[[#This Row],[Fecha Cargo]])</f>
        <v>46220</v>
      </c>
      <c r="K558" s="54">
        <f>INT(Cobros[[#This Row],[Fecha Aplicacion]])</f>
        <v>46220</v>
      </c>
      <c r="L558" s="55">
        <f>INDEX(Clientes[Días Plazo],MATCH(Cobros[[#This Row],[Cod. Cliente]],Clientes[Codigo],0),1)</f>
        <v>0</v>
      </c>
      <c r="M558" s="45" t="str">
        <f>IF(Cobros[[#This Row],[Dias de Credito]]&lt;=0,"Contado","Credito")</f>
        <v>Contado</v>
      </c>
      <c r="N558" s="45">
        <f>Cobros[[#This Row],[Fecha Aplicación S]]-Cobros[[#This Row],[Fecha Cargo S]]</f>
        <v>0</v>
      </c>
      <c r="O558" s="45">
        <f>Cobros[[#This Row],[Dias al pago]]-Cobros[[#This Row],[Dias de Credito]]</f>
        <v>0</v>
      </c>
      <c r="P558" s="45">
        <f>SUMIFS(TablaDias[Porcentaje],TablaDias[Tipo],Cobros[[#This Row],[Tipo]],TablaDias[Desde ],"&lt;="&amp;MAX(0,Cobros[[#This Row],[Dias pasado]]),TablaDias[Hasta ],"&gt;="&amp;Cobros[[#This Row],[Dias pasado]])</f>
        <v>100</v>
      </c>
      <c r="Q55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8">
        <f>IF(COUNTIF(PAPEL[Numero],Cobros[[#This Row],[Doc. Cargo]])&gt;0,1,0)</f>
        <v>0</v>
      </c>
      <c r="S558" s="46">
        <f t="array" ref="S5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58" s="46">
        <f t="array" ref="T558">INDEX(Ventas[[Unidades]:[2]],MATCH("Gerente de Venta",Ventas[Vendedor %],0),6+Cobros[[#This Row],[Mes]])</f>
        <v>0.005</v>
      </c>
      <c r="U558" s="34">
        <f>IF(Cobros[[#This Row],[Tipo]]="Credito",IF(60&gt;=Cobros[[#This Row],[Dias al pago]],1,0),IF(Cobros[[#This Row],[Dias al pago]]&lt;=3,1,0))</f>
        <v>1</v>
      </c>
      <c r="V558" s="46">
        <f>(Cobros[[#This Row],[% A pagar Vendedor]]/100)*Cobros[[#This Row],[Valor Pagado]]*Cobros[[#This Row],[Vencido]]*(Cobros[[#This Row],[% aplicar]]/100)*IF(Cobros[[#This Row],[% A pagar Vendedor]]&gt;0,1,0)</f>
        <v>3</v>
      </c>
      <c r="W558" s="46">
        <f>0.5%*Cobros[[#This Row],[Valor Pagado]]</f>
        <v>1.5</v>
      </c>
    </row>
    <row r="559" spans="1:24">
      <c r="A559" s="49" t="s">
        <v>3875</v>
      </c>
      <c r="B559" s="49" t="s">
        <v>4720</v>
      </c>
      <c r="C559" s="49" t="s">
        <v>3528</v>
      </c>
      <c r="D559" s="49" t="s">
        <v>3529</v>
      </c>
      <c r="E559" s="49" t="s">
        <v>4721</v>
      </c>
      <c r="F559" s="51">
        <v>46220</v>
      </c>
      <c r="G559" s="49">
        <v>259.65</v>
      </c>
      <c r="H559" s="49" t="s">
        <v>18</v>
      </c>
      <c r="I559" s="51">
        <v>46220</v>
      </c>
      <c r="J559" s="54">
        <f>INT(Cobros[[#This Row],[Fecha Cargo]])</f>
        <v>46220</v>
      </c>
      <c r="K559" s="54">
        <f>INT(Cobros[[#This Row],[Fecha Aplicacion]])</f>
        <v>46220</v>
      </c>
      <c r="L559" s="55">
        <f>INDEX(Clientes[Días Plazo],MATCH(Cobros[[#This Row],[Cod. Cliente]],Clientes[Codigo],0),1)</f>
        <v>0</v>
      </c>
      <c r="M559" s="45" t="str">
        <f>IF(Cobros[[#This Row],[Dias de Credito]]&lt;=0,"Contado","Credito")</f>
        <v>Contado</v>
      </c>
      <c r="N559" s="45">
        <f>Cobros[[#This Row],[Fecha Aplicación S]]-Cobros[[#This Row],[Fecha Cargo S]]</f>
        <v>0</v>
      </c>
      <c r="O559" s="45">
        <f>Cobros[[#This Row],[Dias al pago]]-Cobros[[#This Row],[Dias de Credito]]</f>
        <v>0</v>
      </c>
      <c r="P559" s="45">
        <f>SUMIFS(TablaDias[Porcentaje],TablaDias[Tipo],Cobros[[#This Row],[Tipo]],TablaDias[Desde ],"&lt;="&amp;MAX(0,Cobros[[#This Row],[Dias pasado]]),TablaDias[Hasta ],"&gt;="&amp;Cobros[[#This Row],[Dias pasado]])</f>
        <v>100</v>
      </c>
      <c r="Q55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59">
        <f>IF(COUNTIF(PAPEL[Numero],Cobros[[#This Row],[Doc. Cargo]])&gt;0,1,0)</f>
        <v>0</v>
      </c>
      <c r="S559" s="46">
        <f t="array" ref="S5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59" s="46">
        <f t="array" ref="T559">INDEX(Ventas[[Unidades]:[2]],MATCH("Gerente de Venta",Ventas[Vendedor %],0),6+Cobros[[#This Row],[Mes]])</f>
        <v>0.005</v>
      </c>
      <c r="U559" s="34">
        <f>IF(Cobros[[#This Row],[Tipo]]="Credito",IF(60&gt;=Cobros[[#This Row],[Dias al pago]],1,0),IF(Cobros[[#This Row],[Dias al pago]]&lt;=3,1,0))</f>
        <v>1</v>
      </c>
      <c r="V559" s="46">
        <f>(Cobros[[#This Row],[% A pagar Vendedor]]/100)*Cobros[[#This Row],[Valor Pagado]]*Cobros[[#This Row],[Vencido]]*(Cobros[[#This Row],[% aplicar]]/100)*IF(Cobros[[#This Row],[% A pagar Vendedor]]&gt;0,1,0)</f>
        <v>3.245625</v>
      </c>
      <c r="W559" s="46">
        <f>0.5%*Cobros[[#This Row],[Valor Pagado]]</f>
        <v>1.29825</v>
      </c>
      <c r="X559" s="60"/>
    </row>
    <row r="560" spans="1:23">
      <c r="A560" s="49" t="s">
        <v>3931</v>
      </c>
      <c r="B560" s="49" t="s">
        <v>4360</v>
      </c>
      <c r="C560" s="49" t="s">
        <v>530</v>
      </c>
      <c r="D560" s="49" t="s">
        <v>531</v>
      </c>
      <c r="E560" s="49" t="s">
        <v>4722</v>
      </c>
      <c r="F560" s="51">
        <v>46203</v>
      </c>
      <c r="G560" s="49">
        <v>0.05</v>
      </c>
      <c r="H560" s="49" t="s">
        <v>18</v>
      </c>
      <c r="I560" s="51">
        <v>46213</v>
      </c>
      <c r="J560" s="54">
        <f>INT(Cobros[[#This Row],[Fecha Cargo]])</f>
        <v>46203</v>
      </c>
      <c r="K560" s="54">
        <f>INT(Cobros[[#This Row],[Fecha Aplicacion]])</f>
        <v>46213</v>
      </c>
      <c r="L560" s="55" t="str">
        <f>INDEX(Clientes[Días Plazo],MATCH(Cobros[[#This Row],[Cod. Cliente]],Clientes[Codigo],0),1)</f>
        <v>15</v>
      </c>
      <c r="M560" s="45" t="str">
        <f>IF(Cobros[[#This Row],[Dias de Credito]]&lt;=0,"Contado","Credito")</f>
        <v>Credito</v>
      </c>
      <c r="N560" s="45">
        <f>Cobros[[#This Row],[Fecha Aplicación S]]-Cobros[[#This Row],[Fecha Cargo S]]</f>
        <v>10</v>
      </c>
      <c r="O560" s="45">
        <f>Cobros[[#This Row],[Dias al pago]]-Cobros[[#This Row],[Dias de Credito]]</f>
        <v>-5</v>
      </c>
      <c r="P560" s="45">
        <f>SUMIFS(TablaDias[Porcentaje],TablaDias[Tipo],Cobros[[#This Row],[Tipo]],TablaDias[Desde ],"&lt;="&amp;MAX(0,Cobros[[#This Row],[Dias pasado]]),TablaDias[Hasta ],"&gt;="&amp;Cobros[[#This Row],[Dias pasado]])</f>
        <v>100</v>
      </c>
      <c r="Q56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60">
        <f>IF(COUNTIF(PAPEL[Numero],Cobros[[#This Row],[Doc. Cargo]])&gt;0,1,0)</f>
        <v>0</v>
      </c>
      <c r="S560" s="46">
        <f t="array" ref="S5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60" s="46">
        <f t="array" ref="T560">INDEX(Ventas[[Unidades]:[2]],MATCH("Gerente de Venta",Ventas[Vendedor %],0),6+Cobros[[#This Row],[Mes]])</f>
        <v>0.005</v>
      </c>
      <c r="U560" s="34">
        <f>IF(Cobros[[#This Row],[Tipo]]="Credito",IF(60&gt;=Cobros[[#This Row],[Dias al pago]],1,0),IF(Cobros[[#This Row],[Dias al pago]]&lt;=3,1,0))</f>
        <v>1</v>
      </c>
      <c r="V560" s="46">
        <f>(Cobros[[#This Row],[% A pagar Vendedor]]/100)*Cobros[[#This Row],[Valor Pagado]]*Cobros[[#This Row],[Vencido]]*(Cobros[[#This Row],[% aplicar]]/100)*IF(Cobros[[#This Row],[% A pagar Vendedor]]&gt;0,1,0)</f>
        <v>0.0005</v>
      </c>
      <c r="W560" s="46">
        <v>0.00025</v>
      </c>
    </row>
    <row r="561" spans="1:23">
      <c r="A561" s="49" t="s">
        <v>3860</v>
      </c>
      <c r="B561" s="49" t="s">
        <v>4723</v>
      </c>
      <c r="C561" s="49" t="s">
        <v>1845</v>
      </c>
      <c r="D561" s="49" t="s">
        <v>1846</v>
      </c>
      <c r="E561" s="49" t="s">
        <v>4724</v>
      </c>
      <c r="F561" s="51">
        <v>46219</v>
      </c>
      <c r="G561" s="49">
        <v>550</v>
      </c>
      <c r="H561" s="49" t="s">
        <v>18</v>
      </c>
      <c r="I561" s="51">
        <v>46220</v>
      </c>
      <c r="J561" s="54">
        <f>INT(Cobros[[#This Row],[Fecha Cargo]])</f>
        <v>46219</v>
      </c>
      <c r="K561" s="54">
        <f>INT(Cobros[[#This Row],[Fecha Aplicacion]])</f>
        <v>46220</v>
      </c>
      <c r="L561" s="55">
        <f>INDEX(Clientes[Días Plazo],MATCH(Cobros[[#This Row],[Cod. Cliente]],Clientes[Codigo],0),1)</f>
        <v>0</v>
      </c>
      <c r="M561" s="45" t="str">
        <f>IF(Cobros[[#This Row],[Dias de Credito]]&lt;=0,"Contado","Credito")</f>
        <v>Contado</v>
      </c>
      <c r="N561" s="45">
        <f>Cobros[[#This Row],[Fecha Aplicación S]]-Cobros[[#This Row],[Fecha Cargo S]]</f>
        <v>1</v>
      </c>
      <c r="O561" s="45">
        <f>Cobros[[#This Row],[Dias al pago]]-Cobros[[#This Row],[Dias de Credito]]</f>
        <v>1</v>
      </c>
      <c r="P561" s="45">
        <f>SUMIFS(TablaDias[Porcentaje],TablaDias[Tipo],Cobros[[#This Row],[Tipo]],TablaDias[Desde ],"&lt;="&amp;MAX(0,Cobros[[#This Row],[Dias pasado]]),TablaDias[Hasta ],"&gt;="&amp;Cobros[[#This Row],[Dias pasado]])</f>
        <v>100</v>
      </c>
      <c r="Q56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1">
        <f>IF(COUNTIF(PAPEL[Numero],Cobros[[#This Row],[Doc. Cargo]])&gt;0,1,0)</f>
        <v>0</v>
      </c>
      <c r="S561" s="46">
        <f t="array" ref="S5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1" s="46">
        <f t="array" ref="T561">INDEX(Ventas[[Unidades]:[2]],MATCH("Gerente de Venta",Ventas[Vendedor %],0),6+Cobros[[#This Row],[Mes]])</f>
        <v>0.005</v>
      </c>
      <c r="U561" s="34">
        <f>IF(Cobros[[#This Row],[Tipo]]="Credito",IF(60&gt;=Cobros[[#This Row],[Dias al pago]],1,0),IF(Cobros[[#This Row],[Dias al pago]]&lt;=3,1,0))</f>
        <v>1</v>
      </c>
      <c r="V561" s="46">
        <f>(Cobros[[#This Row],[% A pagar Vendedor]]/100)*Cobros[[#This Row],[Valor Pagado]]*Cobros[[#This Row],[Vencido]]*(Cobros[[#This Row],[% aplicar]]/100)*IF(Cobros[[#This Row],[% A pagar Vendedor]]&gt;0,1,0)</f>
        <v>6.875</v>
      </c>
      <c r="W561" s="46">
        <f>0.5%*Cobros[[#This Row],[Valor Pagado]]</f>
        <v>2.75</v>
      </c>
    </row>
    <row r="562" ht="30" spans="1:23">
      <c r="A562" s="49" t="s">
        <v>3875</v>
      </c>
      <c r="B562" s="49" t="s">
        <v>4725</v>
      </c>
      <c r="C562" s="49" t="s">
        <v>758</v>
      </c>
      <c r="D562" s="49" t="s">
        <v>759</v>
      </c>
      <c r="E562" s="49" t="s">
        <v>4726</v>
      </c>
      <c r="F562" s="51">
        <v>46206</v>
      </c>
      <c r="G562" s="49">
        <v>68.3</v>
      </c>
      <c r="H562" s="49" t="s">
        <v>22</v>
      </c>
      <c r="I562" s="51">
        <v>46220</v>
      </c>
      <c r="J562" s="54">
        <f>INT(Cobros[[#This Row],[Fecha Cargo]])</f>
        <v>46206</v>
      </c>
      <c r="K562" s="54">
        <f>INT(Cobros[[#This Row],[Fecha Aplicacion]])</f>
        <v>46220</v>
      </c>
      <c r="L562" s="55" t="str">
        <f>INDEX(Clientes[Días Plazo],MATCH(Cobros[[#This Row],[Cod. Cliente]],Clientes[Codigo],0),1)</f>
        <v>7</v>
      </c>
      <c r="M562" s="45" t="str">
        <f>IF(Cobros[[#This Row],[Dias de Credito]]&lt;=0,"Contado","Credito")</f>
        <v>Credito</v>
      </c>
      <c r="N562" s="45">
        <f>Cobros[[#This Row],[Fecha Aplicación S]]-Cobros[[#This Row],[Fecha Cargo S]]</f>
        <v>14</v>
      </c>
      <c r="O562" s="45">
        <f>Cobros[[#This Row],[Dias al pago]]-Cobros[[#This Row],[Dias de Credito]]</f>
        <v>7</v>
      </c>
      <c r="P562" s="45">
        <f>SUMIFS(TablaDias[Porcentaje],TablaDias[Tipo],Cobros[[#This Row],[Tipo]],TablaDias[Desde ],"&lt;="&amp;MAX(0,Cobros[[#This Row],[Dias pasado]]),TablaDias[Hasta ],"&gt;="&amp;Cobros[[#This Row],[Dias pasado]])</f>
        <v>100</v>
      </c>
      <c r="Q56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2">
        <f>IF(COUNTIF(PAPEL[Numero],Cobros[[#This Row],[Doc. Cargo]])&gt;0,1,0)</f>
        <v>0</v>
      </c>
      <c r="S562" s="46">
        <f t="array" ref="S5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62" s="46">
        <f t="array" ref="T562">INDEX(Ventas[[Unidades]:[2]],MATCH("Gerente de Venta",Ventas[Vendedor %],0),6+Cobros[[#This Row],[Mes]])</f>
        <v>0.005</v>
      </c>
      <c r="U562" s="34">
        <f>IF(Cobros[[#This Row],[Tipo]]="Credito",IF(60&gt;=Cobros[[#This Row],[Dias al pago]],1,0),IF(Cobros[[#This Row],[Dias al pago]]&lt;=3,1,0))</f>
        <v>1</v>
      </c>
      <c r="V562" s="46">
        <f>(Cobros[[#This Row],[% A pagar Vendedor]]/100)*Cobros[[#This Row],[Valor Pagado]]*Cobros[[#This Row],[Vencido]]*(Cobros[[#This Row],[% aplicar]]/100)*IF(Cobros[[#This Row],[% A pagar Vendedor]]&gt;0,1,0)</f>
        <v>0.683</v>
      </c>
      <c r="W562" s="46">
        <f>0.5%*Cobros[[#This Row],[Valor Pagado]]</f>
        <v>0.3415</v>
      </c>
    </row>
    <row r="563" ht="30" spans="1:24">
      <c r="A563" s="49" t="s">
        <v>3875</v>
      </c>
      <c r="B563" s="49" t="s">
        <v>4725</v>
      </c>
      <c r="C563" s="49" t="s">
        <v>758</v>
      </c>
      <c r="D563" s="49" t="s">
        <v>759</v>
      </c>
      <c r="E563" s="49" t="s">
        <v>4727</v>
      </c>
      <c r="F563" s="51">
        <v>46206</v>
      </c>
      <c r="G563" s="49">
        <v>210</v>
      </c>
      <c r="H563" s="49" t="s">
        <v>22</v>
      </c>
      <c r="I563" s="51">
        <v>46220</v>
      </c>
      <c r="J563" s="54">
        <f>INT(Cobros[[#This Row],[Fecha Cargo]])</f>
        <v>46206</v>
      </c>
      <c r="K563" s="54">
        <f>INT(Cobros[[#This Row],[Fecha Aplicacion]])</f>
        <v>46220</v>
      </c>
      <c r="L563" s="55" t="str">
        <f>INDEX(Clientes[Días Plazo],MATCH(Cobros[[#This Row],[Cod. Cliente]],Clientes[Codigo],0),1)</f>
        <v>7</v>
      </c>
      <c r="M563" s="45" t="str">
        <f>IF(Cobros[[#This Row],[Dias de Credito]]&lt;=0,"Contado","Credito")</f>
        <v>Credito</v>
      </c>
      <c r="N563" s="45">
        <f>Cobros[[#This Row],[Fecha Aplicación S]]-Cobros[[#This Row],[Fecha Cargo S]]</f>
        <v>14</v>
      </c>
      <c r="O563" s="45">
        <f>Cobros[[#This Row],[Dias al pago]]-Cobros[[#This Row],[Dias de Credito]]</f>
        <v>7</v>
      </c>
      <c r="P563" s="45">
        <f>SUMIFS(TablaDias[Porcentaje],TablaDias[Tipo],Cobros[[#This Row],[Tipo]],TablaDias[Desde ],"&lt;="&amp;MAX(0,Cobros[[#This Row],[Dias pasado]]),TablaDias[Hasta ],"&gt;="&amp;Cobros[[#This Row],[Dias pasado]])</f>
        <v>100</v>
      </c>
      <c r="Q56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3">
        <f>IF(COUNTIF(PAPEL[Numero],Cobros[[#This Row],[Doc. Cargo]])&gt;0,1,0)</f>
        <v>0</v>
      </c>
      <c r="S563" s="46">
        <f t="array" ref="S5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63" s="46">
        <f t="array" ref="T563">INDEX(Ventas[[Unidades]:[2]],MATCH("Gerente de Venta",Ventas[Vendedor %],0),6+Cobros[[#This Row],[Mes]])</f>
        <v>0.005</v>
      </c>
      <c r="U563" s="34">
        <f>IF(Cobros[[#This Row],[Tipo]]="Credito",IF(60&gt;=Cobros[[#This Row],[Dias al pago]],1,0),IF(Cobros[[#This Row],[Dias al pago]]&lt;=3,1,0))</f>
        <v>1</v>
      </c>
      <c r="V563" s="46">
        <f>(Cobros[[#This Row],[% A pagar Vendedor]]/100)*Cobros[[#This Row],[Valor Pagado]]*Cobros[[#This Row],[Vencido]]*(Cobros[[#This Row],[% aplicar]]/100)*IF(Cobros[[#This Row],[% A pagar Vendedor]]&gt;0,1,0)</f>
        <v>2.1</v>
      </c>
      <c r="W563" s="46">
        <f>0.5%*Cobros[[#This Row],[Valor Pagado]]</f>
        <v>1.05</v>
      </c>
      <c r="X563" s="60"/>
    </row>
    <row r="564" spans="1:23">
      <c r="A564" s="49" t="s">
        <v>3860</v>
      </c>
      <c r="B564" s="49" t="s">
        <v>4662</v>
      </c>
      <c r="C564" s="49" t="s">
        <v>2576</v>
      </c>
      <c r="D564" s="49" t="s">
        <v>2577</v>
      </c>
      <c r="E564" s="49" t="s">
        <v>4728</v>
      </c>
      <c r="F564" s="51">
        <v>46216</v>
      </c>
      <c r="G564" s="49">
        <v>585</v>
      </c>
      <c r="H564" s="49" t="s">
        <v>20</v>
      </c>
      <c r="I564" s="51">
        <v>46219</v>
      </c>
      <c r="J564" s="54">
        <f>INT(Cobros[[#This Row],[Fecha Cargo]])</f>
        <v>46216</v>
      </c>
      <c r="K564" s="54">
        <f>INT(Cobros[[#This Row],[Fecha Aplicacion]])</f>
        <v>46219</v>
      </c>
      <c r="L564" s="55" t="str">
        <f>INDEX(Clientes[Días Plazo],MATCH(Cobros[[#This Row],[Cod. Cliente]],Clientes[Codigo],0),1)</f>
        <v>7</v>
      </c>
      <c r="M564" s="45" t="str">
        <f>IF(Cobros[[#This Row],[Dias de Credito]]&lt;=0,"Contado","Credito")</f>
        <v>Credito</v>
      </c>
      <c r="N564" s="45">
        <f>Cobros[[#This Row],[Fecha Aplicación S]]-Cobros[[#This Row],[Fecha Cargo S]]</f>
        <v>3</v>
      </c>
      <c r="O564" s="45">
        <f>Cobros[[#This Row],[Dias al pago]]-Cobros[[#This Row],[Dias de Credito]]</f>
        <v>-4</v>
      </c>
      <c r="P564" s="45">
        <f>SUMIFS(TablaDias[Porcentaje],TablaDias[Tipo],Cobros[[#This Row],[Tipo]],TablaDias[Desde ],"&lt;="&amp;MAX(0,Cobros[[#This Row],[Dias pasado]]),TablaDias[Hasta ],"&gt;="&amp;Cobros[[#This Row],[Dias pasado]])</f>
        <v>100</v>
      </c>
      <c r="Q56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4">
        <f>IF(COUNTIF(PAPEL[Numero],Cobros[[#This Row],[Doc. Cargo]])&gt;0,1,0)</f>
        <v>0</v>
      </c>
      <c r="S564" s="46">
        <f t="array" ref="S5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4" s="46">
        <f t="array" ref="T564">INDEX(Ventas[[Unidades]:[2]],MATCH("Gerente de Venta",Ventas[Vendedor %],0),6+Cobros[[#This Row],[Mes]])</f>
        <v>0.005</v>
      </c>
      <c r="U564" s="34">
        <f>IF(Cobros[[#This Row],[Tipo]]="Credito",IF(60&gt;=Cobros[[#This Row],[Dias al pago]],1,0),IF(Cobros[[#This Row],[Dias al pago]]&lt;=3,1,0))</f>
        <v>1</v>
      </c>
      <c r="V564" s="46">
        <f>(Cobros[[#This Row],[% A pagar Vendedor]]/100)*Cobros[[#This Row],[Valor Pagado]]*Cobros[[#This Row],[Vencido]]*(Cobros[[#This Row],[% aplicar]]/100)*IF(Cobros[[#This Row],[% A pagar Vendedor]]&gt;0,1,0)</f>
        <v>7.3125</v>
      </c>
      <c r="W564" s="46">
        <f>0.5%*Cobros[[#This Row],[Valor Pagado]]</f>
        <v>2.925</v>
      </c>
    </row>
    <row r="565" spans="1:23">
      <c r="A565" s="49" t="s">
        <v>3860</v>
      </c>
      <c r="B565" s="49" t="s">
        <v>4662</v>
      </c>
      <c r="C565" s="49" t="s">
        <v>2576</v>
      </c>
      <c r="D565" s="49" t="s">
        <v>2577</v>
      </c>
      <c r="E565" s="49" t="s">
        <v>4729</v>
      </c>
      <c r="F565" s="51">
        <v>46216</v>
      </c>
      <c r="G565" s="49">
        <v>522.6</v>
      </c>
      <c r="H565" s="49" t="s">
        <v>20</v>
      </c>
      <c r="I565" s="51">
        <v>46219</v>
      </c>
      <c r="J565" s="54">
        <f>INT(Cobros[[#This Row],[Fecha Cargo]])</f>
        <v>46216</v>
      </c>
      <c r="K565" s="54">
        <f>INT(Cobros[[#This Row],[Fecha Aplicacion]])</f>
        <v>46219</v>
      </c>
      <c r="L565" s="55" t="str">
        <f>INDEX(Clientes[Días Plazo],MATCH(Cobros[[#This Row],[Cod. Cliente]],Clientes[Codigo],0),1)</f>
        <v>7</v>
      </c>
      <c r="M565" s="45" t="str">
        <f>IF(Cobros[[#This Row],[Dias de Credito]]&lt;=0,"Contado","Credito")</f>
        <v>Credito</v>
      </c>
      <c r="N565" s="45">
        <f>Cobros[[#This Row],[Fecha Aplicación S]]-Cobros[[#This Row],[Fecha Cargo S]]</f>
        <v>3</v>
      </c>
      <c r="O565" s="45">
        <f>Cobros[[#This Row],[Dias al pago]]-Cobros[[#This Row],[Dias de Credito]]</f>
        <v>-4</v>
      </c>
      <c r="P565" s="45">
        <f>SUMIFS(TablaDias[Porcentaje],TablaDias[Tipo],Cobros[[#This Row],[Tipo]],TablaDias[Desde ],"&lt;="&amp;MAX(0,Cobros[[#This Row],[Dias pasado]]),TablaDias[Hasta ],"&gt;="&amp;Cobros[[#This Row],[Dias pasado]])</f>
        <v>100</v>
      </c>
      <c r="Q56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5">
        <f>IF(COUNTIF(PAPEL[Numero],Cobros[[#This Row],[Doc. Cargo]])&gt;0,1,0)</f>
        <v>0</v>
      </c>
      <c r="S565" s="46">
        <f t="array" ref="S5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5" s="46">
        <f t="array" ref="T565">INDEX(Ventas[[Unidades]:[2]],MATCH("Gerente de Venta",Ventas[Vendedor %],0),6+Cobros[[#This Row],[Mes]])</f>
        <v>0.005</v>
      </c>
      <c r="U565" s="34">
        <f>IF(Cobros[[#This Row],[Tipo]]="Credito",IF(60&gt;=Cobros[[#This Row],[Dias al pago]],1,0),IF(Cobros[[#This Row],[Dias al pago]]&lt;=3,1,0))</f>
        <v>1</v>
      </c>
      <c r="V565" s="46">
        <f>(Cobros[[#This Row],[% A pagar Vendedor]]/100)*Cobros[[#This Row],[Valor Pagado]]*Cobros[[#This Row],[Vencido]]*(Cobros[[#This Row],[% aplicar]]/100)*IF(Cobros[[#This Row],[% A pagar Vendedor]]&gt;0,1,0)</f>
        <v>6.5325</v>
      </c>
      <c r="W565" s="46">
        <f>0.5%*Cobros[[#This Row],[Valor Pagado]]</f>
        <v>2.613</v>
      </c>
    </row>
    <row r="566" spans="1:23">
      <c r="A566" s="49" t="s">
        <v>3860</v>
      </c>
      <c r="B566" s="49" t="s">
        <v>4662</v>
      </c>
      <c r="C566" s="49" t="s">
        <v>2576</v>
      </c>
      <c r="D566" s="49" t="s">
        <v>2577</v>
      </c>
      <c r="E566" s="49" t="s">
        <v>4730</v>
      </c>
      <c r="F566" s="51">
        <v>46216</v>
      </c>
      <c r="G566" s="49">
        <v>107</v>
      </c>
      <c r="H566" s="49" t="s">
        <v>20</v>
      </c>
      <c r="I566" s="51">
        <v>46219</v>
      </c>
      <c r="J566" s="54">
        <f>INT(Cobros[[#This Row],[Fecha Cargo]])</f>
        <v>46216</v>
      </c>
      <c r="K566" s="54">
        <f>INT(Cobros[[#This Row],[Fecha Aplicacion]])</f>
        <v>46219</v>
      </c>
      <c r="L566" s="55" t="str">
        <f>INDEX(Clientes[Días Plazo],MATCH(Cobros[[#This Row],[Cod. Cliente]],Clientes[Codigo],0),1)</f>
        <v>7</v>
      </c>
      <c r="M566" s="45" t="str">
        <f>IF(Cobros[[#This Row],[Dias de Credito]]&lt;=0,"Contado","Credito")</f>
        <v>Credito</v>
      </c>
      <c r="N566" s="45">
        <f>Cobros[[#This Row],[Fecha Aplicación S]]-Cobros[[#This Row],[Fecha Cargo S]]</f>
        <v>3</v>
      </c>
      <c r="O566" s="45">
        <f>Cobros[[#This Row],[Dias al pago]]-Cobros[[#This Row],[Dias de Credito]]</f>
        <v>-4</v>
      </c>
      <c r="P566" s="45">
        <f>SUMIFS(TablaDias[Porcentaje],TablaDias[Tipo],Cobros[[#This Row],[Tipo]],TablaDias[Desde ],"&lt;="&amp;MAX(0,Cobros[[#This Row],[Dias pasado]]),TablaDias[Hasta ],"&gt;="&amp;Cobros[[#This Row],[Dias pasado]])</f>
        <v>100</v>
      </c>
      <c r="Q56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6">
        <f>IF(COUNTIF(PAPEL[Numero],Cobros[[#This Row],[Doc. Cargo]])&gt;0,1,0)</f>
        <v>0</v>
      </c>
      <c r="S566" s="46">
        <f t="array" ref="S5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6" s="46">
        <f t="array" ref="T566">INDEX(Ventas[[Unidades]:[2]],MATCH("Gerente de Venta",Ventas[Vendedor %],0),6+Cobros[[#This Row],[Mes]])</f>
        <v>0.005</v>
      </c>
      <c r="U566" s="34">
        <f>IF(Cobros[[#This Row],[Tipo]]="Credito",IF(60&gt;=Cobros[[#This Row],[Dias al pago]],1,0),IF(Cobros[[#This Row],[Dias al pago]]&lt;=3,1,0))</f>
        <v>1</v>
      </c>
      <c r="V566" s="46">
        <f>(Cobros[[#This Row],[% A pagar Vendedor]]/100)*Cobros[[#This Row],[Valor Pagado]]*Cobros[[#This Row],[Vencido]]*(Cobros[[#This Row],[% aplicar]]/100)*IF(Cobros[[#This Row],[% A pagar Vendedor]]&gt;0,1,0)</f>
        <v>1.3375</v>
      </c>
      <c r="W566" s="46">
        <f>0.5%*Cobros[[#This Row],[Valor Pagado]]</f>
        <v>0.535</v>
      </c>
    </row>
    <row r="567" spans="1:23">
      <c r="A567" s="49" t="s">
        <v>3860</v>
      </c>
      <c r="B567" s="49" t="s">
        <v>4662</v>
      </c>
      <c r="C567" s="49" t="s">
        <v>2576</v>
      </c>
      <c r="D567" s="49" t="s">
        <v>2577</v>
      </c>
      <c r="E567" s="49" t="s">
        <v>4731</v>
      </c>
      <c r="F567" s="51">
        <v>46217</v>
      </c>
      <c r="G567" s="49">
        <v>690.47</v>
      </c>
      <c r="H567" s="49" t="s">
        <v>20</v>
      </c>
      <c r="I567" s="51">
        <v>46219</v>
      </c>
      <c r="J567" s="54">
        <f>INT(Cobros[[#This Row],[Fecha Cargo]])</f>
        <v>46217</v>
      </c>
      <c r="K567" s="54">
        <f>INT(Cobros[[#This Row],[Fecha Aplicacion]])</f>
        <v>46219</v>
      </c>
      <c r="L567" s="55" t="str">
        <f>INDEX(Clientes[Días Plazo],MATCH(Cobros[[#This Row],[Cod. Cliente]],Clientes[Codigo],0),1)</f>
        <v>7</v>
      </c>
      <c r="M567" s="45" t="str">
        <f>IF(Cobros[[#This Row],[Dias de Credito]]&lt;=0,"Contado","Credito")</f>
        <v>Credito</v>
      </c>
      <c r="N567" s="45">
        <f>Cobros[[#This Row],[Fecha Aplicación S]]-Cobros[[#This Row],[Fecha Cargo S]]</f>
        <v>2</v>
      </c>
      <c r="O567" s="45">
        <f>Cobros[[#This Row],[Dias al pago]]-Cobros[[#This Row],[Dias de Credito]]</f>
        <v>-5</v>
      </c>
      <c r="P567" s="45">
        <f>SUMIFS(TablaDias[Porcentaje],TablaDias[Tipo],Cobros[[#This Row],[Tipo]],TablaDias[Desde ],"&lt;="&amp;MAX(0,Cobros[[#This Row],[Dias pasado]]),TablaDias[Hasta ],"&gt;="&amp;Cobros[[#This Row],[Dias pasado]])</f>
        <v>100</v>
      </c>
      <c r="Q56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7">
        <f>IF(COUNTIF(PAPEL[Numero],Cobros[[#This Row],[Doc. Cargo]])&gt;0,1,0)</f>
        <v>0</v>
      </c>
      <c r="S567" s="46">
        <f t="array" ref="S5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7" s="46">
        <f t="array" ref="T567">INDEX(Ventas[[Unidades]:[2]],MATCH("Gerente de Venta",Ventas[Vendedor %],0),6+Cobros[[#This Row],[Mes]])</f>
        <v>0.005</v>
      </c>
      <c r="U567" s="34">
        <f>IF(Cobros[[#This Row],[Tipo]]="Credito",IF(60&gt;=Cobros[[#This Row],[Dias al pago]],1,0),IF(Cobros[[#This Row],[Dias al pago]]&lt;=3,1,0))</f>
        <v>1</v>
      </c>
      <c r="V567" s="46">
        <f>(Cobros[[#This Row],[% A pagar Vendedor]]/100)*Cobros[[#This Row],[Valor Pagado]]*Cobros[[#This Row],[Vencido]]*(Cobros[[#This Row],[% aplicar]]/100)*IF(Cobros[[#This Row],[% A pagar Vendedor]]&gt;0,1,0)</f>
        <v>8.630875</v>
      </c>
      <c r="W567" s="46">
        <f>0.5%*Cobros[[#This Row],[Valor Pagado]]</f>
        <v>3.45235</v>
      </c>
    </row>
    <row r="568" spans="1:23">
      <c r="A568" s="49" t="s">
        <v>3884</v>
      </c>
      <c r="B568" s="49" t="s">
        <v>4732</v>
      </c>
      <c r="C568" s="49" t="s">
        <v>530</v>
      </c>
      <c r="D568" s="49" t="s">
        <v>531</v>
      </c>
      <c r="E568" s="49" t="s">
        <v>4722</v>
      </c>
      <c r="F568" s="51">
        <v>46203</v>
      </c>
      <c r="G568" s="49">
        <v>546.55</v>
      </c>
      <c r="H568" s="49" t="s">
        <v>18</v>
      </c>
      <c r="I568" s="51">
        <v>46220</v>
      </c>
      <c r="J568" s="54">
        <f>INT(Cobros[[#This Row],[Fecha Cargo]])</f>
        <v>46203</v>
      </c>
      <c r="K568" s="54">
        <f>INT(Cobros[[#This Row],[Fecha Aplicacion]])</f>
        <v>46220</v>
      </c>
      <c r="L568" s="55">
        <v>0</v>
      </c>
      <c r="M568" s="45" t="str">
        <f>IF(Cobros[[#This Row],[Dias de Credito]]&lt;=0,"Contado","Credito")</f>
        <v>Contado</v>
      </c>
      <c r="N568" s="45">
        <f>Cobros[[#This Row],[Fecha Aplicación S]]-Cobros[[#This Row],[Fecha Cargo S]]</f>
        <v>17</v>
      </c>
      <c r="O568" s="45">
        <f>Cobros[[#This Row],[Dias al pago]]-Cobros[[#This Row],[Dias de Credito]]</f>
        <v>17</v>
      </c>
      <c r="P568" s="45">
        <f>SUMIFS(TablaDias[Porcentaje],TablaDias[Tipo],Cobros[[#This Row],[Tipo]],TablaDias[Desde ],"&lt;="&amp;MAX(0,Cobros[[#This Row],[Dias pasado]]),TablaDias[Hasta ],"&gt;="&amp;Cobros[[#This Row],[Dias pasado]])</f>
        <v>0</v>
      </c>
      <c r="Q56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68">
        <f>IF(COUNTIF(PAPEL[Numero],Cobros[[#This Row],[Doc. Cargo]])&gt;0,1,0)</f>
        <v>0</v>
      </c>
      <c r="S568" s="46">
        <f t="array" ref="S5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68" s="46">
        <f t="array" ref="T568">INDEX(Ventas[[Unidades]:[2]],MATCH("Gerente de Venta",Ventas[Vendedor %],0),6+Cobros[[#This Row],[Mes]])</f>
        <v>0.005</v>
      </c>
      <c r="U568" s="34">
        <f>IF(Cobros[[#This Row],[Tipo]]="Credito",IF(60&gt;=Cobros[[#This Row],[Dias al pago]],1,0),IF(Cobros[[#This Row],[Dias al pago]]&lt;=3,1,0))</f>
        <v>0</v>
      </c>
      <c r="V568" s="46">
        <f>(Cobros[[#This Row],[% A pagar Vendedor]]/100)*Cobros[[#This Row],[Valor Pagado]]*Cobros[[#This Row],[Vencido]]*(Cobros[[#This Row],[% aplicar]]/100)*IF(Cobros[[#This Row],[% A pagar Vendedor]]&gt;0,1,0)</f>
        <v>0</v>
      </c>
      <c r="W568" s="46">
        <f>0.5%*Cobros[[#This Row],[Valor Pagado]]</f>
        <v>2.73275</v>
      </c>
    </row>
    <row r="569" spans="1:23">
      <c r="A569" s="49" t="s">
        <v>3884</v>
      </c>
      <c r="B569" s="49" t="s">
        <v>4732</v>
      </c>
      <c r="C569" s="49" t="s">
        <v>530</v>
      </c>
      <c r="D569" s="49" t="s">
        <v>531</v>
      </c>
      <c r="E569" s="49" t="s">
        <v>4733</v>
      </c>
      <c r="F569" s="51">
        <v>46211</v>
      </c>
      <c r="G569" s="49">
        <v>0.05</v>
      </c>
      <c r="H569" s="49" t="s">
        <v>18</v>
      </c>
      <c r="I569" s="51">
        <v>46220</v>
      </c>
      <c r="J569" s="54">
        <f>INT(Cobros[[#This Row],[Fecha Cargo]])</f>
        <v>46211</v>
      </c>
      <c r="K569" s="54">
        <f>INT(Cobros[[#This Row],[Fecha Aplicacion]])</f>
        <v>46220</v>
      </c>
      <c r="L569" s="55" t="str">
        <f>INDEX(Clientes[Días Plazo],MATCH(Cobros[[#This Row],[Cod. Cliente]],Clientes[Codigo],0),1)</f>
        <v>15</v>
      </c>
      <c r="M569" s="45" t="str">
        <f>IF(Cobros[[#This Row],[Dias de Credito]]&lt;=0,"Contado","Credito")</f>
        <v>Credito</v>
      </c>
      <c r="N569" s="45">
        <f>Cobros[[#This Row],[Fecha Aplicación S]]-Cobros[[#This Row],[Fecha Cargo S]]</f>
        <v>9</v>
      </c>
      <c r="O569" s="45">
        <f>Cobros[[#This Row],[Dias al pago]]-Cobros[[#This Row],[Dias de Credito]]</f>
        <v>-6</v>
      </c>
      <c r="P569" s="45">
        <f>SUMIFS(TablaDias[Porcentaje],TablaDias[Tipo],Cobros[[#This Row],[Tipo]],TablaDias[Desde ],"&lt;="&amp;MAX(0,Cobros[[#This Row],[Dias pasado]]),TablaDias[Hasta ],"&gt;="&amp;Cobros[[#This Row],[Dias pasado]])</f>
        <v>100</v>
      </c>
      <c r="Q56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69">
        <f>IF(COUNTIF(PAPEL[Numero],Cobros[[#This Row],[Doc. Cargo]])&gt;0,1,0)</f>
        <v>0</v>
      </c>
      <c r="S569" s="46">
        <f t="array" ref="S5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69" s="46">
        <f t="array" ref="T569">INDEX(Ventas[[Unidades]:[2]],MATCH("Gerente de Venta",Ventas[Vendedor %],0),6+Cobros[[#This Row],[Mes]])</f>
        <v>0.005</v>
      </c>
      <c r="U569" s="34">
        <f>IF(Cobros[[#This Row],[Tipo]]="Credito",IF(60&gt;=Cobros[[#This Row],[Dias al pago]],1,0),IF(Cobros[[#This Row],[Dias al pago]]&lt;=3,1,0))</f>
        <v>1</v>
      </c>
      <c r="V569" s="46">
        <f>(Cobros[[#This Row],[% A pagar Vendedor]]/100)*Cobros[[#This Row],[Valor Pagado]]*Cobros[[#This Row],[Vencido]]*(Cobros[[#This Row],[% aplicar]]/100)*IF(Cobros[[#This Row],[% A pagar Vendedor]]&gt;0,1,0)</f>
        <v>0.000625</v>
      </c>
      <c r="W569" s="46">
        <f>0.5%*Cobros[[#This Row],[Valor Pagado]]</f>
        <v>0.00025</v>
      </c>
    </row>
    <row r="570" ht="30" spans="1:23">
      <c r="A570" s="49" t="s">
        <v>3931</v>
      </c>
      <c r="B570" s="49" t="s">
        <v>4734</v>
      </c>
      <c r="C570" s="49" t="s">
        <v>3182</v>
      </c>
      <c r="D570" s="49" t="s">
        <v>4003</v>
      </c>
      <c r="E570" s="49" t="s">
        <v>4005</v>
      </c>
      <c r="F570" s="51">
        <v>46157</v>
      </c>
      <c r="G570" s="49">
        <v>73.02</v>
      </c>
      <c r="H570" s="49" t="s">
        <v>1355</v>
      </c>
      <c r="I570" s="51">
        <v>46220</v>
      </c>
      <c r="J570" s="54">
        <f>INT(Cobros[[#This Row],[Fecha Cargo]])</f>
        <v>46157</v>
      </c>
      <c r="K570" s="54">
        <f>INT(Cobros[[#This Row],[Fecha Aplicacion]])</f>
        <v>46220</v>
      </c>
      <c r="L570" s="55">
        <v>0</v>
      </c>
      <c r="M570" s="45" t="str">
        <f>IF(Cobros[[#This Row],[Dias de Credito]]&lt;=0,"Contado","Credito")</f>
        <v>Contado</v>
      </c>
      <c r="N570" s="45">
        <f>Cobros[[#This Row],[Fecha Aplicación S]]-Cobros[[#This Row],[Fecha Cargo S]]</f>
        <v>63</v>
      </c>
      <c r="O570" s="45">
        <f>Cobros[[#This Row],[Dias al pago]]-Cobros[[#This Row],[Dias de Credito]]</f>
        <v>63</v>
      </c>
      <c r="P570" s="45">
        <f>SUMIFS(TablaDias[Porcentaje],TablaDias[Tipo],Cobros[[#This Row],[Tipo]],TablaDias[Desde ],"&lt;="&amp;MAX(0,Cobros[[#This Row],[Dias pasado]]),TablaDias[Hasta ],"&gt;="&amp;Cobros[[#This Row],[Dias pasado]])</f>
        <v>0</v>
      </c>
      <c r="Q57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70">
        <f>IF(COUNTIF(PAPEL[Numero],Cobros[[#This Row],[Doc. Cargo]])&gt;0,1,0)</f>
        <v>0</v>
      </c>
      <c r="S570" s="46">
        <v>1</v>
      </c>
      <c r="T570" s="46">
        <f t="array" ref="T570">INDEX(Ventas[[Unidades]:[2]],MATCH("Gerente de Venta",Ventas[Vendedor %],0),6+Cobros[[#This Row],[Mes]])</f>
        <v>0.005</v>
      </c>
      <c r="U570" s="34">
        <f>IF(Cobros[[#This Row],[Tipo]]="Credito",IF(60&gt;=Cobros[[#This Row],[Dias al pago]],1,0),IF(Cobros[[#This Row],[Dias al pago]]&lt;=3,1,0))</f>
        <v>0</v>
      </c>
      <c r="V570" s="46">
        <f>(Cobros[[#This Row],[% A pagar Vendedor]]/100)*Cobros[[#This Row],[Valor Pagado]]*Cobros[[#This Row],[Vencido]]*(Cobros[[#This Row],[% aplicar]]/100)*IF(Cobros[[#This Row],[% A pagar Vendedor]]&gt;0,1,0)</f>
        <v>0</v>
      </c>
      <c r="W570" s="46">
        <f>0.5%*Cobros[[#This Row],[Valor Pagado]]</f>
        <v>0.3651</v>
      </c>
    </row>
    <row r="571" ht="30" spans="1:23">
      <c r="A571" s="49" t="s">
        <v>3931</v>
      </c>
      <c r="B571" s="49" t="s">
        <v>4734</v>
      </c>
      <c r="C571" s="49" t="s">
        <v>3182</v>
      </c>
      <c r="D571" s="49" t="s">
        <v>4003</v>
      </c>
      <c r="E571" s="49" t="s">
        <v>4735</v>
      </c>
      <c r="F571" s="51">
        <v>46178</v>
      </c>
      <c r="G571" s="49">
        <v>6439</v>
      </c>
      <c r="H571" s="49" t="s">
        <v>1355</v>
      </c>
      <c r="I571" s="51">
        <v>46220</v>
      </c>
      <c r="J571" s="54">
        <f>INT(Cobros[[#This Row],[Fecha Cargo]])</f>
        <v>46178</v>
      </c>
      <c r="K571" s="54">
        <f>INT(Cobros[[#This Row],[Fecha Aplicacion]])</f>
        <v>46220</v>
      </c>
      <c r="L571" s="55">
        <f>INDEX(Clientes[Días Plazo],MATCH(Cobros[[#This Row],[Cod. Cliente]],Clientes[Codigo],0),1)</f>
        <v>30</v>
      </c>
      <c r="M571" s="45" t="str">
        <f>IF(Cobros[[#This Row],[Dias de Credito]]&lt;=0,"Contado","Credito")</f>
        <v>Credito</v>
      </c>
      <c r="N571" s="45">
        <f>Cobros[[#This Row],[Fecha Aplicación S]]-Cobros[[#This Row],[Fecha Cargo S]]</f>
        <v>42</v>
      </c>
      <c r="O571" s="45">
        <f>Cobros[[#This Row],[Dias al pago]]-Cobros[[#This Row],[Dias de Credito]]</f>
        <v>12</v>
      </c>
      <c r="P571" s="45">
        <f>SUMIFS(TablaDias[Porcentaje],TablaDias[Tipo],Cobros[[#This Row],[Tipo]],TablaDias[Desde ],"&lt;="&amp;MAX(0,Cobros[[#This Row],[Dias pasado]]),TablaDias[Hasta ],"&gt;="&amp;Cobros[[#This Row],[Dias pasado]])</f>
        <v>100</v>
      </c>
      <c r="Q57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71">
        <f>IF(COUNTIF(PAPEL[Numero],Cobros[[#This Row],[Doc. Cargo]])&gt;0,1,0)</f>
        <v>0</v>
      </c>
      <c r="S571" s="46">
        <v>1</v>
      </c>
      <c r="T571" s="46">
        <f t="array" ref="T571">INDEX(Ventas[[Unidades]:[2]],MATCH("Gerente de Venta",Ventas[Vendedor %],0),6+Cobros[[#This Row],[Mes]])</f>
        <v>0.005</v>
      </c>
      <c r="U571" s="34">
        <f>IF(Cobros[[#This Row],[Tipo]]="Credito",IF(60&gt;=Cobros[[#This Row],[Dias al pago]],1,0),IF(Cobros[[#This Row],[Dias al pago]]&lt;=3,1,0))</f>
        <v>1</v>
      </c>
      <c r="V571" s="46">
        <f>(Cobros[[#This Row],[% A pagar Vendedor]]/100)*Cobros[[#This Row],[Valor Pagado]]*Cobros[[#This Row],[Vencido]]*(Cobros[[#This Row],[% aplicar]]/100)*IF(Cobros[[#This Row],[% A pagar Vendedor]]&gt;0,1,0)</f>
        <v>64.39</v>
      </c>
      <c r="W571" s="46">
        <f>0.5%*Cobros[[#This Row],[Valor Pagado]]</f>
        <v>32.195</v>
      </c>
    </row>
    <row r="572" ht="30" spans="1:23">
      <c r="A572" s="49" t="s">
        <v>3931</v>
      </c>
      <c r="B572" s="49" t="s">
        <v>4734</v>
      </c>
      <c r="C572" s="49" t="s">
        <v>3182</v>
      </c>
      <c r="D572" s="49" t="s">
        <v>4003</v>
      </c>
      <c r="E572" s="49" t="s">
        <v>4736</v>
      </c>
      <c r="F572" s="51">
        <v>46157</v>
      </c>
      <c r="G572" s="49">
        <v>1035.54</v>
      </c>
      <c r="H572" s="49" t="s">
        <v>1355</v>
      </c>
      <c r="I572" s="51">
        <v>46220</v>
      </c>
      <c r="J572" s="54">
        <f>INT(Cobros[[#This Row],[Fecha Cargo]])</f>
        <v>46157</v>
      </c>
      <c r="K572" s="54">
        <f>INT(Cobros[[#This Row],[Fecha Aplicacion]])</f>
        <v>46220</v>
      </c>
      <c r="L572" s="55">
        <f>INDEX(Clientes[Días Plazo],MATCH(Cobros[[#This Row],[Cod. Cliente]],Clientes[Codigo],0),1)</f>
        <v>30</v>
      </c>
      <c r="M572" s="45" t="str">
        <f>IF(Cobros[[#This Row],[Dias de Credito]]&lt;=0,"Contado","Credito")</f>
        <v>Credito</v>
      </c>
      <c r="N572" s="45">
        <f>Cobros[[#This Row],[Fecha Aplicación S]]-Cobros[[#This Row],[Fecha Cargo S]]</f>
        <v>63</v>
      </c>
      <c r="O572" s="45">
        <f>Cobros[[#This Row],[Dias al pago]]-Cobros[[#This Row],[Dias de Credito]]</f>
        <v>33</v>
      </c>
      <c r="P572" s="45">
        <f>SUMIFS(TablaDias[Porcentaje],TablaDias[Tipo],Cobros[[#This Row],[Tipo]],TablaDias[Desde ],"&lt;="&amp;MAX(0,Cobros[[#This Row],[Dias pasado]]),TablaDias[Hasta ],"&gt;="&amp;Cobros[[#This Row],[Dias pasado]])</f>
        <v>30</v>
      </c>
      <c r="Q57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72">
        <f>IF(COUNTIF(PAPEL[Numero],Cobros[[#This Row],[Doc. Cargo]])&gt;0,1,0)</f>
        <v>0</v>
      </c>
      <c r="S572" s="46">
        <v>1</v>
      </c>
      <c r="T572" s="46">
        <f t="array" ref="T572">INDEX(Ventas[[Unidades]:[2]],MATCH("Gerente de Venta",Ventas[Vendedor %],0),6+Cobros[[#This Row],[Mes]])</f>
        <v>0.005</v>
      </c>
      <c r="U572" s="34">
        <f>IF(Cobros[[#This Row],[Tipo]]="Credito",IF(60&gt;=Cobros[[#This Row],[Dias al pago]],1,0),IF(Cobros[[#This Row],[Dias al pago]]&lt;=3,1,0))</f>
        <v>0</v>
      </c>
      <c r="V572" s="46">
        <f>(Cobros[[#This Row],[% A pagar Vendedor]]/100)*Cobros[[#This Row],[Valor Pagado]]*Cobros[[#This Row],[Vencido]]*(Cobros[[#This Row],[% aplicar]]/100)*IF(Cobros[[#This Row],[% A pagar Vendedor]]&gt;0,1,0)</f>
        <v>0</v>
      </c>
      <c r="W572" s="46">
        <f>0.5%*Cobros[[#This Row],[Valor Pagado]]</f>
        <v>5.1777</v>
      </c>
    </row>
    <row r="573" ht="30" spans="1:23">
      <c r="A573" s="49" t="s">
        <v>3875</v>
      </c>
      <c r="B573" s="49" t="s">
        <v>4737</v>
      </c>
      <c r="C573" s="49" t="s">
        <v>2952</v>
      </c>
      <c r="D573" s="49" t="s">
        <v>2953</v>
      </c>
      <c r="E573" s="49" t="s">
        <v>4738</v>
      </c>
      <c r="F573" s="51">
        <v>46220</v>
      </c>
      <c r="G573" s="49">
        <v>75</v>
      </c>
      <c r="H573" s="49" t="s">
        <v>3865</v>
      </c>
      <c r="I573" s="51">
        <v>46220</v>
      </c>
      <c r="J573" s="54">
        <f>INT(Cobros[[#This Row],[Fecha Cargo]])</f>
        <v>46220</v>
      </c>
      <c r="K573" s="54">
        <f>INT(Cobros[[#This Row],[Fecha Aplicacion]])</f>
        <v>46220</v>
      </c>
      <c r="L573" s="55">
        <f>INDEX(Clientes[Días Plazo],MATCH(Cobros[[#This Row],[Cod. Cliente]],Clientes[Codigo],0),1)</f>
        <v>0</v>
      </c>
      <c r="M573" s="45" t="str">
        <f>IF(Cobros[[#This Row],[Dias de Credito]]&lt;=0,"Contado","Credito")</f>
        <v>Contado</v>
      </c>
      <c r="N573" s="45">
        <f>Cobros[[#This Row],[Fecha Aplicación S]]-Cobros[[#This Row],[Fecha Cargo S]]</f>
        <v>0</v>
      </c>
      <c r="O573" s="45">
        <f>Cobros[[#This Row],[Dias al pago]]-Cobros[[#This Row],[Dias de Credito]]</f>
        <v>0</v>
      </c>
      <c r="P573" s="45">
        <f>SUMIFS(TablaDias[Porcentaje],TablaDias[Tipo],Cobros[[#This Row],[Tipo]],TablaDias[Desde ],"&lt;="&amp;MAX(0,Cobros[[#This Row],[Dias pasado]]),TablaDias[Hasta ],"&gt;="&amp;Cobros[[#This Row],[Dias pasado]])</f>
        <v>100</v>
      </c>
      <c r="Q57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3">
        <f>IF(COUNTIF(PAPEL[Numero],Cobros[[#This Row],[Doc. Cargo]])&gt;0,1,0)</f>
        <v>0</v>
      </c>
      <c r="S573" s="46">
        <v>1</v>
      </c>
      <c r="T573" s="46">
        <f t="array" ref="T573">INDEX(Ventas[[Unidades]:[2]],MATCH("Gerente de Venta",Ventas[Vendedor %],0),6+Cobros[[#This Row],[Mes]])</f>
        <v>0.005</v>
      </c>
      <c r="U573" s="34">
        <f>IF(Cobros[[#This Row],[Tipo]]="Credito",IF(60&gt;=Cobros[[#This Row],[Dias al pago]],1,0),IF(Cobros[[#This Row],[Dias al pago]]&lt;=3,1,0))</f>
        <v>1</v>
      </c>
      <c r="V573" s="46">
        <f>(Cobros[[#This Row],[% A pagar Vendedor]]/100)*Cobros[[#This Row],[Valor Pagado]]*Cobros[[#This Row],[Vencido]]*(Cobros[[#This Row],[% aplicar]]/100)*IF(Cobros[[#This Row],[% A pagar Vendedor]]&gt;0,1,0)</f>
        <v>0.75</v>
      </c>
      <c r="W573" s="46">
        <f>0.5%*Cobros[[#This Row],[Valor Pagado]]</f>
        <v>0.375</v>
      </c>
    </row>
    <row r="574" spans="1:23">
      <c r="A574" s="49" t="s">
        <v>3875</v>
      </c>
      <c r="B574" s="49" t="s">
        <v>4739</v>
      </c>
      <c r="C574" s="49" t="s">
        <v>1222</v>
      </c>
      <c r="D574" s="49" t="s">
        <v>1223</v>
      </c>
      <c r="E574" s="49" t="s">
        <v>4740</v>
      </c>
      <c r="F574" s="51">
        <v>46216</v>
      </c>
      <c r="G574" s="49">
        <v>69</v>
      </c>
      <c r="H574" s="49" t="s">
        <v>20</v>
      </c>
      <c r="I574" s="51">
        <v>46220</v>
      </c>
      <c r="J574" s="54">
        <f>INT(Cobros[[#This Row],[Fecha Cargo]])</f>
        <v>46216</v>
      </c>
      <c r="K574" s="54">
        <f>INT(Cobros[[#This Row],[Fecha Aplicacion]])</f>
        <v>46220</v>
      </c>
      <c r="L574" s="55" t="str">
        <f>INDEX(Clientes[Días Plazo],MATCH(Cobros[[#This Row],[Cod. Cliente]],Clientes[Codigo],0),1)</f>
        <v>7</v>
      </c>
      <c r="M574" s="45" t="str">
        <f>IF(Cobros[[#This Row],[Dias de Credito]]&lt;=0,"Contado","Credito")</f>
        <v>Credito</v>
      </c>
      <c r="N574" s="45">
        <f>Cobros[[#This Row],[Fecha Aplicación S]]-Cobros[[#This Row],[Fecha Cargo S]]</f>
        <v>4</v>
      </c>
      <c r="O574" s="45">
        <f>Cobros[[#This Row],[Dias al pago]]-Cobros[[#This Row],[Dias de Credito]]</f>
        <v>-3</v>
      </c>
      <c r="P574" s="45">
        <f>SUMIFS(TablaDias[Porcentaje],TablaDias[Tipo],Cobros[[#This Row],[Tipo]],TablaDias[Desde ],"&lt;="&amp;MAX(0,Cobros[[#This Row],[Dias pasado]]),TablaDias[Hasta ],"&gt;="&amp;Cobros[[#This Row],[Dias pasado]])</f>
        <v>100</v>
      </c>
      <c r="Q57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4">
        <f>IF(COUNTIF(PAPEL[Numero],Cobros[[#This Row],[Doc. Cargo]])&gt;0,1,0)</f>
        <v>0</v>
      </c>
      <c r="S574" s="46">
        <f t="array" ref="S5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74" s="46">
        <f t="array" ref="T574">INDEX(Ventas[[Unidades]:[2]],MATCH("Gerente de Venta",Ventas[Vendedor %],0),6+Cobros[[#This Row],[Mes]])</f>
        <v>0.005</v>
      </c>
      <c r="U574" s="34">
        <f>IF(Cobros[[#This Row],[Tipo]]="Credito",IF(60&gt;=Cobros[[#This Row],[Dias al pago]],1,0),IF(Cobros[[#This Row],[Dias al pago]]&lt;=3,1,0))</f>
        <v>1</v>
      </c>
      <c r="V574" s="46">
        <f>(Cobros[[#This Row],[% A pagar Vendedor]]/100)*Cobros[[#This Row],[Valor Pagado]]*Cobros[[#This Row],[Vencido]]*(Cobros[[#This Row],[% aplicar]]/100)*IF(Cobros[[#This Row],[% A pagar Vendedor]]&gt;0,1,0)</f>
        <v>0.8625</v>
      </c>
      <c r="W574" s="46">
        <f>0.5%*Cobros[[#This Row],[Valor Pagado]]</f>
        <v>0.345</v>
      </c>
    </row>
    <row r="575" spans="1:23">
      <c r="A575" s="49" t="s">
        <v>3875</v>
      </c>
      <c r="B575" s="49" t="s">
        <v>4739</v>
      </c>
      <c r="C575" s="49" t="s">
        <v>1222</v>
      </c>
      <c r="D575" s="49" t="s">
        <v>1223</v>
      </c>
      <c r="E575" s="49" t="s">
        <v>4741</v>
      </c>
      <c r="F575" s="51">
        <v>46218</v>
      </c>
      <c r="G575" s="49">
        <v>138.5</v>
      </c>
      <c r="H575" s="49" t="s">
        <v>20</v>
      </c>
      <c r="I575" s="51">
        <v>46220</v>
      </c>
      <c r="J575" s="54">
        <f>INT(Cobros[[#This Row],[Fecha Cargo]])</f>
        <v>46218</v>
      </c>
      <c r="K575" s="54">
        <f>INT(Cobros[[#This Row],[Fecha Aplicacion]])</f>
        <v>46220</v>
      </c>
      <c r="L575" s="55">
        <v>0</v>
      </c>
      <c r="M575" s="45" t="str">
        <f>IF(Cobros[[#This Row],[Dias de Credito]]&lt;=0,"Contado","Credito")</f>
        <v>Contado</v>
      </c>
      <c r="N575" s="45">
        <f>Cobros[[#This Row],[Fecha Aplicación S]]-Cobros[[#This Row],[Fecha Cargo S]]</f>
        <v>2</v>
      </c>
      <c r="O575" s="45">
        <f>Cobros[[#This Row],[Dias al pago]]-Cobros[[#This Row],[Dias de Credito]]</f>
        <v>2</v>
      </c>
      <c r="P575" s="45">
        <f>SUMIFS(TablaDias[Porcentaje],TablaDias[Tipo],Cobros[[#This Row],[Tipo]],TablaDias[Desde ],"&lt;="&amp;MAX(0,Cobros[[#This Row],[Dias pasado]]),TablaDias[Hasta ],"&gt;="&amp;Cobros[[#This Row],[Dias pasado]])</f>
        <v>100</v>
      </c>
      <c r="Q57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5">
        <f>IF(COUNTIF(PAPEL[Numero],Cobros[[#This Row],[Doc. Cargo]])&gt;0,1,0)</f>
        <v>0</v>
      </c>
      <c r="S575" s="46">
        <f t="array" ref="S5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75" s="46">
        <f t="array" ref="T575">INDEX(Ventas[[Unidades]:[2]],MATCH("Gerente de Venta",Ventas[Vendedor %],0),6+Cobros[[#This Row],[Mes]])</f>
        <v>0.005</v>
      </c>
      <c r="U575" s="34">
        <f>IF(Cobros[[#This Row],[Tipo]]="Credito",IF(60&gt;=Cobros[[#This Row],[Dias al pago]],1,0),IF(Cobros[[#This Row],[Dias al pago]]&lt;=3,1,0))</f>
        <v>1</v>
      </c>
      <c r="V575" s="46">
        <f>(Cobros[[#This Row],[% A pagar Vendedor]]/100)*Cobros[[#This Row],[Valor Pagado]]*Cobros[[#This Row],[Vencido]]*(Cobros[[#This Row],[% aplicar]]/100)*IF(Cobros[[#This Row],[% A pagar Vendedor]]&gt;0,1,0)</f>
        <v>1.73125</v>
      </c>
      <c r="W575" s="46">
        <f>0.5%*Cobros[[#This Row],[Valor Pagado]]</f>
        <v>0.6925</v>
      </c>
    </row>
    <row r="576" spans="1:23">
      <c r="A576" s="49" t="s">
        <v>3875</v>
      </c>
      <c r="B576" s="49" t="s">
        <v>4739</v>
      </c>
      <c r="C576" s="49" t="s">
        <v>1222</v>
      </c>
      <c r="D576" s="49" t="s">
        <v>1223</v>
      </c>
      <c r="E576" s="49" t="s">
        <v>4495</v>
      </c>
      <c r="F576" s="51">
        <v>46216</v>
      </c>
      <c r="G576" s="49">
        <v>92.5</v>
      </c>
      <c r="H576" s="49" t="s">
        <v>20</v>
      </c>
      <c r="I576" s="51">
        <v>46220</v>
      </c>
      <c r="J576" s="54">
        <f>INT(Cobros[[#This Row],[Fecha Cargo]])</f>
        <v>46216</v>
      </c>
      <c r="K576" s="54">
        <f>INT(Cobros[[#This Row],[Fecha Aplicacion]])</f>
        <v>46220</v>
      </c>
      <c r="L576" s="55" t="str">
        <f>INDEX(Clientes[Días Plazo],MATCH(Cobros[[#This Row],[Cod. Cliente]],Clientes[Codigo],0),1)</f>
        <v>7</v>
      </c>
      <c r="M576" s="45" t="str">
        <f>IF(Cobros[[#This Row],[Dias de Credito]]&lt;=0,"Contado","Credito")</f>
        <v>Credito</v>
      </c>
      <c r="N576" s="45">
        <f>Cobros[[#This Row],[Fecha Aplicación S]]-Cobros[[#This Row],[Fecha Cargo S]]</f>
        <v>4</v>
      </c>
      <c r="O576" s="45">
        <f>Cobros[[#This Row],[Dias al pago]]-Cobros[[#This Row],[Dias de Credito]]</f>
        <v>-3</v>
      </c>
      <c r="P576" s="45">
        <f>SUMIFS(TablaDias[Porcentaje],TablaDias[Tipo],Cobros[[#This Row],[Tipo]],TablaDias[Desde ],"&lt;="&amp;MAX(0,Cobros[[#This Row],[Dias pasado]]),TablaDias[Hasta ],"&gt;="&amp;Cobros[[#This Row],[Dias pasado]])</f>
        <v>100</v>
      </c>
      <c r="Q57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6">
        <f>IF(COUNTIF(PAPEL[Numero],Cobros[[#This Row],[Doc. Cargo]])&gt;0,1,0)</f>
        <v>0</v>
      </c>
      <c r="S576" s="46">
        <f t="array" ref="S5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76" s="46">
        <f t="array" ref="T576">INDEX(Ventas[[Unidades]:[2]],MATCH("Gerente de Venta",Ventas[Vendedor %],0),6+Cobros[[#This Row],[Mes]])</f>
        <v>0.005</v>
      </c>
      <c r="U576" s="34">
        <f>IF(Cobros[[#This Row],[Tipo]]="Credito",IF(60&gt;=Cobros[[#This Row],[Dias al pago]],1,0),IF(Cobros[[#This Row],[Dias al pago]]&lt;=3,1,0))</f>
        <v>1</v>
      </c>
      <c r="V576" s="46">
        <f>(Cobros[[#This Row],[% A pagar Vendedor]]/100)*Cobros[[#This Row],[Valor Pagado]]*Cobros[[#This Row],[Vencido]]*(Cobros[[#This Row],[% aplicar]]/100)*IF(Cobros[[#This Row],[% A pagar Vendedor]]&gt;0,1,0)</f>
        <v>1.15625</v>
      </c>
      <c r="W576" s="46">
        <f>0.5%*Cobros[[#This Row],[Valor Pagado]]</f>
        <v>0.4625</v>
      </c>
    </row>
    <row r="577" spans="1:23">
      <c r="A577" s="49" t="s">
        <v>3860</v>
      </c>
      <c r="B577" s="49" t="s">
        <v>4742</v>
      </c>
      <c r="C577" s="49" t="s">
        <v>731</v>
      </c>
      <c r="D577" s="49" t="s">
        <v>732</v>
      </c>
      <c r="E577" s="49" t="s">
        <v>4743</v>
      </c>
      <c r="F577" s="51">
        <v>46196</v>
      </c>
      <c r="G577" s="49">
        <v>551.4</v>
      </c>
      <c r="H577" s="49" t="s">
        <v>20</v>
      </c>
      <c r="I577" s="51">
        <v>46220</v>
      </c>
      <c r="J577" s="54">
        <f>INT(Cobros[[#This Row],[Fecha Cargo]])</f>
        <v>46196</v>
      </c>
      <c r="K577" s="54">
        <f>INT(Cobros[[#This Row],[Fecha Aplicacion]])</f>
        <v>46220</v>
      </c>
      <c r="L577" s="55" t="str">
        <f>INDEX(Clientes[Días Plazo],MATCH(Cobros[[#This Row],[Cod. Cliente]],Clientes[Codigo],0),1)</f>
        <v>21</v>
      </c>
      <c r="M577" s="45" t="str">
        <f>IF(Cobros[[#This Row],[Dias de Credito]]&lt;=0,"Contado","Credito")</f>
        <v>Credito</v>
      </c>
      <c r="N577" s="45">
        <f>Cobros[[#This Row],[Fecha Aplicación S]]-Cobros[[#This Row],[Fecha Cargo S]]</f>
        <v>24</v>
      </c>
      <c r="O577" s="45">
        <f>Cobros[[#This Row],[Dias al pago]]-Cobros[[#This Row],[Dias de Credito]]</f>
        <v>3</v>
      </c>
      <c r="P577" s="45">
        <f>SUMIFS(TablaDias[Porcentaje],TablaDias[Tipo],Cobros[[#This Row],[Tipo]],TablaDias[Desde ],"&lt;="&amp;MAX(0,Cobros[[#This Row],[Dias pasado]]),TablaDias[Hasta ],"&gt;="&amp;Cobros[[#This Row],[Dias pasado]])</f>
        <v>100</v>
      </c>
      <c r="Q5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77">
        <f>IF(COUNTIF(PAPEL[Numero],Cobros[[#This Row],[Doc. Cargo]])&gt;0,1,0)</f>
        <v>0</v>
      </c>
      <c r="S577" s="46">
        <f t="array" ref="S5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77" s="46">
        <f t="array" ref="T577">INDEX(Ventas[[Unidades]:[2]],MATCH("Gerente de Venta",Ventas[Vendedor %],0),6+Cobros[[#This Row],[Mes]])</f>
        <v>0.005</v>
      </c>
      <c r="U577" s="34">
        <f>IF(Cobros[[#This Row],[Tipo]]="Credito",IF(60&gt;=Cobros[[#This Row],[Dias al pago]],1,0),IF(Cobros[[#This Row],[Dias al pago]]&lt;=3,1,0))</f>
        <v>1</v>
      </c>
      <c r="V577" s="46">
        <f>(Cobros[[#This Row],[% A pagar Vendedor]]/100)*Cobros[[#This Row],[Valor Pagado]]*Cobros[[#This Row],[Vencido]]*(Cobros[[#This Row],[% aplicar]]/100)*IF(Cobros[[#This Row],[% A pagar Vendedor]]&gt;0,1,0)</f>
        <v>6.8925</v>
      </c>
      <c r="W577" s="46">
        <f>0.5%*Cobros[[#This Row],[Valor Pagado]]</f>
        <v>2.757</v>
      </c>
    </row>
    <row r="578" ht="30" spans="1:23">
      <c r="A578" s="49" t="s">
        <v>3860</v>
      </c>
      <c r="B578" s="49" t="s">
        <v>4744</v>
      </c>
      <c r="C578" s="49" t="s">
        <v>2568</v>
      </c>
      <c r="D578" s="49" t="s">
        <v>2569</v>
      </c>
      <c r="E578" s="49" t="s">
        <v>4745</v>
      </c>
      <c r="F578" s="51">
        <v>46220</v>
      </c>
      <c r="G578" s="49">
        <v>185.5</v>
      </c>
      <c r="H578" s="49" t="s">
        <v>3865</v>
      </c>
      <c r="I578" s="51">
        <v>46220</v>
      </c>
      <c r="J578" s="54">
        <f>INT(Cobros[[#This Row],[Fecha Cargo]])</f>
        <v>46220</v>
      </c>
      <c r="K578" s="54">
        <f>INT(Cobros[[#This Row],[Fecha Aplicacion]])</f>
        <v>46220</v>
      </c>
      <c r="L578" s="55">
        <f>INDEX(Clientes[Días Plazo],MATCH(Cobros[[#This Row],[Cod. Cliente]],Clientes[Codigo],0),1)</f>
        <v>0</v>
      </c>
      <c r="M578" s="45" t="str">
        <f>IF(Cobros[[#This Row],[Dias de Credito]]&lt;=0,"Contado","Credito")</f>
        <v>Contado</v>
      </c>
      <c r="N578" s="45">
        <f>Cobros[[#This Row],[Fecha Aplicación S]]-Cobros[[#This Row],[Fecha Cargo S]]</f>
        <v>0</v>
      </c>
      <c r="O578" s="45">
        <f>Cobros[[#This Row],[Dias al pago]]-Cobros[[#This Row],[Dias de Credito]]</f>
        <v>0</v>
      </c>
      <c r="P578" s="45">
        <f>SUMIFS(TablaDias[Porcentaje],TablaDias[Tipo],Cobros[[#This Row],[Tipo]],TablaDias[Desde ],"&lt;="&amp;MAX(0,Cobros[[#This Row],[Dias pasado]]),TablaDias[Hasta ],"&gt;="&amp;Cobros[[#This Row],[Dias pasado]])</f>
        <v>100</v>
      </c>
      <c r="Q5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8">
        <f>IF(COUNTIF(PAPEL[Numero],Cobros[[#This Row],[Doc. Cargo]])&gt;0,1,0)</f>
        <v>0</v>
      </c>
      <c r="S578" s="46">
        <v>1</v>
      </c>
      <c r="T578" s="46">
        <f t="array" ref="T578">INDEX(Ventas[[Unidades]:[2]],MATCH("Gerente de Venta",Ventas[Vendedor %],0),6+Cobros[[#This Row],[Mes]])</f>
        <v>0.005</v>
      </c>
      <c r="U578" s="34">
        <f>IF(Cobros[[#This Row],[Tipo]]="Credito",IF(60&gt;=Cobros[[#This Row],[Dias al pago]],1,0),IF(Cobros[[#This Row],[Dias al pago]]&lt;=3,1,0))</f>
        <v>1</v>
      </c>
      <c r="V578" s="46">
        <f>(Cobros[[#This Row],[% A pagar Vendedor]]/100)*Cobros[[#This Row],[Valor Pagado]]*Cobros[[#This Row],[Vencido]]*(Cobros[[#This Row],[% aplicar]]/100)*IF(Cobros[[#This Row],[% A pagar Vendedor]]&gt;0,1,0)</f>
        <v>1.855</v>
      </c>
      <c r="W578" s="46">
        <f>0.5%*Cobros[[#This Row],[Valor Pagado]]</f>
        <v>0.9275</v>
      </c>
    </row>
    <row r="579" ht="30" spans="1:23">
      <c r="A579" s="49" t="s">
        <v>3860</v>
      </c>
      <c r="B579" s="49" t="s">
        <v>4746</v>
      </c>
      <c r="C579" s="49" t="s">
        <v>778</v>
      </c>
      <c r="D579" s="49" t="s">
        <v>779</v>
      </c>
      <c r="E579" s="49" t="s">
        <v>4747</v>
      </c>
      <c r="F579" s="51">
        <v>46220</v>
      </c>
      <c r="G579" s="49">
        <v>702.25</v>
      </c>
      <c r="H579" s="49" t="s">
        <v>22</v>
      </c>
      <c r="I579" s="51">
        <v>46220</v>
      </c>
      <c r="J579" s="54">
        <f>INT(Cobros[[#This Row],[Fecha Cargo]])</f>
        <v>46220</v>
      </c>
      <c r="K579" s="54">
        <f>INT(Cobros[[#This Row],[Fecha Aplicacion]])</f>
        <v>46220</v>
      </c>
      <c r="L579" s="55">
        <f>INDEX(Clientes[Días Plazo],MATCH(Cobros[[#This Row],[Cod. Cliente]],Clientes[Codigo],0),1)</f>
        <v>0</v>
      </c>
      <c r="M579" s="45" t="str">
        <f>IF(Cobros[[#This Row],[Dias de Credito]]&lt;=0,"Contado","Credito")</f>
        <v>Contado</v>
      </c>
      <c r="N579" s="45">
        <f>Cobros[[#This Row],[Fecha Aplicación S]]-Cobros[[#This Row],[Fecha Cargo S]]</f>
        <v>0</v>
      </c>
      <c r="O579" s="45">
        <f>Cobros[[#This Row],[Dias al pago]]-Cobros[[#This Row],[Dias de Credito]]</f>
        <v>0</v>
      </c>
      <c r="P579" s="45">
        <f>SUMIFS(TablaDias[Porcentaje],TablaDias[Tipo],Cobros[[#This Row],[Tipo]],TablaDias[Desde ],"&lt;="&amp;MAX(0,Cobros[[#This Row],[Dias pasado]]),TablaDias[Hasta ],"&gt;="&amp;Cobros[[#This Row],[Dias pasado]])</f>
        <v>100</v>
      </c>
      <c r="Q57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79">
        <f>IF(COUNTIF(PAPEL[Numero],Cobros[[#This Row],[Doc. Cargo]])&gt;0,1,0)</f>
        <v>0</v>
      </c>
      <c r="S579" s="46">
        <f t="array" ref="S5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79" s="46">
        <f t="array" ref="T579">INDEX(Ventas[[Unidades]:[2]],MATCH("Gerente de Venta",Ventas[Vendedor %],0),6+Cobros[[#This Row],[Mes]])</f>
        <v>0.005</v>
      </c>
      <c r="U579" s="34">
        <f>IF(Cobros[[#This Row],[Tipo]]="Credito",IF(60&gt;=Cobros[[#This Row],[Dias al pago]],1,0),IF(Cobros[[#This Row],[Dias al pago]]&lt;=3,1,0))</f>
        <v>1</v>
      </c>
      <c r="V579" s="46">
        <f>(Cobros[[#This Row],[% A pagar Vendedor]]/100)*Cobros[[#This Row],[Valor Pagado]]*Cobros[[#This Row],[Vencido]]*(Cobros[[#This Row],[% aplicar]]/100)*IF(Cobros[[#This Row],[% A pagar Vendedor]]&gt;0,1,0)</f>
        <v>7.0225</v>
      </c>
      <c r="W579" s="46">
        <f>0.5%*Cobros[[#This Row],[Valor Pagado]]</f>
        <v>3.51125</v>
      </c>
    </row>
    <row r="580" ht="30" spans="1:23">
      <c r="A580" s="49" t="s">
        <v>3860</v>
      </c>
      <c r="B580" s="49" t="s">
        <v>4748</v>
      </c>
      <c r="C580" s="49" t="s">
        <v>1033</v>
      </c>
      <c r="D580" s="49" t="s">
        <v>1034</v>
      </c>
      <c r="E580" s="49" t="s">
        <v>4749</v>
      </c>
      <c r="F580" s="51">
        <v>46220</v>
      </c>
      <c r="G580" s="49">
        <v>42.2</v>
      </c>
      <c r="H580" s="49" t="s">
        <v>3865</v>
      </c>
      <c r="I580" s="51">
        <v>46220</v>
      </c>
      <c r="J580" s="54">
        <f>INT(Cobros[[#This Row],[Fecha Cargo]])</f>
        <v>46220</v>
      </c>
      <c r="K580" s="54">
        <f>INT(Cobros[[#This Row],[Fecha Aplicacion]])</f>
        <v>46220</v>
      </c>
      <c r="L580" s="55">
        <f>INDEX(Clientes[Días Plazo],MATCH(Cobros[[#This Row],[Cod. Cliente]],Clientes[Codigo],0),1)</f>
        <v>0</v>
      </c>
      <c r="M580" s="45" t="str">
        <f>IF(Cobros[[#This Row],[Dias de Credito]]&lt;=0,"Contado","Credito")</f>
        <v>Contado</v>
      </c>
      <c r="N580" s="45">
        <f>Cobros[[#This Row],[Fecha Aplicación S]]-Cobros[[#This Row],[Fecha Cargo S]]</f>
        <v>0</v>
      </c>
      <c r="O580" s="45">
        <f>Cobros[[#This Row],[Dias al pago]]-Cobros[[#This Row],[Dias de Credito]]</f>
        <v>0</v>
      </c>
      <c r="P580" s="45">
        <f>SUMIFS(TablaDias[Porcentaje],TablaDias[Tipo],Cobros[[#This Row],[Tipo]],TablaDias[Desde ],"&lt;="&amp;MAX(0,Cobros[[#This Row],[Dias pasado]]),TablaDias[Hasta ],"&gt;="&amp;Cobros[[#This Row],[Dias pasado]])</f>
        <v>100</v>
      </c>
      <c r="Q58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0">
        <f>IF(COUNTIF(PAPEL[Numero],Cobros[[#This Row],[Doc. Cargo]])&gt;0,1,0)</f>
        <v>0</v>
      </c>
      <c r="S580" s="46">
        <v>1</v>
      </c>
      <c r="T580" s="46">
        <f t="array" ref="T580">INDEX(Ventas[[Unidades]:[2]],MATCH("Gerente de Venta",Ventas[Vendedor %],0),6+Cobros[[#This Row],[Mes]])</f>
        <v>0.005</v>
      </c>
      <c r="U580" s="34">
        <f>IF(Cobros[[#This Row],[Tipo]]="Credito",IF(60&gt;=Cobros[[#This Row],[Dias al pago]],1,0),IF(Cobros[[#This Row],[Dias al pago]]&lt;=3,1,0))</f>
        <v>1</v>
      </c>
      <c r="V580" s="46">
        <f>(Cobros[[#This Row],[% A pagar Vendedor]]/100)*Cobros[[#This Row],[Valor Pagado]]*Cobros[[#This Row],[Vencido]]*(Cobros[[#This Row],[% aplicar]]/100)*IF(Cobros[[#This Row],[% A pagar Vendedor]]&gt;0,1,0)</f>
        <v>0.422</v>
      </c>
      <c r="W580" s="46">
        <f>0.5%*Cobros[[#This Row],[Valor Pagado]]</f>
        <v>0.211</v>
      </c>
    </row>
    <row r="581" spans="1:23">
      <c r="A581" s="49" t="s">
        <v>3860</v>
      </c>
      <c r="B581" s="49" t="s">
        <v>4750</v>
      </c>
      <c r="C581" s="49" t="s">
        <v>2712</v>
      </c>
      <c r="D581" s="49" t="s">
        <v>2713</v>
      </c>
      <c r="E581" s="49" t="s">
        <v>4751</v>
      </c>
      <c r="F581" s="51">
        <v>46220</v>
      </c>
      <c r="G581" s="49">
        <v>306.25</v>
      </c>
      <c r="H581" s="49" t="s">
        <v>16</v>
      </c>
      <c r="I581" s="51">
        <v>46220</v>
      </c>
      <c r="J581" s="54">
        <f>INT(Cobros[[#This Row],[Fecha Cargo]])</f>
        <v>46220</v>
      </c>
      <c r="K581" s="54">
        <f>INT(Cobros[[#This Row],[Fecha Aplicacion]])</f>
        <v>46220</v>
      </c>
      <c r="L581" s="55">
        <f>INDEX(Clientes[Días Plazo],MATCH(Cobros[[#This Row],[Cod. Cliente]],Clientes[Codigo],0),1)</f>
        <v>0</v>
      </c>
      <c r="M581" s="45" t="str">
        <f>IF(Cobros[[#This Row],[Dias de Credito]]&lt;=0,"Contado","Credito")</f>
        <v>Contado</v>
      </c>
      <c r="N581" s="45">
        <f>Cobros[[#This Row],[Fecha Aplicación S]]-Cobros[[#This Row],[Fecha Cargo S]]</f>
        <v>0</v>
      </c>
      <c r="O581" s="45">
        <f>Cobros[[#This Row],[Dias al pago]]-Cobros[[#This Row],[Dias de Credito]]</f>
        <v>0</v>
      </c>
      <c r="P581" s="45">
        <f>SUMIFS(TablaDias[Porcentaje],TablaDias[Tipo],Cobros[[#This Row],[Tipo]],TablaDias[Desde ],"&lt;="&amp;MAX(0,Cobros[[#This Row],[Dias pasado]]),TablaDias[Hasta ],"&gt;="&amp;Cobros[[#This Row],[Dias pasado]])</f>
        <v>100</v>
      </c>
      <c r="Q58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1">
        <f>IF(COUNTIF(PAPEL[Numero],Cobros[[#This Row],[Doc. Cargo]])&gt;0,1,0)</f>
        <v>0</v>
      </c>
      <c r="S581" s="46">
        <f t="array" ref="S5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1" s="47">
        <v>0.005</v>
      </c>
      <c r="U581" s="34">
        <f>IF(Cobros[[#This Row],[Tipo]]="Credito",IF(60&gt;=Cobros[[#This Row],[Dias al pago]],1,0),IF(Cobros[[#This Row],[Dias al pago]]&lt;=3,1,0))</f>
        <v>1</v>
      </c>
      <c r="V581" s="46">
        <f>(Cobros[[#This Row],[% A pagar Vendedor]]/100)*Cobros[[#This Row],[Valor Pagado]]*Cobros[[#This Row],[Vencido]]*(Cobros[[#This Row],[% aplicar]]/100)*IF(Cobros[[#This Row],[% A pagar Vendedor]]&gt;0,1,0)</f>
        <v>3.828125</v>
      </c>
      <c r="W581" s="46">
        <f>0.5%*Cobros[[#This Row],[Valor Pagado]]</f>
        <v>1.53125</v>
      </c>
    </row>
    <row r="582" spans="1:23">
      <c r="A582" s="49" t="s">
        <v>3860</v>
      </c>
      <c r="B582" s="49" t="s">
        <v>4752</v>
      </c>
      <c r="C582" s="49" t="s">
        <v>3120</v>
      </c>
      <c r="D582" s="49" t="s">
        <v>3121</v>
      </c>
      <c r="E582" s="49" t="s">
        <v>4753</v>
      </c>
      <c r="F582" s="51">
        <v>46220</v>
      </c>
      <c r="G582" s="49">
        <v>29.5</v>
      </c>
      <c r="H582" s="49" t="s">
        <v>20</v>
      </c>
      <c r="I582" s="51">
        <v>46220</v>
      </c>
      <c r="J582" s="54">
        <f>INT(Cobros[[#This Row],[Fecha Cargo]])</f>
        <v>46220</v>
      </c>
      <c r="K582" s="54">
        <f>INT(Cobros[[#This Row],[Fecha Aplicacion]])</f>
        <v>46220</v>
      </c>
      <c r="L582" s="55">
        <f>INDEX(Clientes[Días Plazo],MATCH(Cobros[[#This Row],[Cod. Cliente]],Clientes[Codigo],0),1)</f>
        <v>0</v>
      </c>
      <c r="M582" s="45" t="str">
        <f>IF(Cobros[[#This Row],[Dias de Credito]]&lt;=0,"Contado","Credito")</f>
        <v>Contado</v>
      </c>
      <c r="N582" s="45">
        <f>Cobros[[#This Row],[Fecha Aplicación S]]-Cobros[[#This Row],[Fecha Cargo S]]</f>
        <v>0</v>
      </c>
      <c r="O582" s="45">
        <f>Cobros[[#This Row],[Dias al pago]]-Cobros[[#This Row],[Dias de Credito]]</f>
        <v>0</v>
      </c>
      <c r="P582" s="45">
        <f>SUMIFS(TablaDias[Porcentaje],TablaDias[Tipo],Cobros[[#This Row],[Tipo]],TablaDias[Desde ],"&lt;="&amp;MAX(0,Cobros[[#This Row],[Dias pasado]]),TablaDias[Hasta ],"&gt;="&amp;Cobros[[#This Row],[Dias pasado]])</f>
        <v>100</v>
      </c>
      <c r="Q58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2">
        <f>IF(COUNTIF(PAPEL[Numero],Cobros[[#This Row],[Doc. Cargo]])&gt;0,1,0)</f>
        <v>0</v>
      </c>
      <c r="S582" s="46">
        <f t="array" ref="S5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2" s="46">
        <f t="array" ref="T582">INDEX(Ventas[[Unidades]:[2]],MATCH("Gerente de Venta",Ventas[Vendedor %],0),6+Cobros[[#This Row],[Mes]])</f>
        <v>0.005</v>
      </c>
      <c r="U582" s="34">
        <f>IF(Cobros[[#This Row],[Tipo]]="Credito",IF(60&gt;=Cobros[[#This Row],[Dias al pago]],1,0),IF(Cobros[[#This Row],[Dias al pago]]&lt;=3,1,0))</f>
        <v>1</v>
      </c>
      <c r="V582" s="46">
        <f>(Cobros[[#This Row],[% A pagar Vendedor]]/100)*Cobros[[#This Row],[Valor Pagado]]*Cobros[[#This Row],[Vencido]]*(Cobros[[#This Row],[% aplicar]]/100)*IF(Cobros[[#This Row],[% A pagar Vendedor]]&gt;0,1,0)</f>
        <v>0.36875</v>
      </c>
      <c r="W582" s="46">
        <f>0.5%*Cobros[[#This Row],[Valor Pagado]]</f>
        <v>0.1475</v>
      </c>
    </row>
    <row r="583" spans="1:23">
      <c r="A583" s="49" t="s">
        <v>3904</v>
      </c>
      <c r="B583" s="49" t="s">
        <v>4754</v>
      </c>
      <c r="C583" s="49" t="s">
        <v>3550</v>
      </c>
      <c r="D583" s="49" t="s">
        <v>3551</v>
      </c>
      <c r="E583" s="49" t="s">
        <v>4755</v>
      </c>
      <c r="F583" s="51">
        <v>46220</v>
      </c>
      <c r="G583" s="49">
        <v>172</v>
      </c>
      <c r="H583" s="49" t="s">
        <v>20</v>
      </c>
      <c r="I583" s="51">
        <v>46220</v>
      </c>
      <c r="J583" s="54">
        <f>INT(Cobros[[#This Row],[Fecha Cargo]])</f>
        <v>46220</v>
      </c>
      <c r="K583" s="54">
        <f>INT(Cobros[[#This Row],[Fecha Aplicacion]])</f>
        <v>46220</v>
      </c>
      <c r="L583" s="55">
        <f>INDEX(Clientes[Días Plazo],MATCH(Cobros[[#This Row],[Cod. Cliente]],Clientes[Codigo],0),1)</f>
        <v>0</v>
      </c>
      <c r="M583" s="45" t="str">
        <f>IF(Cobros[[#This Row],[Dias de Credito]]&lt;=0,"Contado","Credito")</f>
        <v>Contado</v>
      </c>
      <c r="N583" s="45">
        <f>Cobros[[#This Row],[Fecha Aplicación S]]-Cobros[[#This Row],[Fecha Cargo S]]</f>
        <v>0</v>
      </c>
      <c r="O583" s="45">
        <f>Cobros[[#This Row],[Dias al pago]]-Cobros[[#This Row],[Dias de Credito]]</f>
        <v>0</v>
      </c>
      <c r="P583" s="45">
        <f>SUMIFS(TablaDias[Porcentaje],TablaDias[Tipo],Cobros[[#This Row],[Tipo]],TablaDias[Desde ],"&lt;="&amp;MAX(0,Cobros[[#This Row],[Dias pasado]]),TablaDias[Hasta ],"&gt;="&amp;Cobros[[#This Row],[Dias pasado]])</f>
        <v>100</v>
      </c>
      <c r="Q58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3">
        <f>IF(COUNTIF(PAPEL[Numero],Cobros[[#This Row],[Doc. Cargo]])&gt;0,1,0)</f>
        <v>0</v>
      </c>
      <c r="S583" s="46">
        <f t="array" ref="S5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3" s="46">
        <f t="array" ref="T583">INDEX(Ventas[[Unidades]:[2]],MATCH("Gerente de Venta",Ventas[Vendedor %],0),6+Cobros[[#This Row],[Mes]])</f>
        <v>0.005</v>
      </c>
      <c r="U583" s="34">
        <f>IF(Cobros[[#This Row],[Tipo]]="Credito",IF(60&gt;=Cobros[[#This Row],[Dias al pago]],1,0),IF(Cobros[[#This Row],[Dias al pago]]&lt;=3,1,0))</f>
        <v>1</v>
      </c>
      <c r="V583" s="46">
        <f>(Cobros[[#This Row],[% A pagar Vendedor]]/100)*Cobros[[#This Row],[Valor Pagado]]*Cobros[[#This Row],[Vencido]]*(Cobros[[#This Row],[% aplicar]]/100)*IF(Cobros[[#This Row],[% A pagar Vendedor]]&gt;0,1,0)</f>
        <v>2.15</v>
      </c>
      <c r="W583" s="46">
        <f>0.5%*Cobros[[#This Row],[Valor Pagado]]</f>
        <v>0.86</v>
      </c>
    </row>
    <row r="584" spans="1:23">
      <c r="A584" s="49" t="s">
        <v>3860</v>
      </c>
      <c r="B584" s="49" t="s">
        <v>4756</v>
      </c>
      <c r="C584" s="49" t="s">
        <v>2373</v>
      </c>
      <c r="D584" s="49" t="s">
        <v>2374</v>
      </c>
      <c r="E584" s="49" t="s">
        <v>4757</v>
      </c>
      <c r="F584" s="51">
        <v>46205</v>
      </c>
      <c r="G584" s="49">
        <v>217</v>
      </c>
      <c r="H584" s="49" t="s">
        <v>19</v>
      </c>
      <c r="I584" s="51">
        <v>46220</v>
      </c>
      <c r="J584" s="54">
        <f>INT(Cobros[[#This Row],[Fecha Cargo]])</f>
        <v>46205</v>
      </c>
      <c r="K584" s="54">
        <f>INT(Cobros[[#This Row],[Fecha Aplicacion]])</f>
        <v>46220</v>
      </c>
      <c r="L584" s="55">
        <f>INDEX(Clientes[Días Plazo],MATCH(Cobros[[#This Row],[Cod. Cliente]],Clientes[Codigo],0),1)</f>
        <v>0</v>
      </c>
      <c r="M584" s="45" t="str">
        <f>IF(Cobros[[#This Row],[Dias de Credito]]&lt;=0,"Contado","Credito")</f>
        <v>Contado</v>
      </c>
      <c r="N584" s="45">
        <f>Cobros[[#This Row],[Fecha Aplicación S]]-Cobros[[#This Row],[Fecha Cargo S]]</f>
        <v>15</v>
      </c>
      <c r="O584" s="45">
        <f>Cobros[[#This Row],[Dias al pago]]-Cobros[[#This Row],[Dias de Credito]]</f>
        <v>15</v>
      </c>
      <c r="P584" s="45">
        <f>SUMIFS(TablaDias[Porcentaje],TablaDias[Tipo],Cobros[[#This Row],[Tipo]],TablaDias[Desde ],"&lt;="&amp;MAX(0,Cobros[[#This Row],[Dias pasado]]),TablaDias[Hasta ],"&gt;="&amp;Cobros[[#This Row],[Dias pasado]])</f>
        <v>0</v>
      </c>
      <c r="Q58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4">
        <f>IF(COUNTIF(PAPEL[Numero],Cobros[[#This Row],[Doc. Cargo]])&gt;0,1,0)</f>
        <v>0</v>
      </c>
      <c r="S584" s="46">
        <f t="array" ref="S5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4" s="46">
        <f t="array" ref="T584">INDEX(Ventas[[Unidades]:[2]],MATCH("Gerente de Venta",Ventas[Vendedor %],0),6+Cobros[[#This Row],[Mes]])</f>
        <v>0.005</v>
      </c>
      <c r="U584" s="34">
        <f>IF(Cobros[[#This Row],[Tipo]]="Credito",IF(60&gt;=Cobros[[#This Row],[Dias al pago]],1,0),IF(Cobros[[#This Row],[Dias al pago]]&lt;=3,1,0))</f>
        <v>0</v>
      </c>
      <c r="V584" s="46">
        <f>(Cobros[[#This Row],[% A pagar Vendedor]]/100)*Cobros[[#This Row],[Valor Pagado]]*Cobros[[#This Row],[Vencido]]*(Cobros[[#This Row],[% aplicar]]/100)*IF(Cobros[[#This Row],[% A pagar Vendedor]]&gt;0,1,0)</f>
        <v>0</v>
      </c>
      <c r="W584" s="46">
        <f>0.5%*Cobros[[#This Row],[Valor Pagado]]</f>
        <v>1.085</v>
      </c>
    </row>
    <row r="585" ht="30" spans="1:24">
      <c r="A585" s="49" t="s">
        <v>3875</v>
      </c>
      <c r="B585" s="49" t="s">
        <v>4758</v>
      </c>
      <c r="C585" s="49" t="s">
        <v>2628</v>
      </c>
      <c r="D585" s="49" t="s">
        <v>2629</v>
      </c>
      <c r="E585" s="49" t="s">
        <v>4759</v>
      </c>
      <c r="F585" s="51">
        <v>46220</v>
      </c>
      <c r="G585" s="49">
        <v>140</v>
      </c>
      <c r="H585" s="49" t="s">
        <v>3865</v>
      </c>
      <c r="I585" s="51">
        <v>46220</v>
      </c>
      <c r="J585" s="54">
        <f>INT(Cobros[[#This Row],[Fecha Cargo]])</f>
        <v>46220</v>
      </c>
      <c r="K585" s="54">
        <f>INT(Cobros[[#This Row],[Fecha Aplicacion]])</f>
        <v>46220</v>
      </c>
      <c r="L585" s="55" t="str">
        <f>INDEX(Clientes[Días Plazo],MATCH(Cobros[[#This Row],[Cod. Cliente]],Clientes[Codigo],0),1)</f>
        <v>7</v>
      </c>
      <c r="M585" s="45" t="str">
        <f>IF(Cobros[[#This Row],[Dias de Credito]]&lt;=0,"Contado","Credito")</f>
        <v>Credito</v>
      </c>
      <c r="N585" s="45">
        <f>Cobros[[#This Row],[Fecha Aplicación S]]-Cobros[[#This Row],[Fecha Cargo S]]</f>
        <v>0</v>
      </c>
      <c r="O585" s="45">
        <f>Cobros[[#This Row],[Dias al pago]]-Cobros[[#This Row],[Dias de Credito]]</f>
        <v>-7</v>
      </c>
      <c r="P585" s="45">
        <f>SUMIFS(TablaDias[Porcentaje],TablaDias[Tipo],Cobros[[#This Row],[Tipo]],TablaDias[Desde ],"&lt;="&amp;MAX(0,Cobros[[#This Row],[Dias pasado]]),TablaDias[Hasta ],"&gt;="&amp;Cobros[[#This Row],[Dias pasado]])</f>
        <v>100</v>
      </c>
      <c r="Q58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5">
        <f>IF(COUNTIF(PAPEL[Numero],Cobros[[#This Row],[Doc. Cargo]])&gt;0,1,0)</f>
        <v>0</v>
      </c>
      <c r="S585" s="46">
        <v>1</v>
      </c>
      <c r="T585" s="46">
        <f t="array" ref="T585">INDEX(Ventas[[Unidades]:[2]],MATCH("Gerente de Venta",Ventas[Vendedor %],0),6+Cobros[[#This Row],[Mes]])</f>
        <v>0.005</v>
      </c>
      <c r="U585" s="34">
        <f>IF(Cobros[[#This Row],[Tipo]]="Credito",IF(60&gt;=Cobros[[#This Row],[Dias al pago]],1,0),IF(Cobros[[#This Row],[Dias al pago]]&lt;=3,1,0))</f>
        <v>1</v>
      </c>
      <c r="V585" s="46">
        <f>(Cobros[[#This Row],[% A pagar Vendedor]]/100)*Cobros[[#This Row],[Valor Pagado]]*Cobros[[#This Row],[Vencido]]*(Cobros[[#This Row],[% aplicar]]/100)*IF(Cobros[[#This Row],[% A pagar Vendedor]]&gt;0,1,0)</f>
        <v>1.4</v>
      </c>
      <c r="W585" s="46">
        <f>0.5%*Cobros[[#This Row],[Valor Pagado]]</f>
        <v>0.7</v>
      </c>
      <c r="X585" s="60"/>
    </row>
    <row r="586" spans="1:23">
      <c r="A586" s="49" t="s">
        <v>3884</v>
      </c>
      <c r="B586" s="49" t="s">
        <v>4760</v>
      </c>
      <c r="C586" s="49" t="s">
        <v>1875</v>
      </c>
      <c r="D586" s="49" t="s">
        <v>1876</v>
      </c>
      <c r="E586" s="49" t="s">
        <v>4761</v>
      </c>
      <c r="F586" s="51">
        <v>46220</v>
      </c>
      <c r="G586" s="49">
        <v>1247.85</v>
      </c>
      <c r="H586" s="49" t="s">
        <v>16</v>
      </c>
      <c r="I586" s="51">
        <v>46220</v>
      </c>
      <c r="J586" s="54">
        <f>INT(Cobros[[#This Row],[Fecha Cargo]])</f>
        <v>46220</v>
      </c>
      <c r="K586" s="54">
        <f>INT(Cobros[[#This Row],[Fecha Aplicacion]])</f>
        <v>46220</v>
      </c>
      <c r="L586" s="55">
        <f>INDEX(Clientes[Días Plazo],MATCH(Cobros[[#This Row],[Cod. Cliente]],Clientes[Codigo],0),1)</f>
        <v>0</v>
      </c>
      <c r="M586" s="45" t="str">
        <f>IF(Cobros[[#This Row],[Dias de Credito]]&lt;=0,"Contado","Credito")</f>
        <v>Contado</v>
      </c>
      <c r="N586" s="45">
        <f>Cobros[[#This Row],[Fecha Aplicación S]]-Cobros[[#This Row],[Fecha Cargo S]]</f>
        <v>0</v>
      </c>
      <c r="O586" s="45">
        <f>Cobros[[#This Row],[Dias al pago]]-Cobros[[#This Row],[Dias de Credito]]</f>
        <v>0</v>
      </c>
      <c r="P586" s="45">
        <f>SUMIFS(TablaDias[Porcentaje],TablaDias[Tipo],Cobros[[#This Row],[Tipo]],TablaDias[Desde ],"&lt;="&amp;MAX(0,Cobros[[#This Row],[Dias pasado]]),TablaDias[Hasta ],"&gt;="&amp;Cobros[[#This Row],[Dias pasado]])</f>
        <v>100</v>
      </c>
      <c r="Q58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6">
        <f>IF(COUNTIF(PAPEL[Numero],Cobros[[#This Row],[Doc. Cargo]])&gt;0,1,0)</f>
        <v>0</v>
      </c>
      <c r="S586" s="46">
        <f t="array" ref="S5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6" s="47">
        <v>0.005</v>
      </c>
      <c r="U586" s="34">
        <f>IF(Cobros[[#This Row],[Tipo]]="Credito",IF(60&gt;=Cobros[[#This Row],[Dias al pago]],1,0),IF(Cobros[[#This Row],[Dias al pago]]&lt;=3,1,0))</f>
        <v>1</v>
      </c>
      <c r="V586" s="46">
        <f>(Cobros[[#This Row],[% A pagar Vendedor]]/100)*Cobros[[#This Row],[Valor Pagado]]*Cobros[[#This Row],[Vencido]]*(Cobros[[#This Row],[% aplicar]]/100)*IF(Cobros[[#This Row],[% A pagar Vendedor]]&gt;0,1,0)</f>
        <v>15.598125</v>
      </c>
      <c r="W586" s="46">
        <f>0.5%*Cobros[[#This Row],[Valor Pagado]]</f>
        <v>6.23925</v>
      </c>
    </row>
    <row r="587" spans="1:23">
      <c r="A587" s="49" t="s">
        <v>3904</v>
      </c>
      <c r="B587" s="49" t="s">
        <v>4762</v>
      </c>
      <c r="C587" s="49" t="s">
        <v>2675</v>
      </c>
      <c r="D587" s="49" t="s">
        <v>2676</v>
      </c>
      <c r="E587" s="49" t="s">
        <v>4763</v>
      </c>
      <c r="F587" s="51">
        <v>46220</v>
      </c>
      <c r="G587" s="49">
        <v>694.02</v>
      </c>
      <c r="H587" s="49" t="s">
        <v>20</v>
      </c>
      <c r="I587" s="51">
        <v>46220</v>
      </c>
      <c r="J587" s="54">
        <f>INT(Cobros[[#This Row],[Fecha Cargo]])</f>
        <v>46220</v>
      </c>
      <c r="K587" s="54">
        <f>INT(Cobros[[#This Row],[Fecha Aplicacion]])</f>
        <v>46220</v>
      </c>
      <c r="L587" s="55">
        <f>INDEX(Clientes[Días Plazo],MATCH(Cobros[[#This Row],[Cod. Cliente]],Clientes[Codigo],0),1)</f>
        <v>0</v>
      </c>
      <c r="M587" s="45" t="str">
        <f>IF(Cobros[[#This Row],[Dias de Credito]]&lt;=0,"Contado","Credito")</f>
        <v>Contado</v>
      </c>
      <c r="N587" s="45">
        <f>Cobros[[#This Row],[Fecha Aplicación S]]-Cobros[[#This Row],[Fecha Cargo S]]</f>
        <v>0</v>
      </c>
      <c r="O587" s="45">
        <f>Cobros[[#This Row],[Dias al pago]]-Cobros[[#This Row],[Dias de Credito]]</f>
        <v>0</v>
      </c>
      <c r="P587" s="45">
        <f>SUMIFS(TablaDias[Porcentaje],TablaDias[Tipo],Cobros[[#This Row],[Tipo]],TablaDias[Desde ],"&lt;="&amp;MAX(0,Cobros[[#This Row],[Dias pasado]]),TablaDias[Hasta ],"&gt;="&amp;Cobros[[#This Row],[Dias pasado]])</f>
        <v>100</v>
      </c>
      <c r="Q58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7">
        <f>IF(COUNTIF(PAPEL[Numero],Cobros[[#This Row],[Doc. Cargo]])&gt;0,1,0)</f>
        <v>0</v>
      </c>
      <c r="S587" s="46">
        <f t="array" ref="S5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87" s="46">
        <f t="array" ref="T587">INDEX(Ventas[[Unidades]:[2]],MATCH("Gerente de Venta",Ventas[Vendedor %],0),6+Cobros[[#This Row],[Mes]])</f>
        <v>0.005</v>
      </c>
      <c r="U587" s="34">
        <f>IF(Cobros[[#This Row],[Tipo]]="Credito",IF(60&gt;=Cobros[[#This Row],[Dias al pago]],1,0),IF(Cobros[[#This Row],[Dias al pago]]&lt;=3,1,0))</f>
        <v>1</v>
      </c>
      <c r="V587" s="46">
        <f>(Cobros[[#This Row],[% A pagar Vendedor]]/100)*Cobros[[#This Row],[Valor Pagado]]*Cobros[[#This Row],[Vencido]]*(Cobros[[#This Row],[% aplicar]]/100)*IF(Cobros[[#This Row],[% A pagar Vendedor]]&gt;0,1,0)</f>
        <v>8.67525</v>
      </c>
      <c r="W587" s="46">
        <f>0.5%*Cobros[[#This Row],[Valor Pagado]]</f>
        <v>3.4701</v>
      </c>
    </row>
    <row r="588" spans="1:23">
      <c r="A588" s="49" t="s">
        <v>3904</v>
      </c>
      <c r="B588" s="49" t="s">
        <v>4764</v>
      </c>
      <c r="C588" s="49" t="s">
        <v>2798</v>
      </c>
      <c r="D588" s="49" t="s">
        <v>2799</v>
      </c>
      <c r="E588" s="49" t="s">
        <v>4765</v>
      </c>
      <c r="F588" s="51">
        <v>46183</v>
      </c>
      <c r="G588" s="49">
        <v>210.96</v>
      </c>
      <c r="H588" s="49" t="s">
        <v>16</v>
      </c>
      <c r="I588" s="51">
        <v>46220</v>
      </c>
      <c r="J588" s="54">
        <f>INT(Cobros[[#This Row],[Fecha Cargo]])</f>
        <v>46183</v>
      </c>
      <c r="K588" s="54">
        <f>INT(Cobros[[#This Row],[Fecha Aplicacion]])</f>
        <v>46220</v>
      </c>
      <c r="L588" s="55" t="str">
        <f>INDEX(Clientes[Días Plazo],MATCH(Cobros[[#This Row],[Cod. Cliente]],Clientes[Codigo],0),1)</f>
        <v>7</v>
      </c>
      <c r="M588" s="45" t="str">
        <f>IF(Cobros[[#This Row],[Dias de Credito]]&lt;=0,"Contado","Credito")</f>
        <v>Credito</v>
      </c>
      <c r="N588" s="45">
        <f>Cobros[[#This Row],[Fecha Aplicación S]]-Cobros[[#This Row],[Fecha Cargo S]]</f>
        <v>37</v>
      </c>
      <c r="O588" s="45">
        <f>Cobros[[#This Row],[Dias al pago]]-Cobros[[#This Row],[Dias de Credito]]</f>
        <v>30</v>
      </c>
      <c r="P588" s="45">
        <f>SUMIFS(TablaDias[Porcentaje],TablaDias[Tipo],Cobros[[#This Row],[Tipo]],TablaDias[Desde ],"&lt;="&amp;MAX(0,Cobros[[#This Row],[Dias pasado]]),TablaDias[Hasta ],"&gt;="&amp;Cobros[[#This Row],[Dias pasado]])</f>
        <v>50</v>
      </c>
      <c r="Q58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588">
        <f>IF(COUNTIF(PAPEL[Numero],Cobros[[#This Row],[Doc. Cargo]])&gt;0,1,0)</f>
        <v>0</v>
      </c>
      <c r="S588" s="46">
        <f t="array" ref="S5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88" s="47">
        <v>0.005</v>
      </c>
      <c r="U588" s="34">
        <f>IF(Cobros[[#This Row],[Tipo]]="Credito",IF(60&gt;=Cobros[[#This Row],[Dias al pago]],1,0),IF(Cobros[[#This Row],[Dias al pago]]&lt;=3,1,0))</f>
        <v>1</v>
      </c>
      <c r="V588" s="46">
        <f>(Cobros[[#This Row],[% A pagar Vendedor]]/100)*Cobros[[#This Row],[Valor Pagado]]*Cobros[[#This Row],[Vencido]]*(Cobros[[#This Row],[% aplicar]]/100)*IF(Cobros[[#This Row],[% A pagar Vendedor]]&gt;0,1,0)</f>
        <v>1.0548</v>
      </c>
      <c r="W588" s="46">
        <f>0.5%*Cobros[[#This Row],[Valor Pagado]]</f>
        <v>1.0548</v>
      </c>
    </row>
    <row r="589" ht="30" spans="1:24">
      <c r="A589" s="49" t="s">
        <v>3875</v>
      </c>
      <c r="B589" s="49" t="s">
        <v>4766</v>
      </c>
      <c r="C589" s="49" t="s">
        <v>3727</v>
      </c>
      <c r="D589" s="49" t="s">
        <v>3728</v>
      </c>
      <c r="E589" s="49" t="s">
        <v>4655</v>
      </c>
      <c r="F589" s="51">
        <v>46218</v>
      </c>
      <c r="G589" s="49">
        <v>0.17</v>
      </c>
      <c r="H589" s="49" t="s">
        <v>22</v>
      </c>
      <c r="I589" s="51">
        <v>46220</v>
      </c>
      <c r="J589" s="54">
        <f>INT(Cobros[[#This Row],[Fecha Cargo]])</f>
        <v>46218</v>
      </c>
      <c r="K589" s="54">
        <f>INT(Cobros[[#This Row],[Fecha Aplicacion]])</f>
        <v>46220</v>
      </c>
      <c r="L589" s="55">
        <f>INDEX(Clientes[Días Plazo],MATCH(Cobros[[#This Row],[Cod. Cliente]],Clientes[Codigo],0),1)</f>
        <v>0</v>
      </c>
      <c r="M589" s="45" t="str">
        <f>IF(Cobros[[#This Row],[Dias de Credito]]&lt;=0,"Contado","Credito")</f>
        <v>Contado</v>
      </c>
      <c r="N589" s="45">
        <f>Cobros[[#This Row],[Fecha Aplicación S]]-Cobros[[#This Row],[Fecha Cargo S]]</f>
        <v>2</v>
      </c>
      <c r="O589" s="45">
        <f>Cobros[[#This Row],[Dias al pago]]-Cobros[[#This Row],[Dias de Credito]]</f>
        <v>2</v>
      </c>
      <c r="P589" s="45">
        <f>SUMIFS(TablaDias[Porcentaje],TablaDias[Tipo],Cobros[[#This Row],[Tipo]],TablaDias[Desde ],"&lt;="&amp;MAX(0,Cobros[[#This Row],[Dias pasado]]),TablaDias[Hasta ],"&gt;="&amp;Cobros[[#This Row],[Dias pasado]])</f>
        <v>100</v>
      </c>
      <c r="Q58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89">
        <f>IF(COUNTIF(PAPEL[Numero],Cobros[[#This Row],[Doc. Cargo]])&gt;0,1,0)</f>
        <v>0</v>
      </c>
      <c r="S589" s="46">
        <f t="array" ref="S5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89" s="46">
        <f t="array" ref="T589">INDEX(Ventas[[Unidades]:[2]],MATCH("Gerente de Venta",Ventas[Vendedor %],0),6+Cobros[[#This Row],[Mes]])</f>
        <v>0.005</v>
      </c>
      <c r="U589" s="34">
        <f>IF(Cobros[[#This Row],[Tipo]]="Credito",IF(60&gt;=Cobros[[#This Row],[Dias al pago]],1,0),IF(Cobros[[#This Row],[Dias al pago]]&lt;=3,1,0))</f>
        <v>1</v>
      </c>
      <c r="V589" s="46">
        <f>(Cobros[[#This Row],[% A pagar Vendedor]]/100)*Cobros[[#This Row],[Valor Pagado]]*Cobros[[#This Row],[Vencido]]*(Cobros[[#This Row],[% aplicar]]/100)*IF(Cobros[[#This Row],[% A pagar Vendedor]]&gt;0,1,0)</f>
        <v>0.0017</v>
      </c>
      <c r="W589" s="46">
        <f>0.5%*Cobros[[#This Row],[Valor Pagado]]</f>
        <v>0.00085</v>
      </c>
      <c r="X589" s="34"/>
    </row>
    <row r="590" ht="30" spans="1:24">
      <c r="A590" s="49" t="s">
        <v>3875</v>
      </c>
      <c r="B590" s="49" t="s">
        <v>4766</v>
      </c>
      <c r="C590" s="49" t="s">
        <v>3727</v>
      </c>
      <c r="D590" s="49" t="s">
        <v>3728</v>
      </c>
      <c r="E590" s="49" t="s">
        <v>4767</v>
      </c>
      <c r="F590" s="51">
        <v>46220</v>
      </c>
      <c r="G590" s="49">
        <v>46.25</v>
      </c>
      <c r="H590" s="49" t="s">
        <v>22</v>
      </c>
      <c r="I590" s="51">
        <v>46220</v>
      </c>
      <c r="J590" s="54">
        <f>INT(Cobros[[#This Row],[Fecha Cargo]])</f>
        <v>46220</v>
      </c>
      <c r="K590" s="54">
        <f>INT(Cobros[[#This Row],[Fecha Aplicacion]])</f>
        <v>46220</v>
      </c>
      <c r="L590" s="55">
        <f>INDEX(Clientes[Días Plazo],MATCH(Cobros[[#This Row],[Cod. Cliente]],Clientes[Codigo],0),1)</f>
        <v>0</v>
      </c>
      <c r="M590" s="45" t="str">
        <f>IF(Cobros[[#This Row],[Dias de Credito]]&lt;=0,"Contado","Credito")</f>
        <v>Contado</v>
      </c>
      <c r="N590" s="45">
        <f>Cobros[[#This Row],[Fecha Aplicación S]]-Cobros[[#This Row],[Fecha Cargo S]]</f>
        <v>0</v>
      </c>
      <c r="O590" s="45">
        <f>Cobros[[#This Row],[Dias al pago]]-Cobros[[#This Row],[Dias de Credito]]</f>
        <v>0</v>
      </c>
      <c r="P590" s="45">
        <f>SUMIFS(TablaDias[Porcentaje],TablaDias[Tipo],Cobros[[#This Row],[Tipo]],TablaDias[Desde ],"&lt;="&amp;MAX(0,Cobros[[#This Row],[Dias pasado]]),TablaDias[Hasta ],"&gt;="&amp;Cobros[[#This Row],[Dias pasado]])</f>
        <v>100</v>
      </c>
      <c r="Q59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0">
        <f>IF(COUNTIF(PAPEL[Numero],Cobros[[#This Row],[Doc. Cargo]])&gt;0,1,0)</f>
        <v>0</v>
      </c>
      <c r="S590" s="46">
        <f t="array" ref="S5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90" s="46">
        <f t="array" ref="T590">INDEX(Ventas[[Unidades]:[2]],MATCH("Gerente de Venta",Ventas[Vendedor %],0),6+Cobros[[#This Row],[Mes]])</f>
        <v>0.005</v>
      </c>
      <c r="U590" s="34">
        <f>IF(Cobros[[#This Row],[Tipo]]="Credito",IF(60&gt;=Cobros[[#This Row],[Dias al pago]],1,0),IF(Cobros[[#This Row],[Dias al pago]]&lt;=3,1,0))</f>
        <v>1</v>
      </c>
      <c r="V590" s="46">
        <f>(Cobros[[#This Row],[% A pagar Vendedor]]/100)*Cobros[[#This Row],[Valor Pagado]]*Cobros[[#This Row],[Vencido]]*(Cobros[[#This Row],[% aplicar]]/100)*IF(Cobros[[#This Row],[% A pagar Vendedor]]&gt;0,1,0)</f>
        <v>0.4625</v>
      </c>
      <c r="W590" s="46">
        <f>0.5%*Cobros[[#This Row],[Valor Pagado]]</f>
        <v>0.23125</v>
      </c>
      <c r="X590" s="34"/>
    </row>
    <row r="591" spans="1:24">
      <c r="A591" s="49" t="s">
        <v>3904</v>
      </c>
      <c r="B591" s="49" t="s">
        <v>4768</v>
      </c>
      <c r="C591" s="49" t="s">
        <v>2798</v>
      </c>
      <c r="D591" s="49" t="s">
        <v>2799</v>
      </c>
      <c r="E591" s="49" t="s">
        <v>4769</v>
      </c>
      <c r="F591" s="51">
        <v>46170</v>
      </c>
      <c r="G591" s="49">
        <v>142.8</v>
      </c>
      <c r="H591" s="49" t="s">
        <v>16</v>
      </c>
      <c r="I591" s="51">
        <v>46220</v>
      </c>
      <c r="J591" s="54">
        <f>INT(Cobros[[#This Row],[Fecha Cargo]])</f>
        <v>46170</v>
      </c>
      <c r="K591" s="54">
        <f>INT(Cobros[[#This Row],[Fecha Aplicacion]])</f>
        <v>46220</v>
      </c>
      <c r="L591" s="55" t="str">
        <f>INDEX(Clientes[Días Plazo],MATCH(Cobros[[#This Row],[Cod. Cliente]],Clientes[Codigo],0),1)</f>
        <v>7</v>
      </c>
      <c r="M591" s="45" t="str">
        <f>IF(Cobros[[#This Row],[Dias de Credito]]&lt;=0,"Contado","Credito")</f>
        <v>Credito</v>
      </c>
      <c r="N591" s="45">
        <f>Cobros[[#This Row],[Fecha Aplicación S]]-Cobros[[#This Row],[Fecha Cargo S]]</f>
        <v>50</v>
      </c>
      <c r="O591" s="45">
        <f>Cobros[[#This Row],[Dias al pago]]-Cobros[[#This Row],[Dias de Credito]]</f>
        <v>43</v>
      </c>
      <c r="P591" s="45">
        <f>SUMIFS(TablaDias[Porcentaje],TablaDias[Tipo],Cobros[[#This Row],[Tipo]],TablaDias[Desde ],"&lt;="&amp;MAX(0,Cobros[[#This Row],[Dias pasado]]),TablaDias[Hasta ],"&gt;="&amp;Cobros[[#This Row],[Dias pasado]])</f>
        <v>30</v>
      </c>
      <c r="Q59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591">
        <f>IF(COUNTIF(PAPEL[Numero],Cobros[[#This Row],[Doc. Cargo]])&gt;0,1,0)</f>
        <v>0</v>
      </c>
      <c r="S591" s="46">
        <f t="array" ref="S59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91" s="47">
        <v>0.005</v>
      </c>
      <c r="U591" s="34">
        <f>IF(Cobros[[#This Row],[Tipo]]="Credito",IF(60&gt;=Cobros[[#This Row],[Dias al pago]],1,0),IF(Cobros[[#This Row],[Dias al pago]]&lt;=3,1,0))</f>
        <v>1</v>
      </c>
      <c r="V591" s="46">
        <f>(Cobros[[#This Row],[% A pagar Vendedor]]/100)*Cobros[[#This Row],[Valor Pagado]]*Cobros[[#This Row],[Vencido]]*(Cobros[[#This Row],[% aplicar]]/100)*IF(Cobros[[#This Row],[% A pagar Vendedor]]&gt;0,1,0)</f>
        <v>0.4284</v>
      </c>
      <c r="W591" s="46">
        <f>0.5%*Cobros[[#This Row],[Valor Pagado]]</f>
        <v>0.714</v>
      </c>
      <c r="X591" s="34"/>
    </row>
    <row r="592" spans="1:24">
      <c r="A592" s="49" t="s">
        <v>3860</v>
      </c>
      <c r="B592" s="49" t="s">
        <v>4770</v>
      </c>
      <c r="C592" s="49" t="s">
        <v>255</v>
      </c>
      <c r="D592" s="49" t="s">
        <v>256</v>
      </c>
      <c r="E592" s="49" t="s">
        <v>4377</v>
      </c>
      <c r="F592" s="51">
        <v>46213</v>
      </c>
      <c r="G592" s="49">
        <v>100</v>
      </c>
      <c r="H592" s="49" t="s">
        <v>16</v>
      </c>
      <c r="I592" s="51">
        <v>46220</v>
      </c>
      <c r="J592" s="54">
        <f>INT(Cobros[[#This Row],[Fecha Cargo]])</f>
        <v>46213</v>
      </c>
      <c r="K592" s="54">
        <f>INT(Cobros[[#This Row],[Fecha Aplicacion]])</f>
        <v>46220</v>
      </c>
      <c r="L592" s="55" t="str">
        <f>INDEX(Clientes[Días Plazo],MATCH(Cobros[[#This Row],[Cod. Cliente]],Clientes[Codigo],0),1)</f>
        <v>15</v>
      </c>
      <c r="M592" s="45" t="str">
        <f>IF(Cobros[[#This Row],[Dias de Credito]]&lt;=0,"Contado","Credito")</f>
        <v>Credito</v>
      </c>
      <c r="N592" s="45">
        <f>Cobros[[#This Row],[Fecha Aplicación S]]-Cobros[[#This Row],[Fecha Cargo S]]</f>
        <v>7</v>
      </c>
      <c r="O592" s="45">
        <f>Cobros[[#This Row],[Dias al pago]]-Cobros[[#This Row],[Dias de Credito]]</f>
        <v>-8</v>
      </c>
      <c r="P592" s="45">
        <f>SUMIFS(TablaDias[Porcentaje],TablaDias[Tipo],Cobros[[#This Row],[Tipo]],TablaDias[Desde ],"&lt;="&amp;MAX(0,Cobros[[#This Row],[Dias pasado]]),TablaDias[Hasta ],"&gt;="&amp;Cobros[[#This Row],[Dias pasado]])</f>
        <v>100</v>
      </c>
      <c r="Q59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2">
        <f>IF(COUNTIF(PAPEL[Numero],Cobros[[#This Row],[Doc. Cargo]])&gt;0,1,0)</f>
        <v>0</v>
      </c>
      <c r="S592" s="46">
        <f t="array" ref="S5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92" s="47">
        <v>0.005</v>
      </c>
      <c r="U592" s="34">
        <f>IF(Cobros[[#This Row],[Tipo]]="Credito",IF(60&gt;=Cobros[[#This Row],[Dias al pago]],1,0),IF(Cobros[[#This Row],[Dias al pago]]&lt;=3,1,0))</f>
        <v>1</v>
      </c>
      <c r="V592" s="46">
        <f>(Cobros[[#This Row],[% A pagar Vendedor]]/100)*Cobros[[#This Row],[Valor Pagado]]*Cobros[[#This Row],[Vencido]]*(Cobros[[#This Row],[% aplicar]]/100)*IF(Cobros[[#This Row],[% A pagar Vendedor]]&gt;0,1,0)</f>
        <v>1.25</v>
      </c>
      <c r="W592" s="46">
        <f>0.5%*Cobros[[#This Row],[Valor Pagado]]</f>
        <v>0.5</v>
      </c>
      <c r="X592" s="34"/>
    </row>
    <row r="593" spans="1:24">
      <c r="A593" s="49" t="s">
        <v>3860</v>
      </c>
      <c r="B593" s="49" t="s">
        <v>4771</v>
      </c>
      <c r="C593" s="49" t="s">
        <v>3040</v>
      </c>
      <c r="D593" s="49" t="s">
        <v>3041</v>
      </c>
      <c r="E593" s="49" t="s">
        <v>4772</v>
      </c>
      <c r="F593" s="51">
        <v>46220</v>
      </c>
      <c r="G593" s="49">
        <v>60</v>
      </c>
      <c r="H593" s="49" t="s">
        <v>18</v>
      </c>
      <c r="I593" s="51">
        <v>46220</v>
      </c>
      <c r="J593" s="54">
        <f>INT(Cobros[[#This Row],[Fecha Cargo]])</f>
        <v>46220</v>
      </c>
      <c r="K593" s="54">
        <f>INT(Cobros[[#This Row],[Fecha Aplicacion]])</f>
        <v>46220</v>
      </c>
      <c r="L593" s="55">
        <f>INDEX(Clientes[Días Plazo],MATCH(Cobros[[#This Row],[Cod. Cliente]],Clientes[Codigo],0),1)</f>
        <v>0</v>
      </c>
      <c r="M593" s="45" t="str">
        <f>IF(Cobros[[#This Row],[Dias de Credito]]&lt;=0,"Contado","Credito")</f>
        <v>Contado</v>
      </c>
      <c r="N593" s="45">
        <f>Cobros[[#This Row],[Fecha Aplicación S]]-Cobros[[#This Row],[Fecha Cargo S]]</f>
        <v>0</v>
      </c>
      <c r="O593" s="45">
        <f>Cobros[[#This Row],[Dias al pago]]-Cobros[[#This Row],[Dias de Credito]]</f>
        <v>0</v>
      </c>
      <c r="P593" s="45">
        <f>SUMIFS(TablaDias[Porcentaje],TablaDias[Tipo],Cobros[[#This Row],[Tipo]],TablaDias[Desde ],"&lt;="&amp;MAX(0,Cobros[[#This Row],[Dias pasado]]),TablaDias[Hasta ],"&gt;="&amp;Cobros[[#This Row],[Dias pasado]])</f>
        <v>100</v>
      </c>
      <c r="Q59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3">
        <f>IF(COUNTIF(PAPEL[Numero],Cobros[[#This Row],[Doc. Cargo]])&gt;0,1,0)</f>
        <v>0</v>
      </c>
      <c r="S593" s="46">
        <f t="array" ref="S5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93" s="46">
        <f t="array" ref="T593">INDEX(Ventas[[Unidades]:[2]],MATCH("Gerente de Venta",Ventas[Vendedor %],0),6+Cobros[[#This Row],[Mes]])</f>
        <v>0.005</v>
      </c>
      <c r="U593" s="34">
        <f>IF(Cobros[[#This Row],[Tipo]]="Credito",IF(60&gt;=Cobros[[#This Row],[Dias al pago]],1,0),IF(Cobros[[#This Row],[Dias al pago]]&lt;=3,1,0))</f>
        <v>1</v>
      </c>
      <c r="V593" s="46">
        <f>(Cobros[[#This Row],[% A pagar Vendedor]]/100)*Cobros[[#This Row],[Valor Pagado]]*Cobros[[#This Row],[Vencido]]*(Cobros[[#This Row],[% aplicar]]/100)*IF(Cobros[[#This Row],[% A pagar Vendedor]]&gt;0,1,0)</f>
        <v>0.75</v>
      </c>
      <c r="W593" s="46">
        <f>0.5%*Cobros[[#This Row],[Valor Pagado]]</f>
        <v>0.3</v>
      </c>
      <c r="X593" s="34"/>
    </row>
    <row r="594" ht="30" spans="1:24">
      <c r="A594" s="49" t="s">
        <v>3954</v>
      </c>
      <c r="B594" s="49" t="s">
        <v>4773</v>
      </c>
      <c r="C594" s="49" t="s">
        <v>444</v>
      </c>
      <c r="D594" s="49" t="s">
        <v>445</v>
      </c>
      <c r="E594" s="49" t="s">
        <v>4774</v>
      </c>
      <c r="F594" s="51">
        <v>46219</v>
      </c>
      <c r="G594" s="49">
        <v>620.55</v>
      </c>
      <c r="H594" s="49" t="s">
        <v>3865</v>
      </c>
      <c r="I594" s="51">
        <v>46220</v>
      </c>
      <c r="J594" s="54">
        <f>INT(Cobros[[#This Row],[Fecha Cargo]])</f>
        <v>46219</v>
      </c>
      <c r="K594" s="54">
        <f>INT(Cobros[[#This Row],[Fecha Aplicacion]])</f>
        <v>46220</v>
      </c>
      <c r="L594" s="55">
        <f>INDEX(Clientes[Días Plazo],MATCH(Cobros[[#This Row],[Cod. Cliente]],Clientes[Codigo],0),1)</f>
        <v>0</v>
      </c>
      <c r="M594" s="45" t="str">
        <f>IF(Cobros[[#This Row],[Dias de Credito]]&lt;=0,"Contado","Credito")</f>
        <v>Contado</v>
      </c>
      <c r="N594" s="45">
        <v>0</v>
      </c>
      <c r="O594" s="45">
        <f>Cobros[[#This Row],[Dias al pago]]-Cobros[[#This Row],[Dias de Credito]]</f>
        <v>0</v>
      </c>
      <c r="P594" s="45">
        <f>SUMIFS(TablaDias[Porcentaje],TablaDias[Tipo],Cobros[[#This Row],[Tipo]],TablaDias[Desde ],"&lt;="&amp;MAX(0,Cobros[[#This Row],[Dias pasado]]),TablaDias[Hasta ],"&gt;="&amp;Cobros[[#This Row],[Dias pasado]])</f>
        <v>100</v>
      </c>
      <c r="Q59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4">
        <f>IF(COUNTIF(PAPEL[Numero],Cobros[[#This Row],[Doc. Cargo]])&gt;0,1,0)</f>
        <v>0</v>
      </c>
      <c r="S594" s="46">
        <v>1</v>
      </c>
      <c r="T594" s="46">
        <f t="array" ref="T594">INDEX(Ventas[[Unidades]:[2]],MATCH("Gerente de Venta",Ventas[Vendedor %],0),6+Cobros[[#This Row],[Mes]])</f>
        <v>0.005</v>
      </c>
      <c r="U594" s="34">
        <f>IF(Cobros[[#This Row],[Tipo]]="Credito",IF(60&gt;=Cobros[[#This Row],[Dias al pago]],1,0),IF(Cobros[[#This Row],[Dias al pago]]&lt;=3,1,0))</f>
        <v>1</v>
      </c>
      <c r="V594" s="46">
        <f>(Cobros[[#This Row],[% A pagar Vendedor]]/100)*Cobros[[#This Row],[Valor Pagado]]*Cobros[[#This Row],[Vencido]]*(Cobros[[#This Row],[% aplicar]]/100)*IF(Cobros[[#This Row],[% A pagar Vendedor]]&gt;0,1,0)</f>
        <v>6.2055</v>
      </c>
      <c r="W594" s="46">
        <f>0.5%*Cobros[[#This Row],[Valor Pagado]]</f>
        <v>3.10275</v>
      </c>
      <c r="X594" s="34"/>
    </row>
    <row r="595" spans="1:23">
      <c r="A595" s="49" t="s">
        <v>3860</v>
      </c>
      <c r="B595" s="49" t="s">
        <v>4775</v>
      </c>
      <c r="C595" s="49" t="s">
        <v>2576</v>
      </c>
      <c r="D595" s="49" t="s">
        <v>2577</v>
      </c>
      <c r="E595" s="49" t="s">
        <v>4731</v>
      </c>
      <c r="F595" s="51">
        <v>46217</v>
      </c>
      <c r="G595" s="49">
        <v>41.53</v>
      </c>
      <c r="H595" s="49" t="s">
        <v>20</v>
      </c>
      <c r="I595" s="51">
        <v>46220</v>
      </c>
      <c r="J595" s="54">
        <f>INT(Cobros[[#This Row],[Fecha Cargo]])</f>
        <v>46217</v>
      </c>
      <c r="K595" s="54">
        <f>INT(Cobros[[#This Row],[Fecha Aplicacion]])</f>
        <v>46220</v>
      </c>
      <c r="L595" s="55" t="str">
        <f>INDEX(Clientes[Días Plazo],MATCH(Cobros[[#This Row],[Cod. Cliente]],Clientes[Codigo],0),1)</f>
        <v>7</v>
      </c>
      <c r="M595" s="45" t="str">
        <f>IF(Cobros[[#This Row],[Dias de Credito]]&lt;=0,"Contado","Credito")</f>
        <v>Credito</v>
      </c>
      <c r="N595" s="45">
        <f>Cobros[[#This Row],[Fecha Aplicación S]]-Cobros[[#This Row],[Fecha Cargo S]]</f>
        <v>3</v>
      </c>
      <c r="O595" s="45">
        <f>Cobros[[#This Row],[Dias al pago]]-Cobros[[#This Row],[Dias de Credito]]</f>
        <v>-4</v>
      </c>
      <c r="P595" s="45">
        <f>SUMIFS(TablaDias[Porcentaje],TablaDias[Tipo],Cobros[[#This Row],[Tipo]],TablaDias[Desde ],"&lt;="&amp;MAX(0,Cobros[[#This Row],[Dias pasado]]),TablaDias[Hasta ],"&gt;="&amp;Cobros[[#This Row],[Dias pasado]])</f>
        <v>100</v>
      </c>
      <c r="Q59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5">
        <f>IF(COUNTIF(PAPEL[Numero],Cobros[[#This Row],[Doc. Cargo]])&gt;0,1,0)</f>
        <v>0</v>
      </c>
      <c r="S595" s="46">
        <f t="array" ref="S5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95" s="46">
        <f t="array" ref="T595">INDEX(Ventas[[Unidades]:[2]],MATCH("Gerente de Venta",Ventas[Vendedor %],0),6+Cobros[[#This Row],[Mes]])</f>
        <v>0.005</v>
      </c>
      <c r="U595" s="34">
        <f>IF(Cobros[[#This Row],[Tipo]]="Credito",IF(60&gt;=Cobros[[#This Row],[Dias al pago]],1,0),IF(Cobros[[#This Row],[Dias al pago]]&lt;=3,1,0))</f>
        <v>1</v>
      </c>
      <c r="V595" s="46">
        <f>(Cobros[[#This Row],[% A pagar Vendedor]]/100)*Cobros[[#This Row],[Valor Pagado]]*Cobros[[#This Row],[Vencido]]*(Cobros[[#This Row],[% aplicar]]/100)*IF(Cobros[[#This Row],[% A pagar Vendedor]]&gt;0,1,0)</f>
        <v>0.519125</v>
      </c>
      <c r="W595" s="46">
        <f>0.5%*Cobros[[#This Row],[Valor Pagado]]</f>
        <v>0.20765</v>
      </c>
    </row>
    <row r="596" spans="1:24">
      <c r="A596" s="49" t="s">
        <v>3860</v>
      </c>
      <c r="B596" s="49" t="s">
        <v>4775</v>
      </c>
      <c r="C596" s="49" t="s">
        <v>2576</v>
      </c>
      <c r="D596" s="49" t="s">
        <v>2577</v>
      </c>
      <c r="E596" s="49" t="s">
        <v>4776</v>
      </c>
      <c r="F596" s="51">
        <v>46217</v>
      </c>
      <c r="G596" s="49">
        <v>522.6</v>
      </c>
      <c r="H596" s="49" t="s">
        <v>20</v>
      </c>
      <c r="I596" s="51">
        <v>46220</v>
      </c>
      <c r="J596" s="54">
        <f>INT(Cobros[[#This Row],[Fecha Cargo]])</f>
        <v>46217</v>
      </c>
      <c r="K596" s="54">
        <f>INT(Cobros[[#This Row],[Fecha Aplicacion]])</f>
        <v>46220</v>
      </c>
      <c r="L596" s="55" t="str">
        <f>INDEX(Clientes[Días Plazo],MATCH(Cobros[[#This Row],[Cod. Cliente]],Clientes[Codigo],0),1)</f>
        <v>7</v>
      </c>
      <c r="M596" s="45" t="str">
        <f>IF(Cobros[[#This Row],[Dias de Credito]]&lt;=0,"Contado","Credito")</f>
        <v>Credito</v>
      </c>
      <c r="N596" s="45">
        <f>Cobros[[#This Row],[Fecha Aplicación S]]-Cobros[[#This Row],[Fecha Cargo S]]</f>
        <v>3</v>
      </c>
      <c r="O596" s="45">
        <f>Cobros[[#This Row],[Dias al pago]]-Cobros[[#This Row],[Dias de Credito]]</f>
        <v>-4</v>
      </c>
      <c r="P596" s="45">
        <f>SUMIFS(TablaDias[Porcentaje],TablaDias[Tipo],Cobros[[#This Row],[Tipo]],TablaDias[Desde ],"&lt;="&amp;MAX(0,Cobros[[#This Row],[Dias pasado]]),TablaDias[Hasta ],"&gt;="&amp;Cobros[[#This Row],[Dias pasado]])</f>
        <v>100</v>
      </c>
      <c r="Q59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6">
        <f>IF(COUNTIF(PAPEL[Numero],Cobros[[#This Row],[Doc. Cargo]])&gt;0,1,0)</f>
        <v>0</v>
      </c>
      <c r="S596" s="46">
        <f t="array" ref="S5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96" s="46">
        <f t="array" ref="T596">INDEX(Ventas[[Unidades]:[2]],MATCH("Gerente de Venta",Ventas[Vendedor %],0),6+Cobros[[#This Row],[Mes]])</f>
        <v>0.005</v>
      </c>
      <c r="U596" s="34">
        <f>IF(Cobros[[#This Row],[Tipo]]="Credito",IF(60&gt;=Cobros[[#This Row],[Dias al pago]],1,0),IF(Cobros[[#This Row],[Dias al pago]]&lt;=3,1,0))</f>
        <v>1</v>
      </c>
      <c r="V596" s="46">
        <f>(Cobros[[#This Row],[% A pagar Vendedor]]/100)*Cobros[[#This Row],[Valor Pagado]]*Cobros[[#This Row],[Vencido]]*(Cobros[[#This Row],[% aplicar]]/100)*IF(Cobros[[#This Row],[% A pagar Vendedor]]&gt;0,1,0)</f>
        <v>6.5325</v>
      </c>
      <c r="W596" s="46">
        <f>0.5%*Cobros[[#This Row],[Valor Pagado]]</f>
        <v>2.613</v>
      </c>
      <c r="X596" s="60"/>
    </row>
    <row r="597" spans="1:23">
      <c r="A597" s="49" t="s">
        <v>3860</v>
      </c>
      <c r="B597" s="49" t="s">
        <v>4775</v>
      </c>
      <c r="C597" s="49" t="s">
        <v>2576</v>
      </c>
      <c r="D597" s="49" t="s">
        <v>2577</v>
      </c>
      <c r="E597" s="49" t="s">
        <v>4777</v>
      </c>
      <c r="F597" s="51">
        <v>46218</v>
      </c>
      <c r="G597" s="49">
        <v>273.87</v>
      </c>
      <c r="H597" s="49" t="s">
        <v>20</v>
      </c>
      <c r="I597" s="51">
        <v>46220</v>
      </c>
      <c r="J597" s="54">
        <f>INT(Cobros[[#This Row],[Fecha Cargo]])</f>
        <v>46218</v>
      </c>
      <c r="K597" s="54">
        <f>INT(Cobros[[#This Row],[Fecha Aplicacion]])</f>
        <v>46220</v>
      </c>
      <c r="L597" s="55" t="str">
        <f>INDEX(Clientes[Días Plazo],MATCH(Cobros[[#This Row],[Cod. Cliente]],Clientes[Codigo],0),1)</f>
        <v>7</v>
      </c>
      <c r="M597" s="45" t="str">
        <f>IF(Cobros[[#This Row],[Dias de Credito]]&lt;=0,"Contado","Credito")</f>
        <v>Credito</v>
      </c>
      <c r="N597" s="45">
        <f>Cobros[[#This Row],[Fecha Aplicación S]]-Cobros[[#This Row],[Fecha Cargo S]]</f>
        <v>2</v>
      </c>
      <c r="O597" s="45">
        <f>Cobros[[#This Row],[Dias al pago]]-Cobros[[#This Row],[Dias de Credito]]</f>
        <v>-5</v>
      </c>
      <c r="P597" s="45">
        <f>SUMIFS(TablaDias[Porcentaje],TablaDias[Tipo],Cobros[[#This Row],[Tipo]],TablaDias[Desde ],"&lt;="&amp;MAX(0,Cobros[[#This Row],[Dias pasado]]),TablaDias[Hasta ],"&gt;="&amp;Cobros[[#This Row],[Dias pasado]])</f>
        <v>100</v>
      </c>
      <c r="Q59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7">
        <f>IF(COUNTIF(PAPEL[Numero],Cobros[[#This Row],[Doc. Cargo]])&gt;0,1,0)</f>
        <v>0</v>
      </c>
      <c r="S597" s="46">
        <f t="array" ref="S5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597" s="46">
        <f t="array" ref="T597">INDEX(Ventas[[Unidades]:[2]],MATCH("Gerente de Venta",Ventas[Vendedor %],0),6+Cobros[[#This Row],[Mes]])</f>
        <v>0.005</v>
      </c>
      <c r="U597" s="34">
        <f>IF(Cobros[[#This Row],[Tipo]]="Credito",IF(60&gt;=Cobros[[#This Row],[Dias al pago]],1,0),IF(Cobros[[#This Row],[Dias al pago]]&lt;=3,1,0))</f>
        <v>1</v>
      </c>
      <c r="V597" s="46">
        <f>(Cobros[[#This Row],[% A pagar Vendedor]]/100)*Cobros[[#This Row],[Valor Pagado]]*Cobros[[#This Row],[Vencido]]*(Cobros[[#This Row],[% aplicar]]/100)*IF(Cobros[[#This Row],[% A pagar Vendedor]]&gt;0,1,0)</f>
        <v>3.423375</v>
      </c>
      <c r="W597" s="46">
        <f>0.5%*Cobros[[#This Row],[Valor Pagado]]</f>
        <v>1.36935</v>
      </c>
    </row>
    <row r="598" ht="30" spans="1:24">
      <c r="A598" s="49" t="s">
        <v>3954</v>
      </c>
      <c r="B598" s="49" t="s">
        <v>4778</v>
      </c>
      <c r="C598" s="49" t="s">
        <v>2045</v>
      </c>
      <c r="D598" s="49" t="s">
        <v>2046</v>
      </c>
      <c r="E598" s="49" t="s">
        <v>4779</v>
      </c>
      <c r="F598" s="51">
        <v>46220</v>
      </c>
      <c r="G598" s="49">
        <v>129.5</v>
      </c>
      <c r="H598" s="49" t="s">
        <v>22</v>
      </c>
      <c r="I598" s="51">
        <v>46220</v>
      </c>
      <c r="J598" s="54">
        <f>INT(Cobros[[#This Row],[Fecha Cargo]])</f>
        <v>46220</v>
      </c>
      <c r="K598" s="54">
        <f>INT(Cobros[[#This Row],[Fecha Aplicacion]])</f>
        <v>46220</v>
      </c>
      <c r="L598" s="55" t="str">
        <f>INDEX(Clientes[Días Plazo],MATCH(Cobros[[#This Row],[Cod. Cliente]],Clientes[Codigo],0),1)</f>
        <v>7</v>
      </c>
      <c r="M598" s="45" t="str">
        <f>IF(Cobros[[#This Row],[Dias de Credito]]&lt;=0,"Contado","Credito")</f>
        <v>Credito</v>
      </c>
      <c r="N598" s="45">
        <f>Cobros[[#This Row],[Fecha Aplicación S]]-Cobros[[#This Row],[Fecha Cargo S]]</f>
        <v>0</v>
      </c>
      <c r="O598" s="45">
        <f>Cobros[[#This Row],[Dias al pago]]-Cobros[[#This Row],[Dias de Credito]]</f>
        <v>-7</v>
      </c>
      <c r="P598" s="45">
        <f>SUMIFS(TablaDias[Porcentaje],TablaDias[Tipo],Cobros[[#This Row],[Tipo]],TablaDias[Desde ],"&lt;="&amp;MAX(0,Cobros[[#This Row],[Dias pasado]]),TablaDias[Hasta ],"&gt;="&amp;Cobros[[#This Row],[Dias pasado]])</f>
        <v>100</v>
      </c>
      <c r="Q59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8">
        <f>IF(COUNTIF(PAPEL[Numero],Cobros[[#This Row],[Doc. Cargo]])&gt;0,1,0)</f>
        <v>0</v>
      </c>
      <c r="S598" s="46">
        <f t="array" ref="S5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598" s="46">
        <f t="array" ref="T598">INDEX(Ventas[[Unidades]:[2]],MATCH("Gerente de Venta",Ventas[Vendedor %],0),6+Cobros[[#This Row],[Mes]])</f>
        <v>0.005</v>
      </c>
      <c r="U598" s="34">
        <f>IF(Cobros[[#This Row],[Tipo]]="Credito",IF(60&gt;=Cobros[[#This Row],[Dias al pago]],1,0),IF(Cobros[[#This Row],[Dias al pago]]&lt;=3,1,0))</f>
        <v>1</v>
      </c>
      <c r="V598" s="46">
        <f>(Cobros[[#This Row],[% A pagar Vendedor]]/100)*Cobros[[#This Row],[Valor Pagado]]*Cobros[[#This Row],[Vencido]]*(Cobros[[#This Row],[% aplicar]]/100)*IF(Cobros[[#This Row],[% A pagar Vendedor]]&gt;0,1,0)</f>
        <v>1.295</v>
      </c>
      <c r="W598" s="46">
        <f>0.5%*Cobros[[#This Row],[Valor Pagado]]</f>
        <v>0.6475</v>
      </c>
      <c r="X598" s="34"/>
    </row>
    <row r="599" ht="30" spans="1:23">
      <c r="A599" s="49" t="s">
        <v>3884</v>
      </c>
      <c r="B599" s="49" t="s">
        <v>4780</v>
      </c>
      <c r="C599" s="49" t="s">
        <v>1008</v>
      </c>
      <c r="D599" s="49" t="s">
        <v>1009</v>
      </c>
      <c r="E599" s="49" t="s">
        <v>4781</v>
      </c>
      <c r="F599" s="51">
        <v>46205</v>
      </c>
      <c r="G599" s="49">
        <v>85.95</v>
      </c>
      <c r="H599" s="49" t="s">
        <v>3865</v>
      </c>
      <c r="I599" s="51">
        <v>46220</v>
      </c>
      <c r="J599" s="54">
        <f>INT(Cobros[[#This Row],[Fecha Cargo]])</f>
        <v>46205</v>
      </c>
      <c r="K599" s="54">
        <f>INT(Cobros[[#This Row],[Fecha Aplicacion]])</f>
        <v>46220</v>
      </c>
      <c r="L599" s="55" t="str">
        <f>INDEX(Clientes[Días Plazo],MATCH(Cobros[[#This Row],[Cod. Cliente]],Clientes[Codigo],0),1)</f>
        <v>15</v>
      </c>
      <c r="M599" s="45" t="str">
        <f>IF(Cobros[[#This Row],[Dias de Credito]]&lt;=0,"Contado","Credito")</f>
        <v>Credito</v>
      </c>
      <c r="N599" s="45">
        <f>Cobros[[#This Row],[Fecha Aplicación S]]-Cobros[[#This Row],[Fecha Cargo S]]</f>
        <v>15</v>
      </c>
      <c r="O599" s="45">
        <f>Cobros[[#This Row],[Dias al pago]]-Cobros[[#This Row],[Dias de Credito]]</f>
        <v>0</v>
      </c>
      <c r="P599" s="45">
        <f>SUMIFS(TablaDias[Porcentaje],TablaDias[Tipo],Cobros[[#This Row],[Tipo]],TablaDias[Desde ],"&lt;="&amp;MAX(0,Cobros[[#This Row],[Dias pasado]]),TablaDias[Hasta ],"&gt;="&amp;Cobros[[#This Row],[Dias pasado]])</f>
        <v>100</v>
      </c>
      <c r="Q59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599">
        <f>IF(COUNTIF(PAPEL[Numero],Cobros[[#This Row],[Doc. Cargo]])&gt;0,1,0)</f>
        <v>0</v>
      </c>
      <c r="S599" s="46">
        <v>1</v>
      </c>
      <c r="T599" s="46">
        <f t="array" ref="T599">INDEX(Ventas[[Unidades]:[2]],MATCH("Gerente de Venta",Ventas[Vendedor %],0),6+Cobros[[#This Row],[Mes]])</f>
        <v>0.005</v>
      </c>
      <c r="U599" s="34">
        <f>IF(Cobros[[#This Row],[Tipo]]="Credito",IF(60&gt;=Cobros[[#This Row],[Dias al pago]],1,0),IF(Cobros[[#This Row],[Dias al pago]]&lt;=3,1,0))</f>
        <v>1</v>
      </c>
      <c r="V599" s="46">
        <f>(Cobros[[#This Row],[% A pagar Vendedor]]/100)*Cobros[[#This Row],[Valor Pagado]]*Cobros[[#This Row],[Vencido]]*(Cobros[[#This Row],[% aplicar]]/100)*IF(Cobros[[#This Row],[% A pagar Vendedor]]&gt;0,1,0)</f>
        <v>0.8595</v>
      </c>
      <c r="W599" s="46">
        <f>0.5%*Cobros[[#This Row],[Valor Pagado]]</f>
        <v>0.42975</v>
      </c>
    </row>
    <row r="600" ht="30" spans="1:23">
      <c r="A600" s="49" t="s">
        <v>3884</v>
      </c>
      <c r="B600" s="49" t="s">
        <v>4780</v>
      </c>
      <c r="C600" s="49" t="s">
        <v>1008</v>
      </c>
      <c r="D600" s="49" t="s">
        <v>1009</v>
      </c>
      <c r="E600" s="49" t="s">
        <v>4782</v>
      </c>
      <c r="F600" s="51">
        <v>46206</v>
      </c>
      <c r="G600" s="49">
        <v>3.1</v>
      </c>
      <c r="H600" s="49" t="s">
        <v>3865</v>
      </c>
      <c r="I600" s="51">
        <v>46220</v>
      </c>
      <c r="J600" s="54">
        <f>INT(Cobros[[#This Row],[Fecha Cargo]])</f>
        <v>46206</v>
      </c>
      <c r="K600" s="54">
        <f>INT(Cobros[[#This Row],[Fecha Aplicacion]])</f>
        <v>46220</v>
      </c>
      <c r="L600" s="55" t="str">
        <f>INDEX(Clientes[Días Plazo],MATCH(Cobros[[#This Row],[Cod. Cliente]],Clientes[Codigo],0),1)</f>
        <v>15</v>
      </c>
      <c r="M600" s="45" t="str">
        <f>IF(Cobros[[#This Row],[Dias de Credito]]&lt;=0,"Contado","Credito")</f>
        <v>Credito</v>
      </c>
      <c r="N600" s="45">
        <f>Cobros[[#This Row],[Fecha Aplicación S]]-Cobros[[#This Row],[Fecha Cargo S]]</f>
        <v>14</v>
      </c>
      <c r="O600" s="45">
        <f>Cobros[[#This Row],[Dias al pago]]-Cobros[[#This Row],[Dias de Credito]]</f>
        <v>-1</v>
      </c>
      <c r="P600" s="45">
        <f>SUMIFS(TablaDias[Porcentaje],TablaDias[Tipo],Cobros[[#This Row],[Tipo]],TablaDias[Desde ],"&lt;="&amp;MAX(0,Cobros[[#This Row],[Dias pasado]]),TablaDias[Hasta ],"&gt;="&amp;Cobros[[#This Row],[Dias pasado]])</f>
        <v>100</v>
      </c>
      <c r="Q60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0">
        <f>IF(COUNTIF(PAPEL[Numero],Cobros[[#This Row],[Doc. Cargo]])&gt;0,1,0)</f>
        <v>0</v>
      </c>
      <c r="S600" s="46">
        <v>1</v>
      </c>
      <c r="T600" s="46">
        <f t="array" ref="T600">INDEX(Ventas[[Unidades]:[2]],MATCH("Gerente de Venta",Ventas[Vendedor %],0),6+Cobros[[#This Row],[Mes]])</f>
        <v>0.005</v>
      </c>
      <c r="U600" s="34">
        <f>IF(Cobros[[#This Row],[Tipo]]="Credito",IF(60&gt;=Cobros[[#This Row],[Dias al pago]],1,0),IF(Cobros[[#This Row],[Dias al pago]]&lt;=3,1,0))</f>
        <v>1</v>
      </c>
      <c r="V600" s="46">
        <f>(Cobros[[#This Row],[% A pagar Vendedor]]/100)*Cobros[[#This Row],[Valor Pagado]]*Cobros[[#This Row],[Vencido]]*(Cobros[[#This Row],[% aplicar]]/100)*IF(Cobros[[#This Row],[% A pagar Vendedor]]&gt;0,1,0)</f>
        <v>0.031</v>
      </c>
      <c r="W600" s="46">
        <f>0.5%*Cobros[[#This Row],[Valor Pagado]]</f>
        <v>0.0155</v>
      </c>
    </row>
    <row r="601" ht="30" spans="1:24">
      <c r="A601" s="49" t="s">
        <v>3884</v>
      </c>
      <c r="B601" s="49" t="s">
        <v>4783</v>
      </c>
      <c r="C601" s="49" t="s">
        <v>1008</v>
      </c>
      <c r="D601" s="49" t="s">
        <v>1009</v>
      </c>
      <c r="E601" s="49" t="s">
        <v>4782</v>
      </c>
      <c r="F601" s="51">
        <v>46206</v>
      </c>
      <c r="G601" s="49">
        <v>0.9</v>
      </c>
      <c r="H601" s="49" t="s">
        <v>3865</v>
      </c>
      <c r="I601" s="51">
        <v>46220</v>
      </c>
      <c r="J601" s="54">
        <f>INT(Cobros[[#This Row],[Fecha Cargo]])</f>
        <v>46206</v>
      </c>
      <c r="K601" s="54">
        <f>INT(Cobros[[#This Row],[Fecha Aplicacion]])</f>
        <v>46220</v>
      </c>
      <c r="L601" s="55" t="str">
        <f>INDEX(Clientes[Días Plazo],MATCH(Cobros[[#This Row],[Cod. Cliente]],Clientes[Codigo],0),1)</f>
        <v>15</v>
      </c>
      <c r="M601" s="45" t="str">
        <f>IF(Cobros[[#This Row],[Dias de Credito]]&lt;=0,"Contado","Credito")</f>
        <v>Credito</v>
      </c>
      <c r="N601" s="45">
        <f>Cobros[[#This Row],[Fecha Aplicación S]]-Cobros[[#This Row],[Fecha Cargo S]]</f>
        <v>14</v>
      </c>
      <c r="O601" s="45">
        <f>Cobros[[#This Row],[Dias al pago]]-Cobros[[#This Row],[Dias de Credito]]</f>
        <v>-1</v>
      </c>
      <c r="P601" s="45">
        <f>SUMIFS(TablaDias[Porcentaje],TablaDias[Tipo],Cobros[[#This Row],[Tipo]],TablaDias[Desde ],"&lt;="&amp;MAX(0,Cobros[[#This Row],[Dias pasado]]),TablaDias[Hasta ],"&gt;="&amp;Cobros[[#This Row],[Dias pasado]])</f>
        <v>100</v>
      </c>
      <c r="Q60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1" s="34">
        <f>IF(COUNTIF(PAPEL[Numero],Cobros[[#This Row],[Doc. Cargo]])&gt;0,1,0)</f>
        <v>0</v>
      </c>
      <c r="S601" s="46">
        <v>1</v>
      </c>
      <c r="T601" s="46">
        <f t="array" ref="T601">INDEX(Ventas[[Unidades]:[2]],MATCH("Gerente de Venta",Ventas[Vendedor %],0),6+Cobros[[#This Row],[Mes]])</f>
        <v>0.005</v>
      </c>
      <c r="U601" s="34">
        <f>IF(Cobros[[#This Row],[Tipo]]="Credito",IF(60&gt;=Cobros[[#This Row],[Dias al pago]],1,0),IF(Cobros[[#This Row],[Dias al pago]]&lt;=3,1,0))</f>
        <v>1</v>
      </c>
      <c r="V601" s="46">
        <f>(Cobros[[#This Row],[% A pagar Vendedor]]/100)*Cobros[[#This Row],[Valor Pagado]]*Cobros[[#This Row],[Vencido]]*(Cobros[[#This Row],[% aplicar]]/100)*IF(Cobros[[#This Row],[% A pagar Vendedor]]&gt;0,1,0)</f>
        <v>0.009</v>
      </c>
      <c r="W601" s="46">
        <f>0.5%*Cobros[[#This Row],[Valor Pagado]]</f>
        <v>0.0045</v>
      </c>
      <c r="X601" s="34"/>
    </row>
    <row r="602" ht="30" spans="1:24">
      <c r="A602" s="49" t="s">
        <v>3904</v>
      </c>
      <c r="B602" s="49" t="s">
        <v>4784</v>
      </c>
      <c r="C602" s="49" t="s">
        <v>2964</v>
      </c>
      <c r="D602" s="49" t="s">
        <v>2965</v>
      </c>
      <c r="E602" s="49" t="s">
        <v>4785</v>
      </c>
      <c r="F602" s="51">
        <v>46220</v>
      </c>
      <c r="G602" s="49">
        <v>44.9</v>
      </c>
      <c r="H602" s="49" t="s">
        <v>3865</v>
      </c>
      <c r="I602" s="51">
        <v>46220</v>
      </c>
      <c r="J602" s="54">
        <f>INT(Cobros[[#This Row],[Fecha Cargo]])</f>
        <v>46220</v>
      </c>
      <c r="K602" s="54">
        <f>INT(Cobros[[#This Row],[Fecha Aplicacion]])</f>
        <v>46220</v>
      </c>
      <c r="L602" s="55">
        <f>INDEX(Clientes[Días Plazo],MATCH(Cobros[[#This Row],[Cod. Cliente]],Clientes[Codigo],0),1)</f>
        <v>0</v>
      </c>
      <c r="M602" s="45" t="str">
        <f>IF(Cobros[[#This Row],[Dias de Credito]]&lt;=0,"Contado","Credito")</f>
        <v>Contado</v>
      </c>
      <c r="N602" s="45">
        <f>Cobros[[#This Row],[Fecha Aplicación S]]-Cobros[[#This Row],[Fecha Cargo S]]</f>
        <v>0</v>
      </c>
      <c r="O602" s="45">
        <f>Cobros[[#This Row],[Dias al pago]]-Cobros[[#This Row],[Dias de Credito]]</f>
        <v>0</v>
      </c>
      <c r="P602" s="45">
        <f>SUMIFS(TablaDias[Porcentaje],TablaDias[Tipo],Cobros[[#This Row],[Tipo]],TablaDias[Desde ],"&lt;="&amp;MAX(0,Cobros[[#This Row],[Dias pasado]]),TablaDias[Hasta ],"&gt;="&amp;Cobros[[#This Row],[Dias pasado]])</f>
        <v>100</v>
      </c>
      <c r="Q6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2">
        <f>IF(COUNTIF(PAPEL[Numero],Cobros[[#This Row],[Doc. Cargo]])&gt;0,1,0)</f>
        <v>0</v>
      </c>
      <c r="S602" s="46">
        <v>1</v>
      </c>
      <c r="T602" s="46">
        <f t="array" ref="T602">INDEX(Ventas[[Unidades]:[2]],MATCH("Gerente de Venta",Ventas[Vendedor %],0),6+Cobros[[#This Row],[Mes]])</f>
        <v>0.005</v>
      </c>
      <c r="U602" s="34">
        <f>IF(Cobros[[#This Row],[Tipo]]="Credito",IF(60&gt;=Cobros[[#This Row],[Dias al pago]],1,0),IF(Cobros[[#This Row],[Dias al pago]]&lt;=3,1,0))</f>
        <v>1</v>
      </c>
      <c r="V602" s="46">
        <f>(Cobros[[#This Row],[% A pagar Vendedor]]/100)*Cobros[[#This Row],[Valor Pagado]]*Cobros[[#This Row],[Vencido]]*(Cobros[[#This Row],[% aplicar]]/100)*IF(Cobros[[#This Row],[% A pagar Vendedor]]&gt;0,1,0)</f>
        <v>0.449</v>
      </c>
      <c r="W602" s="46">
        <f>0.5%*Cobros[[#This Row],[Valor Pagado]]</f>
        <v>0.2245</v>
      </c>
      <c r="X602" s="34"/>
    </row>
    <row r="603" ht="30" spans="1:24">
      <c r="A603" s="49" t="s">
        <v>3875</v>
      </c>
      <c r="B603" s="49" t="s">
        <v>4786</v>
      </c>
      <c r="C603" s="49" t="s">
        <v>2964</v>
      </c>
      <c r="D603" s="49" t="s">
        <v>2965</v>
      </c>
      <c r="E603" s="49" t="s">
        <v>4787</v>
      </c>
      <c r="F603" s="51">
        <v>46220</v>
      </c>
      <c r="G603" s="49">
        <v>230</v>
      </c>
      <c r="H603" s="49" t="s">
        <v>3865</v>
      </c>
      <c r="I603" s="51">
        <v>46220</v>
      </c>
      <c r="J603" s="54">
        <f>INT(Cobros[[#This Row],[Fecha Cargo]])</f>
        <v>46220</v>
      </c>
      <c r="K603" s="54">
        <f>INT(Cobros[[#This Row],[Fecha Aplicacion]])</f>
        <v>46220</v>
      </c>
      <c r="L603" s="55">
        <f>INDEX(Clientes[Días Plazo],MATCH(Cobros[[#This Row],[Cod. Cliente]],Clientes[Codigo],0),1)</f>
        <v>0</v>
      </c>
      <c r="M603" s="45" t="str">
        <f>IF(Cobros[[#This Row],[Dias de Credito]]&lt;=0,"Contado","Credito")</f>
        <v>Contado</v>
      </c>
      <c r="N603" s="45">
        <f>Cobros[[#This Row],[Fecha Aplicación S]]-Cobros[[#This Row],[Fecha Cargo S]]</f>
        <v>0</v>
      </c>
      <c r="O603" s="45">
        <f>Cobros[[#This Row],[Dias al pago]]-Cobros[[#This Row],[Dias de Credito]]</f>
        <v>0</v>
      </c>
      <c r="P603" s="45">
        <f>SUMIFS(TablaDias[Porcentaje],TablaDias[Tipo],Cobros[[#This Row],[Tipo]],TablaDias[Desde ],"&lt;="&amp;MAX(0,Cobros[[#This Row],[Dias pasado]]),TablaDias[Hasta ],"&gt;="&amp;Cobros[[#This Row],[Dias pasado]])</f>
        <v>100</v>
      </c>
      <c r="Q603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3">
        <f>IF(COUNTIF(PAPEL[Numero],Cobros[[#This Row],[Doc. Cargo]])&gt;0,1,0)</f>
        <v>0</v>
      </c>
      <c r="S603" s="46">
        <v>1</v>
      </c>
      <c r="T603" s="46">
        <f t="array" ref="T603">INDEX(Ventas[[Unidades]:[2]],MATCH("Gerente de Venta",Ventas[Vendedor %],0),6+Cobros[[#This Row],[Mes]])</f>
        <v>0.005</v>
      </c>
      <c r="U603" s="34">
        <f>IF(Cobros[[#This Row],[Tipo]]="Credito",IF(60&gt;=Cobros[[#This Row],[Dias al pago]],1,0),IF(Cobros[[#This Row],[Dias al pago]]&lt;=3,1,0))</f>
        <v>1</v>
      </c>
      <c r="V603" s="46">
        <f>(Cobros[[#This Row],[% A pagar Vendedor]]/100)*Cobros[[#This Row],[Valor Pagado]]*Cobros[[#This Row],[Vencido]]*(Cobros[[#This Row],[% aplicar]]/100)*IF(Cobros[[#This Row],[% A pagar Vendedor]]&gt;0,1,0)</f>
        <v>2.3</v>
      </c>
      <c r="W603" s="46">
        <f>0.5%*Cobros[[#This Row],[Valor Pagado]]</f>
        <v>1.15</v>
      </c>
      <c r="X603" s="34"/>
    </row>
    <row r="604" ht="30" spans="1:24">
      <c r="A604" s="49" t="s">
        <v>3860</v>
      </c>
      <c r="B604" s="49" t="s">
        <v>4788</v>
      </c>
      <c r="C604" s="49" t="s">
        <v>996</v>
      </c>
      <c r="D604" s="49" t="s">
        <v>997</v>
      </c>
      <c r="E604" s="49" t="s">
        <v>4789</v>
      </c>
      <c r="F604" s="51">
        <v>46220</v>
      </c>
      <c r="G604" s="49">
        <v>140</v>
      </c>
      <c r="H604" s="49" t="s">
        <v>3865</v>
      </c>
      <c r="I604" s="51">
        <v>46220</v>
      </c>
      <c r="J604" s="54">
        <f>INT(Cobros[[#This Row],[Fecha Cargo]])</f>
        <v>46220</v>
      </c>
      <c r="K604" s="54">
        <f>INT(Cobros[[#This Row],[Fecha Aplicacion]])</f>
        <v>46220</v>
      </c>
      <c r="L604" s="55" t="str">
        <f>INDEX(Clientes[Días Plazo],MATCH(Cobros[[#This Row],[Cod. Cliente]],Clientes[Codigo],0),1)</f>
        <v>15</v>
      </c>
      <c r="M604" s="45" t="str">
        <f>IF(Cobros[[#This Row],[Dias de Credito]]&lt;=0,"Contado","Credito")</f>
        <v>Credito</v>
      </c>
      <c r="N604" s="45">
        <f>Cobros[[#This Row],[Fecha Aplicación S]]-Cobros[[#This Row],[Fecha Cargo S]]</f>
        <v>0</v>
      </c>
      <c r="O604" s="45">
        <f>Cobros[[#This Row],[Dias al pago]]-Cobros[[#This Row],[Dias de Credito]]</f>
        <v>-15</v>
      </c>
      <c r="P604" s="45">
        <f>SUMIFS(TablaDias[Porcentaje],TablaDias[Tipo],Cobros[[#This Row],[Tipo]],TablaDias[Desde ],"&lt;="&amp;MAX(0,Cobros[[#This Row],[Dias pasado]]),TablaDias[Hasta ],"&gt;="&amp;Cobros[[#This Row],[Dias pasado]])</f>
        <v>100</v>
      </c>
      <c r="Q60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4">
        <f>IF(COUNTIF(PAPEL[Numero],Cobros[[#This Row],[Doc. Cargo]])&gt;0,1,0)</f>
        <v>0</v>
      </c>
      <c r="S604" s="46">
        <v>1</v>
      </c>
      <c r="T604" s="46">
        <f t="array" ref="T604">INDEX(Ventas[[Unidades]:[2]],MATCH("Gerente de Venta",Ventas[Vendedor %],0),6+Cobros[[#This Row],[Mes]])</f>
        <v>0.005</v>
      </c>
      <c r="U604" s="34">
        <f>IF(Cobros[[#This Row],[Tipo]]="Credito",IF(60&gt;=Cobros[[#This Row],[Dias al pago]],1,0),IF(Cobros[[#This Row],[Dias al pago]]&lt;=3,1,0))</f>
        <v>1</v>
      </c>
      <c r="V604" s="46">
        <f>(Cobros[[#This Row],[% A pagar Vendedor]]/100)*Cobros[[#This Row],[Valor Pagado]]*Cobros[[#This Row],[Vencido]]*(Cobros[[#This Row],[% aplicar]]/100)*IF(Cobros[[#This Row],[% A pagar Vendedor]]&gt;0,1,0)</f>
        <v>1.4</v>
      </c>
      <c r="W604" s="46">
        <f>0.5%*Cobros[[#This Row],[Valor Pagado]]</f>
        <v>0.7</v>
      </c>
      <c r="X604" s="34"/>
    </row>
    <row r="605" spans="1:24">
      <c r="A605" s="49" t="s">
        <v>3860</v>
      </c>
      <c r="B605" s="49" t="s">
        <v>4790</v>
      </c>
      <c r="C605" s="49" t="s">
        <v>2529</v>
      </c>
      <c r="D605" s="49" t="s">
        <v>2530</v>
      </c>
      <c r="E605" s="49" t="s">
        <v>4791</v>
      </c>
      <c r="F605" s="51">
        <v>46220</v>
      </c>
      <c r="G605" s="49">
        <v>69</v>
      </c>
      <c r="H605" s="49" t="s">
        <v>16</v>
      </c>
      <c r="I605" s="51">
        <v>46220</v>
      </c>
      <c r="J605" s="54">
        <f>INT(Cobros[[#This Row],[Fecha Cargo]])</f>
        <v>46220</v>
      </c>
      <c r="K605" s="54">
        <f>INT(Cobros[[#This Row],[Fecha Aplicacion]])</f>
        <v>46220</v>
      </c>
      <c r="L605" s="55">
        <f>INDEX(Clientes[Días Plazo],MATCH(Cobros[[#This Row],[Cod. Cliente]],Clientes[Codigo],0),1)</f>
        <v>0</v>
      </c>
      <c r="M605" s="45" t="str">
        <f>IF(Cobros[[#This Row],[Dias de Credito]]&lt;=0,"Contado","Credito")</f>
        <v>Contado</v>
      </c>
      <c r="N605" s="45">
        <f>Cobros[[#This Row],[Fecha Aplicación S]]-Cobros[[#This Row],[Fecha Cargo S]]</f>
        <v>0</v>
      </c>
      <c r="O605" s="45">
        <f>Cobros[[#This Row],[Dias al pago]]-Cobros[[#This Row],[Dias de Credito]]</f>
        <v>0</v>
      </c>
      <c r="P605" s="45">
        <f>SUMIFS(TablaDias[Porcentaje],TablaDias[Tipo],Cobros[[#This Row],[Tipo]],TablaDias[Desde ],"&lt;="&amp;MAX(0,Cobros[[#This Row],[Dias pasado]]),TablaDias[Hasta ],"&gt;="&amp;Cobros[[#This Row],[Dias pasado]])</f>
        <v>100</v>
      </c>
      <c r="Q6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5">
        <f>IF(COUNTIF(PAPEL[Numero],Cobros[[#This Row],[Doc. Cargo]])&gt;0,1,0)</f>
        <v>0</v>
      </c>
      <c r="S605" s="46">
        <f t="array" ref="S6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05" s="47">
        <v>0.005</v>
      </c>
      <c r="U605" s="34">
        <f>IF(Cobros[[#This Row],[Tipo]]="Credito",IF(60&gt;=Cobros[[#This Row],[Dias al pago]],1,0),IF(Cobros[[#This Row],[Dias al pago]]&lt;=3,1,0))</f>
        <v>1</v>
      </c>
      <c r="V605" s="46">
        <f>(Cobros[[#This Row],[% A pagar Vendedor]]/100)*Cobros[[#This Row],[Valor Pagado]]*Cobros[[#This Row],[Vencido]]*(Cobros[[#This Row],[% aplicar]]/100)*IF(Cobros[[#This Row],[% A pagar Vendedor]]&gt;0,1,0)</f>
        <v>0.8625</v>
      </c>
      <c r="W605" s="46">
        <f>0.5%*Cobros[[#This Row],[Valor Pagado]]</f>
        <v>0.345</v>
      </c>
      <c r="X605" s="62"/>
    </row>
    <row r="606" ht="30" spans="1:24">
      <c r="A606" s="49" t="s">
        <v>3860</v>
      </c>
      <c r="B606" s="49" t="s">
        <v>4792</v>
      </c>
      <c r="C606" s="49" t="s">
        <v>1959</v>
      </c>
      <c r="D606" s="49" t="s">
        <v>1960</v>
      </c>
      <c r="E606" s="49" t="s">
        <v>4793</v>
      </c>
      <c r="F606" s="51">
        <v>46220</v>
      </c>
      <c r="G606" s="49">
        <v>754</v>
      </c>
      <c r="H606" s="49" t="s">
        <v>3865</v>
      </c>
      <c r="I606" s="51">
        <v>46220</v>
      </c>
      <c r="J606" s="54">
        <f>INT(Cobros[[#This Row],[Fecha Cargo]])</f>
        <v>46220</v>
      </c>
      <c r="K606" s="54">
        <f>INT(Cobros[[#This Row],[Fecha Aplicacion]])</f>
        <v>46220</v>
      </c>
      <c r="L606" s="55">
        <f>INDEX(Clientes[Días Plazo],MATCH(Cobros[[#This Row],[Cod. Cliente]],Clientes[Codigo],0),1)</f>
        <v>0</v>
      </c>
      <c r="M606" s="45" t="str">
        <f>IF(Cobros[[#This Row],[Dias de Credito]]&lt;=0,"Contado","Credito")</f>
        <v>Contado</v>
      </c>
      <c r="N606" s="45">
        <f>Cobros[[#This Row],[Fecha Aplicación S]]-Cobros[[#This Row],[Fecha Cargo S]]</f>
        <v>0</v>
      </c>
      <c r="O606" s="45">
        <f>Cobros[[#This Row],[Dias al pago]]-Cobros[[#This Row],[Dias de Credito]]</f>
        <v>0</v>
      </c>
      <c r="P606" s="45">
        <f>SUMIFS(TablaDias[Porcentaje],TablaDias[Tipo],Cobros[[#This Row],[Tipo]],TablaDias[Desde ],"&lt;="&amp;MAX(0,Cobros[[#This Row],[Dias pasado]]),TablaDias[Hasta ],"&gt;="&amp;Cobros[[#This Row],[Dias pasado]])</f>
        <v>100</v>
      </c>
      <c r="Q606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6">
        <f>IF(COUNTIF(PAPEL[Numero],Cobros[[#This Row],[Doc. Cargo]])&gt;0,1,0)</f>
        <v>0</v>
      </c>
      <c r="S606" s="46">
        <v>1</v>
      </c>
      <c r="T606" s="46">
        <f t="array" ref="T606">INDEX(Ventas[[Unidades]:[2]],MATCH("Gerente de Venta",Ventas[Vendedor %],0),6+Cobros[[#This Row],[Mes]])</f>
        <v>0.005</v>
      </c>
      <c r="U606" s="34">
        <f>IF(Cobros[[#This Row],[Tipo]]="Credito",IF(60&gt;=Cobros[[#This Row],[Dias al pago]],1,0),IF(Cobros[[#This Row],[Dias al pago]]&lt;=3,1,0))</f>
        <v>1</v>
      </c>
      <c r="V606" s="46">
        <f>(Cobros[[#This Row],[% A pagar Vendedor]]/100)*Cobros[[#This Row],[Valor Pagado]]*Cobros[[#This Row],[Vencido]]*(Cobros[[#This Row],[% aplicar]]/100)*IF(Cobros[[#This Row],[% A pagar Vendedor]]&gt;0,1,0)</f>
        <v>7.54</v>
      </c>
      <c r="W606" s="46">
        <f>0.5%*Cobros[[#This Row],[Valor Pagado]]</f>
        <v>3.77</v>
      </c>
      <c r="X606" s="34"/>
    </row>
    <row r="607" spans="1:24">
      <c r="A607" s="49" t="s">
        <v>3860</v>
      </c>
      <c r="B607" s="49" t="s">
        <v>4794</v>
      </c>
      <c r="C607" s="49" t="s">
        <v>2591</v>
      </c>
      <c r="D607" s="49" t="s">
        <v>2592</v>
      </c>
      <c r="E607" s="49" t="s">
        <v>4795</v>
      </c>
      <c r="F607" s="51">
        <v>46195</v>
      </c>
      <c r="G607" s="49">
        <v>1317</v>
      </c>
      <c r="H607" s="49" t="s">
        <v>18</v>
      </c>
      <c r="I607" s="51">
        <v>46220</v>
      </c>
      <c r="J607" s="54">
        <f>INT(Cobros[[#This Row],[Fecha Cargo]])</f>
        <v>46195</v>
      </c>
      <c r="K607" s="54">
        <f>INT(Cobros[[#This Row],[Fecha Aplicacion]])</f>
        <v>46220</v>
      </c>
      <c r="L607" s="55" t="str">
        <f>INDEX(Clientes[Días Plazo],MATCH(Cobros[[#This Row],[Cod. Cliente]],Clientes[Codigo],0),1)</f>
        <v>7</v>
      </c>
      <c r="M607" s="45" t="str">
        <f>IF(Cobros[[#This Row],[Dias de Credito]]&lt;=0,"Contado","Credito")</f>
        <v>Credito</v>
      </c>
      <c r="N607" s="45">
        <f>Cobros[[#This Row],[Fecha Aplicación S]]-Cobros[[#This Row],[Fecha Cargo S]]</f>
        <v>25</v>
      </c>
      <c r="O607" s="45">
        <f>Cobros[[#This Row],[Dias al pago]]-Cobros[[#This Row],[Dias de Credito]]</f>
        <v>18</v>
      </c>
      <c r="P607" s="45">
        <f>SUMIFS(TablaDias[Porcentaje],TablaDias[Tipo],Cobros[[#This Row],[Tipo]],TablaDias[Desde ],"&lt;="&amp;MAX(0,Cobros[[#This Row],[Dias pasado]]),TablaDias[Hasta ],"&gt;="&amp;Cobros[[#This Row],[Dias pasado]])</f>
        <v>50</v>
      </c>
      <c r="Q60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07">
        <f>IF(COUNTIF(PAPEL[Numero],Cobros[[#This Row],[Doc. Cargo]])&gt;0,1,0)</f>
        <v>0</v>
      </c>
      <c r="S607" s="46">
        <f t="array" ref="S6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07" s="46">
        <f t="array" ref="T607">INDEX(Ventas[[Unidades]:[2]],MATCH("Gerente de Venta",Ventas[Vendedor %],0),6+Cobros[[#This Row],[Mes]])</f>
        <v>0.005</v>
      </c>
      <c r="U607" s="34">
        <f>IF(Cobros[[#This Row],[Tipo]]="Credito",IF(60&gt;=Cobros[[#This Row],[Dias al pago]],1,0),IF(Cobros[[#This Row],[Dias al pago]]&lt;=3,1,0))</f>
        <v>1</v>
      </c>
      <c r="V607" s="46">
        <f>(Cobros[[#This Row],[% A pagar Vendedor]]/100)*Cobros[[#This Row],[Valor Pagado]]*Cobros[[#This Row],[Vencido]]*(Cobros[[#This Row],[% aplicar]]/100)*IF(Cobros[[#This Row],[% A pagar Vendedor]]&gt;0,1,0)</f>
        <v>6.585</v>
      </c>
      <c r="W607" s="46">
        <f>0.5%*Cobros[[#This Row],[Valor Pagado]]</f>
        <v>6.585</v>
      </c>
      <c r="X607" s="34"/>
    </row>
    <row r="608" spans="1:24">
      <c r="A608" s="49" t="s">
        <v>3860</v>
      </c>
      <c r="B608" s="49" t="s">
        <v>4794</v>
      </c>
      <c r="C608" s="49" t="s">
        <v>2591</v>
      </c>
      <c r="D608" s="49" t="s">
        <v>2592</v>
      </c>
      <c r="E608" s="49" t="s">
        <v>4796</v>
      </c>
      <c r="F608" s="51">
        <v>46220</v>
      </c>
      <c r="G608" s="49">
        <v>501.75</v>
      </c>
      <c r="H608" s="49" t="s">
        <v>18</v>
      </c>
      <c r="I608" s="51">
        <v>46220</v>
      </c>
      <c r="J608" s="54">
        <f>INT(Cobros[[#This Row],[Fecha Cargo]])</f>
        <v>46220</v>
      </c>
      <c r="K608" s="54">
        <f>INT(Cobros[[#This Row],[Fecha Aplicacion]])</f>
        <v>46220</v>
      </c>
      <c r="L608" s="55" t="str">
        <f>INDEX(Clientes[Días Plazo],MATCH(Cobros[[#This Row],[Cod. Cliente]],Clientes[Codigo],0),1)</f>
        <v>7</v>
      </c>
      <c r="M608" s="45" t="str">
        <f>IF(Cobros[[#This Row],[Dias de Credito]]&lt;=0,"Contado","Credito")</f>
        <v>Credito</v>
      </c>
      <c r="N608" s="45">
        <f>Cobros[[#This Row],[Fecha Aplicación S]]-Cobros[[#This Row],[Fecha Cargo S]]</f>
        <v>0</v>
      </c>
      <c r="O608" s="45">
        <f>Cobros[[#This Row],[Dias al pago]]-Cobros[[#This Row],[Dias de Credito]]</f>
        <v>-7</v>
      </c>
      <c r="P608" s="45">
        <f>SUMIFS(TablaDias[Porcentaje],TablaDias[Tipo],Cobros[[#This Row],[Tipo]],TablaDias[Desde ],"&lt;="&amp;MAX(0,Cobros[[#This Row],[Dias pasado]]),TablaDias[Hasta ],"&gt;="&amp;Cobros[[#This Row],[Dias pasado]])</f>
        <v>100</v>
      </c>
      <c r="Q60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8">
        <f>IF(COUNTIF(PAPEL[Numero],Cobros[[#This Row],[Doc. Cargo]])&gt;0,1,0)</f>
        <v>0</v>
      </c>
      <c r="S608" s="46">
        <f t="array" ref="S6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08" s="46">
        <f t="array" ref="T608">INDEX(Ventas[[Unidades]:[2]],MATCH("Gerente de Venta",Ventas[Vendedor %],0),6+Cobros[[#This Row],[Mes]])</f>
        <v>0.005</v>
      </c>
      <c r="U608" s="34">
        <f>IF(Cobros[[#This Row],[Tipo]]="Credito",IF(60&gt;=Cobros[[#This Row],[Dias al pago]],1,0),IF(Cobros[[#This Row],[Dias al pago]]&lt;=3,1,0))</f>
        <v>1</v>
      </c>
      <c r="V608" s="46">
        <f>(Cobros[[#This Row],[% A pagar Vendedor]]/100)*Cobros[[#This Row],[Valor Pagado]]*Cobros[[#This Row],[Vencido]]*(Cobros[[#This Row],[% aplicar]]/100)*IF(Cobros[[#This Row],[% A pagar Vendedor]]&gt;0,1,0)</f>
        <v>6.271875</v>
      </c>
      <c r="W608" s="46">
        <v>2.50875</v>
      </c>
      <c r="X608" s="34"/>
    </row>
    <row r="609" spans="1:24">
      <c r="A609" s="49" t="s">
        <v>3884</v>
      </c>
      <c r="B609" s="49" t="s">
        <v>4797</v>
      </c>
      <c r="C609" s="49" t="s">
        <v>257</v>
      </c>
      <c r="D609" s="49" t="s">
        <v>258</v>
      </c>
      <c r="E609" s="49" t="s">
        <v>4798</v>
      </c>
      <c r="F609" s="51">
        <v>46220</v>
      </c>
      <c r="G609" s="49">
        <v>70.2</v>
      </c>
      <c r="H609" s="49" t="s">
        <v>20</v>
      </c>
      <c r="I609" s="51">
        <v>46220</v>
      </c>
      <c r="J609" s="54">
        <f>INT(Cobros[[#This Row],[Fecha Cargo]])</f>
        <v>46220</v>
      </c>
      <c r="K609" s="54">
        <f>INT(Cobros[[#This Row],[Fecha Aplicacion]])</f>
        <v>46220</v>
      </c>
      <c r="L609" s="55">
        <f>INDEX(Clientes[Días Plazo],MATCH(Cobros[[#This Row],[Cod. Cliente]],Clientes[Codigo],0),1)</f>
        <v>0</v>
      </c>
      <c r="M609" s="45" t="str">
        <f>IF(Cobros[[#This Row],[Dias de Credito]]&lt;=0,"Contado","Credito")</f>
        <v>Contado</v>
      </c>
      <c r="N609" s="45">
        <f>Cobros[[#This Row],[Fecha Aplicación S]]-Cobros[[#This Row],[Fecha Cargo S]]</f>
        <v>0</v>
      </c>
      <c r="O609" s="45">
        <f>Cobros[[#This Row],[Dias al pago]]-Cobros[[#This Row],[Dias de Credito]]</f>
        <v>0</v>
      </c>
      <c r="P609" s="45">
        <f>SUMIFS(TablaDias[Porcentaje],TablaDias[Tipo],Cobros[[#This Row],[Tipo]],TablaDias[Desde ],"&lt;="&amp;MAX(0,Cobros[[#This Row],[Dias pasado]]),TablaDias[Hasta ],"&gt;="&amp;Cobros[[#This Row],[Dias pasado]])</f>
        <v>100</v>
      </c>
      <c r="Q609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09">
        <f>IF(COUNTIF(PAPEL[Numero],Cobros[[#This Row],[Doc. Cargo]])&gt;0,1,0)</f>
        <v>0</v>
      </c>
      <c r="S609" s="46">
        <f t="array" ref="S6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09" s="46">
        <f t="array" ref="T609">INDEX(Ventas[[Unidades]:[2]],MATCH("Gerente de Venta",Ventas[Vendedor %],0),6+Cobros[[#This Row],[Mes]])</f>
        <v>0.005</v>
      </c>
      <c r="U609" s="34">
        <f>IF(Cobros[[#This Row],[Tipo]]="Credito",IF(60&gt;=Cobros[[#This Row],[Dias al pago]],1,0),IF(Cobros[[#This Row],[Dias al pago]]&lt;=3,1,0))</f>
        <v>1</v>
      </c>
      <c r="V609" s="46">
        <f>(Cobros[[#This Row],[% A pagar Vendedor]]/100)*Cobros[[#This Row],[Valor Pagado]]*Cobros[[#This Row],[Vencido]]*(Cobros[[#This Row],[% aplicar]]/100)*IF(Cobros[[#This Row],[% A pagar Vendedor]]&gt;0,1,0)</f>
        <v>0.8775</v>
      </c>
      <c r="W609" s="46">
        <f>0.5%*Cobros[[#This Row],[Valor Pagado]]</f>
        <v>0.351</v>
      </c>
      <c r="X609" s="34"/>
    </row>
    <row r="610" spans="1:24">
      <c r="A610" s="49" t="s">
        <v>3860</v>
      </c>
      <c r="B610" s="49" t="s">
        <v>4799</v>
      </c>
      <c r="C610" s="49" t="s">
        <v>3826</v>
      </c>
      <c r="D610" s="49" t="s">
        <v>3827</v>
      </c>
      <c r="E610" s="49" t="s">
        <v>4800</v>
      </c>
      <c r="F610" s="51">
        <v>46170</v>
      </c>
      <c r="G610" s="49">
        <v>10000</v>
      </c>
      <c r="H610" s="49" t="s">
        <v>16</v>
      </c>
      <c r="I610" s="51">
        <v>46220</v>
      </c>
      <c r="J610" s="54">
        <f>INT(Cobros[[#This Row],[Fecha Cargo]])</f>
        <v>46170</v>
      </c>
      <c r="K610" s="54">
        <f>INT(Cobros[[#This Row],[Fecha Aplicacion]])</f>
        <v>46220</v>
      </c>
      <c r="L610" s="55" t="str">
        <f>INDEX(Clientes[Días Plazo],MATCH(Cobros[[#This Row],[Cod. Cliente]],Clientes[Codigo],0),1)</f>
        <v>30</v>
      </c>
      <c r="M610" s="45" t="str">
        <f>IF(Cobros[[#This Row],[Dias de Credito]]&lt;=0,"Contado","Credito")</f>
        <v>Credito</v>
      </c>
      <c r="N610" s="45">
        <f>Cobros[[#This Row],[Fecha Aplicación S]]-Cobros[[#This Row],[Fecha Cargo S]]</f>
        <v>50</v>
      </c>
      <c r="O610" s="45">
        <f>Cobros[[#This Row],[Dias al pago]]-Cobros[[#This Row],[Dias de Credito]]</f>
        <v>20</v>
      </c>
      <c r="P610" s="45">
        <f>SUMIFS(TablaDias[Porcentaje],TablaDias[Tipo],Cobros[[#This Row],[Tipo]],TablaDias[Desde ],"&lt;="&amp;MAX(0,Cobros[[#This Row],[Dias pasado]]),TablaDias[Hasta ],"&gt;="&amp;Cobros[[#This Row],[Dias pasado]])</f>
        <v>50</v>
      </c>
      <c r="Q610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610">
        <f>IF(COUNTIF(PAPEL[Numero],Cobros[[#This Row],[Doc. Cargo]])&gt;0,1,0)</f>
        <v>0</v>
      </c>
      <c r="S610" s="46">
        <f t="array" ref="S6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10" s="47">
        <v>0.005</v>
      </c>
      <c r="U610" s="34">
        <f>IF(Cobros[[#This Row],[Tipo]]="Credito",IF(60&gt;=Cobros[[#This Row],[Dias al pago]],1,0),IF(Cobros[[#This Row],[Dias al pago]]&lt;=3,1,0))</f>
        <v>1</v>
      </c>
      <c r="V610" s="46">
        <f>(Cobros[[#This Row],[% A pagar Vendedor]]/100)*Cobros[[#This Row],[Valor Pagado]]*Cobros[[#This Row],[Vencido]]*(Cobros[[#This Row],[% aplicar]]/100)*IF(Cobros[[#This Row],[% A pagar Vendedor]]&gt;0,1,0)</f>
        <v>50</v>
      </c>
      <c r="W610" s="46">
        <f>0.5%*Cobros[[#This Row],[Valor Pagado]]</f>
        <v>50</v>
      </c>
      <c r="X610" s="34"/>
    </row>
    <row r="611" spans="1:23">
      <c r="A611" s="49" t="s">
        <v>3875</v>
      </c>
      <c r="B611" s="49" t="s">
        <v>4801</v>
      </c>
      <c r="C611" s="49" t="s">
        <v>1220</v>
      </c>
      <c r="D611" s="49" t="s">
        <v>1221</v>
      </c>
      <c r="E611" s="49" t="s">
        <v>4802</v>
      </c>
      <c r="F611" s="51">
        <v>46220</v>
      </c>
      <c r="G611" s="49">
        <v>572</v>
      </c>
      <c r="H611" s="49" t="s">
        <v>20</v>
      </c>
      <c r="I611" s="51">
        <v>46220</v>
      </c>
      <c r="J611" s="54">
        <f>INT(Cobros[[#This Row],[Fecha Cargo]])</f>
        <v>46220</v>
      </c>
      <c r="K611" s="54">
        <f>INT(Cobros[[#This Row],[Fecha Aplicacion]])</f>
        <v>46220</v>
      </c>
      <c r="L611" s="55">
        <f>INDEX(Clientes[Días Plazo],MATCH(Cobros[[#This Row],[Cod. Cliente]],Clientes[Codigo],0),1)</f>
        <v>0</v>
      </c>
      <c r="M611" s="45" t="str">
        <f>IF(Cobros[[#This Row],[Dias de Credito]]&lt;=0,"Contado","Credito")</f>
        <v>Contado</v>
      </c>
      <c r="N611" s="45">
        <f>Cobros[[#This Row],[Fecha Aplicación S]]-Cobros[[#This Row],[Fecha Cargo S]]</f>
        <v>0</v>
      </c>
      <c r="O611" s="45">
        <f>Cobros[[#This Row],[Dias al pago]]-Cobros[[#This Row],[Dias de Credito]]</f>
        <v>0</v>
      </c>
      <c r="P611" s="45">
        <f>SUMIFS(TablaDias[Porcentaje],TablaDias[Tipo],Cobros[[#This Row],[Tipo]],TablaDias[Desde ],"&lt;="&amp;MAX(0,Cobros[[#This Row],[Dias pasado]]),TablaDias[Hasta ],"&gt;="&amp;Cobros[[#This Row],[Dias pasado]])</f>
        <v>100</v>
      </c>
      <c r="Q611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1">
        <f>IF(COUNTIF(PAPEL[Numero],Cobros[[#This Row],[Doc. Cargo]])&gt;0,1,0)</f>
        <v>0</v>
      </c>
      <c r="S611" s="46">
        <f t="array" ref="S6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1" s="46">
        <f t="array" ref="T611">INDEX(Ventas[[Unidades]:[2]],MATCH("Gerente de Venta",Ventas[Vendedor %],0),6+Cobros[[#This Row],[Mes]])</f>
        <v>0.005</v>
      </c>
      <c r="U611" s="34">
        <f>IF(Cobros[[#This Row],[Tipo]]="Credito",IF(60&gt;=Cobros[[#This Row],[Dias al pago]],1,0),IF(Cobros[[#This Row],[Dias al pago]]&lt;=3,1,0))</f>
        <v>1</v>
      </c>
      <c r="V611" s="61">
        <f>(Cobros[[#This Row],[% A pagar Vendedor]]/100)*Cobros[[#This Row],[Valor Pagado]]*Cobros[[#This Row],[Vencido]]*(Cobros[[#This Row],[% aplicar]]/100)*IF(Cobros[[#This Row],[% A pagar Vendedor]]&gt;0,1,0)</f>
        <v>7.15</v>
      </c>
      <c r="W611" s="46">
        <f>0.5%*Cobros[[#This Row],[Valor Pagado]]</f>
        <v>2.86</v>
      </c>
    </row>
    <row r="612" spans="1:24">
      <c r="A612" s="49" t="s">
        <v>3860</v>
      </c>
      <c r="B612" s="49" t="s">
        <v>4803</v>
      </c>
      <c r="C612" s="49" t="s">
        <v>1222</v>
      </c>
      <c r="D612" s="49" t="s">
        <v>1223</v>
      </c>
      <c r="E612" s="49" t="s">
        <v>4804</v>
      </c>
      <c r="F612" s="51">
        <v>46220</v>
      </c>
      <c r="G612" s="49">
        <v>500</v>
      </c>
      <c r="H612" s="49" t="s">
        <v>20</v>
      </c>
      <c r="I612" s="51">
        <v>46223</v>
      </c>
      <c r="J612" s="54">
        <f>INT(Cobros[[#This Row],[Fecha Cargo]])</f>
        <v>46220</v>
      </c>
      <c r="K612" s="54">
        <f>INT(Cobros[[#This Row],[Fecha Aplicacion]])</f>
        <v>46223</v>
      </c>
      <c r="L612" s="55" t="str">
        <f>INDEX(Clientes[Días Plazo],MATCH(Cobros[[#This Row],[Cod. Cliente]],Clientes[Codigo],0),1)</f>
        <v>7</v>
      </c>
      <c r="M612" s="45" t="str">
        <f>IF(Cobros[[#This Row],[Dias de Credito]]&lt;=0,"Contado","Credito")</f>
        <v>Credito</v>
      </c>
      <c r="N612" s="45">
        <f>Cobros[[#This Row],[Fecha Aplicación S]]-Cobros[[#This Row],[Fecha Cargo S]]</f>
        <v>3</v>
      </c>
      <c r="O612" s="45">
        <f>Cobros[[#This Row],[Dias al pago]]-Cobros[[#This Row],[Dias de Credito]]</f>
        <v>-4</v>
      </c>
      <c r="P612" s="45">
        <f>SUMIFS(TablaDias[Porcentaje],TablaDias[Tipo],Cobros[[#This Row],[Tipo]],TablaDias[Desde ],"&lt;="&amp;MAX(0,Cobros[[#This Row],[Dias pasado]]),TablaDias[Hasta ],"&gt;="&amp;Cobros[[#This Row],[Dias pasado]])</f>
        <v>100</v>
      </c>
      <c r="Q61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2" s="34">
        <f>IF(COUNTIF(PAPEL[Numero],Cobros[[#This Row],[Doc. Cargo]])&gt;0,1,0)</f>
        <v>0</v>
      </c>
      <c r="S612" s="46">
        <f t="array" ref="S6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2" s="46">
        <f t="array" ref="T612">INDEX(Ventas[[Unidades]:[2]],MATCH("Gerente de Venta",Ventas[Vendedor %],0),6+Cobros[[#This Row],[Mes]])</f>
        <v>0.005</v>
      </c>
      <c r="U612" s="34">
        <f>IF(Cobros[[#This Row],[Tipo]]="Credito",IF(60&gt;=Cobros[[#This Row],[Dias al pago]],1,0),IF(Cobros[[#This Row],[Dias al pago]]&lt;=3,1,0))</f>
        <v>1</v>
      </c>
      <c r="V612" s="46">
        <f>(Cobros[[#This Row],[% A pagar Vendedor]]/100)*Cobros[[#This Row],[Valor Pagado]]*Cobros[[#This Row],[Vencido]]*(Cobros[[#This Row],[% aplicar]]/100)*IF(Cobros[[#This Row],[% A pagar Vendedor]]&gt;0,1,0)</f>
        <v>6.25</v>
      </c>
      <c r="W612" s="46">
        <v>2.5</v>
      </c>
      <c r="X612" s="34"/>
    </row>
    <row r="613" spans="1:24">
      <c r="A613" s="49" t="s">
        <v>3860</v>
      </c>
      <c r="B613" s="49" t="s">
        <v>4805</v>
      </c>
      <c r="C613" s="49" t="s">
        <v>1222</v>
      </c>
      <c r="D613" s="49" t="s">
        <v>1223</v>
      </c>
      <c r="E613" s="49" t="s">
        <v>4804</v>
      </c>
      <c r="F613" s="51">
        <v>46220</v>
      </c>
      <c r="G613" s="49">
        <v>1499.1</v>
      </c>
      <c r="H613" s="49" t="s">
        <v>20</v>
      </c>
      <c r="I613" s="51">
        <v>46223</v>
      </c>
      <c r="J613" s="54">
        <f>INT(Cobros[[#This Row],[Fecha Cargo]])</f>
        <v>46220</v>
      </c>
      <c r="K613" s="54">
        <f>INT(Cobros[[#This Row],[Fecha Aplicacion]])</f>
        <v>46223</v>
      </c>
      <c r="L613" s="55" t="str">
        <f>INDEX(Clientes[Días Plazo],MATCH(Cobros[[#This Row],[Cod. Cliente]],Clientes[Codigo],0),1)</f>
        <v>7</v>
      </c>
      <c r="M613" s="45" t="str">
        <f>IF(Cobros[[#This Row],[Dias de Credito]]&lt;=0,"Contado","Credito")</f>
        <v>Credito</v>
      </c>
      <c r="N613" s="45">
        <f>Cobros[[#This Row],[Fecha Aplicación S]]-Cobros[[#This Row],[Fecha Cargo S]]</f>
        <v>3</v>
      </c>
      <c r="O613" s="45">
        <f>Cobros[[#This Row],[Dias al pago]]-Cobros[[#This Row],[Dias de Credito]]</f>
        <v>-4</v>
      </c>
      <c r="P613" s="45">
        <f>SUMIFS(TablaDias[Porcentaje],TablaDias[Tipo],Cobros[[#This Row],[Tipo]],TablaDias[Desde ],"&lt;="&amp;MAX(0,Cobros[[#This Row],[Dias pasado]]),TablaDias[Hasta ],"&gt;="&amp;Cobros[[#This Row],[Dias pasado]])</f>
        <v>100</v>
      </c>
      <c r="Q61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3" s="34">
        <f>IF(COUNTIF(PAPEL[Numero],Cobros[[#This Row],[Doc. Cargo]])&gt;0,1,0)</f>
        <v>0</v>
      </c>
      <c r="S613" s="46">
        <f t="array" ref="S6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3" s="46">
        <f t="array" ref="T613">INDEX(Ventas[[Unidades]:[2]],MATCH("Gerente de Venta",Ventas[Vendedor %],0),6+Cobros[[#This Row],[Mes]])</f>
        <v>0.005</v>
      </c>
      <c r="U613" s="34">
        <f>IF(Cobros[[#This Row],[Tipo]]="Credito",IF(60&gt;=Cobros[[#This Row],[Dias al pago]],1,0),IF(Cobros[[#This Row],[Dias al pago]]&lt;=3,1,0))</f>
        <v>1</v>
      </c>
      <c r="V613" s="46">
        <f>(Cobros[[#This Row],[% A pagar Vendedor]]/100)*Cobros[[#This Row],[Valor Pagado]]*Cobros[[#This Row],[Vencido]]*(Cobros[[#This Row],[% aplicar]]/100)*IF(Cobros[[#This Row],[% A pagar Vendedor]]&gt;0,1,0)</f>
        <v>18.73875</v>
      </c>
      <c r="W613" s="46">
        <f>0.5%*Cobros[[#This Row],[Valor Pagado]]</f>
        <v>7.4955</v>
      </c>
      <c r="X613" s="34"/>
    </row>
    <row r="614" spans="1:24">
      <c r="A614" s="49" t="s">
        <v>3884</v>
      </c>
      <c r="B614" s="49" t="s">
        <v>4806</v>
      </c>
      <c r="C614" s="49" t="s">
        <v>3697</v>
      </c>
      <c r="D614" s="49" t="s">
        <v>3698</v>
      </c>
      <c r="E614" s="49" t="s">
        <v>4807</v>
      </c>
      <c r="F614" s="51">
        <v>46223</v>
      </c>
      <c r="G614" s="49">
        <v>6.4</v>
      </c>
      <c r="H614" s="49" t="s">
        <v>16</v>
      </c>
      <c r="I614" s="51">
        <v>46223</v>
      </c>
      <c r="J614" s="54">
        <f>INT(Cobros[[#This Row],[Fecha Cargo]])</f>
        <v>46223</v>
      </c>
      <c r="K614" s="54">
        <f>INT(Cobros[[#This Row],[Fecha Aplicacion]])</f>
        <v>46223</v>
      </c>
      <c r="L614" s="55">
        <f>INDEX(Clientes[Días Plazo],MATCH(Cobros[[#This Row],[Cod. Cliente]],Clientes[Codigo],0),1)</f>
        <v>0</v>
      </c>
      <c r="M614" s="45" t="str">
        <f>IF(Cobros[[#This Row],[Dias de Credito]]&lt;=0,"Contado","Credito")</f>
        <v>Contado</v>
      </c>
      <c r="N614" s="45">
        <f>Cobros[[#This Row],[Fecha Aplicación S]]-Cobros[[#This Row],[Fecha Cargo S]]</f>
        <v>0</v>
      </c>
      <c r="O614" s="45">
        <f>Cobros[[#This Row],[Dias al pago]]-Cobros[[#This Row],[Dias de Credito]]</f>
        <v>0</v>
      </c>
      <c r="P614" s="45">
        <f>SUMIFS(TablaDias[Porcentaje],TablaDias[Tipo],Cobros[[#This Row],[Tipo]],TablaDias[Desde ],"&lt;="&amp;MAX(0,Cobros[[#This Row],[Dias pasado]]),TablaDias[Hasta ],"&gt;="&amp;Cobros[[#This Row],[Dias pasado]])</f>
        <v>100</v>
      </c>
      <c r="Q61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4" s="34">
        <f>IF(COUNTIF(PAPEL[Numero],Cobros[[#This Row],[Doc. Cargo]])&gt;0,1,0)</f>
        <v>0</v>
      </c>
      <c r="S614" s="46">
        <f t="array" ref="S6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4" s="47">
        <v>0.005</v>
      </c>
      <c r="U614" s="34">
        <f>IF(Cobros[[#This Row],[Tipo]]="Credito",IF(60&gt;=Cobros[[#This Row],[Dias al pago]],1,0),IF(Cobros[[#This Row],[Dias al pago]]&lt;=3,1,0))</f>
        <v>1</v>
      </c>
      <c r="V614" s="46">
        <f>(Cobros[[#This Row],[% A pagar Vendedor]]/100)*Cobros[[#This Row],[Valor Pagado]]*Cobros[[#This Row],[Vencido]]*(Cobros[[#This Row],[% aplicar]]/100)*IF(Cobros[[#This Row],[% A pagar Vendedor]]&gt;0,1,0)</f>
        <v>0.08</v>
      </c>
      <c r="W614" s="46">
        <f>0.5%*Cobros[[#This Row],[Valor Pagado]]</f>
        <v>0.032</v>
      </c>
      <c r="X614" s="34"/>
    </row>
    <row r="615" spans="1:24">
      <c r="A615" s="49" t="s">
        <v>3954</v>
      </c>
      <c r="B615" s="49" t="s">
        <v>4808</v>
      </c>
      <c r="C615" s="49" t="s">
        <v>731</v>
      </c>
      <c r="D615" s="49" t="s">
        <v>732</v>
      </c>
      <c r="E615" s="49" t="s">
        <v>4809</v>
      </c>
      <c r="F615" s="51">
        <v>46206</v>
      </c>
      <c r="G615" s="49">
        <v>1304</v>
      </c>
      <c r="H615" s="49" t="s">
        <v>20</v>
      </c>
      <c r="I615" s="51">
        <v>46223</v>
      </c>
      <c r="J615" s="54">
        <f>INT(Cobros[[#This Row],[Fecha Cargo]])</f>
        <v>46206</v>
      </c>
      <c r="K615" s="54">
        <f>INT(Cobros[[#This Row],[Fecha Aplicacion]])</f>
        <v>46223</v>
      </c>
      <c r="L615" s="55" t="str">
        <f>INDEX(Clientes[Días Plazo],MATCH(Cobros[[#This Row],[Cod. Cliente]],Clientes[Codigo],0),1)</f>
        <v>21</v>
      </c>
      <c r="M615" s="45" t="str">
        <f>IF(Cobros[[#This Row],[Dias de Credito]]&lt;=0,"Contado","Credito")</f>
        <v>Credito</v>
      </c>
      <c r="N615" s="45">
        <f>Cobros[[#This Row],[Fecha Aplicación S]]-Cobros[[#This Row],[Fecha Cargo S]]</f>
        <v>17</v>
      </c>
      <c r="O615" s="45">
        <f>Cobros[[#This Row],[Dias al pago]]-Cobros[[#This Row],[Dias de Credito]]</f>
        <v>-4</v>
      </c>
      <c r="P615" s="45">
        <f>SUMIFS(TablaDias[Porcentaje],TablaDias[Tipo],Cobros[[#This Row],[Tipo]],TablaDias[Desde ],"&lt;="&amp;MAX(0,Cobros[[#This Row],[Dias pasado]]),TablaDias[Hasta ],"&gt;="&amp;Cobros[[#This Row],[Dias pasado]])</f>
        <v>100</v>
      </c>
      <c r="Q61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5" s="34">
        <f>IF(COUNTIF(PAPEL[Numero],Cobros[[#This Row],[Doc. Cargo]])&gt;0,1,0)</f>
        <v>0</v>
      </c>
      <c r="S615" s="46">
        <f t="array" ref="S6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5" s="46">
        <f t="array" ref="T615">INDEX(Ventas[[Unidades]:[2]],MATCH("Gerente de Venta",Ventas[Vendedor %],0),6+Cobros[[#This Row],[Mes]])</f>
        <v>0.005</v>
      </c>
      <c r="U615" s="34">
        <f>IF(Cobros[[#This Row],[Tipo]]="Credito",IF(60&gt;=Cobros[[#This Row],[Dias al pago]],1,0),IF(Cobros[[#This Row],[Dias al pago]]&lt;=3,1,0))</f>
        <v>1</v>
      </c>
      <c r="V615" s="46">
        <f>(Cobros[[#This Row],[% A pagar Vendedor]]/100)*Cobros[[#This Row],[Valor Pagado]]*Cobros[[#This Row],[Vencido]]*(Cobros[[#This Row],[% aplicar]]/100)*IF(Cobros[[#This Row],[% A pagar Vendedor]]&gt;0,1,0)</f>
        <v>16.3</v>
      </c>
      <c r="W615" s="46">
        <f>0.5%*Cobros[[#This Row],[Valor Pagado]]</f>
        <v>6.52</v>
      </c>
      <c r="X615" s="34"/>
    </row>
    <row r="616" spans="1:24">
      <c r="A616" s="49" t="s">
        <v>3954</v>
      </c>
      <c r="B616" s="49" t="s">
        <v>4808</v>
      </c>
      <c r="C616" s="49" t="s">
        <v>731</v>
      </c>
      <c r="D616" s="49" t="s">
        <v>732</v>
      </c>
      <c r="E616" s="49" t="s">
        <v>4810</v>
      </c>
      <c r="F616" s="51">
        <v>46206</v>
      </c>
      <c r="G616" s="49">
        <v>414.5</v>
      </c>
      <c r="H616" s="49" t="s">
        <v>20</v>
      </c>
      <c r="I616" s="51">
        <v>46223</v>
      </c>
      <c r="J616" s="54">
        <f>INT(Cobros[[#This Row],[Fecha Cargo]])</f>
        <v>46206</v>
      </c>
      <c r="K616" s="54">
        <f>INT(Cobros[[#This Row],[Fecha Aplicacion]])</f>
        <v>46223</v>
      </c>
      <c r="L616" s="55" t="str">
        <f>INDEX(Clientes[Días Plazo],MATCH(Cobros[[#This Row],[Cod. Cliente]],Clientes[Codigo],0),1)</f>
        <v>21</v>
      </c>
      <c r="M616" s="45" t="str">
        <f>IF(Cobros[[#This Row],[Dias de Credito]]&lt;=0,"Contado","Credito")</f>
        <v>Credito</v>
      </c>
      <c r="N616" s="45">
        <f>Cobros[[#This Row],[Fecha Aplicación S]]-Cobros[[#This Row],[Fecha Cargo S]]</f>
        <v>17</v>
      </c>
      <c r="O616" s="45">
        <f>Cobros[[#This Row],[Dias al pago]]-Cobros[[#This Row],[Dias de Credito]]</f>
        <v>-4</v>
      </c>
      <c r="P616" s="45">
        <f>SUMIFS(TablaDias[Porcentaje],TablaDias[Tipo],Cobros[[#This Row],[Tipo]],TablaDias[Desde ],"&lt;="&amp;MAX(0,Cobros[[#This Row],[Dias pasado]]),TablaDias[Hasta ],"&gt;="&amp;Cobros[[#This Row],[Dias pasado]])</f>
        <v>100</v>
      </c>
      <c r="Q61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6" s="34">
        <f>IF(COUNTIF(PAPEL[Numero],Cobros[[#This Row],[Doc. Cargo]])&gt;0,1,0)</f>
        <v>0</v>
      </c>
      <c r="S616" s="46">
        <f t="array" ref="S6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16" s="46">
        <f t="array" ref="T616">INDEX(Ventas[[Unidades]:[2]],MATCH("Gerente de Venta",Ventas[Vendedor %],0),6+Cobros[[#This Row],[Mes]])</f>
        <v>0.005</v>
      </c>
      <c r="U616" s="34">
        <f>IF(Cobros[[#This Row],[Tipo]]="Credito",IF(60&gt;=Cobros[[#This Row],[Dias al pago]],1,0),IF(Cobros[[#This Row],[Dias al pago]]&lt;=3,1,0))</f>
        <v>1</v>
      </c>
      <c r="V616" s="46">
        <v>5.18125</v>
      </c>
      <c r="W616" s="46">
        <f>0.5%*Cobros[[#This Row],[Valor Pagado]]</f>
        <v>2.0725</v>
      </c>
      <c r="X616" s="34"/>
    </row>
    <row r="617" ht="30" spans="1:24">
      <c r="A617" s="49" t="s">
        <v>3904</v>
      </c>
      <c r="B617" s="49" t="s">
        <v>4811</v>
      </c>
      <c r="C617" s="49" t="s">
        <v>395</v>
      </c>
      <c r="D617" s="49" t="s">
        <v>396</v>
      </c>
      <c r="E617" s="49" t="s">
        <v>4812</v>
      </c>
      <c r="F617" s="51">
        <v>46220</v>
      </c>
      <c r="G617" s="49">
        <v>170.97</v>
      </c>
      <c r="H617" s="49" t="s">
        <v>1355</v>
      </c>
      <c r="I617" s="51">
        <v>46218</v>
      </c>
      <c r="J617" s="54">
        <f>INT(Cobros[[#This Row],[Fecha Cargo]])</f>
        <v>46220</v>
      </c>
      <c r="K617" s="54">
        <f>INT(Cobros[[#This Row],[Fecha Aplicacion]])</f>
        <v>46218</v>
      </c>
      <c r="L617" s="55">
        <f>INDEX(Clientes[Días Plazo],MATCH(Cobros[[#This Row],[Cod. Cliente]],Clientes[Codigo],0),1)</f>
        <v>0</v>
      </c>
      <c r="M617" s="45" t="str">
        <f>IF(Cobros[[#This Row],[Dias de Credito]]&lt;=0,"Contado","Credito")</f>
        <v>Contado</v>
      </c>
      <c r="N617" s="45">
        <f>Cobros[[#This Row],[Fecha Aplicación S]]-Cobros[[#This Row],[Fecha Cargo S]]</f>
        <v>-2</v>
      </c>
      <c r="O617" s="45">
        <f>Cobros[[#This Row],[Dias al pago]]-Cobros[[#This Row],[Dias de Credito]]</f>
        <v>-2</v>
      </c>
      <c r="P617" s="45">
        <f>SUMIFS(TablaDias[Porcentaje],TablaDias[Tipo],Cobros[[#This Row],[Tipo]],TablaDias[Desde ],"&lt;="&amp;MAX(0,Cobros[[#This Row],[Dias pasado]]),TablaDias[Hasta ],"&gt;="&amp;Cobros[[#This Row],[Dias pasado]])</f>
        <v>100</v>
      </c>
      <c r="Q61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7" s="34">
        <f>IF(COUNTIF(PAPEL[Numero],Cobros[[#This Row],[Doc. Cargo]])&gt;0,1,0)</f>
        <v>0</v>
      </c>
      <c r="S617" s="46">
        <v>1</v>
      </c>
      <c r="T617" s="46">
        <f t="array" ref="T617">INDEX(Ventas[[Unidades]:[2]],MATCH("Gerente de Venta",Ventas[Vendedor %],0),6+Cobros[[#This Row],[Mes]])</f>
        <v>0.005</v>
      </c>
      <c r="U617" s="34">
        <f>IF(Cobros[[#This Row],[Tipo]]="Credito",IF(60&gt;=Cobros[[#This Row],[Dias al pago]],1,0),IF(Cobros[[#This Row],[Dias al pago]]&lt;=3,1,0))</f>
        <v>1</v>
      </c>
      <c r="V617" s="46">
        <f>(Cobros[[#This Row],[% A pagar Vendedor]]/100)*Cobros[[#This Row],[Valor Pagado]]*Cobros[[#This Row],[Vencido]]*(Cobros[[#This Row],[% aplicar]]/100)*IF(Cobros[[#This Row],[% A pagar Vendedor]]&gt;0,1,0)</f>
        <v>1.7097</v>
      </c>
      <c r="W617" s="46">
        <f>0.5%*Cobros[[#This Row],[Valor Pagado]]</f>
        <v>0.85485</v>
      </c>
      <c r="X617" s="34"/>
    </row>
    <row r="618" ht="30" spans="1:24">
      <c r="A618" s="49" t="s">
        <v>3904</v>
      </c>
      <c r="B618" s="49" t="s">
        <v>4813</v>
      </c>
      <c r="C618" s="49" t="s">
        <v>395</v>
      </c>
      <c r="D618" s="49" t="s">
        <v>396</v>
      </c>
      <c r="E618" s="49" t="s">
        <v>4814</v>
      </c>
      <c r="F618" s="51">
        <v>46220</v>
      </c>
      <c r="G618" s="49">
        <v>347.41</v>
      </c>
      <c r="H618" s="49" t="s">
        <v>1355</v>
      </c>
      <c r="I618" s="51">
        <v>46218</v>
      </c>
      <c r="J618" s="54">
        <f>INT(Cobros[[#This Row],[Fecha Cargo]])</f>
        <v>46220</v>
      </c>
      <c r="K618" s="54">
        <f>INT(Cobros[[#This Row],[Fecha Aplicacion]])</f>
        <v>46218</v>
      </c>
      <c r="L618" s="55">
        <f>INDEX(Clientes[Días Plazo],MATCH(Cobros[[#This Row],[Cod. Cliente]],Clientes[Codigo],0),1)</f>
        <v>0</v>
      </c>
      <c r="M618" s="45" t="str">
        <f>IF(Cobros[[#This Row],[Dias de Credito]]&lt;=0,"Contado","Credito")</f>
        <v>Contado</v>
      </c>
      <c r="N618" s="45">
        <f>Cobros[[#This Row],[Fecha Aplicación S]]-Cobros[[#This Row],[Fecha Cargo S]]</f>
        <v>-2</v>
      </c>
      <c r="O618" s="45">
        <f>Cobros[[#This Row],[Dias al pago]]-Cobros[[#This Row],[Dias de Credito]]</f>
        <v>-2</v>
      </c>
      <c r="P618" s="45">
        <f>SUMIFS(TablaDias[Porcentaje],TablaDias[Tipo],Cobros[[#This Row],[Tipo]],TablaDias[Desde ],"&lt;="&amp;MAX(0,Cobros[[#This Row],[Dias pasado]]),TablaDias[Hasta ],"&gt;="&amp;Cobros[[#This Row],[Dias pasado]])</f>
        <v>100</v>
      </c>
      <c r="Q61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8" s="34">
        <f>IF(COUNTIF(PAPEL[Numero],Cobros[[#This Row],[Doc. Cargo]])&gt;0,1,0)</f>
        <v>0</v>
      </c>
      <c r="S618" s="46">
        <v>1</v>
      </c>
      <c r="T618" s="46">
        <f t="array" ref="T618">INDEX(Ventas[[Unidades]:[2]],MATCH("Gerente de Venta",Ventas[Vendedor %],0),6+Cobros[[#This Row],[Mes]])</f>
        <v>0.005</v>
      </c>
      <c r="U618" s="34">
        <f>IF(Cobros[[#This Row],[Tipo]]="Credito",IF(60&gt;=Cobros[[#This Row],[Dias al pago]],1,0),IF(Cobros[[#This Row],[Dias al pago]]&lt;=3,1,0))</f>
        <v>1</v>
      </c>
      <c r="V618" s="46">
        <f>(Cobros[[#This Row],[% A pagar Vendedor]]/100)*Cobros[[#This Row],[Valor Pagado]]*Cobros[[#This Row],[Vencido]]*(Cobros[[#This Row],[% aplicar]]/100)*IF(Cobros[[#This Row],[% A pagar Vendedor]]&gt;0,1,0)</f>
        <v>3.4741</v>
      </c>
      <c r="W618" s="46">
        <f>0.5%*Cobros[[#This Row],[Valor Pagado]]</f>
        <v>1.73705</v>
      </c>
      <c r="X618" s="34"/>
    </row>
    <row r="619" ht="30" spans="1:24">
      <c r="A619" s="49" t="s">
        <v>3860</v>
      </c>
      <c r="B619" s="49" t="s">
        <v>4815</v>
      </c>
      <c r="C619" s="49" t="s">
        <v>395</v>
      </c>
      <c r="D619" s="49" t="s">
        <v>396</v>
      </c>
      <c r="E619" s="49" t="s">
        <v>4816</v>
      </c>
      <c r="F619" s="51">
        <v>46220</v>
      </c>
      <c r="G619" s="49">
        <v>1238</v>
      </c>
      <c r="H619" s="49" t="s">
        <v>1355</v>
      </c>
      <c r="I619" s="51">
        <v>46218</v>
      </c>
      <c r="J619" s="54">
        <f>INT(Cobros[[#This Row],[Fecha Cargo]])</f>
        <v>46220</v>
      </c>
      <c r="K619" s="54">
        <f>INT(Cobros[[#This Row],[Fecha Aplicacion]])</f>
        <v>46218</v>
      </c>
      <c r="L619" s="55">
        <f>INDEX(Clientes[Días Plazo],MATCH(Cobros[[#This Row],[Cod. Cliente]],Clientes[Codigo],0),1)</f>
        <v>0</v>
      </c>
      <c r="M619" s="45" t="str">
        <f>IF(Cobros[[#This Row],[Dias de Credito]]&lt;=0,"Contado","Credito")</f>
        <v>Contado</v>
      </c>
      <c r="N619" s="45">
        <f>Cobros[[#This Row],[Fecha Aplicación S]]-Cobros[[#This Row],[Fecha Cargo S]]</f>
        <v>-2</v>
      </c>
      <c r="O619" s="45">
        <f>Cobros[[#This Row],[Dias al pago]]-Cobros[[#This Row],[Dias de Credito]]</f>
        <v>-2</v>
      </c>
      <c r="P619" s="45">
        <f>SUMIFS(TablaDias[Porcentaje],TablaDias[Tipo],Cobros[[#This Row],[Tipo]],TablaDias[Desde ],"&lt;="&amp;MAX(0,Cobros[[#This Row],[Dias pasado]]),TablaDias[Hasta ],"&gt;="&amp;Cobros[[#This Row],[Dias pasado]])</f>
        <v>100</v>
      </c>
      <c r="Q61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19" s="34">
        <f>IF(COUNTIF(PAPEL[Numero],Cobros[[#This Row],[Doc. Cargo]])&gt;0,1,0)</f>
        <v>0</v>
      </c>
      <c r="S619" s="46">
        <v>1</v>
      </c>
      <c r="T619" s="46">
        <f t="array" ref="T619">INDEX(Ventas[[Unidades]:[2]],MATCH("Gerente de Venta",Ventas[Vendedor %],0),6+Cobros[[#This Row],[Mes]])</f>
        <v>0.005</v>
      </c>
      <c r="U619" s="34">
        <f>IF(Cobros[[#This Row],[Tipo]]="Credito",IF(60&gt;=Cobros[[#This Row],[Dias al pago]],1,0),IF(Cobros[[#This Row],[Dias al pago]]&lt;=3,1,0))</f>
        <v>1</v>
      </c>
      <c r="V619" s="46">
        <f>(Cobros[[#This Row],[% A pagar Vendedor]]/100)*Cobros[[#This Row],[Valor Pagado]]*Cobros[[#This Row],[Vencido]]*(Cobros[[#This Row],[% aplicar]]/100)*IF(Cobros[[#This Row],[% A pagar Vendedor]]&gt;0,1,0)</f>
        <v>12.38</v>
      </c>
      <c r="W619" s="46">
        <f>0.5%*Cobros[[#This Row],[Valor Pagado]]</f>
        <v>6.19</v>
      </c>
      <c r="X619" s="34"/>
    </row>
    <row r="620" spans="1:24">
      <c r="A620" s="49" t="s">
        <v>3904</v>
      </c>
      <c r="B620" s="49" t="s">
        <v>4817</v>
      </c>
      <c r="C620" s="49" t="s">
        <v>965</v>
      </c>
      <c r="D620" s="49" t="s">
        <v>966</v>
      </c>
      <c r="E620" s="49" t="s">
        <v>4818</v>
      </c>
      <c r="F620" s="51">
        <v>46216</v>
      </c>
      <c r="G620" s="49">
        <v>1063.17</v>
      </c>
      <c r="H620" s="49" t="s">
        <v>20</v>
      </c>
      <c r="I620" s="51">
        <v>46216</v>
      </c>
      <c r="J620" s="54">
        <f>INT(Cobros[[#This Row],[Fecha Cargo]])</f>
        <v>46216</v>
      </c>
      <c r="K620" s="54">
        <f>INT(Cobros[[#This Row],[Fecha Aplicacion]])</f>
        <v>46216</v>
      </c>
      <c r="L620" s="55">
        <v>0</v>
      </c>
      <c r="M620" s="45" t="str">
        <f>IF(Cobros[[#This Row],[Dias de Credito]]&lt;=0,"Contado","Credito")</f>
        <v>Contado</v>
      </c>
      <c r="N620" s="45">
        <f>Cobros[[#This Row],[Fecha Aplicación S]]-Cobros[[#This Row],[Fecha Cargo S]]</f>
        <v>0</v>
      </c>
      <c r="O620" s="45">
        <f>Cobros[[#This Row],[Dias al pago]]-Cobros[[#This Row],[Dias de Credito]]</f>
        <v>0</v>
      </c>
      <c r="P620" s="45">
        <f>SUMIFS(TablaDias[Porcentaje],TablaDias[Tipo],Cobros[[#This Row],[Tipo]],TablaDias[Desde ],"&lt;="&amp;MAX(0,Cobros[[#This Row],[Dias pasado]]),TablaDias[Hasta ],"&gt;="&amp;Cobros[[#This Row],[Dias pasado]])</f>
        <v>100</v>
      </c>
      <c r="Q62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0" s="34">
        <f>IF(COUNTIF(PAPEL[Numero],Cobros[[#This Row],[Doc. Cargo]])&gt;0,1,0)</f>
        <v>0</v>
      </c>
      <c r="S620" s="46">
        <f t="array" ref="S6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0" s="46">
        <f t="array" ref="T620">INDEX(Ventas[[Unidades]:[2]],MATCH("Gerente de Venta",Ventas[Vendedor %],0),6+Cobros[[#This Row],[Mes]])</f>
        <v>0.005</v>
      </c>
      <c r="U620" s="34">
        <f>IF(Cobros[[#This Row],[Tipo]]="Credito",IF(60&gt;=Cobros[[#This Row],[Dias al pago]],1,0),IF(Cobros[[#This Row],[Dias al pago]]&lt;=3,1,0))</f>
        <v>1</v>
      </c>
      <c r="V620" s="46">
        <f>(Cobros[[#This Row],[% A pagar Vendedor]]/100)*Cobros[[#This Row],[Valor Pagado]]*Cobros[[#This Row],[Vencido]]*(Cobros[[#This Row],[% aplicar]]/100)*IF(Cobros[[#This Row],[% A pagar Vendedor]]&gt;0,1,0)</f>
        <v>13.289625</v>
      </c>
      <c r="W620" s="46">
        <f>0.5%*Cobros[[#This Row],[Valor Pagado]]</f>
        <v>5.31585</v>
      </c>
      <c r="X620" s="34"/>
    </row>
    <row r="621" ht="30" spans="1:24">
      <c r="A621" s="49" t="s">
        <v>3931</v>
      </c>
      <c r="B621" s="49" t="s">
        <v>4819</v>
      </c>
      <c r="C621" s="49" t="s">
        <v>3303</v>
      </c>
      <c r="D621" s="49" t="s">
        <v>3304</v>
      </c>
      <c r="E621" s="49" t="s">
        <v>4682</v>
      </c>
      <c r="F621" s="51">
        <v>46218</v>
      </c>
      <c r="G621" s="49">
        <v>3000</v>
      </c>
      <c r="H621" s="49" t="s">
        <v>3865</v>
      </c>
      <c r="I621" s="51">
        <v>46223</v>
      </c>
      <c r="J621" s="54">
        <f>INT(Cobros[[#This Row],[Fecha Cargo]])</f>
        <v>46218</v>
      </c>
      <c r="K621" s="54">
        <f>INT(Cobros[[#This Row],[Fecha Aplicacion]])</f>
        <v>46223</v>
      </c>
      <c r="L621" s="55" t="str">
        <f>INDEX(Clientes[Días Plazo],MATCH(Cobros[[#This Row],[Cod. Cliente]],Clientes[Codigo],0),1)</f>
        <v>15</v>
      </c>
      <c r="M621" s="45" t="str">
        <f>IF(Cobros[[#This Row],[Dias de Credito]]&lt;=0,"Contado","Credito")</f>
        <v>Credito</v>
      </c>
      <c r="N621" s="45">
        <f>Cobros[[#This Row],[Fecha Aplicación S]]-Cobros[[#This Row],[Fecha Cargo S]]</f>
        <v>5</v>
      </c>
      <c r="O621" s="45">
        <f>Cobros[[#This Row],[Dias al pago]]-Cobros[[#This Row],[Dias de Credito]]</f>
        <v>-10</v>
      </c>
      <c r="P621" s="45">
        <f>SUMIFS(TablaDias[Porcentaje],TablaDias[Tipo],Cobros[[#This Row],[Tipo]],TablaDias[Desde ],"&lt;="&amp;MAX(0,Cobros[[#This Row],[Dias pasado]]),TablaDias[Hasta ],"&gt;="&amp;Cobros[[#This Row],[Dias pasado]])</f>
        <v>100</v>
      </c>
      <c r="Q62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1" s="34">
        <f>IF(COUNTIF(PAPEL[Numero],Cobros[[#This Row],[Doc. Cargo]])&gt;0,1,0)</f>
        <v>0</v>
      </c>
      <c r="S621" s="46">
        <v>1</v>
      </c>
      <c r="T621" s="46">
        <f t="array" ref="T621">INDEX(Ventas[[Unidades]:[2]],MATCH("Gerente de Venta",Ventas[Vendedor %],0),6+Cobros[[#This Row],[Mes]])</f>
        <v>0.005</v>
      </c>
      <c r="U621" s="34">
        <f>IF(Cobros[[#This Row],[Tipo]]="Credito",IF(60&gt;=Cobros[[#This Row],[Dias al pago]],1,0),IF(Cobros[[#This Row],[Dias al pago]]&lt;=3,1,0))</f>
        <v>1</v>
      </c>
      <c r="V621" s="46">
        <f>(Cobros[[#This Row],[% A pagar Vendedor]]/100)*Cobros[[#This Row],[Valor Pagado]]*Cobros[[#This Row],[Vencido]]*(Cobros[[#This Row],[% aplicar]]/100)*IF(Cobros[[#This Row],[% A pagar Vendedor]]&gt;0,1,0)</f>
        <v>30</v>
      </c>
      <c r="W621" s="46">
        <f>0.5%*Cobros[[#This Row],[Valor Pagado]]</f>
        <v>15</v>
      </c>
      <c r="X621" s="34"/>
    </row>
    <row r="622" spans="1:24">
      <c r="A622" s="49" t="s">
        <v>3860</v>
      </c>
      <c r="B622" s="49" t="s">
        <v>4820</v>
      </c>
      <c r="C622" s="49" t="s">
        <v>1478</v>
      </c>
      <c r="D622" s="49" t="s">
        <v>1479</v>
      </c>
      <c r="E622" s="49" t="s">
        <v>4821</v>
      </c>
      <c r="F622" s="51">
        <v>46220</v>
      </c>
      <c r="G622" s="49">
        <v>232.95</v>
      </c>
      <c r="H622" s="49" t="s">
        <v>18</v>
      </c>
      <c r="I622" s="51">
        <v>46220</v>
      </c>
      <c r="J622" s="54">
        <f>INT(Cobros[[#This Row],[Fecha Cargo]])</f>
        <v>46220</v>
      </c>
      <c r="K622" s="54">
        <f>INT(Cobros[[#This Row],[Fecha Aplicacion]])</f>
        <v>46220</v>
      </c>
      <c r="L622" s="55" t="str">
        <f>INDEX(Clientes[Días Plazo],MATCH(Cobros[[#This Row],[Cod. Cliente]],Clientes[Codigo],0),1)</f>
        <v>3</v>
      </c>
      <c r="M622" s="45" t="str">
        <f>IF(Cobros[[#This Row],[Dias de Credito]]&lt;=0,"Contado","Credito")</f>
        <v>Credito</v>
      </c>
      <c r="N622" s="45">
        <f>Cobros[[#This Row],[Fecha Aplicación S]]-Cobros[[#This Row],[Fecha Cargo S]]</f>
        <v>0</v>
      </c>
      <c r="O622" s="45">
        <f>Cobros[[#This Row],[Dias al pago]]-Cobros[[#This Row],[Dias de Credito]]</f>
        <v>-3</v>
      </c>
      <c r="P622" s="45">
        <f>SUMIFS(TablaDias[Porcentaje],TablaDias[Tipo],Cobros[[#This Row],[Tipo]],TablaDias[Desde ],"&lt;="&amp;MAX(0,Cobros[[#This Row],[Dias pasado]]),TablaDias[Hasta ],"&gt;="&amp;Cobros[[#This Row],[Dias pasado]])</f>
        <v>100</v>
      </c>
      <c r="Q62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2" s="34">
        <f>IF(COUNTIF(PAPEL[Numero],Cobros[[#This Row],[Doc. Cargo]])&gt;0,1,0)</f>
        <v>0</v>
      </c>
      <c r="S622" s="46">
        <f t="array" ref="S6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2" s="46">
        <f t="array" ref="T622">INDEX(Ventas[[Unidades]:[2]],MATCH("Gerente de Venta",Ventas[Vendedor %],0),6+Cobros[[#This Row],[Mes]])</f>
        <v>0.005</v>
      </c>
      <c r="U622" s="34">
        <f>IF(Cobros[[#This Row],[Tipo]]="Credito",IF(60&gt;=Cobros[[#This Row],[Dias al pago]],1,0),IF(Cobros[[#This Row],[Dias al pago]]&lt;=3,1,0))</f>
        <v>1</v>
      </c>
      <c r="V622" s="46">
        <f>(Cobros[[#This Row],[% A pagar Vendedor]]/100)*Cobros[[#This Row],[Valor Pagado]]*Cobros[[#This Row],[Vencido]]*(Cobros[[#This Row],[% aplicar]]/100)*IF(Cobros[[#This Row],[% A pagar Vendedor]]&gt;0,1,0)</f>
        <v>2.911875</v>
      </c>
      <c r="W622" s="46">
        <f>0.5%*Cobros[[#This Row],[Valor Pagado]]</f>
        <v>1.16475</v>
      </c>
      <c r="X622" s="34"/>
    </row>
    <row r="623" ht="30" spans="1:24">
      <c r="A623" s="49" t="s">
        <v>3860</v>
      </c>
      <c r="B623" s="49" t="s">
        <v>4822</v>
      </c>
      <c r="C623" s="49" t="s">
        <v>3094</v>
      </c>
      <c r="D623" s="49" t="s">
        <v>3095</v>
      </c>
      <c r="E623" s="49" t="s">
        <v>4716</v>
      </c>
      <c r="F623" s="51">
        <v>46164</v>
      </c>
      <c r="G623" s="49">
        <v>550</v>
      </c>
      <c r="H623" s="49" t="s">
        <v>3865</v>
      </c>
      <c r="I623" s="51">
        <v>46223</v>
      </c>
      <c r="J623" s="54">
        <f>INT(Cobros[[#This Row],[Fecha Cargo]])</f>
        <v>46164</v>
      </c>
      <c r="K623" s="54">
        <f>INT(Cobros[[#This Row],[Fecha Aplicacion]])</f>
        <v>46223</v>
      </c>
      <c r="L623" s="55" t="str">
        <f>INDEX(Clientes[Días Plazo],MATCH(Cobros[[#This Row],[Cod. Cliente]],Clientes[Codigo],0),1)</f>
        <v>15</v>
      </c>
      <c r="M623" s="45" t="str">
        <f>IF(Cobros[[#This Row],[Dias de Credito]]&lt;=0,"Contado","Credito")</f>
        <v>Credito</v>
      </c>
      <c r="N623" s="45">
        <f>Cobros[[#This Row],[Fecha Aplicación S]]-Cobros[[#This Row],[Fecha Cargo S]]</f>
        <v>59</v>
      </c>
      <c r="O623" s="45">
        <f>Cobros[[#This Row],[Dias al pago]]-Cobros[[#This Row],[Dias de Credito]]</f>
        <v>44</v>
      </c>
      <c r="P623" s="45">
        <f>SUMIFS(TablaDias[Porcentaje],TablaDias[Tipo],Cobros[[#This Row],[Tipo]],TablaDias[Desde ],"&lt;="&amp;MAX(0,Cobros[[#This Row],[Dias pasado]]),TablaDias[Hasta ],"&gt;="&amp;Cobros[[#This Row],[Dias pasado]])</f>
        <v>30</v>
      </c>
      <c r="Q62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623" s="34">
        <f>IF(COUNTIF(PAPEL[Numero],Cobros[[#This Row],[Doc. Cargo]])&gt;0,1,0)</f>
        <v>0</v>
      </c>
      <c r="S623" s="46">
        <v>1</v>
      </c>
      <c r="T623" s="46">
        <f t="array" ref="T623">INDEX(Ventas[[Unidades]:[2]],MATCH("Gerente de Venta",Ventas[Vendedor %],0),6+Cobros[[#This Row],[Mes]])</f>
        <v>0.005</v>
      </c>
      <c r="U623" s="34">
        <f>IF(Cobros[[#This Row],[Tipo]]="Credito",IF(60&gt;=Cobros[[#This Row],[Dias al pago]],1,0),IF(Cobros[[#This Row],[Dias al pago]]&lt;=3,1,0))</f>
        <v>1</v>
      </c>
      <c r="V623" s="46">
        <f>(Cobros[[#This Row],[% A pagar Vendedor]]/100)*Cobros[[#This Row],[Valor Pagado]]*Cobros[[#This Row],[Vencido]]*(Cobros[[#This Row],[% aplicar]]/100)*IF(Cobros[[#This Row],[% A pagar Vendedor]]&gt;0,1,0)</f>
        <v>1.65</v>
      </c>
      <c r="W623" s="46">
        <f>0.5%*Cobros[[#This Row],[Valor Pagado]]</f>
        <v>2.75</v>
      </c>
      <c r="X623" s="34"/>
    </row>
    <row r="624" ht="30" spans="1:24">
      <c r="A624" s="49" t="s">
        <v>3860</v>
      </c>
      <c r="B624" s="49" t="s">
        <v>4823</v>
      </c>
      <c r="C624" s="49" t="s">
        <v>3130</v>
      </c>
      <c r="D624" s="49" t="s">
        <v>3131</v>
      </c>
      <c r="E624" s="49" t="s">
        <v>4824</v>
      </c>
      <c r="F624" s="51">
        <v>46223</v>
      </c>
      <c r="G624" s="49">
        <v>180.65</v>
      </c>
      <c r="H624" s="49" t="s">
        <v>3865</v>
      </c>
      <c r="I624" s="51">
        <v>46223</v>
      </c>
      <c r="J624" s="54">
        <f>INT(Cobros[[#This Row],[Fecha Cargo]])</f>
        <v>46223</v>
      </c>
      <c r="K624" s="54">
        <f>INT(Cobros[[#This Row],[Fecha Aplicacion]])</f>
        <v>46223</v>
      </c>
      <c r="L624" s="55">
        <f>INDEX(Clientes[Días Plazo],MATCH(Cobros[[#This Row],[Cod. Cliente]],Clientes[Codigo],0),1)</f>
        <v>0</v>
      </c>
      <c r="M624" s="45" t="str">
        <f>IF(Cobros[[#This Row],[Dias de Credito]]&lt;=0,"Contado","Credito")</f>
        <v>Contado</v>
      </c>
      <c r="N624" s="45">
        <f>Cobros[[#This Row],[Fecha Aplicación S]]-Cobros[[#This Row],[Fecha Cargo S]]</f>
        <v>0</v>
      </c>
      <c r="O624" s="45">
        <f>Cobros[[#This Row],[Dias al pago]]-Cobros[[#This Row],[Dias de Credito]]</f>
        <v>0</v>
      </c>
      <c r="P624" s="45">
        <f>SUMIFS(TablaDias[Porcentaje],TablaDias[Tipo],Cobros[[#This Row],[Tipo]],TablaDias[Desde ],"&lt;="&amp;MAX(0,Cobros[[#This Row],[Dias pasado]]),TablaDias[Hasta ],"&gt;="&amp;Cobros[[#This Row],[Dias pasado]])</f>
        <v>100</v>
      </c>
      <c r="Q62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4" s="34">
        <f>IF(COUNTIF(PAPEL[Numero],Cobros[[#This Row],[Doc. Cargo]])&gt;0,1,0)</f>
        <v>0</v>
      </c>
      <c r="S624" s="46">
        <v>1</v>
      </c>
      <c r="T624" s="46">
        <f t="array" ref="T624">INDEX(Ventas[[Unidades]:[2]],MATCH("Gerente de Venta",Ventas[Vendedor %],0),6+Cobros[[#This Row],[Mes]])</f>
        <v>0.005</v>
      </c>
      <c r="U624" s="34">
        <f>IF(Cobros[[#This Row],[Tipo]]="Credito",IF(60&gt;=Cobros[[#This Row],[Dias al pago]],1,0),IF(Cobros[[#This Row],[Dias al pago]]&lt;=3,1,0))</f>
        <v>1</v>
      </c>
      <c r="V624" s="46">
        <f>(Cobros[[#This Row],[% A pagar Vendedor]]/100)*Cobros[[#This Row],[Valor Pagado]]*Cobros[[#This Row],[Vencido]]*(Cobros[[#This Row],[% aplicar]]/100)*IF(Cobros[[#This Row],[% A pagar Vendedor]]&gt;0,1,0)</f>
        <v>1.8065</v>
      </c>
      <c r="W624" s="46">
        <f>0.5%*Cobros[[#This Row],[Valor Pagado]]</f>
        <v>0.90325</v>
      </c>
      <c r="X624" s="34"/>
    </row>
    <row r="625" spans="1:24">
      <c r="A625" s="49" t="s">
        <v>3860</v>
      </c>
      <c r="B625" s="49" t="s">
        <v>4825</v>
      </c>
      <c r="C625" s="49" t="s">
        <v>255</v>
      </c>
      <c r="D625" s="49" t="s">
        <v>256</v>
      </c>
      <c r="E625" s="49" t="s">
        <v>4377</v>
      </c>
      <c r="F625" s="51">
        <v>46213</v>
      </c>
      <c r="G625" s="49">
        <v>100</v>
      </c>
      <c r="H625" s="49" t="s">
        <v>16</v>
      </c>
      <c r="I625" s="51">
        <v>46223</v>
      </c>
      <c r="J625" s="54">
        <f>INT(Cobros[[#This Row],[Fecha Cargo]])</f>
        <v>46213</v>
      </c>
      <c r="K625" s="54">
        <f>INT(Cobros[[#This Row],[Fecha Aplicacion]])</f>
        <v>46223</v>
      </c>
      <c r="L625" s="55" t="str">
        <f>INDEX(Clientes[Días Plazo],MATCH(Cobros[[#This Row],[Cod. Cliente]],Clientes[Codigo],0),1)</f>
        <v>15</v>
      </c>
      <c r="M625" s="45" t="str">
        <f>IF(Cobros[[#This Row],[Dias de Credito]]&lt;=0,"Contado","Credito")</f>
        <v>Credito</v>
      </c>
      <c r="N625" s="45">
        <f>Cobros[[#This Row],[Fecha Aplicación S]]-Cobros[[#This Row],[Fecha Cargo S]]</f>
        <v>10</v>
      </c>
      <c r="O625" s="45">
        <f>Cobros[[#This Row],[Dias al pago]]-Cobros[[#This Row],[Dias de Credito]]</f>
        <v>-5</v>
      </c>
      <c r="P625" s="45">
        <f>SUMIFS(TablaDias[Porcentaje],TablaDias[Tipo],Cobros[[#This Row],[Tipo]],TablaDias[Desde ],"&lt;="&amp;MAX(0,Cobros[[#This Row],[Dias pasado]]),TablaDias[Hasta ],"&gt;="&amp;Cobros[[#This Row],[Dias pasado]])</f>
        <v>100</v>
      </c>
      <c r="Q62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5" s="34">
        <f>IF(COUNTIF(PAPEL[Numero],Cobros[[#This Row],[Doc. Cargo]])&gt;0,1,0)</f>
        <v>0</v>
      </c>
      <c r="S625" s="46">
        <f t="array" ref="S6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5" s="47">
        <v>0.005</v>
      </c>
      <c r="U625" s="34">
        <f>IF(Cobros[[#This Row],[Tipo]]="Credito",IF(60&gt;=Cobros[[#This Row],[Dias al pago]],1,0),IF(Cobros[[#This Row],[Dias al pago]]&lt;=3,1,0))</f>
        <v>1</v>
      </c>
      <c r="V625" s="46">
        <f>(Cobros[[#This Row],[% A pagar Vendedor]]/100)*Cobros[[#This Row],[Valor Pagado]]*Cobros[[#This Row],[Vencido]]*(Cobros[[#This Row],[% aplicar]]/100)*IF(Cobros[[#This Row],[% A pagar Vendedor]]&gt;0,1,0)</f>
        <v>1.25</v>
      </c>
      <c r="W625" s="46">
        <f>0.5%*Cobros[[#This Row],[Valor Pagado]]</f>
        <v>0.5</v>
      </c>
      <c r="X625" s="34"/>
    </row>
    <row r="626" spans="1:24">
      <c r="A626" s="49" t="s">
        <v>3860</v>
      </c>
      <c r="B626" s="49" t="s">
        <v>4826</v>
      </c>
      <c r="C626" s="49" t="s">
        <v>2380</v>
      </c>
      <c r="D626" s="49" t="s">
        <v>2381</v>
      </c>
      <c r="E626" s="49" t="s">
        <v>4827</v>
      </c>
      <c r="F626" s="51">
        <v>46206</v>
      </c>
      <c r="G626" s="49">
        <v>264</v>
      </c>
      <c r="H626" s="49" t="s">
        <v>19</v>
      </c>
      <c r="I626" s="51">
        <v>46223</v>
      </c>
      <c r="J626" s="54">
        <f>INT(Cobros[[#This Row],[Fecha Cargo]])</f>
        <v>46206</v>
      </c>
      <c r="K626" s="54">
        <f>INT(Cobros[[#This Row],[Fecha Aplicacion]])</f>
        <v>46223</v>
      </c>
      <c r="L626" s="55" t="str">
        <f>INDEX(Clientes[Días Plazo],MATCH(Cobros[[#This Row],[Cod. Cliente]],Clientes[Codigo],0),1)</f>
        <v>15</v>
      </c>
      <c r="M626" s="45" t="str">
        <f>IF(Cobros[[#This Row],[Dias de Credito]]&lt;=0,"Contado","Credito")</f>
        <v>Credito</v>
      </c>
      <c r="N626" s="45">
        <f>Cobros[[#This Row],[Fecha Aplicación S]]-Cobros[[#This Row],[Fecha Cargo S]]</f>
        <v>17</v>
      </c>
      <c r="O626" s="45">
        <f>Cobros[[#This Row],[Dias al pago]]-Cobros[[#This Row],[Dias de Credito]]</f>
        <v>2</v>
      </c>
      <c r="P626" s="45">
        <f>SUMIFS(TablaDias[Porcentaje],TablaDias[Tipo],Cobros[[#This Row],[Tipo]],TablaDias[Desde ],"&lt;="&amp;MAX(0,Cobros[[#This Row],[Dias pasado]]),TablaDias[Hasta ],"&gt;="&amp;Cobros[[#This Row],[Dias pasado]])</f>
        <v>100</v>
      </c>
      <c r="Q62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6" s="34">
        <f>IF(COUNTIF(PAPEL[Numero],Cobros[[#This Row],[Doc. Cargo]])&gt;0,1,0)</f>
        <v>0</v>
      </c>
      <c r="S626" s="46">
        <f t="array" ref="S6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6" s="46">
        <f t="array" ref="T626">INDEX(Ventas[[Unidades]:[2]],MATCH("Gerente de Venta",Ventas[Vendedor %],0),6+Cobros[[#This Row],[Mes]])</f>
        <v>0.005</v>
      </c>
      <c r="U626" s="34">
        <f>IF(Cobros[[#This Row],[Tipo]]="Credito",IF(60&gt;=Cobros[[#This Row],[Dias al pago]],1,0),IF(Cobros[[#This Row],[Dias al pago]]&lt;=3,1,0))</f>
        <v>1</v>
      </c>
      <c r="V626" s="46">
        <f>(Cobros[[#This Row],[% A pagar Vendedor]]/100)*Cobros[[#This Row],[Valor Pagado]]*Cobros[[#This Row],[Vencido]]*(Cobros[[#This Row],[% aplicar]]/100)*IF(Cobros[[#This Row],[% A pagar Vendedor]]&gt;0,1,0)</f>
        <v>3.3</v>
      </c>
      <c r="W626" s="46">
        <f>0.5%*Cobros[[#This Row],[Valor Pagado]]</f>
        <v>1.32</v>
      </c>
      <c r="X626" s="34"/>
    </row>
    <row r="627" ht="30" spans="1:24">
      <c r="A627" s="49" t="s">
        <v>3954</v>
      </c>
      <c r="B627" s="49" t="s">
        <v>4828</v>
      </c>
      <c r="C627" s="49" t="s">
        <v>2863</v>
      </c>
      <c r="D627" s="49" t="s">
        <v>2864</v>
      </c>
      <c r="E627" s="49" t="s">
        <v>4829</v>
      </c>
      <c r="F627" s="51">
        <v>46185</v>
      </c>
      <c r="G627" s="49">
        <v>5985</v>
      </c>
      <c r="H627" s="49" t="s">
        <v>22</v>
      </c>
      <c r="I627" s="51">
        <v>46223</v>
      </c>
      <c r="J627" s="54">
        <f>INT(Cobros[[#This Row],[Fecha Cargo]])</f>
        <v>46185</v>
      </c>
      <c r="K627" s="54">
        <f>INT(Cobros[[#This Row],[Fecha Aplicacion]])</f>
        <v>46223</v>
      </c>
      <c r="L627" s="55" t="str">
        <f>INDEX(Clientes[Días Plazo],MATCH(Cobros[[#This Row],[Cod. Cliente]],Clientes[Codigo],0),1)</f>
        <v>30</v>
      </c>
      <c r="M627" s="45" t="str">
        <f>IF(Cobros[[#This Row],[Dias de Credito]]&lt;=0,"Contado","Credito")</f>
        <v>Credito</v>
      </c>
      <c r="N627" s="45">
        <f>Cobros[[#This Row],[Fecha Aplicación S]]-Cobros[[#This Row],[Fecha Cargo S]]</f>
        <v>38</v>
      </c>
      <c r="O627" s="45">
        <f>Cobros[[#This Row],[Dias al pago]]-Cobros[[#This Row],[Dias de Credito]]</f>
        <v>8</v>
      </c>
      <c r="P627" s="45">
        <f>SUMIFS(TablaDias[Porcentaje],TablaDias[Tipo],Cobros[[#This Row],[Tipo]],TablaDias[Desde ],"&lt;="&amp;MAX(0,Cobros[[#This Row],[Dias pasado]]),TablaDias[Hasta ],"&gt;="&amp;Cobros[[#This Row],[Dias pasado]])</f>
        <v>100</v>
      </c>
      <c r="Q62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27" s="34">
        <f>IF(COUNTIF(PAPEL[Numero],Cobros[[#This Row],[Doc. Cargo]])&gt;0,1,0)</f>
        <v>0</v>
      </c>
      <c r="S627" s="46">
        <f t="array" ref="S6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27" s="46">
        <f t="array" ref="T627">INDEX(Ventas[[Unidades]:[2]],MATCH("Gerente de Venta",Ventas[Vendedor %],0),6+Cobros[[#This Row],[Mes]])</f>
        <v>0.005</v>
      </c>
      <c r="U627" s="34">
        <f>IF(Cobros[[#This Row],[Tipo]]="Credito",IF(60&gt;=Cobros[[#This Row],[Dias al pago]],1,0),IF(Cobros[[#This Row],[Dias al pago]]&lt;=3,1,0))</f>
        <v>1</v>
      </c>
      <c r="V627" s="46">
        <f>(Cobros[[#This Row],[% A pagar Vendedor]]/100)*Cobros[[#This Row],[Valor Pagado]]*Cobros[[#This Row],[Vencido]]*(Cobros[[#This Row],[% aplicar]]/100)*IF(Cobros[[#This Row],[% A pagar Vendedor]]&gt;0,1,0)</f>
        <v>59.85</v>
      </c>
      <c r="W627" s="46">
        <f>0.5%*Cobros[[#This Row],[Valor Pagado]]</f>
        <v>29.925</v>
      </c>
      <c r="X627" s="34"/>
    </row>
    <row r="628" spans="1:24">
      <c r="A628" s="49" t="s">
        <v>3860</v>
      </c>
      <c r="B628" s="49" t="s">
        <v>4830</v>
      </c>
      <c r="C628" s="49" t="s">
        <v>2380</v>
      </c>
      <c r="D628" s="49" t="s">
        <v>2381</v>
      </c>
      <c r="E628" s="49" t="s">
        <v>4831</v>
      </c>
      <c r="F628" s="51">
        <v>46196</v>
      </c>
      <c r="G628" s="49">
        <v>403.95</v>
      </c>
      <c r="H628" s="49" t="s">
        <v>19</v>
      </c>
      <c r="I628" s="51">
        <v>46223</v>
      </c>
      <c r="J628" s="54">
        <f>INT(Cobros[[#This Row],[Fecha Cargo]])</f>
        <v>46196</v>
      </c>
      <c r="K628" s="54">
        <f>INT(Cobros[[#This Row],[Fecha Aplicacion]])</f>
        <v>46223</v>
      </c>
      <c r="L628" s="55" t="str">
        <f>INDEX(Clientes[Días Plazo],MATCH(Cobros[[#This Row],[Cod. Cliente]],Clientes[Codigo],0),1)</f>
        <v>15</v>
      </c>
      <c r="M628" s="45" t="str">
        <f>IF(Cobros[[#This Row],[Dias de Credito]]&lt;=0,"Contado","Credito")</f>
        <v>Credito</v>
      </c>
      <c r="N628" s="45">
        <f>Cobros[[#This Row],[Fecha Aplicación S]]-Cobros[[#This Row],[Fecha Cargo S]]</f>
        <v>27</v>
      </c>
      <c r="O628" s="45">
        <f>Cobros[[#This Row],[Dias al pago]]-Cobros[[#This Row],[Dias de Credito]]</f>
        <v>12</v>
      </c>
      <c r="P628" s="45">
        <f>SUMIFS(TablaDias[Porcentaje],TablaDias[Tipo],Cobros[[#This Row],[Tipo]],TablaDias[Desde ],"&lt;="&amp;MAX(0,Cobros[[#This Row],[Dias pasado]]),TablaDias[Hasta ],"&gt;="&amp;Cobros[[#This Row],[Dias pasado]])</f>
        <v>100</v>
      </c>
      <c r="Q62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28" s="34">
        <f>IF(COUNTIF(PAPEL[Numero],Cobros[[#This Row],[Doc. Cargo]])&gt;0,1,0)</f>
        <v>0</v>
      </c>
      <c r="S628" s="46">
        <f t="array" ref="S6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28" s="46">
        <f t="array" ref="T628">INDEX(Ventas[[Unidades]:[2]],MATCH("Gerente de Venta",Ventas[Vendedor %],0),6+Cobros[[#This Row],[Mes]])</f>
        <v>0.005</v>
      </c>
      <c r="U628" s="34">
        <f>IF(Cobros[[#This Row],[Tipo]]="Credito",IF(60&gt;=Cobros[[#This Row],[Dias al pago]],1,0),IF(Cobros[[#This Row],[Dias al pago]]&lt;=3,1,0))</f>
        <v>1</v>
      </c>
      <c r="V628" s="46">
        <f>(Cobros[[#This Row],[% A pagar Vendedor]]/100)*Cobros[[#This Row],[Valor Pagado]]*Cobros[[#This Row],[Vencido]]*(Cobros[[#This Row],[% aplicar]]/100)*IF(Cobros[[#This Row],[% A pagar Vendedor]]&gt;0,1,0)</f>
        <v>5.049375</v>
      </c>
      <c r="W628" s="46">
        <f>0.5%*Cobros[[#This Row],[Valor Pagado]]</f>
        <v>2.01975</v>
      </c>
      <c r="X628" s="34"/>
    </row>
    <row r="629" ht="30" spans="1:24">
      <c r="A629" s="49" t="s">
        <v>3884</v>
      </c>
      <c r="B629" s="49" t="s">
        <v>4832</v>
      </c>
      <c r="C629" s="49" t="s">
        <v>2663</v>
      </c>
      <c r="D629" s="49" t="s">
        <v>2664</v>
      </c>
      <c r="E629" s="49" t="s">
        <v>4833</v>
      </c>
      <c r="F629" s="51">
        <v>46223</v>
      </c>
      <c r="G629" s="49">
        <v>266</v>
      </c>
      <c r="H629" s="49" t="s">
        <v>22</v>
      </c>
      <c r="I629" s="51">
        <v>46223</v>
      </c>
      <c r="J629" s="54">
        <f>INT(Cobros[[#This Row],[Fecha Cargo]])</f>
        <v>46223</v>
      </c>
      <c r="K629" s="54">
        <f>INT(Cobros[[#This Row],[Fecha Aplicacion]])</f>
        <v>46223</v>
      </c>
      <c r="L629" s="55">
        <f>INDEX(Clientes[Días Plazo],MATCH(Cobros[[#This Row],[Cod. Cliente]],Clientes[Codigo],0),1)</f>
        <v>0</v>
      </c>
      <c r="M629" s="45" t="str">
        <f>IF(Cobros[[#This Row],[Dias de Credito]]&lt;=0,"Contado","Credito")</f>
        <v>Contado</v>
      </c>
      <c r="N629" s="45">
        <f>Cobros[[#This Row],[Fecha Aplicación S]]-Cobros[[#This Row],[Fecha Cargo S]]</f>
        <v>0</v>
      </c>
      <c r="O629" s="45">
        <f>Cobros[[#This Row],[Dias al pago]]-Cobros[[#This Row],[Dias de Credito]]</f>
        <v>0</v>
      </c>
      <c r="P629" s="45">
        <f>SUMIFS(TablaDias[Porcentaje],TablaDias[Tipo],Cobros[[#This Row],[Tipo]],TablaDias[Desde ],"&lt;="&amp;MAX(0,Cobros[[#This Row],[Dias pasado]]),TablaDias[Hasta ],"&gt;="&amp;Cobros[[#This Row],[Dias pasado]])</f>
        <v>100</v>
      </c>
      <c r="Q62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29" s="34">
        <f>IF(COUNTIF(PAPEL[Numero],Cobros[[#This Row],[Doc. Cargo]])&gt;0,1,0)</f>
        <v>0</v>
      </c>
      <c r="S629" s="46">
        <f t="array" ref="S6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29" s="46">
        <f t="array" ref="T629">INDEX(Ventas[[Unidades]:[2]],MATCH("Gerente de Venta",Ventas[Vendedor %],0),6+Cobros[[#This Row],[Mes]])</f>
        <v>0.005</v>
      </c>
      <c r="U629" s="34">
        <f>IF(Cobros[[#This Row],[Tipo]]="Credito",IF(60&gt;=Cobros[[#This Row],[Dias al pago]],1,0),IF(Cobros[[#This Row],[Dias al pago]]&lt;=3,1,0))</f>
        <v>1</v>
      </c>
      <c r="V629" s="46">
        <f>(Cobros[[#This Row],[% A pagar Vendedor]]/100)*Cobros[[#This Row],[Valor Pagado]]*Cobros[[#This Row],[Vencido]]*(Cobros[[#This Row],[% aplicar]]/100)*IF(Cobros[[#This Row],[% A pagar Vendedor]]&gt;0,1,0)</f>
        <v>2.66</v>
      </c>
      <c r="W629" s="46">
        <f>0.5%*Cobros[[#This Row],[Valor Pagado]]</f>
        <v>1.33</v>
      </c>
      <c r="X629" s="34"/>
    </row>
    <row r="630" spans="1:24">
      <c r="A630" s="49" t="s">
        <v>3875</v>
      </c>
      <c r="B630" s="49" t="s">
        <v>4834</v>
      </c>
      <c r="C630" s="49" t="s">
        <v>3697</v>
      </c>
      <c r="D630" s="49" t="s">
        <v>3698</v>
      </c>
      <c r="E630" s="49" t="s">
        <v>4807</v>
      </c>
      <c r="F630" s="51">
        <v>46223</v>
      </c>
      <c r="G630" s="49">
        <v>660</v>
      </c>
      <c r="H630" s="49" t="s">
        <v>16</v>
      </c>
      <c r="I630" s="51">
        <v>46223</v>
      </c>
      <c r="J630" s="54">
        <f>INT(Cobros[[#This Row],[Fecha Cargo]])</f>
        <v>46223</v>
      </c>
      <c r="K630" s="54">
        <f>INT(Cobros[[#This Row],[Fecha Aplicacion]])</f>
        <v>46223</v>
      </c>
      <c r="L630" s="55">
        <f>INDEX(Clientes[Días Plazo],MATCH(Cobros[[#This Row],[Cod. Cliente]],Clientes[Codigo],0),1)</f>
        <v>0</v>
      </c>
      <c r="M630" s="45" t="str">
        <f>IF(Cobros[[#This Row],[Dias de Credito]]&lt;=0,"Contado","Credito")</f>
        <v>Contado</v>
      </c>
      <c r="N630" s="45">
        <f>Cobros[[#This Row],[Fecha Aplicación S]]-Cobros[[#This Row],[Fecha Cargo S]]</f>
        <v>0</v>
      </c>
      <c r="O630" s="45">
        <f>Cobros[[#This Row],[Dias al pago]]-Cobros[[#This Row],[Dias de Credito]]</f>
        <v>0</v>
      </c>
      <c r="P630" s="45">
        <f>SUMIFS(TablaDias[Porcentaje],TablaDias[Tipo],Cobros[[#This Row],[Tipo]],TablaDias[Desde ],"&lt;="&amp;MAX(0,Cobros[[#This Row],[Dias pasado]]),TablaDias[Hasta ],"&gt;="&amp;Cobros[[#This Row],[Dias pasado]])</f>
        <v>100</v>
      </c>
      <c r="Q63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30" s="34">
        <f>IF(COUNTIF(PAPEL[Numero],Cobros[[#This Row],[Doc. Cargo]])&gt;0,1,0)</f>
        <v>0</v>
      </c>
      <c r="S630" s="46">
        <f t="array" ref="S6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0" s="47">
        <v>0.005</v>
      </c>
      <c r="U630" s="34">
        <f>IF(Cobros[[#This Row],[Tipo]]="Credito",IF(60&gt;=Cobros[[#This Row],[Dias al pago]],1,0),IF(Cobros[[#This Row],[Dias al pago]]&lt;=3,1,0))</f>
        <v>1</v>
      </c>
      <c r="V630" s="46">
        <f>(Cobros[[#This Row],[% A pagar Vendedor]]/100)*Cobros[[#This Row],[Valor Pagado]]*Cobros[[#This Row],[Vencido]]*(Cobros[[#This Row],[% aplicar]]/100)*IF(Cobros[[#This Row],[% A pagar Vendedor]]&gt;0,1,0)</f>
        <v>8.25</v>
      </c>
      <c r="W630" s="46">
        <f>0.5%*Cobros[[#This Row],[Valor Pagado]]</f>
        <v>3.3</v>
      </c>
      <c r="X630" s="34"/>
    </row>
    <row r="631" spans="1:24">
      <c r="A631" s="49" t="s">
        <v>3884</v>
      </c>
      <c r="B631" s="49" t="s">
        <v>4835</v>
      </c>
      <c r="C631" s="49" t="s">
        <v>484</v>
      </c>
      <c r="D631" s="49" t="s">
        <v>485</v>
      </c>
      <c r="E631" s="49" t="s">
        <v>4470</v>
      </c>
      <c r="F631" s="51">
        <v>46185</v>
      </c>
      <c r="G631" s="49">
        <v>736.14</v>
      </c>
      <c r="H631" s="49" t="s">
        <v>19</v>
      </c>
      <c r="I631" s="51">
        <v>46223</v>
      </c>
      <c r="J631" s="54">
        <f>INT(Cobros[[#This Row],[Fecha Cargo]])</f>
        <v>46185</v>
      </c>
      <c r="K631" s="54">
        <f>INT(Cobros[[#This Row],[Fecha Aplicacion]])</f>
        <v>46223</v>
      </c>
      <c r="L631" s="55" t="str">
        <f>INDEX(Clientes[Días Plazo],MATCH(Cobros[[#This Row],[Cod. Cliente]],Clientes[Codigo],0),1)</f>
        <v>30</v>
      </c>
      <c r="M631" s="45" t="str">
        <f>IF(Cobros[[#This Row],[Dias de Credito]]&lt;=0,"Contado","Credito")</f>
        <v>Credito</v>
      </c>
      <c r="N631" s="45">
        <f>Cobros[[#This Row],[Fecha Aplicación S]]-Cobros[[#This Row],[Fecha Cargo S]]</f>
        <v>38</v>
      </c>
      <c r="O631" s="45">
        <f>Cobros[[#This Row],[Dias al pago]]-Cobros[[#This Row],[Dias de Credito]]</f>
        <v>8</v>
      </c>
      <c r="P631" s="45">
        <f>SUMIFS(TablaDias[Porcentaje],TablaDias[Tipo],Cobros[[#This Row],[Tipo]],TablaDias[Desde ],"&lt;="&amp;MAX(0,Cobros[[#This Row],[Dias pasado]]),TablaDias[Hasta ],"&gt;="&amp;Cobros[[#This Row],[Dias pasado]])</f>
        <v>100</v>
      </c>
      <c r="Q63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1" s="34">
        <f>IF(COUNTIF(PAPEL[Numero],Cobros[[#This Row],[Doc. Cargo]])&gt;0,1,0)</f>
        <v>0</v>
      </c>
      <c r="S631" s="46">
        <f t="array" ref="S6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1" s="46">
        <f t="array" ref="T631">INDEX(Ventas[[Unidades]:[2]],MATCH("Gerente de Venta",Ventas[Vendedor %],0),6+Cobros[[#This Row],[Mes]])</f>
        <v>0.005</v>
      </c>
      <c r="U631" s="34">
        <f>IF(Cobros[[#This Row],[Tipo]]="Credito",IF(60&gt;=Cobros[[#This Row],[Dias al pago]],1,0),IF(Cobros[[#This Row],[Dias al pago]]&lt;=3,1,0))</f>
        <v>1</v>
      </c>
      <c r="V631" s="46">
        <f>(Cobros[[#This Row],[% A pagar Vendedor]]/100)*Cobros[[#This Row],[Valor Pagado]]*Cobros[[#This Row],[Vencido]]*(Cobros[[#This Row],[% aplicar]]/100)*IF(Cobros[[#This Row],[% A pagar Vendedor]]&gt;0,1,0)</f>
        <v>9.20175</v>
      </c>
      <c r="W631" s="46">
        <f>0.5%*Cobros[[#This Row],[Valor Pagado]]</f>
        <v>3.6807</v>
      </c>
      <c r="X631" s="34"/>
    </row>
    <row r="632" spans="1:24">
      <c r="A632" s="49" t="s">
        <v>3884</v>
      </c>
      <c r="B632" s="49" t="s">
        <v>4836</v>
      </c>
      <c r="C632" s="49" t="s">
        <v>484</v>
      </c>
      <c r="D632" s="49" t="s">
        <v>485</v>
      </c>
      <c r="E632" s="49" t="s">
        <v>4470</v>
      </c>
      <c r="F632" s="51">
        <v>46185</v>
      </c>
      <c r="G632" s="49">
        <v>738.64</v>
      </c>
      <c r="H632" s="49" t="s">
        <v>19</v>
      </c>
      <c r="I632" s="51">
        <v>46223</v>
      </c>
      <c r="J632" s="54">
        <f>INT(Cobros[[#This Row],[Fecha Cargo]])</f>
        <v>46185</v>
      </c>
      <c r="K632" s="54">
        <f>INT(Cobros[[#This Row],[Fecha Aplicacion]])</f>
        <v>46223</v>
      </c>
      <c r="L632" s="55" t="str">
        <f>INDEX(Clientes[Días Plazo],MATCH(Cobros[[#This Row],[Cod. Cliente]],Clientes[Codigo],0),1)</f>
        <v>30</v>
      </c>
      <c r="M632" s="45" t="str">
        <f>IF(Cobros[[#This Row],[Dias de Credito]]&lt;=0,"Contado","Credito")</f>
        <v>Credito</v>
      </c>
      <c r="N632" s="45">
        <f>Cobros[[#This Row],[Fecha Aplicación S]]-Cobros[[#This Row],[Fecha Cargo S]]</f>
        <v>38</v>
      </c>
      <c r="O632" s="45">
        <f>Cobros[[#This Row],[Dias al pago]]-Cobros[[#This Row],[Dias de Credito]]</f>
        <v>8</v>
      </c>
      <c r="P632" s="45">
        <f>SUMIFS(TablaDias[Porcentaje],TablaDias[Tipo],Cobros[[#This Row],[Tipo]],TablaDias[Desde ],"&lt;="&amp;MAX(0,Cobros[[#This Row],[Dias pasado]]),TablaDias[Hasta ],"&gt;="&amp;Cobros[[#This Row],[Dias pasado]])</f>
        <v>100</v>
      </c>
      <c r="Q63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2" s="34">
        <f>IF(COUNTIF(PAPEL[Numero],Cobros[[#This Row],[Doc. Cargo]])&gt;0,1,0)</f>
        <v>0</v>
      </c>
      <c r="S632" s="46">
        <f t="array" ref="S6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2" s="46">
        <f t="array" ref="T632">INDEX(Ventas[[Unidades]:[2]],MATCH("Gerente de Venta",Ventas[Vendedor %],0),6+Cobros[[#This Row],[Mes]])</f>
        <v>0.005</v>
      </c>
      <c r="U632" s="34">
        <f>IF(Cobros[[#This Row],[Tipo]]="Credito",IF(60&gt;=Cobros[[#This Row],[Dias al pago]],1,0),IF(Cobros[[#This Row],[Dias al pago]]&lt;=3,1,0))</f>
        <v>1</v>
      </c>
      <c r="V632" s="46">
        <f>(Cobros[[#This Row],[% A pagar Vendedor]]/100)*Cobros[[#This Row],[Valor Pagado]]*Cobros[[#This Row],[Vencido]]*(Cobros[[#This Row],[% aplicar]]/100)*IF(Cobros[[#This Row],[% A pagar Vendedor]]&gt;0,1,0)</f>
        <v>9.233</v>
      </c>
      <c r="W632" s="46">
        <f>0.5%*Cobros[[#This Row],[Valor Pagado]]</f>
        <v>3.6932</v>
      </c>
      <c r="X632" s="34"/>
    </row>
    <row r="633" spans="1:24">
      <c r="A633" s="49" t="s">
        <v>3884</v>
      </c>
      <c r="B633" s="49" t="s">
        <v>4837</v>
      </c>
      <c r="C633" s="49" t="s">
        <v>484</v>
      </c>
      <c r="D633" s="49" t="s">
        <v>485</v>
      </c>
      <c r="E633" s="49" t="s">
        <v>4470</v>
      </c>
      <c r="F633" s="51">
        <v>46185</v>
      </c>
      <c r="G633" s="49">
        <v>876.42</v>
      </c>
      <c r="H633" s="49" t="s">
        <v>19</v>
      </c>
      <c r="I633" s="51">
        <v>46223</v>
      </c>
      <c r="J633" s="54">
        <f>INT(Cobros[[#This Row],[Fecha Cargo]])</f>
        <v>46185</v>
      </c>
      <c r="K633" s="54">
        <f>INT(Cobros[[#This Row],[Fecha Aplicacion]])</f>
        <v>46223</v>
      </c>
      <c r="L633" s="55" t="str">
        <f>INDEX(Clientes[Días Plazo],MATCH(Cobros[[#This Row],[Cod. Cliente]],Clientes[Codigo],0),1)</f>
        <v>30</v>
      </c>
      <c r="M633" s="45" t="str">
        <f>IF(Cobros[[#This Row],[Dias de Credito]]&lt;=0,"Contado","Credito")</f>
        <v>Credito</v>
      </c>
      <c r="N633" s="45">
        <f>Cobros[[#This Row],[Fecha Aplicación S]]-Cobros[[#This Row],[Fecha Cargo S]]</f>
        <v>38</v>
      </c>
      <c r="O633" s="45">
        <f>Cobros[[#This Row],[Dias al pago]]-Cobros[[#This Row],[Dias de Credito]]</f>
        <v>8</v>
      </c>
      <c r="P633" s="45">
        <f>SUMIFS(TablaDias[Porcentaje],TablaDias[Tipo],Cobros[[#This Row],[Tipo]],TablaDias[Desde ],"&lt;="&amp;MAX(0,Cobros[[#This Row],[Dias pasado]]),TablaDias[Hasta ],"&gt;="&amp;Cobros[[#This Row],[Dias pasado]])</f>
        <v>100</v>
      </c>
      <c r="Q63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3" s="34">
        <f>IF(COUNTIF(PAPEL[Numero],Cobros[[#This Row],[Doc. Cargo]])&gt;0,1,0)</f>
        <v>0</v>
      </c>
      <c r="S633" s="46">
        <f t="array" ref="S6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3" s="46">
        <f t="array" ref="T633">INDEX(Ventas[[Unidades]:[2]],MATCH("Gerente de Venta",Ventas[Vendedor %],0),6+Cobros[[#This Row],[Mes]])</f>
        <v>0.005</v>
      </c>
      <c r="U633" s="34">
        <f>IF(Cobros[[#This Row],[Tipo]]="Credito",IF(60&gt;=Cobros[[#This Row],[Dias al pago]],1,0),IF(Cobros[[#This Row],[Dias al pago]]&lt;=3,1,0))</f>
        <v>1</v>
      </c>
      <c r="V633" s="46">
        <f>(Cobros[[#This Row],[% A pagar Vendedor]]/100)*Cobros[[#This Row],[Valor Pagado]]*Cobros[[#This Row],[Vencido]]*(Cobros[[#This Row],[% aplicar]]/100)*IF(Cobros[[#This Row],[% A pagar Vendedor]]&gt;0,1,0)</f>
        <v>10.95525</v>
      </c>
      <c r="W633" s="46">
        <f>0.5%*Cobros[[#This Row],[Valor Pagado]]</f>
        <v>4.3821</v>
      </c>
      <c r="X633" s="34"/>
    </row>
    <row r="634" spans="1:24">
      <c r="A634" s="49" t="s">
        <v>3884</v>
      </c>
      <c r="B634" s="49" t="s">
        <v>4837</v>
      </c>
      <c r="C634" s="49" t="s">
        <v>484</v>
      </c>
      <c r="D634" s="49" t="s">
        <v>485</v>
      </c>
      <c r="E634" s="49" t="s">
        <v>4838</v>
      </c>
      <c r="F634" s="51">
        <v>46191</v>
      </c>
      <c r="G634" s="49">
        <v>245.17</v>
      </c>
      <c r="H634" s="49" t="s">
        <v>19</v>
      </c>
      <c r="I634" s="51">
        <v>46223</v>
      </c>
      <c r="J634" s="54">
        <f>INT(Cobros[[#This Row],[Fecha Cargo]])</f>
        <v>46191</v>
      </c>
      <c r="K634" s="54">
        <f>INT(Cobros[[#This Row],[Fecha Aplicacion]])</f>
        <v>46223</v>
      </c>
      <c r="L634" s="55" t="str">
        <f>INDEX(Clientes[Días Plazo],MATCH(Cobros[[#This Row],[Cod. Cliente]],Clientes[Codigo],0),1)</f>
        <v>30</v>
      </c>
      <c r="M634" s="45" t="str">
        <f>IF(Cobros[[#This Row],[Dias de Credito]]&lt;=0,"Contado","Credito")</f>
        <v>Credito</v>
      </c>
      <c r="N634" s="45">
        <f>Cobros[[#This Row],[Fecha Aplicación S]]-Cobros[[#This Row],[Fecha Cargo S]]</f>
        <v>32</v>
      </c>
      <c r="O634" s="45">
        <f>Cobros[[#This Row],[Dias al pago]]-Cobros[[#This Row],[Dias de Credito]]</f>
        <v>2</v>
      </c>
      <c r="P634" s="45">
        <f>SUMIFS(TablaDias[Porcentaje],TablaDias[Tipo],Cobros[[#This Row],[Tipo]],TablaDias[Desde ],"&lt;="&amp;MAX(0,Cobros[[#This Row],[Dias pasado]]),TablaDias[Hasta ],"&gt;="&amp;Cobros[[#This Row],[Dias pasado]])</f>
        <v>100</v>
      </c>
      <c r="Q6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4" s="34">
        <f>IF(COUNTIF(PAPEL[Numero],Cobros[[#This Row],[Doc. Cargo]])&gt;0,1,0)</f>
        <v>0</v>
      </c>
      <c r="S634" s="46">
        <f t="array" ref="S6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4" s="46">
        <f t="array" ref="T634">INDEX(Ventas[[Unidades]:[2]],MATCH("Gerente de Venta",Ventas[Vendedor %],0),6+Cobros[[#This Row],[Mes]])</f>
        <v>0.005</v>
      </c>
      <c r="U634" s="34">
        <f>IF(Cobros[[#This Row],[Tipo]]="Credito",IF(60&gt;=Cobros[[#This Row],[Dias al pago]],1,0),IF(Cobros[[#This Row],[Dias al pago]]&lt;=3,1,0))</f>
        <v>1</v>
      </c>
      <c r="V634" s="46">
        <f>(Cobros[[#This Row],[% A pagar Vendedor]]/100)*Cobros[[#This Row],[Valor Pagado]]*Cobros[[#This Row],[Vencido]]*(Cobros[[#This Row],[% aplicar]]/100)*IF(Cobros[[#This Row],[% A pagar Vendedor]]&gt;0,1,0)</f>
        <v>3.064625</v>
      </c>
      <c r="W634" s="46">
        <f>0.5%*Cobros[[#This Row],[Valor Pagado]]</f>
        <v>1.22585</v>
      </c>
      <c r="X634" s="34"/>
    </row>
    <row r="635" spans="1:24">
      <c r="A635" s="49" t="s">
        <v>3884</v>
      </c>
      <c r="B635" s="49" t="s">
        <v>4839</v>
      </c>
      <c r="C635" s="49" t="s">
        <v>484</v>
      </c>
      <c r="D635" s="49" t="s">
        <v>485</v>
      </c>
      <c r="E635" s="49" t="s">
        <v>4838</v>
      </c>
      <c r="F635" s="51">
        <v>46191</v>
      </c>
      <c r="G635" s="49">
        <v>1134.09</v>
      </c>
      <c r="H635" s="49" t="s">
        <v>19</v>
      </c>
      <c r="I635" s="51">
        <v>46223</v>
      </c>
      <c r="J635" s="54">
        <f>INT(Cobros[[#This Row],[Fecha Cargo]])</f>
        <v>46191</v>
      </c>
      <c r="K635" s="54">
        <f>INT(Cobros[[#This Row],[Fecha Aplicacion]])</f>
        <v>46223</v>
      </c>
      <c r="L635" s="55" t="str">
        <f>INDEX(Clientes[Días Plazo],MATCH(Cobros[[#This Row],[Cod. Cliente]],Clientes[Codigo],0),1)</f>
        <v>30</v>
      </c>
      <c r="M635" s="45" t="str">
        <f>IF(Cobros[[#This Row],[Dias de Credito]]&lt;=0,"Contado","Credito")</f>
        <v>Credito</v>
      </c>
      <c r="N635" s="45">
        <f>Cobros[[#This Row],[Fecha Aplicación S]]-Cobros[[#This Row],[Fecha Cargo S]]</f>
        <v>32</v>
      </c>
      <c r="O635" s="45">
        <f>Cobros[[#This Row],[Dias al pago]]-Cobros[[#This Row],[Dias de Credito]]</f>
        <v>2</v>
      </c>
      <c r="P635" s="45">
        <f>SUMIFS(TablaDias[Porcentaje],TablaDias[Tipo],Cobros[[#This Row],[Tipo]],TablaDias[Desde ],"&lt;="&amp;MAX(0,Cobros[[#This Row],[Dias pasado]]),TablaDias[Hasta ],"&gt;="&amp;Cobros[[#This Row],[Dias pasado]])</f>
        <v>100</v>
      </c>
      <c r="Q63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5" s="34">
        <f>IF(COUNTIF(PAPEL[Numero],Cobros[[#This Row],[Doc. Cargo]])&gt;0,1,0)</f>
        <v>0</v>
      </c>
      <c r="S635" s="46">
        <f t="array" ref="S63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5" s="46">
        <f t="array" ref="T635">INDEX(Ventas[[Unidades]:[2]],MATCH("Gerente de Venta",Ventas[Vendedor %],0),6+Cobros[[#This Row],[Mes]])</f>
        <v>0.005</v>
      </c>
      <c r="U635" s="34">
        <f>IF(Cobros[[#This Row],[Tipo]]="Credito",IF(60&gt;=Cobros[[#This Row],[Dias al pago]],1,0),IF(Cobros[[#This Row],[Dias al pago]]&lt;=3,1,0))</f>
        <v>1</v>
      </c>
      <c r="V635" s="46">
        <f>(Cobros[[#This Row],[% A pagar Vendedor]]/100)*Cobros[[#This Row],[Valor Pagado]]*Cobros[[#This Row],[Vencido]]*(Cobros[[#This Row],[% aplicar]]/100)*IF(Cobros[[#This Row],[% A pagar Vendedor]]&gt;0,1,0)</f>
        <v>14.176125</v>
      </c>
      <c r="W635" s="46">
        <f>0.5%*Cobros[[#This Row],[Valor Pagado]]</f>
        <v>5.67045</v>
      </c>
      <c r="X635" s="34"/>
    </row>
    <row r="636" spans="1:24">
      <c r="A636" s="49" t="s">
        <v>3884</v>
      </c>
      <c r="B636" s="49" t="s">
        <v>4840</v>
      </c>
      <c r="C636" s="49" t="s">
        <v>484</v>
      </c>
      <c r="D636" s="49" t="s">
        <v>485</v>
      </c>
      <c r="E636" s="49" t="s">
        <v>4838</v>
      </c>
      <c r="F636" s="51">
        <v>46191</v>
      </c>
      <c r="G636" s="49">
        <v>1126.14</v>
      </c>
      <c r="H636" s="49" t="s">
        <v>19</v>
      </c>
      <c r="I636" s="51">
        <v>46223</v>
      </c>
      <c r="J636" s="54">
        <f>INT(Cobros[[#This Row],[Fecha Cargo]])</f>
        <v>46191</v>
      </c>
      <c r="K636" s="54">
        <f>INT(Cobros[[#This Row],[Fecha Aplicacion]])</f>
        <v>46223</v>
      </c>
      <c r="L636" s="55" t="str">
        <f>INDEX(Clientes[Días Plazo],MATCH(Cobros[[#This Row],[Cod. Cliente]],Clientes[Codigo],0),1)</f>
        <v>30</v>
      </c>
      <c r="M636" s="45" t="str">
        <f>IF(Cobros[[#This Row],[Dias de Credito]]&lt;=0,"Contado","Credito")</f>
        <v>Credito</v>
      </c>
      <c r="N636" s="45">
        <f>Cobros[[#This Row],[Fecha Aplicación S]]-Cobros[[#This Row],[Fecha Cargo S]]</f>
        <v>32</v>
      </c>
      <c r="O636" s="45">
        <f>Cobros[[#This Row],[Dias al pago]]-Cobros[[#This Row],[Dias de Credito]]</f>
        <v>2</v>
      </c>
      <c r="P636" s="45">
        <f>SUMIFS(TablaDias[Porcentaje],TablaDias[Tipo],Cobros[[#This Row],[Tipo]],TablaDias[Desde ],"&lt;="&amp;MAX(0,Cobros[[#This Row],[Dias pasado]]),TablaDias[Hasta ],"&gt;="&amp;Cobros[[#This Row],[Dias pasado]])</f>
        <v>100</v>
      </c>
      <c r="Q63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6" s="34">
        <f>IF(COUNTIF(PAPEL[Numero],Cobros[[#This Row],[Doc. Cargo]])&gt;0,1,0)</f>
        <v>0</v>
      </c>
      <c r="S636" s="46">
        <f t="array" ref="S63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6" s="46">
        <f t="array" ref="T636">INDEX(Ventas[[Unidades]:[2]],MATCH("Gerente de Venta",Ventas[Vendedor %],0),6+Cobros[[#This Row],[Mes]])</f>
        <v>0.005</v>
      </c>
      <c r="U636" s="34">
        <f>IF(Cobros[[#This Row],[Tipo]]="Credito",IF(60&gt;=Cobros[[#This Row],[Dias al pago]],1,0),IF(Cobros[[#This Row],[Dias al pago]]&lt;=3,1,0))</f>
        <v>1</v>
      </c>
      <c r="V636" s="46">
        <f>(Cobros[[#This Row],[% A pagar Vendedor]]/100)*Cobros[[#This Row],[Valor Pagado]]*Cobros[[#This Row],[Vencido]]*(Cobros[[#This Row],[% aplicar]]/100)*IF(Cobros[[#This Row],[% A pagar Vendedor]]&gt;0,1,0)</f>
        <v>14.07675</v>
      </c>
      <c r="W636" s="46">
        <f>0.5%*Cobros[[#This Row],[Valor Pagado]]</f>
        <v>5.6307</v>
      </c>
      <c r="X636" s="34"/>
    </row>
    <row r="637" spans="1:24">
      <c r="A637" s="49" t="s">
        <v>3884</v>
      </c>
      <c r="B637" s="49" t="s">
        <v>4841</v>
      </c>
      <c r="C637" s="49" t="s">
        <v>484</v>
      </c>
      <c r="D637" s="49" t="s">
        <v>485</v>
      </c>
      <c r="E637" s="49" t="s">
        <v>4838</v>
      </c>
      <c r="F637" s="51">
        <v>46191</v>
      </c>
      <c r="G637" s="49">
        <v>714.6</v>
      </c>
      <c r="H637" s="49" t="s">
        <v>19</v>
      </c>
      <c r="I637" s="51">
        <v>46223</v>
      </c>
      <c r="J637" s="54">
        <f>INT(Cobros[[#This Row],[Fecha Cargo]])</f>
        <v>46191</v>
      </c>
      <c r="K637" s="54">
        <f>INT(Cobros[[#This Row],[Fecha Aplicacion]])</f>
        <v>46223</v>
      </c>
      <c r="L637" s="55" t="str">
        <f>INDEX(Clientes[Días Plazo],MATCH(Cobros[[#This Row],[Cod. Cliente]],Clientes[Codigo],0),1)</f>
        <v>30</v>
      </c>
      <c r="M637" s="45" t="str">
        <f>IF(Cobros[[#This Row],[Dias de Credito]]&lt;=0,"Contado","Credito")</f>
        <v>Credito</v>
      </c>
      <c r="N637" s="45">
        <f>Cobros[[#This Row],[Fecha Aplicación S]]-Cobros[[#This Row],[Fecha Cargo S]]</f>
        <v>32</v>
      </c>
      <c r="O637" s="45">
        <f>Cobros[[#This Row],[Dias al pago]]-Cobros[[#This Row],[Dias de Credito]]</f>
        <v>2</v>
      </c>
      <c r="P637" s="45">
        <f>SUMIFS(TablaDias[Porcentaje],TablaDias[Tipo],Cobros[[#This Row],[Tipo]],TablaDias[Desde ],"&lt;="&amp;MAX(0,Cobros[[#This Row],[Dias pasado]]),TablaDias[Hasta ],"&gt;="&amp;Cobros[[#This Row],[Dias pasado]])</f>
        <v>100</v>
      </c>
      <c r="Q63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7" s="34">
        <f>IF(COUNTIF(PAPEL[Numero],Cobros[[#This Row],[Doc. Cargo]])&gt;0,1,0)</f>
        <v>0</v>
      </c>
      <c r="S637" s="46">
        <f t="array" ref="S6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7" s="46">
        <f t="array" ref="T637">INDEX(Ventas[[Unidades]:[2]],MATCH("Gerente de Venta",Ventas[Vendedor %],0),6+Cobros[[#This Row],[Mes]])</f>
        <v>0.005</v>
      </c>
      <c r="U637" s="34">
        <f>IF(Cobros[[#This Row],[Tipo]]="Credito",IF(60&gt;=Cobros[[#This Row],[Dias al pago]],1,0),IF(Cobros[[#This Row],[Dias al pago]]&lt;=3,1,0))</f>
        <v>1</v>
      </c>
      <c r="V637" s="46">
        <f>(Cobros[[#This Row],[% A pagar Vendedor]]/100)*Cobros[[#This Row],[Valor Pagado]]*Cobros[[#This Row],[Vencido]]*(Cobros[[#This Row],[% aplicar]]/100)*IF(Cobros[[#This Row],[% A pagar Vendedor]]&gt;0,1,0)</f>
        <v>8.9325</v>
      </c>
      <c r="W637" s="46">
        <f>0.5%*Cobros[[#This Row],[Valor Pagado]]</f>
        <v>3.573</v>
      </c>
      <c r="X637" s="34"/>
    </row>
    <row r="638" spans="1:24">
      <c r="A638" s="49" t="s">
        <v>3884</v>
      </c>
      <c r="B638" s="49" t="s">
        <v>4841</v>
      </c>
      <c r="C638" s="49" t="s">
        <v>484</v>
      </c>
      <c r="D638" s="49" t="s">
        <v>485</v>
      </c>
      <c r="E638" s="49" t="s">
        <v>4842</v>
      </c>
      <c r="F638" s="51">
        <v>46191</v>
      </c>
      <c r="G638" s="49">
        <v>412.67</v>
      </c>
      <c r="H638" s="49" t="s">
        <v>19</v>
      </c>
      <c r="I638" s="51">
        <v>46223</v>
      </c>
      <c r="J638" s="54">
        <f>INT(Cobros[[#This Row],[Fecha Cargo]])</f>
        <v>46191</v>
      </c>
      <c r="K638" s="54">
        <f>INT(Cobros[[#This Row],[Fecha Aplicacion]])</f>
        <v>46223</v>
      </c>
      <c r="L638" s="55">
        <v>0</v>
      </c>
      <c r="M638" s="45" t="str">
        <f>IF(Cobros[[#This Row],[Dias de Credito]]&lt;=0,"Contado","Credito")</f>
        <v>Contado</v>
      </c>
      <c r="N638" s="45">
        <f>Cobros[[#This Row],[Fecha Aplicación S]]-Cobros[[#This Row],[Fecha Cargo S]]</f>
        <v>32</v>
      </c>
      <c r="O638" s="45">
        <f>Cobros[[#This Row],[Dias al pago]]-Cobros[[#This Row],[Dias de Credito]]</f>
        <v>32</v>
      </c>
      <c r="P638" s="45">
        <f>SUMIFS(TablaDias[Porcentaje],TablaDias[Tipo],Cobros[[#This Row],[Tipo]],TablaDias[Desde ],"&lt;="&amp;MAX(0,Cobros[[#This Row],[Dias pasado]]),TablaDias[Hasta ],"&gt;="&amp;Cobros[[#This Row],[Dias pasado]])</f>
        <v>0</v>
      </c>
      <c r="Q63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8" s="34">
        <f>IF(COUNTIF(PAPEL[Numero],Cobros[[#This Row],[Doc. Cargo]])&gt;0,1,0)</f>
        <v>0</v>
      </c>
      <c r="S638" s="46">
        <f t="array" ref="S6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8" s="46">
        <f t="array" ref="T638">INDEX(Ventas[[Unidades]:[2]],MATCH("Gerente de Venta",Ventas[Vendedor %],0),6+Cobros[[#This Row],[Mes]])</f>
        <v>0.005</v>
      </c>
      <c r="U638" s="34">
        <f>IF(Cobros[[#This Row],[Tipo]]="Credito",IF(60&gt;=Cobros[[#This Row],[Dias al pago]],1,0),IF(Cobros[[#This Row],[Dias al pago]]&lt;=3,1,0))</f>
        <v>0</v>
      </c>
      <c r="V638" s="46">
        <f>(Cobros[[#This Row],[% A pagar Vendedor]]/100)*Cobros[[#This Row],[Valor Pagado]]*Cobros[[#This Row],[Vencido]]*(Cobros[[#This Row],[% aplicar]]/100)*IF(Cobros[[#This Row],[% A pagar Vendedor]]&gt;0,1,0)</f>
        <v>0</v>
      </c>
      <c r="W638" s="46">
        <f>0.5%*Cobros[[#This Row],[Valor Pagado]]</f>
        <v>2.06335</v>
      </c>
      <c r="X638" s="62"/>
    </row>
    <row r="639" spans="1:24">
      <c r="A639" s="49" t="s">
        <v>3884</v>
      </c>
      <c r="B639" s="49" t="s">
        <v>4843</v>
      </c>
      <c r="C639" s="49" t="s">
        <v>484</v>
      </c>
      <c r="D639" s="49" t="s">
        <v>485</v>
      </c>
      <c r="E639" s="49" t="s">
        <v>4842</v>
      </c>
      <c r="F639" s="51">
        <v>46191</v>
      </c>
      <c r="G639" s="49">
        <v>715.91</v>
      </c>
      <c r="H639" s="49" t="s">
        <v>19</v>
      </c>
      <c r="I639" s="51">
        <v>46223</v>
      </c>
      <c r="J639" s="54">
        <f>INT(Cobros[[#This Row],[Fecha Cargo]])</f>
        <v>46191</v>
      </c>
      <c r="K639" s="54">
        <f>INT(Cobros[[#This Row],[Fecha Aplicacion]])</f>
        <v>46223</v>
      </c>
      <c r="L639" s="55">
        <v>0</v>
      </c>
      <c r="M639" s="45" t="str">
        <f>IF(Cobros[[#This Row],[Dias de Credito]]&lt;=0,"Contado","Credito")</f>
        <v>Contado</v>
      </c>
      <c r="N639" s="45">
        <f>Cobros[[#This Row],[Fecha Aplicación S]]-Cobros[[#This Row],[Fecha Cargo S]]</f>
        <v>32</v>
      </c>
      <c r="O639" s="45">
        <f>Cobros[[#This Row],[Dias al pago]]-Cobros[[#This Row],[Dias de Credito]]</f>
        <v>32</v>
      </c>
      <c r="P639" s="45">
        <f>SUMIFS(TablaDias[Porcentaje],TablaDias[Tipo],Cobros[[#This Row],[Tipo]],TablaDias[Desde ],"&lt;="&amp;MAX(0,Cobros[[#This Row],[Dias pasado]]),TablaDias[Hasta ],"&gt;="&amp;Cobros[[#This Row],[Dias pasado]])</f>
        <v>0</v>
      </c>
      <c r="Q63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39" s="34">
        <f>IF(COUNTIF(PAPEL[Numero],Cobros[[#This Row],[Doc. Cargo]])&gt;0,1,0)</f>
        <v>0</v>
      </c>
      <c r="S639" s="46">
        <f t="array" ref="S6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39" s="46">
        <f t="array" ref="T639">INDEX(Ventas[[Unidades]:[2]],MATCH("Gerente de Venta",Ventas[Vendedor %],0),6+Cobros[[#This Row],[Mes]])</f>
        <v>0.005</v>
      </c>
      <c r="U639" s="34">
        <f>IF(Cobros[[#This Row],[Tipo]]="Credito",IF(60&gt;=Cobros[[#This Row],[Dias al pago]],1,0),IF(Cobros[[#This Row],[Dias al pago]]&lt;=3,1,0))</f>
        <v>0</v>
      </c>
      <c r="V639" s="46">
        <f>(Cobros[[#This Row],[% A pagar Vendedor]]/100)*Cobros[[#This Row],[Valor Pagado]]*Cobros[[#This Row],[Vencido]]*(Cobros[[#This Row],[% aplicar]]/100)*IF(Cobros[[#This Row],[% A pagar Vendedor]]&gt;0,1,0)</f>
        <v>0</v>
      </c>
      <c r="W639" s="46">
        <f>0.5%*Cobros[[#This Row],[Valor Pagado]]</f>
        <v>3.57955</v>
      </c>
      <c r="X639" s="60"/>
    </row>
    <row r="640" spans="1:24">
      <c r="A640" s="49" t="s">
        <v>3884</v>
      </c>
      <c r="B640" s="49" t="s">
        <v>4844</v>
      </c>
      <c r="C640" s="49" t="s">
        <v>484</v>
      </c>
      <c r="D640" s="49" t="s">
        <v>485</v>
      </c>
      <c r="E640" s="49" t="s">
        <v>4842</v>
      </c>
      <c r="F640" s="51">
        <v>46191</v>
      </c>
      <c r="G640" s="49">
        <v>1130.68</v>
      </c>
      <c r="H640" s="49" t="s">
        <v>19</v>
      </c>
      <c r="I640" s="51">
        <v>46223</v>
      </c>
      <c r="J640" s="54">
        <f>INT(Cobros[[#This Row],[Fecha Cargo]])</f>
        <v>46191</v>
      </c>
      <c r="K640" s="54">
        <f>INT(Cobros[[#This Row],[Fecha Aplicacion]])</f>
        <v>46223</v>
      </c>
      <c r="L640" s="55" t="str">
        <f>INDEX(Clientes[Días Plazo],MATCH(Cobros[[#This Row],[Cod. Cliente]],Clientes[Codigo],0),1)</f>
        <v>30</v>
      </c>
      <c r="M640" s="45" t="str">
        <f>IF(Cobros[[#This Row],[Dias de Credito]]&lt;=0,"Contado","Credito")</f>
        <v>Credito</v>
      </c>
      <c r="N640" s="45">
        <f>Cobros[[#This Row],[Fecha Aplicación S]]-Cobros[[#This Row],[Fecha Cargo S]]</f>
        <v>32</v>
      </c>
      <c r="O640" s="45">
        <f>Cobros[[#This Row],[Dias al pago]]-Cobros[[#This Row],[Dias de Credito]]</f>
        <v>2</v>
      </c>
      <c r="P640" s="45">
        <f>SUMIFS(TablaDias[Porcentaje],TablaDias[Tipo],Cobros[[#This Row],[Tipo]],TablaDias[Desde ],"&lt;="&amp;MAX(0,Cobros[[#This Row],[Dias pasado]]),TablaDias[Hasta ],"&gt;="&amp;Cobros[[#This Row],[Dias pasado]])</f>
        <v>100</v>
      </c>
      <c r="Q6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40" s="34">
        <f>IF(COUNTIF(PAPEL[Numero],Cobros[[#This Row],[Doc. Cargo]])&gt;0,1,0)</f>
        <v>0</v>
      </c>
      <c r="S640" s="46">
        <f t="array" ref="S6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40" s="46">
        <f t="array" ref="T640">INDEX(Ventas[[Unidades]:[2]],MATCH("Gerente de Venta",Ventas[Vendedor %],0),6+Cobros[[#This Row],[Mes]])</f>
        <v>0.005</v>
      </c>
      <c r="U640" s="34">
        <f>IF(Cobros[[#This Row],[Tipo]]="Credito",IF(60&gt;=Cobros[[#This Row],[Dias al pago]],1,0),IF(Cobros[[#This Row],[Dias al pago]]&lt;=3,1,0))</f>
        <v>1</v>
      </c>
      <c r="V640" s="46">
        <f>(Cobros[[#This Row],[% A pagar Vendedor]]/100)*Cobros[[#This Row],[Valor Pagado]]*Cobros[[#This Row],[Vencido]]*(Cobros[[#This Row],[% aplicar]]/100)*IF(Cobros[[#This Row],[% A pagar Vendedor]]&gt;0,1,0)</f>
        <v>14.1335</v>
      </c>
      <c r="W640" s="46">
        <f>0.5%*Cobros[[#This Row],[Valor Pagado]]</f>
        <v>5.6534</v>
      </c>
      <c r="X640" s="34"/>
    </row>
    <row r="641" spans="1:24">
      <c r="A641" s="49" t="s">
        <v>3884</v>
      </c>
      <c r="B641" s="49" t="s">
        <v>4845</v>
      </c>
      <c r="C641" s="49" t="s">
        <v>484</v>
      </c>
      <c r="D641" s="49" t="s">
        <v>485</v>
      </c>
      <c r="E641" s="49" t="s">
        <v>4842</v>
      </c>
      <c r="F641" s="51">
        <v>46191</v>
      </c>
      <c r="G641" s="49">
        <v>1129.55</v>
      </c>
      <c r="H641" s="49" t="s">
        <v>19</v>
      </c>
      <c r="I641" s="51">
        <v>46223</v>
      </c>
      <c r="J641" s="54">
        <f>INT(Cobros[[#This Row],[Fecha Cargo]])</f>
        <v>46191</v>
      </c>
      <c r="K641" s="54">
        <f>INT(Cobros[[#This Row],[Fecha Aplicacion]])</f>
        <v>46223</v>
      </c>
      <c r="L641" s="55" t="str">
        <f>INDEX(Clientes[Días Plazo],MATCH(Cobros[[#This Row],[Cod. Cliente]],Clientes[Codigo],0),1)</f>
        <v>30</v>
      </c>
      <c r="M641" s="45" t="str">
        <f>IF(Cobros[[#This Row],[Dias de Credito]]&lt;=0,"Contado","Credito")</f>
        <v>Credito</v>
      </c>
      <c r="N641" s="45">
        <f>Cobros[[#This Row],[Fecha Aplicación S]]-Cobros[[#This Row],[Fecha Cargo S]]</f>
        <v>32</v>
      </c>
      <c r="O641" s="45">
        <f>Cobros[[#This Row],[Dias al pago]]-Cobros[[#This Row],[Dias de Credito]]</f>
        <v>2</v>
      </c>
      <c r="P641" s="45">
        <f>SUMIFS(TablaDias[Porcentaje],TablaDias[Tipo],Cobros[[#This Row],[Tipo]],TablaDias[Desde ],"&lt;="&amp;MAX(0,Cobros[[#This Row],[Dias pasado]]),TablaDias[Hasta ],"&gt;="&amp;Cobros[[#This Row],[Dias pasado]])</f>
        <v>100</v>
      </c>
      <c r="Q64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41" s="34">
        <f>IF(COUNTIF(PAPEL[Numero],Cobros[[#This Row],[Doc. Cargo]])&gt;0,1,0)</f>
        <v>0</v>
      </c>
      <c r="S641" s="46">
        <f t="array" ref="S6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41" s="46">
        <f t="array" ref="T641">INDEX(Ventas[[Unidades]:[2]],MATCH("Gerente de Venta",Ventas[Vendedor %],0),6+Cobros[[#This Row],[Mes]])</f>
        <v>0.005</v>
      </c>
      <c r="U641" s="34">
        <f>IF(Cobros[[#This Row],[Tipo]]="Credito",IF(60&gt;=Cobros[[#This Row],[Dias al pago]],1,0),IF(Cobros[[#This Row],[Dias al pago]]&lt;=3,1,0))</f>
        <v>1</v>
      </c>
      <c r="V641" s="46">
        <f>(Cobros[[#This Row],[% A pagar Vendedor]]/100)*Cobros[[#This Row],[Valor Pagado]]*Cobros[[#This Row],[Vencido]]*(Cobros[[#This Row],[% aplicar]]/100)*IF(Cobros[[#This Row],[% A pagar Vendedor]]&gt;0,1,0)</f>
        <v>14.119375</v>
      </c>
      <c r="W641" s="46">
        <f>0.5%*Cobros[[#This Row],[Valor Pagado]]</f>
        <v>5.64775</v>
      </c>
      <c r="X641" s="34"/>
    </row>
    <row r="642" ht="30" spans="1:24">
      <c r="A642" s="49" t="s">
        <v>3875</v>
      </c>
      <c r="B642" s="49" t="s">
        <v>4846</v>
      </c>
      <c r="C642" s="49" t="s">
        <v>960</v>
      </c>
      <c r="D642" s="49" t="s">
        <v>961</v>
      </c>
      <c r="E642" s="49" t="s">
        <v>4592</v>
      </c>
      <c r="F642" s="51">
        <v>46212</v>
      </c>
      <c r="G642" s="49">
        <v>495.4</v>
      </c>
      <c r="H642" s="49" t="s">
        <v>22</v>
      </c>
      <c r="I642" s="51">
        <v>46223</v>
      </c>
      <c r="J642" s="54">
        <f>INT(Cobros[[#This Row],[Fecha Cargo]])</f>
        <v>46212</v>
      </c>
      <c r="K642" s="54">
        <f>INT(Cobros[[#This Row],[Fecha Aplicacion]])</f>
        <v>46223</v>
      </c>
      <c r="L642" s="55" t="str">
        <f>INDEX(Clientes[Días Plazo],MATCH(Cobros[[#This Row],[Cod. Cliente]],Clientes[Codigo],0),1)</f>
        <v>21</v>
      </c>
      <c r="M642" s="45" t="str">
        <f>IF(Cobros[[#This Row],[Dias de Credito]]&lt;=0,"Contado","Credito")</f>
        <v>Credito</v>
      </c>
      <c r="N642" s="45">
        <f>Cobros[[#This Row],[Fecha Aplicación S]]-Cobros[[#This Row],[Fecha Cargo S]]</f>
        <v>11</v>
      </c>
      <c r="O642" s="45">
        <f>Cobros[[#This Row],[Dias al pago]]-Cobros[[#This Row],[Dias de Credito]]</f>
        <v>-10</v>
      </c>
      <c r="P642" s="45">
        <f>SUMIFS(TablaDias[Porcentaje],TablaDias[Tipo],Cobros[[#This Row],[Tipo]],TablaDias[Desde ],"&lt;="&amp;MAX(0,Cobros[[#This Row],[Dias pasado]]),TablaDias[Hasta ],"&gt;="&amp;Cobros[[#This Row],[Dias pasado]])</f>
        <v>100</v>
      </c>
      <c r="Q64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2" s="34">
        <f>IF(COUNTIF(PAPEL[Numero],Cobros[[#This Row],[Doc. Cargo]])&gt;0,1,0)</f>
        <v>0</v>
      </c>
      <c r="S642" s="46">
        <f t="array" ref="S6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2" s="46">
        <f t="array" ref="T642">INDEX(Ventas[[Unidades]:[2]],MATCH("Gerente de Venta",Ventas[Vendedor %],0),6+Cobros[[#This Row],[Mes]])</f>
        <v>0.005</v>
      </c>
      <c r="U642" s="34">
        <f>IF(Cobros[[#This Row],[Tipo]]="Credito",IF(60&gt;=Cobros[[#This Row],[Dias al pago]],1,0),IF(Cobros[[#This Row],[Dias al pago]]&lt;=3,1,0))</f>
        <v>1</v>
      </c>
      <c r="V642" s="46">
        <f>(Cobros[[#This Row],[% A pagar Vendedor]]/100)*Cobros[[#This Row],[Valor Pagado]]*Cobros[[#This Row],[Vencido]]*(Cobros[[#This Row],[% aplicar]]/100)*IF(Cobros[[#This Row],[% A pagar Vendedor]]&gt;0,1,0)</f>
        <v>4.954</v>
      </c>
      <c r="W642" s="46">
        <f>0.5%*Cobros[[#This Row],[Valor Pagado]]</f>
        <v>2.477</v>
      </c>
      <c r="X642" s="62"/>
    </row>
    <row r="643" ht="30" spans="1:24">
      <c r="A643" s="49" t="s">
        <v>3875</v>
      </c>
      <c r="B643" s="49" t="s">
        <v>4846</v>
      </c>
      <c r="C643" s="49" t="s">
        <v>960</v>
      </c>
      <c r="D643" s="49" t="s">
        <v>961</v>
      </c>
      <c r="E643" s="49" t="s">
        <v>4847</v>
      </c>
      <c r="F643" s="51">
        <v>46213</v>
      </c>
      <c r="G643" s="49">
        <v>150</v>
      </c>
      <c r="H643" s="49" t="s">
        <v>22</v>
      </c>
      <c r="I643" s="51">
        <v>46223</v>
      </c>
      <c r="J643" s="54">
        <f>INT(Cobros[[#This Row],[Fecha Cargo]])</f>
        <v>46213</v>
      </c>
      <c r="K643" s="54">
        <f>INT(Cobros[[#This Row],[Fecha Aplicacion]])</f>
        <v>46223</v>
      </c>
      <c r="L643" s="55" t="str">
        <f>INDEX(Clientes[Días Plazo],MATCH(Cobros[[#This Row],[Cod. Cliente]],Clientes[Codigo],0),1)</f>
        <v>21</v>
      </c>
      <c r="M643" s="45" t="str">
        <f>IF(Cobros[[#This Row],[Dias de Credito]]&lt;=0,"Contado","Credito")</f>
        <v>Credito</v>
      </c>
      <c r="N643" s="45">
        <f>Cobros[[#This Row],[Fecha Aplicación S]]-Cobros[[#This Row],[Fecha Cargo S]]</f>
        <v>10</v>
      </c>
      <c r="O643" s="45">
        <f>Cobros[[#This Row],[Dias al pago]]-Cobros[[#This Row],[Dias de Credito]]</f>
        <v>-11</v>
      </c>
      <c r="P643" s="45">
        <f>SUMIFS(TablaDias[Porcentaje],TablaDias[Tipo],Cobros[[#This Row],[Tipo]],TablaDias[Desde ],"&lt;="&amp;MAX(0,Cobros[[#This Row],[Dias pasado]]),TablaDias[Hasta ],"&gt;="&amp;Cobros[[#This Row],[Dias pasado]])</f>
        <v>100</v>
      </c>
      <c r="Q64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3" s="34">
        <f>IF(COUNTIF(PAPEL[Numero],Cobros[[#This Row],[Doc. Cargo]])&gt;0,1,0)</f>
        <v>0</v>
      </c>
      <c r="S643" s="46">
        <f t="array" ref="S6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3" s="46">
        <f t="array" ref="T643">INDEX(Ventas[[Unidades]:[2]],MATCH("Gerente de Venta",Ventas[Vendedor %],0),6+Cobros[[#This Row],[Mes]])</f>
        <v>0.005</v>
      </c>
      <c r="U643" s="34">
        <f>IF(Cobros[[#This Row],[Tipo]]="Credito",IF(60&gt;=Cobros[[#This Row],[Dias al pago]],1,0),IF(Cobros[[#This Row],[Dias al pago]]&lt;=3,1,0))</f>
        <v>1</v>
      </c>
      <c r="V643" s="46">
        <f>(Cobros[[#This Row],[% A pagar Vendedor]]/100)*Cobros[[#This Row],[Valor Pagado]]*Cobros[[#This Row],[Vencido]]*(Cobros[[#This Row],[% aplicar]]/100)*IF(Cobros[[#This Row],[% A pagar Vendedor]]&gt;0,1,0)</f>
        <v>1.5</v>
      </c>
      <c r="W643" s="46">
        <f>0.5%*Cobros[[#This Row],[Valor Pagado]]</f>
        <v>0.75</v>
      </c>
      <c r="X643" s="34"/>
    </row>
    <row r="644" ht="30" spans="1:24">
      <c r="A644" s="49" t="s">
        <v>3875</v>
      </c>
      <c r="B644" s="49" t="s">
        <v>4846</v>
      </c>
      <c r="C644" s="49" t="s">
        <v>960</v>
      </c>
      <c r="D644" s="49" t="s">
        <v>961</v>
      </c>
      <c r="E644" s="49" t="s">
        <v>4848</v>
      </c>
      <c r="F644" s="51">
        <v>46213</v>
      </c>
      <c r="G644" s="49">
        <v>645.9</v>
      </c>
      <c r="H644" s="49" t="s">
        <v>22</v>
      </c>
      <c r="I644" s="51">
        <v>46223</v>
      </c>
      <c r="J644" s="54">
        <f>INT(Cobros[[#This Row],[Fecha Cargo]])</f>
        <v>46213</v>
      </c>
      <c r="K644" s="54">
        <f>INT(Cobros[[#This Row],[Fecha Aplicacion]])</f>
        <v>46223</v>
      </c>
      <c r="L644" s="55" t="str">
        <f>INDEX(Clientes[Días Plazo],MATCH(Cobros[[#This Row],[Cod. Cliente]],Clientes[Codigo],0),1)</f>
        <v>21</v>
      </c>
      <c r="M644" s="45" t="str">
        <f>IF(Cobros[[#This Row],[Dias de Credito]]&lt;=0,"Contado","Credito")</f>
        <v>Credito</v>
      </c>
      <c r="N644" s="45">
        <f>Cobros[[#This Row],[Fecha Aplicación S]]-Cobros[[#This Row],[Fecha Cargo S]]</f>
        <v>10</v>
      </c>
      <c r="O644" s="45">
        <f>Cobros[[#This Row],[Dias al pago]]-Cobros[[#This Row],[Dias de Credito]]</f>
        <v>-11</v>
      </c>
      <c r="P644" s="45">
        <f>SUMIFS(TablaDias[Porcentaje],TablaDias[Tipo],Cobros[[#This Row],[Tipo]],TablaDias[Desde ],"&lt;="&amp;MAX(0,Cobros[[#This Row],[Dias pasado]]),TablaDias[Hasta ],"&gt;="&amp;Cobros[[#This Row],[Dias pasado]])</f>
        <v>100</v>
      </c>
      <c r="Q64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4" s="34">
        <f>IF(COUNTIF(PAPEL[Numero],Cobros[[#This Row],[Doc. Cargo]])&gt;0,1,0)</f>
        <v>0</v>
      </c>
      <c r="S644" s="46">
        <f t="array" ref="S6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4" s="46">
        <f t="array" ref="T644">INDEX(Ventas[[Unidades]:[2]],MATCH("Gerente de Venta",Ventas[Vendedor %],0),6+Cobros[[#This Row],[Mes]])</f>
        <v>0.005</v>
      </c>
      <c r="U644" s="34">
        <f>IF(Cobros[[#This Row],[Tipo]]="Credito",IF(60&gt;=Cobros[[#This Row],[Dias al pago]],1,0),IF(Cobros[[#This Row],[Dias al pago]]&lt;=3,1,0))</f>
        <v>1</v>
      </c>
      <c r="V644" s="46">
        <f>(Cobros[[#This Row],[% A pagar Vendedor]]/100)*Cobros[[#This Row],[Valor Pagado]]*Cobros[[#This Row],[Vencido]]*(Cobros[[#This Row],[% aplicar]]/100)*IF(Cobros[[#This Row],[% A pagar Vendedor]]&gt;0,1,0)</f>
        <v>6.459</v>
      </c>
      <c r="W644" s="46">
        <f>0.5%*Cobros[[#This Row],[Valor Pagado]]</f>
        <v>3.2295</v>
      </c>
      <c r="X644" s="34"/>
    </row>
    <row r="645" ht="30" spans="1:24">
      <c r="A645" s="49" t="s">
        <v>3875</v>
      </c>
      <c r="B645" s="49" t="s">
        <v>4846</v>
      </c>
      <c r="C645" s="49" t="s">
        <v>960</v>
      </c>
      <c r="D645" s="49" t="s">
        <v>961</v>
      </c>
      <c r="E645" s="49" t="s">
        <v>4849</v>
      </c>
      <c r="F645" s="51">
        <v>46216</v>
      </c>
      <c r="G645" s="49">
        <v>189</v>
      </c>
      <c r="H645" s="49" t="s">
        <v>22</v>
      </c>
      <c r="I645" s="51">
        <v>46223</v>
      </c>
      <c r="J645" s="54">
        <f>INT(Cobros[[#This Row],[Fecha Cargo]])</f>
        <v>46216</v>
      </c>
      <c r="K645" s="54">
        <f>INT(Cobros[[#This Row],[Fecha Aplicacion]])</f>
        <v>46223</v>
      </c>
      <c r="L645" s="55" t="str">
        <f>INDEX(Clientes[Días Plazo],MATCH(Cobros[[#This Row],[Cod. Cliente]],Clientes[Codigo],0),1)</f>
        <v>21</v>
      </c>
      <c r="M645" s="45" t="str">
        <f>IF(Cobros[[#This Row],[Dias de Credito]]&lt;=0,"Contado","Credito")</f>
        <v>Credito</v>
      </c>
      <c r="N645" s="45">
        <f>Cobros[[#This Row],[Fecha Aplicación S]]-Cobros[[#This Row],[Fecha Cargo S]]</f>
        <v>7</v>
      </c>
      <c r="O645" s="45">
        <f>Cobros[[#This Row],[Dias al pago]]-Cobros[[#This Row],[Dias de Credito]]</f>
        <v>-14</v>
      </c>
      <c r="P645" s="45">
        <f>SUMIFS(TablaDias[Porcentaje],TablaDias[Tipo],Cobros[[#This Row],[Tipo]],TablaDias[Desde ],"&lt;="&amp;MAX(0,Cobros[[#This Row],[Dias pasado]]),TablaDias[Hasta ],"&gt;="&amp;Cobros[[#This Row],[Dias pasado]])</f>
        <v>100</v>
      </c>
      <c r="Q6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5" s="34">
        <f>IF(COUNTIF(PAPEL[Numero],Cobros[[#This Row],[Doc. Cargo]])&gt;0,1,0)</f>
        <v>0</v>
      </c>
      <c r="S645" s="46">
        <f t="array" ref="S6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5" s="46">
        <f t="array" ref="T645">INDEX(Ventas[[Unidades]:[2]],MATCH("Gerente de Venta",Ventas[Vendedor %],0),6+Cobros[[#This Row],[Mes]])</f>
        <v>0.005</v>
      </c>
      <c r="U645" s="34">
        <f>IF(Cobros[[#This Row],[Tipo]]="Credito",IF(60&gt;=Cobros[[#This Row],[Dias al pago]],1,0),IF(Cobros[[#This Row],[Dias al pago]]&lt;=3,1,0))</f>
        <v>1</v>
      </c>
      <c r="V645" s="46">
        <f>(Cobros[[#This Row],[% A pagar Vendedor]]/100)*Cobros[[#This Row],[Valor Pagado]]*Cobros[[#This Row],[Vencido]]*(Cobros[[#This Row],[% aplicar]]/100)*IF(Cobros[[#This Row],[% A pagar Vendedor]]&gt;0,1,0)</f>
        <v>1.89</v>
      </c>
      <c r="W645" s="46">
        <f>0.5%*Cobros[[#This Row],[Valor Pagado]]</f>
        <v>0.945</v>
      </c>
      <c r="X645" s="34"/>
    </row>
    <row r="646" ht="30" spans="1:24">
      <c r="A646" s="49" t="s">
        <v>3875</v>
      </c>
      <c r="B646" s="49" t="s">
        <v>4846</v>
      </c>
      <c r="C646" s="49" t="s">
        <v>960</v>
      </c>
      <c r="D646" s="49" t="s">
        <v>961</v>
      </c>
      <c r="E646" s="49" t="s">
        <v>4850</v>
      </c>
      <c r="F646" s="51">
        <v>46217</v>
      </c>
      <c r="G646" s="49">
        <v>19.7</v>
      </c>
      <c r="H646" s="49" t="s">
        <v>22</v>
      </c>
      <c r="I646" s="51">
        <v>46223</v>
      </c>
      <c r="J646" s="54">
        <f>INT(Cobros[[#This Row],[Fecha Cargo]])</f>
        <v>46217</v>
      </c>
      <c r="K646" s="54">
        <f>INT(Cobros[[#This Row],[Fecha Aplicacion]])</f>
        <v>46223</v>
      </c>
      <c r="L646" s="55" t="str">
        <f>INDEX(Clientes[Días Plazo],MATCH(Cobros[[#This Row],[Cod. Cliente]],Clientes[Codigo],0),1)</f>
        <v>21</v>
      </c>
      <c r="M646" s="45" t="str">
        <f>IF(Cobros[[#This Row],[Dias de Credito]]&lt;=0,"Contado","Credito")</f>
        <v>Credito</v>
      </c>
      <c r="N646" s="45">
        <f>Cobros[[#This Row],[Fecha Aplicación S]]-Cobros[[#This Row],[Fecha Cargo S]]</f>
        <v>6</v>
      </c>
      <c r="O646" s="45">
        <f>Cobros[[#This Row],[Dias al pago]]-Cobros[[#This Row],[Dias de Credito]]</f>
        <v>-15</v>
      </c>
      <c r="P646" s="45">
        <f>SUMIFS(TablaDias[Porcentaje],TablaDias[Tipo],Cobros[[#This Row],[Tipo]],TablaDias[Desde ],"&lt;="&amp;MAX(0,Cobros[[#This Row],[Dias pasado]]),TablaDias[Hasta ],"&gt;="&amp;Cobros[[#This Row],[Dias pasado]])</f>
        <v>100</v>
      </c>
      <c r="Q64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6" s="34">
        <f>IF(COUNTIF(PAPEL[Numero],Cobros[[#This Row],[Doc. Cargo]])&gt;0,1,0)</f>
        <v>0</v>
      </c>
      <c r="S646" s="46">
        <f t="array" ref="S6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6" s="46">
        <f t="array" ref="T646">INDEX(Ventas[[Unidades]:[2]],MATCH("Gerente de Venta",Ventas[Vendedor %],0),6+Cobros[[#This Row],[Mes]])</f>
        <v>0.005</v>
      </c>
      <c r="U646" s="34">
        <f>IF(Cobros[[#This Row],[Tipo]]="Credito",IF(60&gt;=Cobros[[#This Row],[Dias al pago]],1,0),IF(Cobros[[#This Row],[Dias al pago]]&lt;=3,1,0))</f>
        <v>1</v>
      </c>
      <c r="V646" s="46">
        <f>(Cobros[[#This Row],[% A pagar Vendedor]]/100)*Cobros[[#This Row],[Valor Pagado]]*Cobros[[#This Row],[Vencido]]*(Cobros[[#This Row],[% aplicar]]/100)*IF(Cobros[[#This Row],[% A pagar Vendedor]]&gt;0,1,0)</f>
        <v>0.197</v>
      </c>
      <c r="W646" s="46">
        <f>0.5%*Cobros[[#This Row],[Valor Pagado]]</f>
        <v>0.0985</v>
      </c>
      <c r="X646" s="34"/>
    </row>
    <row r="647" ht="30" spans="1:24">
      <c r="A647" s="49" t="s">
        <v>3875</v>
      </c>
      <c r="B647" s="49" t="s">
        <v>4851</v>
      </c>
      <c r="C647" s="49" t="s">
        <v>960</v>
      </c>
      <c r="D647" s="49" t="s">
        <v>961</v>
      </c>
      <c r="E647" s="49" t="s">
        <v>4850</v>
      </c>
      <c r="F647" s="51">
        <v>46217</v>
      </c>
      <c r="G647" s="49">
        <v>130.3</v>
      </c>
      <c r="H647" s="49" t="s">
        <v>22</v>
      </c>
      <c r="I647" s="51">
        <v>46223</v>
      </c>
      <c r="J647" s="54">
        <f>INT(Cobros[[#This Row],[Fecha Cargo]])</f>
        <v>46217</v>
      </c>
      <c r="K647" s="54">
        <f>INT(Cobros[[#This Row],[Fecha Aplicacion]])</f>
        <v>46223</v>
      </c>
      <c r="L647" s="55" t="str">
        <f>INDEX(Clientes[Días Plazo],MATCH(Cobros[[#This Row],[Cod. Cliente]],Clientes[Codigo],0),1)</f>
        <v>21</v>
      </c>
      <c r="M647" s="45" t="str">
        <f>IF(Cobros[[#This Row],[Dias de Credito]]&lt;=0,"Contado","Credito")</f>
        <v>Credito</v>
      </c>
      <c r="N647" s="45">
        <f>Cobros[[#This Row],[Fecha Aplicación S]]-Cobros[[#This Row],[Fecha Cargo S]]</f>
        <v>6</v>
      </c>
      <c r="O647" s="45">
        <f>Cobros[[#This Row],[Dias al pago]]-Cobros[[#This Row],[Dias de Credito]]</f>
        <v>-15</v>
      </c>
      <c r="P647" s="45">
        <f>SUMIFS(TablaDias[Porcentaje],TablaDias[Tipo],Cobros[[#This Row],[Tipo]],TablaDias[Desde ],"&lt;="&amp;MAX(0,Cobros[[#This Row],[Dias pasado]]),TablaDias[Hasta ],"&gt;="&amp;Cobros[[#This Row],[Dias pasado]])</f>
        <v>100</v>
      </c>
      <c r="Q64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7" s="34">
        <f>IF(COUNTIF(PAPEL[Numero],Cobros[[#This Row],[Doc. Cargo]])&gt;0,1,0)</f>
        <v>0</v>
      </c>
      <c r="S647" s="46">
        <f t="array" ref="S6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7" s="46">
        <f t="array" ref="T647">INDEX(Ventas[[Unidades]:[2]],MATCH("Gerente de Venta",Ventas[Vendedor %],0),6+Cobros[[#This Row],[Mes]])</f>
        <v>0.005</v>
      </c>
      <c r="U647" s="34">
        <f>IF(Cobros[[#This Row],[Tipo]]="Credito",IF(60&gt;=Cobros[[#This Row],[Dias al pago]],1,0),IF(Cobros[[#This Row],[Dias al pago]]&lt;=3,1,0))</f>
        <v>1</v>
      </c>
      <c r="V647" s="46">
        <f>(Cobros[[#This Row],[% A pagar Vendedor]]/100)*Cobros[[#This Row],[Valor Pagado]]*Cobros[[#This Row],[Vencido]]*(Cobros[[#This Row],[% aplicar]]/100)*IF(Cobros[[#This Row],[% A pagar Vendedor]]&gt;0,1,0)</f>
        <v>1.303</v>
      </c>
      <c r="W647" s="46">
        <f>0.5%*Cobros[[#This Row],[Valor Pagado]]</f>
        <v>0.6515</v>
      </c>
      <c r="X647" s="34"/>
    </row>
    <row r="648" ht="30" spans="1:24">
      <c r="A648" s="49" t="s">
        <v>3875</v>
      </c>
      <c r="B648" s="49" t="s">
        <v>4851</v>
      </c>
      <c r="C648" s="49" t="s">
        <v>960</v>
      </c>
      <c r="D648" s="49" t="s">
        <v>961</v>
      </c>
      <c r="E648" s="49" t="s">
        <v>4852</v>
      </c>
      <c r="F648" s="51">
        <v>46217</v>
      </c>
      <c r="G648" s="49">
        <v>132</v>
      </c>
      <c r="H648" s="49" t="s">
        <v>22</v>
      </c>
      <c r="I648" s="51">
        <v>46223</v>
      </c>
      <c r="J648" s="54">
        <f>INT(Cobros[[#This Row],[Fecha Cargo]])</f>
        <v>46217</v>
      </c>
      <c r="K648" s="54">
        <f>INT(Cobros[[#This Row],[Fecha Aplicacion]])</f>
        <v>46223</v>
      </c>
      <c r="L648" s="55" t="str">
        <f>INDEX(Clientes[Días Plazo],MATCH(Cobros[[#This Row],[Cod. Cliente]],Clientes[Codigo],0),1)</f>
        <v>21</v>
      </c>
      <c r="M648" s="45" t="str">
        <f>IF(Cobros[[#This Row],[Dias de Credito]]&lt;=0,"Contado","Credito")</f>
        <v>Credito</v>
      </c>
      <c r="N648" s="45">
        <f>Cobros[[#This Row],[Fecha Aplicación S]]-Cobros[[#This Row],[Fecha Cargo S]]</f>
        <v>6</v>
      </c>
      <c r="O648" s="45">
        <f>Cobros[[#This Row],[Dias al pago]]-Cobros[[#This Row],[Dias de Credito]]</f>
        <v>-15</v>
      </c>
      <c r="P648" s="45">
        <f>SUMIFS(TablaDias[Porcentaje],TablaDias[Tipo],Cobros[[#This Row],[Tipo]],TablaDias[Desde ],"&lt;="&amp;MAX(0,Cobros[[#This Row],[Dias pasado]]),TablaDias[Hasta ],"&gt;="&amp;Cobros[[#This Row],[Dias pasado]])</f>
        <v>100</v>
      </c>
      <c r="Q6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8" s="34">
        <f>IF(COUNTIF(PAPEL[Numero],Cobros[[#This Row],[Doc. Cargo]])&gt;0,1,0)</f>
        <v>0</v>
      </c>
      <c r="S648" s="46">
        <f t="array" ref="S6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8" s="46">
        <f t="array" ref="T648">INDEX(Ventas[[Unidades]:[2]],MATCH("Gerente de Venta",Ventas[Vendedor %],0),6+Cobros[[#This Row],[Mes]])</f>
        <v>0.005</v>
      </c>
      <c r="U648" s="34">
        <f>IF(Cobros[[#This Row],[Tipo]]="Credito",IF(60&gt;=Cobros[[#This Row],[Dias al pago]],1,0),IF(Cobros[[#This Row],[Dias al pago]]&lt;=3,1,0))</f>
        <v>1</v>
      </c>
      <c r="V648" s="46">
        <f>(Cobros[[#This Row],[% A pagar Vendedor]]/100)*Cobros[[#This Row],[Valor Pagado]]*Cobros[[#This Row],[Vencido]]*(Cobros[[#This Row],[% aplicar]]/100)*IF(Cobros[[#This Row],[% A pagar Vendedor]]&gt;0,1,0)</f>
        <v>1.32</v>
      </c>
      <c r="W648" s="46">
        <f>0.5%*Cobros[[#This Row],[Valor Pagado]]</f>
        <v>0.66</v>
      </c>
      <c r="X648" s="34"/>
    </row>
    <row r="649" ht="30" spans="1:24">
      <c r="A649" s="49" t="s">
        <v>3875</v>
      </c>
      <c r="B649" s="49" t="s">
        <v>4851</v>
      </c>
      <c r="C649" s="49" t="s">
        <v>960</v>
      </c>
      <c r="D649" s="49" t="s">
        <v>961</v>
      </c>
      <c r="E649" s="49" t="s">
        <v>4853</v>
      </c>
      <c r="F649" s="51">
        <v>46219</v>
      </c>
      <c r="G649" s="49">
        <v>2.7</v>
      </c>
      <c r="H649" s="49" t="s">
        <v>22</v>
      </c>
      <c r="I649" s="51">
        <v>46223</v>
      </c>
      <c r="J649" s="54">
        <f>INT(Cobros[[#This Row],[Fecha Cargo]])</f>
        <v>46219</v>
      </c>
      <c r="K649" s="54">
        <f>INT(Cobros[[#This Row],[Fecha Aplicacion]])</f>
        <v>46223</v>
      </c>
      <c r="L649" s="55" t="str">
        <f>INDEX(Clientes[Días Plazo],MATCH(Cobros[[#This Row],[Cod. Cliente]],Clientes[Codigo],0),1)</f>
        <v>21</v>
      </c>
      <c r="M649" s="45" t="str">
        <f>IF(Cobros[[#This Row],[Dias de Credito]]&lt;=0,"Contado","Credito")</f>
        <v>Credito</v>
      </c>
      <c r="N649" s="45">
        <f>Cobros[[#This Row],[Fecha Aplicación S]]-Cobros[[#This Row],[Fecha Cargo S]]</f>
        <v>4</v>
      </c>
      <c r="O649" s="45">
        <f>Cobros[[#This Row],[Dias al pago]]-Cobros[[#This Row],[Dias de Credito]]</f>
        <v>-17</v>
      </c>
      <c r="P649" s="45">
        <f>SUMIFS(TablaDias[Porcentaje],TablaDias[Tipo],Cobros[[#This Row],[Tipo]],TablaDias[Desde ],"&lt;="&amp;MAX(0,Cobros[[#This Row],[Dias pasado]]),TablaDias[Hasta ],"&gt;="&amp;Cobros[[#This Row],[Dias pasado]])</f>
        <v>100</v>
      </c>
      <c r="Q64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49" s="34">
        <f>IF(COUNTIF(PAPEL[Numero],Cobros[[#This Row],[Doc. Cargo]])&gt;0,1,0)</f>
        <v>0</v>
      </c>
      <c r="S649" s="46">
        <f t="array" ref="S6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49" s="46">
        <f t="array" ref="T649">INDEX(Ventas[[Unidades]:[2]],MATCH("Gerente de Venta",Ventas[Vendedor %],0),6+Cobros[[#This Row],[Mes]])</f>
        <v>0.005</v>
      </c>
      <c r="U649" s="34">
        <f>IF(Cobros[[#This Row],[Tipo]]="Credito",IF(60&gt;=Cobros[[#This Row],[Dias al pago]],1,0),IF(Cobros[[#This Row],[Dias al pago]]&lt;=3,1,0))</f>
        <v>1</v>
      </c>
      <c r="V649" s="46">
        <f>(Cobros[[#This Row],[% A pagar Vendedor]]/100)*Cobros[[#This Row],[Valor Pagado]]*Cobros[[#This Row],[Vencido]]*(Cobros[[#This Row],[% aplicar]]/100)*IF(Cobros[[#This Row],[% A pagar Vendedor]]&gt;0,1,0)</f>
        <v>0.027</v>
      </c>
      <c r="W649" s="46">
        <f>0.5%*Cobros[[#This Row],[Valor Pagado]]</f>
        <v>0.0135</v>
      </c>
      <c r="X649" s="34"/>
    </row>
    <row r="650" ht="30" spans="1:24">
      <c r="A650" s="49" t="s">
        <v>3860</v>
      </c>
      <c r="B650" s="49" t="s">
        <v>4854</v>
      </c>
      <c r="C650" s="49" t="s">
        <v>2593</v>
      </c>
      <c r="D650" s="49" t="s">
        <v>2594</v>
      </c>
      <c r="E650" s="49" t="s">
        <v>4855</v>
      </c>
      <c r="F650" s="51">
        <v>46223</v>
      </c>
      <c r="G650" s="49">
        <v>522</v>
      </c>
      <c r="H650" s="49" t="s">
        <v>22</v>
      </c>
      <c r="I650" s="51">
        <v>46223</v>
      </c>
      <c r="J650" s="54">
        <f>INT(Cobros[[#This Row],[Fecha Cargo]])</f>
        <v>46223</v>
      </c>
      <c r="K650" s="54">
        <f>INT(Cobros[[#This Row],[Fecha Aplicacion]])</f>
        <v>46223</v>
      </c>
      <c r="L650" s="55">
        <f>INDEX(Clientes[Días Plazo],MATCH(Cobros[[#This Row],[Cod. Cliente]],Clientes[Codigo],0),1)</f>
        <v>0</v>
      </c>
      <c r="M650" s="45" t="str">
        <f>IF(Cobros[[#This Row],[Dias de Credito]]&lt;=0,"Contado","Credito")</f>
        <v>Contado</v>
      </c>
      <c r="N650" s="45">
        <f>Cobros[[#This Row],[Fecha Aplicación S]]-Cobros[[#This Row],[Fecha Cargo S]]</f>
        <v>0</v>
      </c>
      <c r="O650" s="45">
        <f>Cobros[[#This Row],[Dias al pago]]-Cobros[[#This Row],[Dias de Credito]]</f>
        <v>0</v>
      </c>
      <c r="P650" s="45">
        <f>SUMIFS(TablaDias[Porcentaje],TablaDias[Tipo],Cobros[[#This Row],[Tipo]],TablaDias[Desde ],"&lt;="&amp;MAX(0,Cobros[[#This Row],[Dias pasado]]),TablaDias[Hasta ],"&gt;="&amp;Cobros[[#This Row],[Dias pasado]])</f>
        <v>100</v>
      </c>
      <c r="Q65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0" s="34">
        <f>IF(COUNTIF(PAPEL[Numero],Cobros[[#This Row],[Doc. Cargo]])&gt;0,1,0)</f>
        <v>0</v>
      </c>
      <c r="S650" s="46">
        <f t="array" ref="S6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50" s="46">
        <f t="array" ref="T650">INDEX(Ventas[[Unidades]:[2]],MATCH("Gerente de Venta",Ventas[Vendedor %],0),6+Cobros[[#This Row],[Mes]])</f>
        <v>0.005</v>
      </c>
      <c r="U650" s="34">
        <f>IF(Cobros[[#This Row],[Tipo]]="Credito",IF(60&gt;=Cobros[[#This Row],[Dias al pago]],1,0),IF(Cobros[[#This Row],[Dias al pago]]&lt;=3,1,0))</f>
        <v>1</v>
      </c>
      <c r="V650" s="46">
        <f>(Cobros[[#This Row],[% A pagar Vendedor]]/100)*Cobros[[#This Row],[Valor Pagado]]*Cobros[[#This Row],[Vencido]]*(Cobros[[#This Row],[% aplicar]]/100)*IF(Cobros[[#This Row],[% A pagar Vendedor]]&gt;0,1,0)</f>
        <v>5.22</v>
      </c>
      <c r="W650" s="46">
        <f>0.5%*Cobros[[#This Row],[Valor Pagado]]</f>
        <v>2.61</v>
      </c>
      <c r="X650" s="34"/>
    </row>
    <row r="651" ht="30" spans="1:24">
      <c r="A651" s="49" t="s">
        <v>3860</v>
      </c>
      <c r="B651" s="49" t="s">
        <v>4856</v>
      </c>
      <c r="C651" s="49" t="s">
        <v>2593</v>
      </c>
      <c r="D651" s="49" t="s">
        <v>2594</v>
      </c>
      <c r="E651" s="49" t="s">
        <v>4855</v>
      </c>
      <c r="F651" s="51">
        <v>46223</v>
      </c>
      <c r="G651" s="49">
        <v>105</v>
      </c>
      <c r="H651" s="49" t="s">
        <v>22</v>
      </c>
      <c r="I651" s="51">
        <v>46223</v>
      </c>
      <c r="J651" s="54">
        <f>INT(Cobros[[#This Row],[Fecha Cargo]])</f>
        <v>46223</v>
      </c>
      <c r="K651" s="54">
        <f>INT(Cobros[[#This Row],[Fecha Aplicacion]])</f>
        <v>46223</v>
      </c>
      <c r="L651" s="55">
        <f>INDEX(Clientes[Días Plazo],MATCH(Cobros[[#This Row],[Cod. Cliente]],Clientes[Codigo],0),1)</f>
        <v>0</v>
      </c>
      <c r="M651" s="45" t="str">
        <f>IF(Cobros[[#This Row],[Dias de Credito]]&lt;=0,"Contado","Credito")</f>
        <v>Contado</v>
      </c>
      <c r="N651" s="45">
        <f>Cobros[[#This Row],[Fecha Aplicación S]]-Cobros[[#This Row],[Fecha Cargo S]]</f>
        <v>0</v>
      </c>
      <c r="O651" s="45">
        <f>Cobros[[#This Row],[Dias al pago]]-Cobros[[#This Row],[Dias de Credito]]</f>
        <v>0</v>
      </c>
      <c r="P651" s="45">
        <f>SUMIFS(TablaDias[Porcentaje],TablaDias[Tipo],Cobros[[#This Row],[Tipo]],TablaDias[Desde ],"&lt;="&amp;MAX(0,Cobros[[#This Row],[Dias pasado]]),TablaDias[Hasta ],"&gt;="&amp;Cobros[[#This Row],[Dias pasado]])</f>
        <v>100</v>
      </c>
      <c r="Q65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1" s="34">
        <f>IF(COUNTIF(PAPEL[Numero],Cobros[[#This Row],[Doc. Cargo]])&gt;0,1,0)</f>
        <v>0</v>
      </c>
      <c r="S651" s="46">
        <f t="array" ref="S6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51" s="46">
        <f t="array" ref="T651">INDEX(Ventas[[Unidades]:[2]],MATCH("Gerente de Venta",Ventas[Vendedor %],0),6+Cobros[[#This Row],[Mes]])</f>
        <v>0.005</v>
      </c>
      <c r="U651" s="34">
        <f>IF(Cobros[[#This Row],[Tipo]]="Credito",IF(60&gt;=Cobros[[#This Row],[Dias al pago]],1,0),IF(Cobros[[#This Row],[Dias al pago]]&lt;=3,1,0))</f>
        <v>1</v>
      </c>
      <c r="V651" s="46">
        <f>(Cobros[[#This Row],[% A pagar Vendedor]]/100)*Cobros[[#This Row],[Valor Pagado]]*Cobros[[#This Row],[Vencido]]*(Cobros[[#This Row],[% aplicar]]/100)*IF(Cobros[[#This Row],[% A pagar Vendedor]]&gt;0,1,0)</f>
        <v>1.05</v>
      </c>
      <c r="W651" s="46">
        <f>0.5%*Cobros[[#This Row],[Valor Pagado]]</f>
        <v>0.525</v>
      </c>
      <c r="X651" s="34"/>
    </row>
    <row r="652" spans="1:24">
      <c r="A652" s="49" t="s">
        <v>3860</v>
      </c>
      <c r="B652" s="49" t="s">
        <v>4857</v>
      </c>
      <c r="C652" s="49" t="s">
        <v>1434</v>
      </c>
      <c r="D652" s="49" t="s">
        <v>1435</v>
      </c>
      <c r="E652" s="49" t="s">
        <v>4858</v>
      </c>
      <c r="F652" s="51">
        <v>46209</v>
      </c>
      <c r="G652" s="49">
        <v>2613</v>
      </c>
      <c r="H652" s="49" t="s">
        <v>16</v>
      </c>
      <c r="I652" s="51">
        <v>46223</v>
      </c>
      <c r="J652" s="54">
        <f>INT(Cobros[[#This Row],[Fecha Cargo]])</f>
        <v>46209</v>
      </c>
      <c r="K652" s="54">
        <f>INT(Cobros[[#This Row],[Fecha Aplicacion]])</f>
        <v>46223</v>
      </c>
      <c r="L652" s="55" t="str">
        <f>INDEX(Clientes[Días Plazo],MATCH(Cobros[[#This Row],[Cod. Cliente]],Clientes[Codigo],0),1)</f>
        <v>10</v>
      </c>
      <c r="M652" s="45" t="str">
        <f>IF(Cobros[[#This Row],[Dias de Credito]]&lt;=0,"Contado","Credito")</f>
        <v>Credito</v>
      </c>
      <c r="N652" s="45">
        <f>Cobros[[#This Row],[Fecha Aplicación S]]-Cobros[[#This Row],[Fecha Cargo S]]</f>
        <v>14</v>
      </c>
      <c r="O652" s="45">
        <f>Cobros[[#This Row],[Dias al pago]]-Cobros[[#This Row],[Dias de Credito]]</f>
        <v>4</v>
      </c>
      <c r="P652" s="45">
        <f>SUMIFS(TablaDias[Porcentaje],TablaDias[Tipo],Cobros[[#This Row],[Tipo]],TablaDias[Desde ],"&lt;="&amp;MAX(0,Cobros[[#This Row],[Dias pasado]]),TablaDias[Hasta ],"&gt;="&amp;Cobros[[#This Row],[Dias pasado]])</f>
        <v>100</v>
      </c>
      <c r="Q65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2" s="34">
        <f>IF(COUNTIF(PAPEL[Numero],Cobros[[#This Row],[Doc. Cargo]])&gt;0,1,0)</f>
        <v>0</v>
      </c>
      <c r="S652" s="46">
        <f t="array" ref="S6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52" s="47">
        <v>0.005</v>
      </c>
      <c r="U652" s="34">
        <f>IF(Cobros[[#This Row],[Tipo]]="Credito",IF(60&gt;=Cobros[[#This Row],[Dias al pago]],1,0),IF(Cobros[[#This Row],[Dias al pago]]&lt;=3,1,0))</f>
        <v>1</v>
      </c>
      <c r="V652" s="46">
        <f>(Cobros[[#This Row],[% A pagar Vendedor]]/100)*Cobros[[#This Row],[Valor Pagado]]*Cobros[[#This Row],[Vencido]]*(Cobros[[#This Row],[% aplicar]]/100)*IF(Cobros[[#This Row],[% A pagar Vendedor]]&gt;0,1,0)</f>
        <v>32.6625</v>
      </c>
      <c r="W652" s="46">
        <f>0.5%*Cobros[[#This Row],[Valor Pagado]]</f>
        <v>13.065</v>
      </c>
      <c r="X652" s="34"/>
    </row>
    <row r="653" spans="1:24">
      <c r="A653" s="49" t="s">
        <v>3860</v>
      </c>
      <c r="B653" s="49" t="s">
        <v>4859</v>
      </c>
      <c r="C653" s="49" t="s">
        <v>1434</v>
      </c>
      <c r="D653" s="49" t="s">
        <v>1435</v>
      </c>
      <c r="E653" s="49" t="s">
        <v>4860</v>
      </c>
      <c r="F653" s="51">
        <v>46209</v>
      </c>
      <c r="G653" s="49">
        <v>129.5</v>
      </c>
      <c r="H653" s="49" t="s">
        <v>16</v>
      </c>
      <c r="I653" s="51">
        <v>46223</v>
      </c>
      <c r="J653" s="54">
        <f>INT(Cobros[[#This Row],[Fecha Cargo]])</f>
        <v>46209</v>
      </c>
      <c r="K653" s="54">
        <f>INT(Cobros[[#This Row],[Fecha Aplicacion]])</f>
        <v>46223</v>
      </c>
      <c r="L653" s="55" t="str">
        <f>INDEX(Clientes[Días Plazo],MATCH(Cobros[[#This Row],[Cod. Cliente]],Clientes[Codigo],0),1)</f>
        <v>10</v>
      </c>
      <c r="M653" s="45" t="str">
        <f>IF(Cobros[[#This Row],[Dias de Credito]]&lt;=0,"Contado","Credito")</f>
        <v>Credito</v>
      </c>
      <c r="N653" s="45">
        <f>Cobros[[#This Row],[Fecha Aplicación S]]-Cobros[[#This Row],[Fecha Cargo S]]</f>
        <v>14</v>
      </c>
      <c r="O653" s="45">
        <f>Cobros[[#This Row],[Dias al pago]]-Cobros[[#This Row],[Dias de Credito]]</f>
        <v>4</v>
      </c>
      <c r="P653" s="45">
        <f>SUMIFS(TablaDias[Porcentaje],TablaDias[Tipo],Cobros[[#This Row],[Tipo]],TablaDias[Desde ],"&lt;="&amp;MAX(0,Cobros[[#This Row],[Dias pasado]]),TablaDias[Hasta ],"&gt;="&amp;Cobros[[#This Row],[Dias pasado]])</f>
        <v>100</v>
      </c>
      <c r="Q65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3" s="34">
        <f>IF(COUNTIF(PAPEL[Numero],Cobros[[#This Row],[Doc. Cargo]])&gt;0,1,0)</f>
        <v>0</v>
      </c>
      <c r="S653" s="46">
        <f t="array" ref="S6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53" s="47">
        <v>0.005</v>
      </c>
      <c r="U653" s="34">
        <f>IF(Cobros[[#This Row],[Tipo]]="Credito",IF(60&gt;=Cobros[[#This Row],[Dias al pago]],1,0),IF(Cobros[[#This Row],[Dias al pago]]&lt;=3,1,0))</f>
        <v>1</v>
      </c>
      <c r="V653" s="46">
        <f>(Cobros[[#This Row],[% A pagar Vendedor]]/100)*Cobros[[#This Row],[Valor Pagado]]*Cobros[[#This Row],[Vencido]]*(Cobros[[#This Row],[% aplicar]]/100)*IF(Cobros[[#This Row],[% A pagar Vendedor]]&gt;0,1,0)</f>
        <v>1.61875</v>
      </c>
      <c r="W653" s="46">
        <f>0.5%*Cobros[[#This Row],[Valor Pagado]]</f>
        <v>0.6475</v>
      </c>
      <c r="X653" s="34"/>
    </row>
    <row r="654" spans="1:24">
      <c r="A654" s="49" t="s">
        <v>3860</v>
      </c>
      <c r="B654" s="49" t="s">
        <v>4861</v>
      </c>
      <c r="C654" s="49" t="s">
        <v>616</v>
      </c>
      <c r="D654" s="49" t="s">
        <v>617</v>
      </c>
      <c r="E654" s="49" t="s">
        <v>4862</v>
      </c>
      <c r="F654" s="51">
        <v>46176</v>
      </c>
      <c r="G654" s="49">
        <v>2000</v>
      </c>
      <c r="H654" s="49" t="s">
        <v>18</v>
      </c>
      <c r="I654" s="51">
        <v>46223</v>
      </c>
      <c r="J654" s="54">
        <f>INT(Cobros[[#This Row],[Fecha Cargo]])</f>
        <v>46176</v>
      </c>
      <c r="K654" s="54">
        <f>INT(Cobros[[#This Row],[Fecha Aplicacion]])</f>
        <v>46223</v>
      </c>
      <c r="L654" s="55" t="str">
        <f>INDEX(Clientes[Días Plazo],MATCH(Cobros[[#This Row],[Cod. Cliente]],Clientes[Codigo],0),1)</f>
        <v>15</v>
      </c>
      <c r="M654" s="45" t="str">
        <f>IF(Cobros[[#This Row],[Dias de Credito]]&lt;=0,"Contado","Credito")</f>
        <v>Credito</v>
      </c>
      <c r="N654" s="45">
        <f>Cobros[[#This Row],[Fecha Aplicación S]]-Cobros[[#This Row],[Fecha Cargo S]]</f>
        <v>47</v>
      </c>
      <c r="O654" s="45">
        <f>Cobros[[#This Row],[Dias al pago]]-Cobros[[#This Row],[Dias de Credito]]</f>
        <v>32</v>
      </c>
      <c r="P654" s="45">
        <f>SUMIFS(TablaDias[Porcentaje],TablaDias[Tipo],Cobros[[#This Row],[Tipo]],TablaDias[Desde ],"&lt;="&amp;MAX(0,Cobros[[#This Row],[Dias pasado]]),TablaDias[Hasta ],"&gt;="&amp;Cobros[[#This Row],[Dias pasado]])</f>
        <v>30</v>
      </c>
      <c r="Q65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54" s="34">
        <f>IF(COUNTIF(PAPEL[Numero],Cobros[[#This Row],[Doc. Cargo]])&gt;0,1,0)</f>
        <v>0</v>
      </c>
      <c r="S654" s="46">
        <f t="array" ref="S6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54" s="46">
        <f t="array" ref="T654">INDEX(Ventas[[Unidades]:[2]],MATCH("Gerente de Venta",Ventas[Vendedor %],0),6+Cobros[[#This Row],[Mes]])</f>
        <v>0.005</v>
      </c>
      <c r="U654" s="34">
        <f>IF(Cobros[[#This Row],[Tipo]]="Credito",IF(60&gt;=Cobros[[#This Row],[Dias al pago]],1,0),IF(Cobros[[#This Row],[Dias al pago]]&lt;=3,1,0))</f>
        <v>1</v>
      </c>
      <c r="V654" s="46">
        <f>(Cobros[[#This Row],[% A pagar Vendedor]]/100)*Cobros[[#This Row],[Valor Pagado]]*Cobros[[#This Row],[Vencido]]*(Cobros[[#This Row],[% aplicar]]/100)*IF(Cobros[[#This Row],[% A pagar Vendedor]]&gt;0,1,0)</f>
        <v>6</v>
      </c>
      <c r="W654" s="46">
        <f>0.5%*Cobros[[#This Row],[Valor Pagado]]</f>
        <v>10</v>
      </c>
      <c r="X654" s="34"/>
    </row>
    <row r="655" spans="1:24">
      <c r="A655" s="49" t="s">
        <v>3860</v>
      </c>
      <c r="B655" s="49" t="s">
        <v>4863</v>
      </c>
      <c r="C655" s="49" t="s">
        <v>1756</v>
      </c>
      <c r="D655" s="49" t="s">
        <v>1757</v>
      </c>
      <c r="E655" s="49" t="s">
        <v>4610</v>
      </c>
      <c r="F655" s="51">
        <v>46209</v>
      </c>
      <c r="G655" s="49">
        <v>200</v>
      </c>
      <c r="H655" s="49" t="s">
        <v>19</v>
      </c>
      <c r="I655" s="51">
        <v>46223</v>
      </c>
      <c r="J655" s="54">
        <f>INT(Cobros[[#This Row],[Fecha Cargo]])</f>
        <v>46209</v>
      </c>
      <c r="K655" s="54">
        <f>INT(Cobros[[#This Row],[Fecha Aplicacion]])</f>
        <v>46223</v>
      </c>
      <c r="L655" s="55" t="str">
        <f>INDEX(Clientes[Días Plazo],MATCH(Cobros[[#This Row],[Cod. Cliente]],Clientes[Codigo],0),1)</f>
        <v>7</v>
      </c>
      <c r="M655" s="45" t="str">
        <f>IF(Cobros[[#This Row],[Dias de Credito]]&lt;=0,"Contado","Credito")</f>
        <v>Credito</v>
      </c>
      <c r="N655" s="45">
        <f>Cobros[[#This Row],[Fecha Aplicación S]]-Cobros[[#This Row],[Fecha Cargo S]]</f>
        <v>14</v>
      </c>
      <c r="O655" s="45">
        <f>Cobros[[#This Row],[Dias al pago]]-Cobros[[#This Row],[Dias de Credito]]</f>
        <v>7</v>
      </c>
      <c r="P655" s="45">
        <f>SUMIFS(TablaDias[Porcentaje],TablaDias[Tipo],Cobros[[#This Row],[Tipo]],TablaDias[Desde ],"&lt;="&amp;MAX(0,Cobros[[#This Row],[Dias pasado]]),TablaDias[Hasta ],"&gt;="&amp;Cobros[[#This Row],[Dias pasado]])</f>
        <v>100</v>
      </c>
      <c r="Q65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5" s="34">
        <f>IF(COUNTIF(PAPEL[Numero],Cobros[[#This Row],[Doc. Cargo]])&gt;0,1,0)</f>
        <v>0</v>
      </c>
      <c r="S655" s="46">
        <f t="array" ref="S6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55" s="46">
        <f t="array" ref="T655">INDEX(Ventas[[Unidades]:[2]],MATCH("Gerente de Venta",Ventas[Vendedor %],0),6+Cobros[[#This Row],[Mes]])</f>
        <v>0.005</v>
      </c>
      <c r="U655" s="34">
        <f>IF(Cobros[[#This Row],[Tipo]]="Credito",IF(60&gt;=Cobros[[#This Row],[Dias al pago]],1,0),IF(Cobros[[#This Row],[Dias al pago]]&lt;=3,1,0))</f>
        <v>1</v>
      </c>
      <c r="V655" s="46">
        <f>(Cobros[[#This Row],[% A pagar Vendedor]]/100)*Cobros[[#This Row],[Valor Pagado]]*Cobros[[#This Row],[Vencido]]*(Cobros[[#This Row],[% aplicar]]/100)*IF(Cobros[[#This Row],[% A pagar Vendedor]]&gt;0,1,0)</f>
        <v>2.5</v>
      </c>
      <c r="W655" s="46">
        <f>0.5%*Cobros[[#This Row],[Valor Pagado]]</f>
        <v>1</v>
      </c>
      <c r="X655" s="34"/>
    </row>
    <row r="656" ht="30" spans="1:24">
      <c r="A656" s="49" t="s">
        <v>3860</v>
      </c>
      <c r="B656" s="49" t="s">
        <v>4864</v>
      </c>
      <c r="C656" s="49" t="s">
        <v>2105</v>
      </c>
      <c r="D656" s="49" t="s">
        <v>2106</v>
      </c>
      <c r="E656" s="49" t="s">
        <v>4491</v>
      </c>
      <c r="F656" s="51">
        <v>46195</v>
      </c>
      <c r="G656" s="49">
        <v>999.35</v>
      </c>
      <c r="H656" s="49" t="s">
        <v>1355</v>
      </c>
      <c r="I656" s="51">
        <v>46223</v>
      </c>
      <c r="J656" s="54">
        <f>INT(Cobros[[#This Row],[Fecha Cargo]])</f>
        <v>46195</v>
      </c>
      <c r="K656" s="54">
        <f>INT(Cobros[[#This Row],[Fecha Aplicacion]])</f>
        <v>46223</v>
      </c>
      <c r="L656" s="55" t="str">
        <f>INDEX(Clientes[Días Plazo],MATCH(Cobros[[#This Row],[Cod. Cliente]],Clientes[Codigo],0),1)</f>
        <v>21</v>
      </c>
      <c r="M656" s="45" t="str">
        <f>IF(Cobros[[#This Row],[Dias de Credito]]&lt;=0,"Contado","Credito")</f>
        <v>Credito</v>
      </c>
      <c r="N656" s="45">
        <f>Cobros[[#This Row],[Fecha Aplicación S]]-Cobros[[#This Row],[Fecha Cargo S]]</f>
        <v>28</v>
      </c>
      <c r="O656" s="45">
        <f>Cobros[[#This Row],[Dias al pago]]-Cobros[[#This Row],[Dias de Credito]]</f>
        <v>7</v>
      </c>
      <c r="P656" s="45">
        <f>SUMIFS(TablaDias[Porcentaje],TablaDias[Tipo],Cobros[[#This Row],[Tipo]],TablaDias[Desde ],"&lt;="&amp;MAX(0,Cobros[[#This Row],[Dias pasado]]),TablaDias[Hasta ],"&gt;="&amp;Cobros[[#This Row],[Dias pasado]])</f>
        <v>100</v>
      </c>
      <c r="Q65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56" s="34">
        <f>IF(COUNTIF(PAPEL[Numero],Cobros[[#This Row],[Doc. Cargo]])&gt;0,1,0)</f>
        <v>0</v>
      </c>
      <c r="S656" s="46">
        <v>1</v>
      </c>
      <c r="T656" s="46">
        <f t="array" ref="T656">INDEX(Ventas[[Unidades]:[2]],MATCH("Gerente de Venta",Ventas[Vendedor %],0),6+Cobros[[#This Row],[Mes]])</f>
        <v>0.005</v>
      </c>
      <c r="U656" s="34">
        <f>IF(Cobros[[#This Row],[Tipo]]="Credito",IF(60&gt;=Cobros[[#This Row],[Dias al pago]],1,0),IF(Cobros[[#This Row],[Dias al pago]]&lt;=3,1,0))</f>
        <v>1</v>
      </c>
      <c r="V656" s="46">
        <f>(Cobros[[#This Row],[% A pagar Vendedor]]/100)*Cobros[[#This Row],[Valor Pagado]]*Cobros[[#This Row],[Vencido]]*(Cobros[[#This Row],[% aplicar]]/100)*IF(Cobros[[#This Row],[% A pagar Vendedor]]&gt;0,1,0)</f>
        <v>9.9935</v>
      </c>
      <c r="W656" s="46">
        <f>0.5%*Cobros[[#This Row],[Valor Pagado]]</f>
        <v>4.99675</v>
      </c>
      <c r="X656" s="34"/>
    </row>
    <row r="657" spans="1:24">
      <c r="A657" s="49" t="s">
        <v>3860</v>
      </c>
      <c r="B657" s="49" t="s">
        <v>4865</v>
      </c>
      <c r="C657" s="49" t="s">
        <v>128</v>
      </c>
      <c r="D657" s="49" t="s">
        <v>129</v>
      </c>
      <c r="E657" s="49" t="s">
        <v>4866</v>
      </c>
      <c r="F657" s="51">
        <v>46223</v>
      </c>
      <c r="G657" s="49">
        <v>259</v>
      </c>
      <c r="H657" s="49" t="s">
        <v>16</v>
      </c>
      <c r="I657" s="51">
        <v>46223</v>
      </c>
      <c r="J657" s="54">
        <f>INT(Cobros[[#This Row],[Fecha Cargo]])</f>
        <v>46223</v>
      </c>
      <c r="K657" s="54">
        <f>INT(Cobros[[#This Row],[Fecha Aplicacion]])</f>
        <v>46223</v>
      </c>
      <c r="L657" s="55">
        <f>INDEX(Clientes[Días Plazo],MATCH(Cobros[[#This Row],[Cod. Cliente]],Clientes[Codigo],0),1)</f>
        <v>0</v>
      </c>
      <c r="M657" s="45" t="str">
        <f>IF(Cobros[[#This Row],[Dias de Credito]]&lt;=0,"Contado","Credito")</f>
        <v>Contado</v>
      </c>
      <c r="N657" s="45">
        <f>Cobros[[#This Row],[Fecha Aplicación S]]-Cobros[[#This Row],[Fecha Cargo S]]</f>
        <v>0</v>
      </c>
      <c r="O657" s="45">
        <f>Cobros[[#This Row],[Dias al pago]]-Cobros[[#This Row],[Dias de Credito]]</f>
        <v>0</v>
      </c>
      <c r="P657" s="45">
        <f>SUMIFS(TablaDias[Porcentaje],TablaDias[Tipo],Cobros[[#This Row],[Tipo]],TablaDias[Desde ],"&lt;="&amp;MAX(0,Cobros[[#This Row],[Dias pasado]]),TablaDias[Hasta ],"&gt;="&amp;Cobros[[#This Row],[Dias pasado]])</f>
        <v>100</v>
      </c>
      <c r="Q65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7" s="34">
        <f>IF(COUNTIF(PAPEL[Numero],Cobros[[#This Row],[Doc. Cargo]])&gt;0,1,0)</f>
        <v>0</v>
      </c>
      <c r="S657" s="46">
        <f t="array" ref="S6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57" s="47">
        <v>0.005</v>
      </c>
      <c r="U657" s="34">
        <f>IF(Cobros[[#This Row],[Tipo]]="Credito",IF(60&gt;=Cobros[[#This Row],[Dias al pago]],1,0),IF(Cobros[[#This Row],[Dias al pago]]&lt;=3,1,0))</f>
        <v>1</v>
      </c>
      <c r="V657" s="46">
        <f>(Cobros[[#This Row],[% A pagar Vendedor]]/100)*Cobros[[#This Row],[Valor Pagado]]*Cobros[[#This Row],[Vencido]]*(Cobros[[#This Row],[% aplicar]]/100)*IF(Cobros[[#This Row],[% A pagar Vendedor]]&gt;0,1,0)</f>
        <v>3.2375</v>
      </c>
      <c r="W657" s="46">
        <f>0.5%*Cobros[[#This Row],[Valor Pagado]]</f>
        <v>1.295</v>
      </c>
      <c r="X657" s="34"/>
    </row>
    <row r="658" spans="1:24">
      <c r="A658" s="49" t="s">
        <v>3860</v>
      </c>
      <c r="B658" s="49" t="s">
        <v>4867</v>
      </c>
      <c r="C658" s="49" t="s">
        <v>3040</v>
      </c>
      <c r="D658" s="49" t="s">
        <v>3041</v>
      </c>
      <c r="E658" s="49" t="s">
        <v>4868</v>
      </c>
      <c r="F658" s="51">
        <v>46223</v>
      </c>
      <c r="G658" s="49">
        <v>2.5</v>
      </c>
      <c r="H658" s="49" t="s">
        <v>18</v>
      </c>
      <c r="I658" s="51">
        <v>46223</v>
      </c>
      <c r="J658" s="54">
        <f>INT(Cobros[[#This Row],[Fecha Cargo]])</f>
        <v>46223</v>
      </c>
      <c r="K658" s="54">
        <f>INT(Cobros[[#This Row],[Fecha Aplicacion]])</f>
        <v>46223</v>
      </c>
      <c r="L658" s="55">
        <f>INDEX(Clientes[Días Plazo],MATCH(Cobros[[#This Row],[Cod. Cliente]],Clientes[Codigo],0),1)</f>
        <v>0</v>
      </c>
      <c r="M658" s="45" t="str">
        <f>IF(Cobros[[#This Row],[Dias de Credito]]&lt;=0,"Contado","Credito")</f>
        <v>Contado</v>
      </c>
      <c r="N658" s="45">
        <f>Cobros[[#This Row],[Fecha Aplicación S]]-Cobros[[#This Row],[Fecha Cargo S]]</f>
        <v>0</v>
      </c>
      <c r="O658" s="45">
        <f>Cobros[[#This Row],[Dias al pago]]-Cobros[[#This Row],[Dias de Credito]]</f>
        <v>0</v>
      </c>
      <c r="P658" s="45">
        <f>SUMIFS(TablaDias[Porcentaje],TablaDias[Tipo],Cobros[[#This Row],[Tipo]],TablaDias[Desde ],"&lt;="&amp;MAX(0,Cobros[[#This Row],[Dias pasado]]),TablaDias[Hasta ],"&gt;="&amp;Cobros[[#This Row],[Dias pasado]])</f>
        <v>100</v>
      </c>
      <c r="Q65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58" s="34">
        <f>IF(COUNTIF(PAPEL[Numero],Cobros[[#This Row],[Doc. Cargo]])&gt;0,1,0)</f>
        <v>0</v>
      </c>
      <c r="S658" s="46">
        <f t="array" ref="S6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58" s="46">
        <f t="array" ref="T658">INDEX(Ventas[[Unidades]:[2]],MATCH("Gerente de Venta",Ventas[Vendedor %],0),6+Cobros[[#This Row],[Mes]])</f>
        <v>0.005</v>
      </c>
      <c r="U658" s="34">
        <f>IF(Cobros[[#This Row],[Tipo]]="Credito",IF(60&gt;=Cobros[[#This Row],[Dias al pago]],1,0),IF(Cobros[[#This Row],[Dias al pago]]&lt;=3,1,0))</f>
        <v>1</v>
      </c>
      <c r="V658" s="46">
        <f>(Cobros[[#This Row],[% A pagar Vendedor]]/100)*Cobros[[#This Row],[Valor Pagado]]*Cobros[[#This Row],[Vencido]]*(Cobros[[#This Row],[% aplicar]]/100)*IF(Cobros[[#This Row],[% A pagar Vendedor]]&gt;0,1,0)</f>
        <v>0.03125</v>
      </c>
      <c r="W658" s="46">
        <f>0.5%*Cobros[[#This Row],[Valor Pagado]]</f>
        <v>0.0125</v>
      </c>
      <c r="X658" s="34"/>
    </row>
    <row r="659" spans="1:24">
      <c r="A659" s="49" t="s">
        <v>3860</v>
      </c>
      <c r="B659" s="49" t="s">
        <v>4869</v>
      </c>
      <c r="C659" s="49" t="s">
        <v>1645</v>
      </c>
      <c r="D659" s="49" t="s">
        <v>1646</v>
      </c>
      <c r="E659" s="49" t="s">
        <v>4870</v>
      </c>
      <c r="F659" s="51">
        <v>46183</v>
      </c>
      <c r="G659" s="49">
        <v>234.23</v>
      </c>
      <c r="H659" s="49" t="s">
        <v>16</v>
      </c>
      <c r="I659" s="51">
        <v>46223</v>
      </c>
      <c r="J659" s="54">
        <f>INT(Cobros[[#This Row],[Fecha Cargo]])</f>
        <v>46183</v>
      </c>
      <c r="K659" s="54">
        <f>INT(Cobros[[#This Row],[Fecha Aplicacion]])</f>
        <v>46223</v>
      </c>
      <c r="L659" s="55" t="str">
        <f>INDEX(Clientes[Días Plazo],MATCH(Cobros[[#This Row],[Cod. Cliente]],Clientes[Codigo],0),1)</f>
        <v>15</v>
      </c>
      <c r="M659" s="45" t="str">
        <f>IF(Cobros[[#This Row],[Dias de Credito]]&lt;=0,"Contado","Credito")</f>
        <v>Credito</v>
      </c>
      <c r="N659" s="45">
        <f>Cobros[[#This Row],[Fecha Aplicación S]]-Cobros[[#This Row],[Fecha Cargo S]]</f>
        <v>40</v>
      </c>
      <c r="O659" s="45">
        <f>Cobros[[#This Row],[Dias al pago]]-Cobros[[#This Row],[Dias de Credito]]</f>
        <v>25</v>
      </c>
      <c r="P659" s="45">
        <f>SUMIFS(TablaDias[Porcentaje],TablaDias[Tipo],Cobros[[#This Row],[Tipo]],TablaDias[Desde ],"&lt;="&amp;MAX(0,Cobros[[#This Row],[Dias pasado]]),TablaDias[Hasta ],"&gt;="&amp;Cobros[[#This Row],[Dias pasado]])</f>
        <v>50</v>
      </c>
      <c r="Q65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59" s="34">
        <f>IF(COUNTIF(PAPEL[Numero],Cobros[[#This Row],[Doc. Cargo]])&gt;0,1,0)</f>
        <v>0</v>
      </c>
      <c r="S659" s="46">
        <f t="array" ref="S6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59" s="47">
        <v>0.005</v>
      </c>
      <c r="U659" s="34">
        <f>IF(Cobros[[#This Row],[Tipo]]="Credito",IF(60&gt;=Cobros[[#This Row],[Dias al pago]],1,0),IF(Cobros[[#This Row],[Dias al pago]]&lt;=3,1,0))</f>
        <v>1</v>
      </c>
      <c r="V659" s="46">
        <f>(Cobros[[#This Row],[% A pagar Vendedor]]/100)*Cobros[[#This Row],[Valor Pagado]]*Cobros[[#This Row],[Vencido]]*(Cobros[[#This Row],[% aplicar]]/100)*IF(Cobros[[#This Row],[% A pagar Vendedor]]&gt;0,1,0)</f>
        <v>1.17115</v>
      </c>
      <c r="W659" s="46">
        <f>0.5%*Cobros[[#This Row],[Valor Pagado]]</f>
        <v>1.17115</v>
      </c>
      <c r="X659" s="34"/>
    </row>
    <row r="660" spans="1:24">
      <c r="A660" s="49" t="s">
        <v>3860</v>
      </c>
      <c r="B660" s="49" t="s">
        <v>4869</v>
      </c>
      <c r="C660" s="49" t="s">
        <v>1645</v>
      </c>
      <c r="D660" s="49" t="s">
        <v>1646</v>
      </c>
      <c r="E660" s="49" t="s">
        <v>4871</v>
      </c>
      <c r="F660" s="51">
        <v>46183</v>
      </c>
      <c r="G660" s="49">
        <v>70.04</v>
      </c>
      <c r="H660" s="49" t="s">
        <v>16</v>
      </c>
      <c r="I660" s="51">
        <v>46223</v>
      </c>
      <c r="J660" s="54">
        <f>INT(Cobros[[#This Row],[Fecha Cargo]])</f>
        <v>46183</v>
      </c>
      <c r="K660" s="54">
        <f>INT(Cobros[[#This Row],[Fecha Aplicacion]])</f>
        <v>46223</v>
      </c>
      <c r="L660" s="55" t="str">
        <f>INDEX(Clientes[Días Plazo],MATCH(Cobros[[#This Row],[Cod. Cliente]],Clientes[Codigo],0),1)</f>
        <v>15</v>
      </c>
      <c r="M660" s="45" t="str">
        <f>IF(Cobros[[#This Row],[Dias de Credito]]&lt;=0,"Contado","Credito")</f>
        <v>Credito</v>
      </c>
      <c r="N660" s="45">
        <f>Cobros[[#This Row],[Fecha Aplicación S]]-Cobros[[#This Row],[Fecha Cargo S]]</f>
        <v>40</v>
      </c>
      <c r="O660" s="45">
        <f>Cobros[[#This Row],[Dias al pago]]-Cobros[[#This Row],[Dias de Credito]]</f>
        <v>25</v>
      </c>
      <c r="P660" s="45">
        <f>SUMIFS(TablaDias[Porcentaje],TablaDias[Tipo],Cobros[[#This Row],[Tipo]],TablaDias[Desde ],"&lt;="&amp;MAX(0,Cobros[[#This Row],[Dias pasado]]),TablaDias[Hasta ],"&gt;="&amp;Cobros[[#This Row],[Dias pasado]])</f>
        <v>50</v>
      </c>
      <c r="Q660" s="34">
        <v>1</v>
      </c>
      <c r="R660" s="34">
        <f>IF(COUNTIF(PAPEL[Numero],Cobros[[#This Row],[Doc. Cargo]])&gt;0,1,0)</f>
        <v>0</v>
      </c>
      <c r="S660" s="46">
        <f t="array" ref="S6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60" s="47">
        <v>0.005</v>
      </c>
      <c r="U660" s="34">
        <f>IF(Cobros[[#This Row],[Tipo]]="Credito",IF(60&gt;=Cobros[[#This Row],[Dias al pago]],1,0),IF(Cobros[[#This Row],[Dias al pago]]&lt;=3,1,0))</f>
        <v>1</v>
      </c>
      <c r="V660" s="46">
        <f>(Cobros[[#This Row],[% A pagar Vendedor]]/100)*Cobros[[#This Row],[Valor Pagado]]*Cobros[[#This Row],[Vencido]]*(Cobros[[#This Row],[% aplicar]]/100)*IF(Cobros[[#This Row],[% A pagar Vendedor]]&gt;0,1,0)</f>
        <v>0.3502</v>
      </c>
      <c r="W660" s="46">
        <v>0.3502</v>
      </c>
      <c r="X660" s="34"/>
    </row>
    <row r="661" spans="1:24">
      <c r="A661" s="49" t="s">
        <v>3875</v>
      </c>
      <c r="B661" s="49" t="s">
        <v>4872</v>
      </c>
      <c r="C661" s="49" t="s">
        <v>1645</v>
      </c>
      <c r="D661" s="49" t="s">
        <v>1646</v>
      </c>
      <c r="E661" s="49" t="s">
        <v>4871</v>
      </c>
      <c r="F661" s="51">
        <v>46183</v>
      </c>
      <c r="G661" s="49">
        <v>164.96</v>
      </c>
      <c r="H661" s="49" t="s">
        <v>16</v>
      </c>
      <c r="I661" s="51">
        <v>46223</v>
      </c>
      <c r="J661" s="54">
        <f>INT(Cobros[[#This Row],[Fecha Cargo]])</f>
        <v>46183</v>
      </c>
      <c r="K661" s="54">
        <f>INT(Cobros[[#This Row],[Fecha Aplicacion]])</f>
        <v>46223</v>
      </c>
      <c r="L661" s="55" t="str">
        <f>INDEX(Clientes[Días Plazo],MATCH(Cobros[[#This Row],[Cod. Cliente]],Clientes[Codigo],0),1)</f>
        <v>15</v>
      </c>
      <c r="M661" s="45" t="str">
        <f>IF(Cobros[[#This Row],[Dias de Credito]]&lt;=0,"Contado","Credito")</f>
        <v>Credito</v>
      </c>
      <c r="N661" s="45">
        <f>Cobros[[#This Row],[Fecha Aplicación S]]-Cobros[[#This Row],[Fecha Cargo S]]</f>
        <v>40</v>
      </c>
      <c r="O661" s="45">
        <f>Cobros[[#This Row],[Dias al pago]]-Cobros[[#This Row],[Dias de Credito]]</f>
        <v>25</v>
      </c>
      <c r="P661" s="45">
        <f>SUMIFS(TablaDias[Porcentaje],TablaDias[Tipo],Cobros[[#This Row],[Tipo]],TablaDias[Desde ],"&lt;="&amp;MAX(0,Cobros[[#This Row],[Dias pasado]]),TablaDias[Hasta ],"&gt;="&amp;Cobros[[#This Row],[Dias pasado]])</f>
        <v>50</v>
      </c>
      <c r="Q66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61" s="34">
        <f>IF(COUNTIF(PAPEL[Numero],Cobros[[#This Row],[Doc. Cargo]])&gt;0,1,0)</f>
        <v>0</v>
      </c>
      <c r="S661" s="46">
        <f t="array" ref="S6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61" s="47">
        <v>0.005</v>
      </c>
      <c r="U661" s="34">
        <f>IF(Cobros[[#This Row],[Tipo]]="Credito",IF(60&gt;=Cobros[[#This Row],[Dias al pago]],1,0),IF(Cobros[[#This Row],[Dias al pago]]&lt;=3,1,0))</f>
        <v>1</v>
      </c>
      <c r="V661" s="46">
        <f>(Cobros[[#This Row],[% A pagar Vendedor]]/100)*Cobros[[#This Row],[Valor Pagado]]*Cobros[[#This Row],[Vencido]]*(Cobros[[#This Row],[% aplicar]]/100)*IF(Cobros[[#This Row],[% A pagar Vendedor]]&gt;0,1,0)</f>
        <v>0.8248</v>
      </c>
      <c r="W661" s="46">
        <f>0.5%*Cobros[[#This Row],[Valor Pagado]]</f>
        <v>0.8248</v>
      </c>
      <c r="X661" s="34"/>
    </row>
    <row r="662" spans="1:24">
      <c r="A662" s="49" t="s">
        <v>3875</v>
      </c>
      <c r="B662" s="49" t="s">
        <v>4872</v>
      </c>
      <c r="C662" s="49" t="s">
        <v>1645</v>
      </c>
      <c r="D662" s="49" t="s">
        <v>1646</v>
      </c>
      <c r="E662" s="49" t="s">
        <v>4873</v>
      </c>
      <c r="F662" s="51">
        <v>46191</v>
      </c>
      <c r="G662" s="49">
        <v>235</v>
      </c>
      <c r="H662" s="49" t="s">
        <v>16</v>
      </c>
      <c r="I662" s="51">
        <v>46223</v>
      </c>
      <c r="J662" s="54">
        <f>INT(Cobros[[#This Row],[Fecha Cargo]])</f>
        <v>46191</v>
      </c>
      <c r="K662" s="54">
        <f>INT(Cobros[[#This Row],[Fecha Aplicacion]])</f>
        <v>46223</v>
      </c>
      <c r="L662" s="55" t="str">
        <f>INDEX(Clientes[Días Plazo],MATCH(Cobros[[#This Row],[Cod. Cliente]],Clientes[Codigo],0),1)</f>
        <v>15</v>
      </c>
      <c r="M662" s="45" t="str">
        <f>IF(Cobros[[#This Row],[Dias de Credito]]&lt;=0,"Contado","Credito")</f>
        <v>Credito</v>
      </c>
      <c r="N662" s="45">
        <f>Cobros[[#This Row],[Fecha Aplicación S]]-Cobros[[#This Row],[Fecha Cargo S]]</f>
        <v>32</v>
      </c>
      <c r="O662" s="45">
        <f>Cobros[[#This Row],[Dias al pago]]-Cobros[[#This Row],[Dias de Credito]]</f>
        <v>17</v>
      </c>
      <c r="P662" s="45">
        <f>SUMIFS(TablaDias[Porcentaje],TablaDias[Tipo],Cobros[[#This Row],[Tipo]],TablaDias[Desde ],"&lt;="&amp;MAX(0,Cobros[[#This Row],[Dias pasado]]),TablaDias[Hasta ],"&gt;="&amp;Cobros[[#This Row],[Dias pasado]])</f>
        <v>50</v>
      </c>
      <c r="Q66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62" s="34">
        <f>IF(COUNTIF(PAPEL[Numero],Cobros[[#This Row],[Doc. Cargo]])&gt;0,1,0)</f>
        <v>0</v>
      </c>
      <c r="S662" s="46">
        <f t="array" ref="S6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62" s="47">
        <v>0.005</v>
      </c>
      <c r="U662" s="34">
        <f>IF(Cobros[[#This Row],[Tipo]]="Credito",IF(60&gt;=Cobros[[#This Row],[Dias al pago]],1,0),IF(Cobros[[#This Row],[Dias al pago]]&lt;=3,1,0))</f>
        <v>1</v>
      </c>
      <c r="V662" s="46">
        <f>(Cobros[[#This Row],[% A pagar Vendedor]]/100)*Cobros[[#This Row],[Valor Pagado]]*Cobros[[#This Row],[Vencido]]*(Cobros[[#This Row],[% aplicar]]/100)*IF(Cobros[[#This Row],[% A pagar Vendedor]]&gt;0,1,0)</f>
        <v>1.175</v>
      </c>
      <c r="W662" s="46">
        <f>0.5%*Cobros[[#This Row],[Valor Pagado]]</f>
        <v>1.175</v>
      </c>
      <c r="X662" s="34"/>
    </row>
    <row r="663" spans="1:24">
      <c r="A663" s="49" t="s">
        <v>3860</v>
      </c>
      <c r="B663" s="49" t="s">
        <v>4874</v>
      </c>
      <c r="C663" s="49" t="s">
        <v>390</v>
      </c>
      <c r="D663" s="49" t="s">
        <v>391</v>
      </c>
      <c r="E663" s="49" t="s">
        <v>4875</v>
      </c>
      <c r="F663" s="51">
        <v>46217</v>
      </c>
      <c r="G663" s="49">
        <v>627</v>
      </c>
      <c r="H663" s="49" t="s">
        <v>20</v>
      </c>
      <c r="I663" s="51">
        <v>46218</v>
      </c>
      <c r="J663" s="54">
        <f>INT(Cobros[[#This Row],[Fecha Cargo]])</f>
        <v>46217</v>
      </c>
      <c r="K663" s="54">
        <f>INT(Cobros[[#This Row],[Fecha Aplicacion]])</f>
        <v>46218</v>
      </c>
      <c r="L663" s="55">
        <f>INDEX(Clientes[Días Plazo],MATCH(Cobros[[#This Row],[Cod. Cliente]],Clientes[Codigo],0),1)</f>
        <v>0</v>
      </c>
      <c r="M663" s="45" t="str">
        <f>IF(Cobros[[#This Row],[Dias de Credito]]&lt;=0,"Contado","Credito")</f>
        <v>Contado</v>
      </c>
      <c r="N663" s="45">
        <f>Cobros[[#This Row],[Fecha Aplicación S]]-Cobros[[#This Row],[Fecha Cargo S]]</f>
        <v>1</v>
      </c>
      <c r="O663" s="45">
        <f>Cobros[[#This Row],[Dias al pago]]-Cobros[[#This Row],[Dias de Credito]]</f>
        <v>1</v>
      </c>
      <c r="P663" s="45">
        <f>SUMIFS(TablaDias[Porcentaje],TablaDias[Tipo],Cobros[[#This Row],[Tipo]],TablaDias[Desde ],"&lt;="&amp;MAX(0,Cobros[[#This Row],[Dias pasado]]),TablaDias[Hasta ],"&gt;="&amp;Cobros[[#This Row],[Dias pasado]])</f>
        <v>100</v>
      </c>
      <c r="Q66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3" s="34">
        <f>IF(COUNTIF(PAPEL[Numero],Cobros[[#This Row],[Doc. Cargo]])&gt;0,1,0)</f>
        <v>0</v>
      </c>
      <c r="S663" s="46">
        <f t="array" ref="S6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3" s="46">
        <f t="array" ref="T663">INDEX(Ventas[[Unidades]:[2]],MATCH("Gerente de Venta",Ventas[Vendedor %],0),6+Cobros[[#This Row],[Mes]])</f>
        <v>0.005</v>
      </c>
      <c r="U663" s="34">
        <f>IF(Cobros[[#This Row],[Tipo]]="Credito",IF(60&gt;=Cobros[[#This Row],[Dias al pago]],1,0),IF(Cobros[[#This Row],[Dias al pago]]&lt;=3,1,0))</f>
        <v>1</v>
      </c>
      <c r="V663" s="46">
        <f>(Cobros[[#This Row],[% A pagar Vendedor]]/100)*Cobros[[#This Row],[Valor Pagado]]*Cobros[[#This Row],[Vencido]]*(Cobros[[#This Row],[% aplicar]]/100)*IF(Cobros[[#This Row],[% A pagar Vendedor]]&gt;0,1,0)</f>
        <v>7.8375</v>
      </c>
      <c r="W663" s="46">
        <f>0.5%*Cobros[[#This Row],[Valor Pagado]]</f>
        <v>3.135</v>
      </c>
      <c r="X663" s="34"/>
    </row>
    <row r="664" spans="1:24">
      <c r="A664" s="49" t="s">
        <v>3860</v>
      </c>
      <c r="B664" s="49" t="s">
        <v>4874</v>
      </c>
      <c r="C664" s="49" t="s">
        <v>390</v>
      </c>
      <c r="D664" s="49" t="s">
        <v>391</v>
      </c>
      <c r="E664" s="49" t="s">
        <v>4876</v>
      </c>
      <c r="F664" s="51">
        <v>46217</v>
      </c>
      <c r="G664" s="49">
        <v>16.5</v>
      </c>
      <c r="H664" s="49" t="s">
        <v>20</v>
      </c>
      <c r="I664" s="51">
        <v>46218</v>
      </c>
      <c r="J664" s="54">
        <f>INT(Cobros[[#This Row],[Fecha Cargo]])</f>
        <v>46217</v>
      </c>
      <c r="K664" s="54">
        <f>INT(Cobros[[#This Row],[Fecha Aplicacion]])</f>
        <v>46218</v>
      </c>
      <c r="L664" s="55">
        <f>INDEX(Clientes[Días Plazo],MATCH(Cobros[[#This Row],[Cod. Cliente]],Clientes[Codigo],0),1)</f>
        <v>0</v>
      </c>
      <c r="M664" s="45" t="str">
        <f>IF(Cobros[[#This Row],[Dias de Credito]]&lt;=0,"Contado","Credito")</f>
        <v>Contado</v>
      </c>
      <c r="N664" s="45">
        <f>Cobros[[#This Row],[Fecha Aplicación S]]-Cobros[[#This Row],[Fecha Cargo S]]</f>
        <v>1</v>
      </c>
      <c r="O664" s="45">
        <f>Cobros[[#This Row],[Dias al pago]]-Cobros[[#This Row],[Dias de Credito]]</f>
        <v>1</v>
      </c>
      <c r="P664" s="45">
        <f>SUMIFS(TablaDias[Porcentaje],TablaDias[Tipo],Cobros[[#This Row],[Tipo]],TablaDias[Desde ],"&lt;="&amp;MAX(0,Cobros[[#This Row],[Dias pasado]]),TablaDias[Hasta ],"&gt;="&amp;Cobros[[#This Row],[Dias pasado]])</f>
        <v>100</v>
      </c>
      <c r="Q66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4" s="34">
        <f>IF(COUNTIF(PAPEL[Numero],Cobros[[#This Row],[Doc. Cargo]])&gt;0,1,0)</f>
        <v>0</v>
      </c>
      <c r="S664" s="46">
        <f t="array" ref="S6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4" s="46">
        <f t="array" ref="T664">INDEX(Ventas[[Unidades]:[2]],MATCH("Gerente de Venta",Ventas[Vendedor %],0),6+Cobros[[#This Row],[Mes]])</f>
        <v>0.005</v>
      </c>
      <c r="U664" s="34">
        <f>IF(Cobros[[#This Row],[Tipo]]="Credito",IF(60&gt;=Cobros[[#This Row],[Dias al pago]],1,0),IF(Cobros[[#This Row],[Dias al pago]]&lt;=3,1,0))</f>
        <v>1</v>
      </c>
      <c r="V664" s="46">
        <f>(Cobros[[#This Row],[% A pagar Vendedor]]/100)*Cobros[[#This Row],[Valor Pagado]]*Cobros[[#This Row],[Vencido]]*(Cobros[[#This Row],[% aplicar]]/100)*IF(Cobros[[#This Row],[% A pagar Vendedor]]&gt;0,1,0)</f>
        <v>0.20625</v>
      </c>
      <c r="W664" s="46">
        <v>0.0825</v>
      </c>
      <c r="X664" s="34"/>
    </row>
    <row r="665" ht="30" spans="1:24">
      <c r="A665" s="49" t="s">
        <v>3860</v>
      </c>
      <c r="B665" s="49" t="s">
        <v>4877</v>
      </c>
      <c r="C665" s="49" t="s">
        <v>3679</v>
      </c>
      <c r="D665" s="49" t="s">
        <v>3680</v>
      </c>
      <c r="E665" s="49" t="s">
        <v>4878</v>
      </c>
      <c r="F665" s="51">
        <v>46223</v>
      </c>
      <c r="G665" s="49">
        <v>210</v>
      </c>
      <c r="H665" s="49" t="s">
        <v>22</v>
      </c>
      <c r="I665" s="51">
        <v>46223</v>
      </c>
      <c r="J665" s="54">
        <f>INT(Cobros[[#This Row],[Fecha Cargo]])</f>
        <v>46223</v>
      </c>
      <c r="K665" s="54">
        <f>INT(Cobros[[#This Row],[Fecha Aplicacion]])</f>
        <v>46223</v>
      </c>
      <c r="L665" s="55">
        <f>INDEX(Clientes[Días Plazo],MATCH(Cobros[[#This Row],[Cod. Cliente]],Clientes[Codigo],0),1)</f>
        <v>0</v>
      </c>
      <c r="M665" s="45" t="str">
        <f>IF(Cobros[[#This Row],[Dias de Credito]]&lt;=0,"Contado","Credito")</f>
        <v>Contado</v>
      </c>
      <c r="N665" s="45">
        <f>Cobros[[#This Row],[Fecha Aplicación S]]-Cobros[[#This Row],[Fecha Cargo S]]</f>
        <v>0</v>
      </c>
      <c r="O665" s="45">
        <f>Cobros[[#This Row],[Dias al pago]]-Cobros[[#This Row],[Dias de Credito]]</f>
        <v>0</v>
      </c>
      <c r="P665" s="45">
        <f>SUMIFS(TablaDias[Porcentaje],TablaDias[Tipo],Cobros[[#This Row],[Tipo]],TablaDias[Desde ],"&lt;="&amp;MAX(0,Cobros[[#This Row],[Dias pasado]]),TablaDias[Hasta ],"&gt;="&amp;Cobros[[#This Row],[Dias pasado]])</f>
        <v>100</v>
      </c>
      <c r="Q66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5" s="34">
        <f>IF(COUNTIF(PAPEL[Numero],Cobros[[#This Row],[Doc. Cargo]])&gt;0,1,0)</f>
        <v>0</v>
      </c>
      <c r="S665" s="46">
        <f t="array" ref="S6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65" s="46">
        <f t="array" ref="T665">INDEX(Ventas[[Unidades]:[2]],MATCH("Gerente de Venta",Ventas[Vendedor %],0),6+Cobros[[#This Row],[Mes]])</f>
        <v>0.005</v>
      </c>
      <c r="U665" s="34">
        <f>IF(Cobros[[#This Row],[Tipo]]="Credito",IF(60&gt;=Cobros[[#This Row],[Dias al pago]],1,0),IF(Cobros[[#This Row],[Dias al pago]]&lt;=3,1,0))</f>
        <v>1</v>
      </c>
      <c r="V665" s="46">
        <f>(Cobros[[#This Row],[% A pagar Vendedor]]/100)*Cobros[[#This Row],[Valor Pagado]]*Cobros[[#This Row],[Vencido]]*(Cobros[[#This Row],[% aplicar]]/100)*IF(Cobros[[#This Row],[% A pagar Vendedor]]&gt;0,1,0)</f>
        <v>2.1</v>
      </c>
      <c r="W665" s="46">
        <f>0.5%*Cobros[[#This Row],[Valor Pagado]]</f>
        <v>1.05</v>
      </c>
      <c r="X665" s="34"/>
    </row>
    <row r="666" ht="30" spans="1:24">
      <c r="A666" s="49" t="s">
        <v>3860</v>
      </c>
      <c r="B666" s="49" t="s">
        <v>4879</v>
      </c>
      <c r="C666" s="49" t="s">
        <v>2853</v>
      </c>
      <c r="D666" s="49" t="s">
        <v>2854</v>
      </c>
      <c r="E666" s="49" t="s">
        <v>4880</v>
      </c>
      <c r="F666" s="51">
        <v>46223</v>
      </c>
      <c r="G666" s="49">
        <v>156</v>
      </c>
      <c r="H666" s="49" t="s">
        <v>20</v>
      </c>
      <c r="I666" s="51">
        <v>46223</v>
      </c>
      <c r="J666" s="54">
        <f>INT(Cobros[[#This Row],[Fecha Cargo]])</f>
        <v>46223</v>
      </c>
      <c r="K666" s="54">
        <f>INT(Cobros[[#This Row],[Fecha Aplicacion]])</f>
        <v>46223</v>
      </c>
      <c r="L666" s="55">
        <f>INDEX(Clientes[Días Plazo],MATCH(Cobros[[#This Row],[Cod. Cliente]],Clientes[Codigo],0),1)</f>
        <v>0</v>
      </c>
      <c r="M666" s="45" t="str">
        <f>IF(Cobros[[#This Row],[Dias de Credito]]&lt;=0,"Contado","Credito")</f>
        <v>Contado</v>
      </c>
      <c r="N666" s="45">
        <f>Cobros[[#This Row],[Fecha Aplicación S]]-Cobros[[#This Row],[Fecha Cargo S]]</f>
        <v>0</v>
      </c>
      <c r="O666" s="45">
        <f>Cobros[[#This Row],[Dias al pago]]-Cobros[[#This Row],[Dias de Credito]]</f>
        <v>0</v>
      </c>
      <c r="P666" s="45">
        <f>SUMIFS(TablaDias[Porcentaje],TablaDias[Tipo],Cobros[[#This Row],[Tipo]],TablaDias[Desde ],"&lt;="&amp;MAX(0,Cobros[[#This Row],[Dias pasado]]),TablaDias[Hasta ],"&gt;="&amp;Cobros[[#This Row],[Dias pasado]])</f>
        <v>100</v>
      </c>
      <c r="Q66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6" s="34">
        <f>IF(COUNTIF(PAPEL[Numero],Cobros[[#This Row],[Doc. Cargo]])&gt;0,1,0)</f>
        <v>0</v>
      </c>
      <c r="S666" s="46">
        <f t="array" ref="S6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6" s="46">
        <f t="array" ref="T666">INDEX(Ventas[[Unidades]:[2]],MATCH("Gerente de Venta",Ventas[Vendedor %],0),6+Cobros[[#This Row],[Mes]])</f>
        <v>0.005</v>
      </c>
      <c r="U666" s="34">
        <f>IF(Cobros[[#This Row],[Tipo]]="Credito",IF(60&gt;=Cobros[[#This Row],[Dias al pago]],1,0),IF(Cobros[[#This Row],[Dias al pago]]&lt;=3,1,0))</f>
        <v>1</v>
      </c>
      <c r="V666" s="46">
        <f>(Cobros[[#This Row],[% A pagar Vendedor]]/100)*Cobros[[#This Row],[Valor Pagado]]*Cobros[[#This Row],[Vencido]]*(Cobros[[#This Row],[% aplicar]]/100)*IF(Cobros[[#This Row],[% A pagar Vendedor]]&gt;0,1,0)</f>
        <v>1.95</v>
      </c>
      <c r="W666" s="46">
        <v>0.78</v>
      </c>
      <c r="X666" s="62"/>
    </row>
    <row r="667" spans="1:24">
      <c r="A667" s="49" t="s">
        <v>3860</v>
      </c>
      <c r="B667" s="49" t="s">
        <v>4881</v>
      </c>
      <c r="C667" s="49" t="s">
        <v>3672</v>
      </c>
      <c r="D667" s="49" t="s">
        <v>3673</v>
      </c>
      <c r="E667" s="49" t="s">
        <v>4882</v>
      </c>
      <c r="F667" s="51">
        <v>46223</v>
      </c>
      <c r="G667" s="49">
        <v>156</v>
      </c>
      <c r="H667" s="49" t="s">
        <v>18</v>
      </c>
      <c r="I667" s="51">
        <v>46223</v>
      </c>
      <c r="J667" s="54">
        <f>INT(Cobros[[#This Row],[Fecha Cargo]])</f>
        <v>46223</v>
      </c>
      <c r="K667" s="54">
        <f>INT(Cobros[[#This Row],[Fecha Aplicacion]])</f>
        <v>46223</v>
      </c>
      <c r="L667" s="55">
        <f>INDEX(Clientes[Días Plazo],MATCH(Cobros[[#This Row],[Cod. Cliente]],Clientes[Codigo],0),1)</f>
        <v>0</v>
      </c>
      <c r="M667" s="45" t="str">
        <f>IF(Cobros[[#This Row],[Dias de Credito]]&lt;=0,"Contado","Credito")</f>
        <v>Contado</v>
      </c>
      <c r="N667" s="45">
        <f>Cobros[[#This Row],[Fecha Aplicación S]]-Cobros[[#This Row],[Fecha Cargo S]]</f>
        <v>0</v>
      </c>
      <c r="O667" s="45">
        <f>Cobros[[#This Row],[Dias al pago]]-Cobros[[#This Row],[Dias de Credito]]</f>
        <v>0</v>
      </c>
      <c r="P667" s="45">
        <f>SUMIFS(TablaDias[Porcentaje],TablaDias[Tipo],Cobros[[#This Row],[Tipo]],TablaDias[Desde ],"&lt;="&amp;MAX(0,Cobros[[#This Row],[Dias pasado]]),TablaDias[Hasta ],"&gt;="&amp;Cobros[[#This Row],[Dias pasado]])</f>
        <v>100</v>
      </c>
      <c r="Q66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7" s="34">
        <f>IF(COUNTIF(PAPEL[Numero],Cobros[[#This Row],[Doc. Cargo]])&gt;0,1,0)</f>
        <v>0</v>
      </c>
      <c r="S667" s="46">
        <f t="array" ref="S6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7" s="46">
        <f t="array" ref="T667">INDEX(Ventas[[Unidades]:[2]],MATCH("Gerente de Venta",Ventas[Vendedor %],0),6+Cobros[[#This Row],[Mes]])</f>
        <v>0.005</v>
      </c>
      <c r="U667" s="34">
        <f>IF(Cobros[[#This Row],[Tipo]]="Credito",IF(60&gt;=Cobros[[#This Row],[Dias al pago]],1,0),IF(Cobros[[#This Row],[Dias al pago]]&lt;=3,1,0))</f>
        <v>1</v>
      </c>
      <c r="V667" s="46">
        <f>(Cobros[[#This Row],[% A pagar Vendedor]]/100)*Cobros[[#This Row],[Valor Pagado]]*Cobros[[#This Row],[Vencido]]*(Cobros[[#This Row],[% aplicar]]/100)*IF(Cobros[[#This Row],[% A pagar Vendedor]]&gt;0,1,0)</f>
        <v>1.95</v>
      </c>
      <c r="W667" s="46">
        <f>0.5%*Cobros[[#This Row],[Valor Pagado]]</f>
        <v>0.78</v>
      </c>
      <c r="X667" s="34"/>
    </row>
    <row r="668" ht="30" spans="1:24">
      <c r="A668" s="49" t="s">
        <v>3875</v>
      </c>
      <c r="B668" s="49" t="s">
        <v>4883</v>
      </c>
      <c r="C668" s="49" t="s">
        <v>1069</v>
      </c>
      <c r="D668" s="49" t="s">
        <v>1070</v>
      </c>
      <c r="E668" s="49" t="s">
        <v>4884</v>
      </c>
      <c r="F668" s="51">
        <v>46217</v>
      </c>
      <c r="G668" s="49">
        <v>52.4</v>
      </c>
      <c r="H668" s="49" t="s">
        <v>20</v>
      </c>
      <c r="I668" s="51">
        <v>46217</v>
      </c>
      <c r="J668" s="54">
        <f>INT(Cobros[[#This Row],[Fecha Cargo]])</f>
        <v>46217</v>
      </c>
      <c r="K668" s="54">
        <f>INT(Cobros[[#This Row],[Fecha Aplicacion]])</f>
        <v>46217</v>
      </c>
      <c r="L668" s="55">
        <f>INDEX(Clientes[Días Plazo],MATCH(Cobros[[#This Row],[Cod. Cliente]],Clientes[Codigo],0),1)</f>
        <v>0</v>
      </c>
      <c r="M668" s="45" t="str">
        <f>IF(Cobros[[#This Row],[Dias de Credito]]&lt;=0,"Contado","Credito")</f>
        <v>Contado</v>
      </c>
      <c r="N668" s="45">
        <f>Cobros[[#This Row],[Fecha Aplicación S]]-Cobros[[#This Row],[Fecha Cargo S]]</f>
        <v>0</v>
      </c>
      <c r="O668" s="45">
        <f>Cobros[[#This Row],[Dias al pago]]-Cobros[[#This Row],[Dias de Credito]]</f>
        <v>0</v>
      </c>
      <c r="P668" s="45">
        <f>SUMIFS(TablaDias[Porcentaje],TablaDias[Tipo],Cobros[[#This Row],[Tipo]],TablaDias[Desde ],"&lt;="&amp;MAX(0,Cobros[[#This Row],[Dias pasado]]),TablaDias[Hasta ],"&gt;="&amp;Cobros[[#This Row],[Dias pasado]])</f>
        <v>100</v>
      </c>
      <c r="Q66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8" s="34">
        <f>IF(COUNTIF(PAPEL[Numero],Cobros[[#This Row],[Doc. Cargo]])&gt;0,1,0)</f>
        <v>0</v>
      </c>
      <c r="S668" s="46">
        <f t="array" ref="S6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8" s="46">
        <f t="array" ref="T668">INDEX(Ventas[[Unidades]:[2]],MATCH("Gerente de Venta",Ventas[Vendedor %],0),6+Cobros[[#This Row],[Mes]])</f>
        <v>0.005</v>
      </c>
      <c r="U668" s="34">
        <f>IF(Cobros[[#This Row],[Tipo]]="Credito",IF(60&gt;=Cobros[[#This Row],[Dias al pago]],1,0),IF(Cobros[[#This Row],[Dias al pago]]&lt;=3,1,0))</f>
        <v>1</v>
      </c>
      <c r="V668" s="46">
        <f>(Cobros[[#This Row],[% A pagar Vendedor]]/100)*Cobros[[#This Row],[Valor Pagado]]*Cobros[[#This Row],[Vencido]]*(Cobros[[#This Row],[% aplicar]]/100)*IF(Cobros[[#This Row],[% A pagar Vendedor]]&gt;0,1,0)</f>
        <v>0.655</v>
      </c>
      <c r="W668" s="46">
        <f>0.5%*Cobros[[#This Row],[Valor Pagado]]</f>
        <v>0.262</v>
      </c>
      <c r="X668" s="34"/>
    </row>
    <row r="669" ht="30" spans="1:24">
      <c r="A669" s="49" t="s">
        <v>3875</v>
      </c>
      <c r="B669" s="49" t="s">
        <v>4883</v>
      </c>
      <c r="C669" s="49" t="s">
        <v>1069</v>
      </c>
      <c r="D669" s="49" t="s">
        <v>1070</v>
      </c>
      <c r="E669" s="49" t="s">
        <v>4885</v>
      </c>
      <c r="F669" s="51">
        <v>46223</v>
      </c>
      <c r="G669" s="49">
        <v>2.6</v>
      </c>
      <c r="H669" s="49" t="s">
        <v>20</v>
      </c>
      <c r="I669" s="51">
        <v>46217</v>
      </c>
      <c r="J669" s="54">
        <f>INT(Cobros[[#This Row],[Fecha Cargo]])</f>
        <v>46223</v>
      </c>
      <c r="K669" s="54">
        <f>INT(Cobros[[#This Row],[Fecha Aplicacion]])</f>
        <v>46217</v>
      </c>
      <c r="L669" s="55">
        <f>INDEX(Clientes[Días Plazo],MATCH(Cobros[[#This Row],[Cod. Cliente]],Clientes[Codigo],0),1)</f>
        <v>0</v>
      </c>
      <c r="M669" s="45" t="str">
        <f>IF(Cobros[[#This Row],[Dias de Credito]]&lt;=0,"Contado","Credito")</f>
        <v>Contado</v>
      </c>
      <c r="N669" s="45">
        <f>Cobros[[#This Row],[Fecha Aplicación S]]-Cobros[[#This Row],[Fecha Cargo S]]</f>
        <v>-6</v>
      </c>
      <c r="O669" s="45">
        <f>Cobros[[#This Row],[Dias al pago]]-Cobros[[#This Row],[Dias de Credito]]</f>
        <v>-6</v>
      </c>
      <c r="P669" s="45">
        <f>SUMIFS(TablaDias[Porcentaje],TablaDias[Tipo],Cobros[[#This Row],[Tipo]],TablaDias[Desde ],"&lt;="&amp;MAX(0,Cobros[[#This Row],[Dias pasado]]),TablaDias[Hasta ],"&gt;="&amp;Cobros[[#This Row],[Dias pasado]])</f>
        <v>100</v>
      </c>
      <c r="Q66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69" s="34">
        <f>IF(COUNTIF(PAPEL[Numero],Cobros[[#This Row],[Doc. Cargo]])&gt;0,1,0)</f>
        <v>0</v>
      </c>
      <c r="S669" s="46">
        <f t="array" ref="S6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69" s="46">
        <f t="array" ref="T669">INDEX(Ventas[[Unidades]:[2]],MATCH("Gerente de Venta",Ventas[Vendedor %],0),6+Cobros[[#This Row],[Mes]])</f>
        <v>0.005</v>
      </c>
      <c r="U669" s="34">
        <f>IF(Cobros[[#This Row],[Tipo]]="Credito",IF(60&gt;=Cobros[[#This Row],[Dias al pago]],1,0),IF(Cobros[[#This Row],[Dias al pago]]&lt;=3,1,0))</f>
        <v>1</v>
      </c>
      <c r="V669" s="46">
        <f>(Cobros[[#This Row],[% A pagar Vendedor]]/100)*Cobros[[#This Row],[Valor Pagado]]*Cobros[[#This Row],[Vencido]]*(Cobros[[#This Row],[% aplicar]]/100)*IF(Cobros[[#This Row],[% A pagar Vendedor]]&gt;0,1,0)</f>
        <v>0.0325</v>
      </c>
      <c r="W669" s="46">
        <f>0.5%*Cobros[[#This Row],[Valor Pagado]]</f>
        <v>0.013</v>
      </c>
      <c r="X669" s="34"/>
    </row>
    <row r="670" ht="30" spans="1:24">
      <c r="A670" s="49" t="s">
        <v>3875</v>
      </c>
      <c r="B670" s="49" t="s">
        <v>4886</v>
      </c>
      <c r="C670" s="49" t="s">
        <v>1069</v>
      </c>
      <c r="D670" s="49" t="s">
        <v>1070</v>
      </c>
      <c r="E670" s="49" t="s">
        <v>4885</v>
      </c>
      <c r="F670" s="51">
        <v>46223</v>
      </c>
      <c r="G670" s="49">
        <v>600</v>
      </c>
      <c r="H670" s="49" t="s">
        <v>20</v>
      </c>
      <c r="I670" s="51">
        <v>46223</v>
      </c>
      <c r="J670" s="54">
        <f>INT(Cobros[[#This Row],[Fecha Cargo]])</f>
        <v>46223</v>
      </c>
      <c r="K670" s="54">
        <f>INT(Cobros[[#This Row],[Fecha Aplicacion]])</f>
        <v>46223</v>
      </c>
      <c r="L670" s="55">
        <f>INDEX(Clientes[Días Plazo],MATCH(Cobros[[#This Row],[Cod. Cliente]],Clientes[Codigo],0),1)</f>
        <v>0</v>
      </c>
      <c r="M670" s="45" t="str">
        <f>IF(Cobros[[#This Row],[Dias de Credito]]&lt;=0,"Contado","Credito")</f>
        <v>Contado</v>
      </c>
      <c r="N670" s="45">
        <f>Cobros[[#This Row],[Fecha Aplicación S]]-Cobros[[#This Row],[Fecha Cargo S]]</f>
        <v>0</v>
      </c>
      <c r="O670" s="45">
        <f>Cobros[[#This Row],[Dias al pago]]-Cobros[[#This Row],[Dias de Credito]]</f>
        <v>0</v>
      </c>
      <c r="P670" s="45">
        <f>SUMIFS(TablaDias[Porcentaje],TablaDias[Tipo],Cobros[[#This Row],[Tipo]],TablaDias[Desde ],"&lt;="&amp;MAX(0,Cobros[[#This Row],[Dias pasado]]),TablaDias[Hasta ],"&gt;="&amp;Cobros[[#This Row],[Dias pasado]])</f>
        <v>100</v>
      </c>
      <c r="Q67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0" s="34">
        <f>IF(COUNTIF(PAPEL[Numero],Cobros[[#This Row],[Doc. Cargo]])&gt;0,1,0)</f>
        <v>0</v>
      </c>
      <c r="S670" s="46">
        <f t="array" ref="S6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70" s="46">
        <f t="array" ref="T670">INDEX(Ventas[[Unidades]:[2]],MATCH("Gerente de Venta",Ventas[Vendedor %],0),6+Cobros[[#This Row],[Mes]])</f>
        <v>0.005</v>
      </c>
      <c r="U670" s="34">
        <f>IF(Cobros[[#This Row],[Tipo]]="Credito",IF(60&gt;=Cobros[[#This Row],[Dias al pago]],1,0),IF(Cobros[[#This Row],[Dias al pago]]&lt;=3,1,0))</f>
        <v>1</v>
      </c>
      <c r="V670" s="46">
        <f>(Cobros[[#This Row],[% A pagar Vendedor]]/100)*Cobros[[#This Row],[Valor Pagado]]*Cobros[[#This Row],[Vencido]]*(Cobros[[#This Row],[% aplicar]]/100)*IF(Cobros[[#This Row],[% A pagar Vendedor]]&gt;0,1,0)</f>
        <v>7.5</v>
      </c>
      <c r="W670" s="46">
        <f>0.5%*Cobros[[#This Row],[Valor Pagado]]</f>
        <v>3</v>
      </c>
      <c r="X670" s="34"/>
    </row>
    <row r="671" spans="1:24">
      <c r="A671" s="49" t="s">
        <v>3884</v>
      </c>
      <c r="B671" s="49" t="s">
        <v>4887</v>
      </c>
      <c r="C671" s="49" t="s">
        <v>1894</v>
      </c>
      <c r="D671" s="49" t="s">
        <v>4888</v>
      </c>
      <c r="E671" s="49" t="s">
        <v>4889</v>
      </c>
      <c r="F671" s="51">
        <v>46223</v>
      </c>
      <c r="G671" s="49">
        <v>75</v>
      </c>
      <c r="H671" s="49" t="s">
        <v>20</v>
      </c>
      <c r="I671" s="51">
        <v>46223</v>
      </c>
      <c r="J671" s="54">
        <f>INT(Cobros[[#This Row],[Fecha Cargo]])</f>
        <v>46223</v>
      </c>
      <c r="K671" s="54">
        <f>INT(Cobros[[#This Row],[Fecha Aplicacion]])</f>
        <v>46223</v>
      </c>
      <c r="L671" s="55">
        <f>INDEX(Clientes[Días Plazo],MATCH(Cobros[[#This Row],[Cod. Cliente]],Clientes[Codigo],0),1)</f>
        <v>0</v>
      </c>
      <c r="M671" s="45" t="str">
        <f>IF(Cobros[[#This Row],[Dias de Credito]]&lt;=0,"Contado","Credito")</f>
        <v>Contado</v>
      </c>
      <c r="N671" s="45">
        <f>Cobros[[#This Row],[Fecha Aplicación S]]-Cobros[[#This Row],[Fecha Cargo S]]</f>
        <v>0</v>
      </c>
      <c r="O671" s="45">
        <f>Cobros[[#This Row],[Dias al pago]]-Cobros[[#This Row],[Dias de Credito]]</f>
        <v>0</v>
      </c>
      <c r="P671" s="45">
        <f>SUMIFS(TablaDias[Porcentaje],TablaDias[Tipo],Cobros[[#This Row],[Tipo]],TablaDias[Desde ],"&lt;="&amp;MAX(0,Cobros[[#This Row],[Dias pasado]]),TablaDias[Hasta ],"&gt;="&amp;Cobros[[#This Row],[Dias pasado]])</f>
        <v>100</v>
      </c>
      <c r="Q67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1" s="34">
        <f>IF(COUNTIF(PAPEL[Numero],Cobros[[#This Row],[Doc. Cargo]])&gt;0,1,0)</f>
        <v>0</v>
      </c>
      <c r="S671" s="46">
        <f t="array" ref="S6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71" s="46">
        <f t="array" ref="T671">INDEX(Ventas[[Unidades]:[2]],MATCH("Gerente de Venta",Ventas[Vendedor %],0),6+Cobros[[#This Row],[Mes]])</f>
        <v>0.005</v>
      </c>
      <c r="U671" s="34">
        <f>IF(Cobros[[#This Row],[Tipo]]="Credito",IF(60&gt;=Cobros[[#This Row],[Dias al pago]],1,0),IF(Cobros[[#This Row],[Dias al pago]]&lt;=3,1,0))</f>
        <v>1</v>
      </c>
      <c r="V671" s="46">
        <f>(Cobros[[#This Row],[% A pagar Vendedor]]/100)*Cobros[[#This Row],[Valor Pagado]]*Cobros[[#This Row],[Vencido]]*(Cobros[[#This Row],[% aplicar]]/100)*IF(Cobros[[#This Row],[% A pagar Vendedor]]&gt;0,1,0)</f>
        <v>0.9375</v>
      </c>
      <c r="W671" s="46">
        <f>0.5%*Cobros[[#This Row],[Valor Pagado]]</f>
        <v>0.375</v>
      </c>
      <c r="X671" s="34"/>
    </row>
    <row r="672" spans="1:24">
      <c r="A672" s="49" t="s">
        <v>3875</v>
      </c>
      <c r="B672" s="49" t="s">
        <v>4890</v>
      </c>
      <c r="C672" s="49" t="s">
        <v>1220</v>
      </c>
      <c r="D672" s="49" t="s">
        <v>1221</v>
      </c>
      <c r="E672" s="49" t="s">
        <v>4891</v>
      </c>
      <c r="F672" s="51">
        <v>46223</v>
      </c>
      <c r="G672" s="49">
        <v>627</v>
      </c>
      <c r="H672" s="49" t="s">
        <v>20</v>
      </c>
      <c r="I672" s="51">
        <v>46224</v>
      </c>
      <c r="J672" s="54">
        <f>INT(Cobros[[#This Row],[Fecha Cargo]])</f>
        <v>46223</v>
      </c>
      <c r="K672" s="54">
        <f>INT(Cobros[[#This Row],[Fecha Aplicacion]])</f>
        <v>46224</v>
      </c>
      <c r="L672" s="55">
        <f>INDEX(Clientes[Días Plazo],MATCH(Cobros[[#This Row],[Cod. Cliente]],Clientes[Codigo],0),1)</f>
        <v>0</v>
      </c>
      <c r="M672" s="45" t="str">
        <f>IF(Cobros[[#This Row],[Dias de Credito]]&lt;=0,"Contado","Credito")</f>
        <v>Contado</v>
      </c>
      <c r="N672" s="45">
        <f>Cobros[[#This Row],[Fecha Aplicación S]]-Cobros[[#This Row],[Fecha Cargo S]]</f>
        <v>1</v>
      </c>
      <c r="O672" s="45">
        <f>Cobros[[#This Row],[Dias al pago]]-Cobros[[#This Row],[Dias de Credito]]</f>
        <v>1</v>
      </c>
      <c r="P672" s="45">
        <f>SUMIFS(TablaDias[Porcentaje],TablaDias[Tipo],Cobros[[#This Row],[Tipo]],TablaDias[Desde ],"&lt;="&amp;MAX(0,Cobros[[#This Row],[Dias pasado]]),TablaDias[Hasta ],"&gt;="&amp;Cobros[[#This Row],[Dias pasado]])</f>
        <v>100</v>
      </c>
      <c r="Q67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2" s="34">
        <f>IF(COUNTIF(PAPEL[Numero],Cobros[[#This Row],[Doc. Cargo]])&gt;0,1,0)</f>
        <v>0</v>
      </c>
      <c r="S672" s="46">
        <f t="array" ref="S6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72" s="46">
        <f t="array" ref="T672">INDEX(Ventas[[Unidades]:[2]],MATCH("Gerente de Venta",Ventas[Vendedor %],0),6+Cobros[[#This Row],[Mes]])</f>
        <v>0.005</v>
      </c>
      <c r="U672" s="34">
        <f>IF(Cobros[[#This Row],[Tipo]]="Credito",IF(60&gt;=Cobros[[#This Row],[Dias al pago]],1,0),IF(Cobros[[#This Row],[Dias al pago]]&lt;=3,1,0))</f>
        <v>1</v>
      </c>
      <c r="V672" s="46">
        <f>(Cobros[[#This Row],[% A pagar Vendedor]]/100)*Cobros[[#This Row],[Valor Pagado]]*Cobros[[#This Row],[Vencido]]*(Cobros[[#This Row],[% aplicar]]/100)*IF(Cobros[[#This Row],[% A pagar Vendedor]]&gt;0,1,0)</f>
        <v>7.8375</v>
      </c>
      <c r="W672" s="46">
        <f>0.5%*Cobros[[#This Row],[Valor Pagado]]</f>
        <v>3.135</v>
      </c>
      <c r="X672" s="34"/>
    </row>
    <row r="673" spans="1:24">
      <c r="A673" s="49" t="s">
        <v>3875</v>
      </c>
      <c r="B673" s="49" t="s">
        <v>4892</v>
      </c>
      <c r="C673" s="49" t="s">
        <v>1188</v>
      </c>
      <c r="D673" s="49" t="s">
        <v>1189</v>
      </c>
      <c r="E673" s="49" t="s">
        <v>4893</v>
      </c>
      <c r="F673" s="51">
        <v>46224</v>
      </c>
      <c r="G673" s="49">
        <v>100</v>
      </c>
      <c r="H673" s="49" t="s">
        <v>18</v>
      </c>
      <c r="I673" s="51">
        <v>46224</v>
      </c>
      <c r="J673" s="54">
        <f>INT(Cobros[[#This Row],[Fecha Cargo]])</f>
        <v>46224</v>
      </c>
      <c r="K673" s="54">
        <f>INT(Cobros[[#This Row],[Fecha Aplicacion]])</f>
        <v>46224</v>
      </c>
      <c r="L673" s="55">
        <f>INDEX(Clientes[Días Plazo],MATCH(Cobros[[#This Row],[Cod. Cliente]],Clientes[Codigo],0),1)</f>
        <v>0</v>
      </c>
      <c r="M673" s="45" t="str">
        <f>IF(Cobros[[#This Row],[Dias de Credito]]&lt;=0,"Contado","Credito")</f>
        <v>Contado</v>
      </c>
      <c r="N673" s="45">
        <f>Cobros[[#This Row],[Fecha Aplicación S]]-Cobros[[#This Row],[Fecha Cargo S]]</f>
        <v>0</v>
      </c>
      <c r="O673" s="45">
        <f>Cobros[[#This Row],[Dias al pago]]-Cobros[[#This Row],[Dias de Credito]]</f>
        <v>0</v>
      </c>
      <c r="P673" s="45">
        <f>SUMIFS(TablaDias[Porcentaje],TablaDias[Tipo],Cobros[[#This Row],[Tipo]],TablaDias[Desde ],"&lt;="&amp;MAX(0,Cobros[[#This Row],[Dias pasado]]),TablaDias[Hasta ],"&gt;="&amp;Cobros[[#This Row],[Dias pasado]])</f>
        <v>100</v>
      </c>
      <c r="Q67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3" s="34">
        <f>IF(COUNTIF(PAPEL[Numero],Cobros[[#This Row],[Doc. Cargo]])&gt;0,1,0)</f>
        <v>0</v>
      </c>
      <c r="S673" s="46">
        <f t="array" ref="S6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73" s="46">
        <f t="array" ref="T673">INDEX(Ventas[[Unidades]:[2]],MATCH("Gerente de Venta",Ventas[Vendedor %],0),6+Cobros[[#This Row],[Mes]])</f>
        <v>0.005</v>
      </c>
      <c r="U673" s="34">
        <f>IF(Cobros[[#This Row],[Tipo]]="Credito",IF(60&gt;=Cobros[[#This Row],[Dias al pago]],1,0),IF(Cobros[[#This Row],[Dias al pago]]&lt;=3,1,0))</f>
        <v>1</v>
      </c>
      <c r="V673" s="46">
        <f>(Cobros[[#This Row],[% A pagar Vendedor]]/100)*Cobros[[#This Row],[Valor Pagado]]*Cobros[[#This Row],[Vencido]]*(Cobros[[#This Row],[% aplicar]]/100)*IF(Cobros[[#This Row],[% A pagar Vendedor]]&gt;0,1,0)</f>
        <v>1.25</v>
      </c>
      <c r="W673" s="46">
        <f>0.5%*Cobros[[#This Row],[Valor Pagado]]</f>
        <v>0.5</v>
      </c>
      <c r="X673" s="34"/>
    </row>
    <row r="674" ht="30" spans="1:24">
      <c r="A674" s="49" t="s">
        <v>3875</v>
      </c>
      <c r="B674" s="49" t="s">
        <v>4894</v>
      </c>
      <c r="C674" s="49" t="s">
        <v>2853</v>
      </c>
      <c r="D674" s="49" t="s">
        <v>2854</v>
      </c>
      <c r="E674" s="49" t="s">
        <v>4895</v>
      </c>
      <c r="F674" s="51">
        <v>46224</v>
      </c>
      <c r="G674" s="49">
        <v>285</v>
      </c>
      <c r="H674" s="49" t="s">
        <v>20</v>
      </c>
      <c r="I674" s="51">
        <v>46224</v>
      </c>
      <c r="J674" s="54">
        <f>INT(Cobros[[#This Row],[Fecha Cargo]])</f>
        <v>46224</v>
      </c>
      <c r="K674" s="54">
        <f>INT(Cobros[[#This Row],[Fecha Aplicacion]])</f>
        <v>46224</v>
      </c>
      <c r="L674" s="55">
        <f>INDEX(Clientes[Días Plazo],MATCH(Cobros[[#This Row],[Cod. Cliente]],Clientes[Codigo],0),1)</f>
        <v>0</v>
      </c>
      <c r="M674" s="45" t="str">
        <f>IF(Cobros[[#This Row],[Dias de Credito]]&lt;=0,"Contado","Credito")</f>
        <v>Contado</v>
      </c>
      <c r="N674" s="45">
        <f>Cobros[[#This Row],[Fecha Aplicación S]]-Cobros[[#This Row],[Fecha Cargo S]]</f>
        <v>0</v>
      </c>
      <c r="O674" s="45">
        <f>Cobros[[#This Row],[Dias al pago]]-Cobros[[#This Row],[Dias de Credito]]</f>
        <v>0</v>
      </c>
      <c r="P674" s="45">
        <f>SUMIFS(TablaDias[Porcentaje],TablaDias[Tipo],Cobros[[#This Row],[Tipo]],TablaDias[Desde ],"&lt;="&amp;MAX(0,Cobros[[#This Row],[Dias pasado]]),TablaDias[Hasta ],"&gt;="&amp;Cobros[[#This Row],[Dias pasado]])</f>
        <v>100</v>
      </c>
      <c r="Q67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4" s="34">
        <f>IF(COUNTIF(PAPEL[Numero],Cobros[[#This Row],[Doc. Cargo]])&gt;0,1,0)</f>
        <v>0</v>
      </c>
      <c r="S674" s="46">
        <f t="array" ref="S6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74" s="46">
        <f t="array" ref="T674">INDEX(Ventas[[Unidades]:[2]],MATCH("Gerente de Venta",Ventas[Vendedor %],0),6+Cobros[[#This Row],[Mes]])</f>
        <v>0.005</v>
      </c>
      <c r="U674" s="34">
        <f>IF(Cobros[[#This Row],[Tipo]]="Credito",IF(60&gt;=Cobros[[#This Row],[Dias al pago]],1,0),IF(Cobros[[#This Row],[Dias al pago]]&lt;=3,1,0))</f>
        <v>1</v>
      </c>
      <c r="V674" s="46">
        <f>(Cobros[[#This Row],[% A pagar Vendedor]]/100)*Cobros[[#This Row],[Valor Pagado]]*Cobros[[#This Row],[Vencido]]*(Cobros[[#This Row],[% aplicar]]/100)*IF(Cobros[[#This Row],[% A pagar Vendedor]]&gt;0,1,0)</f>
        <v>3.5625</v>
      </c>
      <c r="W674" s="46">
        <f>0.5%*Cobros[[#This Row],[Valor Pagado]]</f>
        <v>1.425</v>
      </c>
      <c r="X674" s="34"/>
    </row>
    <row r="675" ht="30" spans="1:24">
      <c r="A675" s="49" t="s">
        <v>3904</v>
      </c>
      <c r="B675" s="49" t="s">
        <v>4896</v>
      </c>
      <c r="C675" s="49" t="s">
        <v>3196</v>
      </c>
      <c r="D675" s="49" t="s">
        <v>3197</v>
      </c>
      <c r="E675" s="49" t="s">
        <v>4897</v>
      </c>
      <c r="F675" s="51">
        <v>46224</v>
      </c>
      <c r="G675" s="49">
        <v>439</v>
      </c>
      <c r="H675" s="49" t="s">
        <v>22</v>
      </c>
      <c r="I675" s="51">
        <v>46224</v>
      </c>
      <c r="J675" s="54">
        <f>INT(Cobros[[#This Row],[Fecha Cargo]])</f>
        <v>46224</v>
      </c>
      <c r="K675" s="54">
        <f>INT(Cobros[[#This Row],[Fecha Aplicacion]])</f>
        <v>46224</v>
      </c>
      <c r="L675" s="55">
        <f>INDEX(Clientes[Días Plazo],MATCH(Cobros[[#This Row],[Cod. Cliente]],Clientes[Codigo],0),1)</f>
        <v>0</v>
      </c>
      <c r="M675" s="45" t="str">
        <f>IF(Cobros[[#This Row],[Dias de Credito]]&lt;=0,"Contado","Credito")</f>
        <v>Contado</v>
      </c>
      <c r="N675" s="45">
        <f>Cobros[[#This Row],[Fecha Aplicación S]]-Cobros[[#This Row],[Fecha Cargo S]]</f>
        <v>0</v>
      </c>
      <c r="O675" s="45">
        <f>Cobros[[#This Row],[Dias al pago]]-Cobros[[#This Row],[Dias de Credito]]</f>
        <v>0</v>
      </c>
      <c r="P675" s="45">
        <f>SUMIFS(TablaDias[Porcentaje],TablaDias[Tipo],Cobros[[#This Row],[Tipo]],TablaDias[Desde ],"&lt;="&amp;MAX(0,Cobros[[#This Row],[Dias pasado]]),TablaDias[Hasta ],"&gt;="&amp;Cobros[[#This Row],[Dias pasado]])</f>
        <v>100</v>
      </c>
      <c r="Q67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75" s="34">
        <f>IF(COUNTIF(PAPEL[Numero],Cobros[[#This Row],[Doc. Cargo]])&gt;0,1,0)</f>
        <v>0</v>
      </c>
      <c r="S675" s="46">
        <f t="array" ref="S6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5" s="46">
        <f t="array" ref="T675">INDEX(Ventas[[Unidades]:[2]],MATCH("Gerente de Venta",Ventas[Vendedor %],0),6+Cobros[[#This Row],[Mes]])</f>
        <v>0.005</v>
      </c>
      <c r="U675" s="34">
        <f>IF(Cobros[[#This Row],[Tipo]]="Credito",IF(60&gt;=Cobros[[#This Row],[Dias al pago]],1,0),IF(Cobros[[#This Row],[Dias al pago]]&lt;=3,1,0))</f>
        <v>1</v>
      </c>
      <c r="V675" s="46">
        <f>(Cobros[[#This Row],[% A pagar Vendedor]]/100)*Cobros[[#This Row],[Valor Pagado]]*Cobros[[#This Row],[Vencido]]*(Cobros[[#This Row],[% aplicar]]/100)*IF(Cobros[[#This Row],[% A pagar Vendedor]]&gt;0,1,0)</f>
        <v>4.39</v>
      </c>
      <c r="W675" s="46">
        <f>0.5%*Cobros[[#This Row],[Valor Pagado]]</f>
        <v>2.195</v>
      </c>
      <c r="X675" s="34"/>
    </row>
    <row r="676" spans="1:24">
      <c r="A676" s="49" t="s">
        <v>3931</v>
      </c>
      <c r="B676" s="49" t="s">
        <v>4898</v>
      </c>
      <c r="C676" s="49" t="s">
        <v>703</v>
      </c>
      <c r="D676" s="49" t="s">
        <v>704</v>
      </c>
      <c r="E676" s="49" t="s">
        <v>4899</v>
      </c>
      <c r="F676" s="51">
        <v>46168</v>
      </c>
      <c r="G676" s="49">
        <v>872.4</v>
      </c>
      <c r="H676" s="49" t="s">
        <v>16</v>
      </c>
      <c r="I676" s="51">
        <v>46206</v>
      </c>
      <c r="J676" s="54">
        <f>INT(Cobros[[#This Row],[Fecha Cargo]])</f>
        <v>46168</v>
      </c>
      <c r="K676" s="54">
        <f>INT(Cobros[[#This Row],[Fecha Aplicacion]])</f>
        <v>46206</v>
      </c>
      <c r="L676" s="55" t="str">
        <f>INDEX(Clientes[Días Plazo],MATCH(Cobros[[#This Row],[Cod. Cliente]],Clientes[Codigo],0),1)</f>
        <v>30</v>
      </c>
      <c r="M676" s="45" t="str">
        <f>IF(Cobros[[#This Row],[Dias de Credito]]&lt;=0,"Contado","Credito")</f>
        <v>Credito</v>
      </c>
      <c r="N676" s="45">
        <f>Cobros[[#This Row],[Fecha Aplicación S]]-Cobros[[#This Row],[Fecha Cargo S]]</f>
        <v>38</v>
      </c>
      <c r="O676" s="45">
        <f>Cobros[[#This Row],[Dias al pago]]-Cobros[[#This Row],[Dias de Credito]]</f>
        <v>8</v>
      </c>
      <c r="P676" s="45">
        <f>SUMIFS(TablaDias[Porcentaje],TablaDias[Tipo],Cobros[[#This Row],[Tipo]],TablaDias[Desde ],"&lt;="&amp;MAX(0,Cobros[[#This Row],[Dias pasado]]),TablaDias[Hasta ],"&gt;="&amp;Cobros[[#This Row],[Dias pasado]])</f>
        <v>100</v>
      </c>
      <c r="Q67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676" s="34">
        <f>IF(COUNTIF(PAPEL[Numero],Cobros[[#This Row],[Doc. Cargo]])&gt;0,1,0)</f>
        <v>0</v>
      </c>
      <c r="S676" s="46">
        <f t="array" ref="S6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6" s="47">
        <v>0.005</v>
      </c>
      <c r="U676" s="34">
        <f>IF(Cobros[[#This Row],[Tipo]]="Credito",IF(60&gt;=Cobros[[#This Row],[Dias al pago]],1,0),IF(Cobros[[#This Row],[Dias al pago]]&lt;=3,1,0))</f>
        <v>1</v>
      </c>
      <c r="V676" s="46">
        <f>(Cobros[[#This Row],[% A pagar Vendedor]]/100)*Cobros[[#This Row],[Valor Pagado]]*Cobros[[#This Row],[Vencido]]*(Cobros[[#This Row],[% aplicar]]/100)*IF(Cobros[[#This Row],[% A pagar Vendedor]]&gt;0,1,0)</f>
        <v>8.724</v>
      </c>
      <c r="W676" s="46">
        <f>0.5%*Cobros[[#This Row],[Valor Pagado]]</f>
        <v>4.362</v>
      </c>
      <c r="X676" s="34"/>
    </row>
    <row r="677" spans="1:23">
      <c r="A677" s="49" t="s">
        <v>3931</v>
      </c>
      <c r="B677" s="49" t="s">
        <v>4898</v>
      </c>
      <c r="C677" s="49" t="s">
        <v>703</v>
      </c>
      <c r="D677" s="49" t="s">
        <v>704</v>
      </c>
      <c r="E677" s="49" t="s">
        <v>4900</v>
      </c>
      <c r="F677" s="51">
        <v>46161</v>
      </c>
      <c r="G677" s="49">
        <v>3796.52</v>
      </c>
      <c r="H677" s="49" t="s">
        <v>16</v>
      </c>
      <c r="I677" s="51">
        <v>46206</v>
      </c>
      <c r="J677" s="54">
        <f>INT(Cobros[[#This Row],[Fecha Cargo]])</f>
        <v>46161</v>
      </c>
      <c r="K677" s="54">
        <f>INT(Cobros[[#This Row],[Fecha Aplicacion]])</f>
        <v>46206</v>
      </c>
      <c r="L677" s="55" t="str">
        <f>INDEX(Clientes[Días Plazo],MATCH(Cobros[[#This Row],[Cod. Cliente]],Clientes[Codigo],0),1)</f>
        <v>30</v>
      </c>
      <c r="M677" s="45" t="str">
        <f>IF(Cobros[[#This Row],[Dias de Credito]]&lt;=0,"Contado","Credito")</f>
        <v>Credito</v>
      </c>
      <c r="N677" s="45">
        <f>Cobros[[#This Row],[Fecha Aplicación S]]-Cobros[[#This Row],[Fecha Cargo S]]</f>
        <v>45</v>
      </c>
      <c r="O677" s="45">
        <f>Cobros[[#This Row],[Dias al pago]]-Cobros[[#This Row],[Dias de Credito]]</f>
        <v>15</v>
      </c>
      <c r="P677" s="45">
        <f>SUMIFS(TablaDias[Porcentaje],TablaDias[Tipo],Cobros[[#This Row],[Tipo]],TablaDias[Desde ],"&lt;="&amp;MAX(0,Cobros[[#This Row],[Dias pasado]]),TablaDias[Hasta ],"&gt;="&amp;Cobros[[#This Row],[Dias pasado]])</f>
        <v>100</v>
      </c>
      <c r="Q677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677">
        <f>IF(COUNTIF(PAPEL[Numero],Cobros[[#This Row],[Doc. Cargo]])&gt;0,1,0)</f>
        <v>0</v>
      </c>
      <c r="S677" s="46">
        <f t="array" ref="S6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7" s="47">
        <v>0.005</v>
      </c>
      <c r="U677" s="34">
        <f>IF(Cobros[[#This Row],[Tipo]]="Credito",IF(60&gt;=Cobros[[#This Row],[Dias al pago]],1,0),IF(Cobros[[#This Row],[Dias al pago]]&lt;=3,1,0))</f>
        <v>1</v>
      </c>
      <c r="V677" s="46">
        <f>(Cobros[[#This Row],[% A pagar Vendedor]]/100)*Cobros[[#This Row],[Valor Pagado]]*Cobros[[#This Row],[Vencido]]*(Cobros[[#This Row],[% aplicar]]/100)*IF(Cobros[[#This Row],[% A pagar Vendedor]]&gt;0,1,0)</f>
        <v>37.9652</v>
      </c>
      <c r="W677" s="46">
        <f>0.5%*Cobros[[#This Row],[Valor Pagado]]</f>
        <v>18.9826</v>
      </c>
    </row>
    <row r="678" ht="30" spans="1:23">
      <c r="A678" s="49" t="s">
        <v>3860</v>
      </c>
      <c r="B678" s="49" t="s">
        <v>4901</v>
      </c>
      <c r="C678" s="49" t="s">
        <v>1382</v>
      </c>
      <c r="D678" s="49" t="s">
        <v>1383</v>
      </c>
      <c r="E678" s="49" t="s">
        <v>4902</v>
      </c>
      <c r="F678" s="51">
        <v>46185</v>
      </c>
      <c r="G678" s="49">
        <v>2405</v>
      </c>
      <c r="H678" s="49" t="s">
        <v>22</v>
      </c>
      <c r="I678" s="51">
        <v>46224</v>
      </c>
      <c r="J678" s="54">
        <f>INT(Cobros[[#This Row],[Fecha Cargo]])</f>
        <v>46185</v>
      </c>
      <c r="K678" s="54">
        <f>INT(Cobros[[#This Row],[Fecha Aplicacion]])</f>
        <v>46224</v>
      </c>
      <c r="L678" s="55" t="str">
        <f>INDEX(Clientes[Días Plazo],MATCH(Cobros[[#This Row],[Cod. Cliente]],Clientes[Codigo],0),1)</f>
        <v>21</v>
      </c>
      <c r="M678" s="45" t="str">
        <f>IF(Cobros[[#This Row],[Dias de Credito]]&lt;=0,"Contado","Credito")</f>
        <v>Credito</v>
      </c>
      <c r="N678" s="45">
        <f>Cobros[[#This Row],[Fecha Aplicación S]]-Cobros[[#This Row],[Fecha Cargo S]]</f>
        <v>39</v>
      </c>
      <c r="O678" s="45">
        <f>Cobros[[#This Row],[Dias al pago]]-Cobros[[#This Row],[Dias de Credito]]</f>
        <v>18</v>
      </c>
      <c r="P678" s="45">
        <f>SUMIFS(TablaDias[Porcentaje],TablaDias[Tipo],Cobros[[#This Row],[Tipo]],TablaDias[Desde ],"&lt;="&amp;MAX(0,Cobros[[#This Row],[Dias pasado]]),TablaDias[Hasta ],"&gt;="&amp;Cobros[[#This Row],[Dias pasado]])</f>
        <v>50</v>
      </c>
      <c r="Q678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78">
        <f>IF(COUNTIF(PAPEL[Numero],Cobros[[#This Row],[Doc. Cargo]])&gt;0,1,0)</f>
        <v>0</v>
      </c>
      <c r="S678" s="46">
        <f t="array" ref="S6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8" s="46">
        <f t="array" ref="T678">INDEX(Ventas[[Unidades]:[2]],MATCH("Gerente de Venta",Ventas[Vendedor %],0),6+Cobros[[#This Row],[Mes]])</f>
        <v>0.005</v>
      </c>
      <c r="U678" s="34">
        <f>IF(Cobros[[#This Row],[Tipo]]="Credito",IF(60&gt;=Cobros[[#This Row],[Dias al pago]],1,0),IF(Cobros[[#This Row],[Dias al pago]]&lt;=3,1,0))</f>
        <v>1</v>
      </c>
      <c r="V678" s="46">
        <f>(Cobros[[#This Row],[% A pagar Vendedor]]/100)*Cobros[[#This Row],[Valor Pagado]]*Cobros[[#This Row],[Vencido]]*(Cobros[[#This Row],[% aplicar]]/100)*IF(Cobros[[#This Row],[% A pagar Vendedor]]&gt;0,1,0)</f>
        <v>12.025</v>
      </c>
      <c r="W678" s="46">
        <f>0.5%*Cobros[[#This Row],[Valor Pagado]]</f>
        <v>12.025</v>
      </c>
    </row>
    <row r="679" ht="30" spans="1:24">
      <c r="A679" s="49" t="s">
        <v>3860</v>
      </c>
      <c r="B679" s="49" t="s">
        <v>4901</v>
      </c>
      <c r="C679" s="49" t="s">
        <v>1382</v>
      </c>
      <c r="D679" s="49" t="s">
        <v>1383</v>
      </c>
      <c r="E679" s="49" t="s">
        <v>4903</v>
      </c>
      <c r="F679" s="51">
        <v>46185</v>
      </c>
      <c r="G679" s="49">
        <v>2712.85</v>
      </c>
      <c r="H679" s="49" t="s">
        <v>22</v>
      </c>
      <c r="I679" s="51">
        <v>46224</v>
      </c>
      <c r="J679" s="54">
        <f>INT(Cobros[[#This Row],[Fecha Cargo]])</f>
        <v>46185</v>
      </c>
      <c r="K679" s="54">
        <f>INT(Cobros[[#This Row],[Fecha Aplicacion]])</f>
        <v>46224</v>
      </c>
      <c r="L679" s="55" t="str">
        <f>INDEX(Clientes[Días Plazo],MATCH(Cobros[[#This Row],[Cod. Cliente]],Clientes[Codigo],0),1)</f>
        <v>21</v>
      </c>
      <c r="M679" s="45" t="str">
        <f>IF(Cobros[[#This Row],[Dias de Credito]]&lt;=0,"Contado","Credito")</f>
        <v>Credito</v>
      </c>
      <c r="N679" s="45">
        <f>Cobros[[#This Row],[Fecha Aplicación S]]-Cobros[[#This Row],[Fecha Cargo S]]</f>
        <v>39</v>
      </c>
      <c r="O679" s="45">
        <v>18</v>
      </c>
      <c r="P679" s="45">
        <f>SUMIFS(TablaDias[Porcentaje],TablaDias[Tipo],Cobros[[#This Row],[Tipo]],TablaDias[Desde ],"&lt;="&amp;MAX(0,Cobros[[#This Row],[Dias pasado]]),TablaDias[Hasta ],"&gt;="&amp;Cobros[[#This Row],[Dias pasado]])</f>
        <v>50</v>
      </c>
      <c r="Q67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79" s="34">
        <f>IF(COUNTIF(PAPEL[Numero],Cobros[[#This Row],[Doc. Cargo]])&gt;0,1,0)</f>
        <v>0</v>
      </c>
      <c r="S679" s="46">
        <f t="array" ref="S6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79" s="46">
        <f t="array" ref="T679">INDEX(Ventas[[Unidades]:[2]],MATCH("Gerente de Venta",Ventas[Vendedor %],0),6+Cobros[[#This Row],[Mes]])</f>
        <v>0.005</v>
      </c>
      <c r="U679" s="34">
        <f>IF(Cobros[[#This Row],[Tipo]]="Credito",IF(60&gt;=Cobros[[#This Row],[Dias al pago]],1,0),IF(Cobros[[#This Row],[Dias al pago]]&lt;=3,1,0))</f>
        <v>1</v>
      </c>
      <c r="V679" s="46">
        <f>(Cobros[[#This Row],[% A pagar Vendedor]]/100)*Cobros[[#This Row],[Valor Pagado]]*Cobros[[#This Row],[Vencido]]*(Cobros[[#This Row],[% aplicar]]/100)*IF(Cobros[[#This Row],[% A pagar Vendedor]]&gt;0,1,0)</f>
        <v>13.56425</v>
      </c>
      <c r="W679" s="46">
        <f>0.5%*Cobros[[#This Row],[Valor Pagado]]</f>
        <v>13.56425</v>
      </c>
      <c r="X679" s="34"/>
    </row>
    <row r="680" ht="30" spans="1:24">
      <c r="A680" s="49" t="s">
        <v>3954</v>
      </c>
      <c r="B680" s="49" t="s">
        <v>4904</v>
      </c>
      <c r="C680" s="49" t="s">
        <v>372</v>
      </c>
      <c r="D680" s="49" t="s">
        <v>373</v>
      </c>
      <c r="E680" s="49" t="s">
        <v>4905</v>
      </c>
      <c r="F680" s="51">
        <v>46224</v>
      </c>
      <c r="G680" s="49">
        <v>447</v>
      </c>
      <c r="H680" s="49" t="s">
        <v>22</v>
      </c>
      <c r="I680" s="51">
        <v>46224</v>
      </c>
      <c r="J680" s="54">
        <f>INT(Cobros[[#This Row],[Fecha Cargo]])</f>
        <v>46224</v>
      </c>
      <c r="K680" s="54">
        <f>INT(Cobros[[#This Row],[Fecha Aplicacion]])</f>
        <v>46224</v>
      </c>
      <c r="L680" s="55">
        <f>INDEX(Clientes[Días Plazo],MATCH(Cobros[[#This Row],[Cod. Cliente]],Clientes[Codigo],0),1)</f>
        <v>0</v>
      </c>
      <c r="M680" s="45" t="str">
        <f>IF(Cobros[[#This Row],[Dias de Credito]]&lt;=0,"Contado","Credito")</f>
        <v>Contado</v>
      </c>
      <c r="N680" s="45">
        <f>Cobros[[#This Row],[Fecha Aplicación S]]-Cobros[[#This Row],[Fecha Cargo S]]</f>
        <v>0</v>
      </c>
      <c r="O680" s="45">
        <f>Cobros[[#This Row],[Dias al pago]]-Cobros[[#This Row],[Dias de Credito]]</f>
        <v>0</v>
      </c>
      <c r="P680" s="45">
        <f>SUMIFS(TablaDias[Porcentaje],TablaDias[Tipo],Cobros[[#This Row],[Tipo]],TablaDias[Desde ],"&lt;="&amp;MAX(0,Cobros[[#This Row],[Dias pasado]]),TablaDias[Hasta ],"&gt;="&amp;Cobros[[#This Row],[Dias pasado]])</f>
        <v>100</v>
      </c>
      <c r="Q68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0" s="34">
        <f>IF(COUNTIF(PAPEL[Numero],Cobros[[#This Row],[Doc. Cargo]])&gt;0,1,0)</f>
        <v>0</v>
      </c>
      <c r="S680" s="46">
        <f t="array" ref="S6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0" s="46">
        <f t="array" ref="T680">INDEX(Ventas[[Unidades]:[2]],MATCH("Gerente de Venta",Ventas[Vendedor %],0),6+Cobros[[#This Row],[Mes]])</f>
        <v>0.005</v>
      </c>
      <c r="U680" s="34">
        <f>IF(Cobros[[#This Row],[Tipo]]="Credito",IF(60&gt;=Cobros[[#This Row],[Dias al pago]],1,0),IF(Cobros[[#This Row],[Dias al pago]]&lt;=3,1,0))</f>
        <v>1</v>
      </c>
      <c r="V680" s="46">
        <f>(Cobros[[#This Row],[% A pagar Vendedor]]/100)*Cobros[[#This Row],[Valor Pagado]]*Cobros[[#This Row],[Vencido]]*(Cobros[[#This Row],[% aplicar]]/100)*IF(Cobros[[#This Row],[% A pagar Vendedor]]&gt;0,1,0)</f>
        <v>4.47</v>
      </c>
      <c r="W680" s="46">
        <f>0.5%*Cobros[[#This Row],[Valor Pagado]]</f>
        <v>2.235</v>
      </c>
      <c r="X680" s="34"/>
    </row>
    <row r="681" spans="1:24">
      <c r="A681" s="49" t="s">
        <v>3954</v>
      </c>
      <c r="B681" s="49" t="s">
        <v>4906</v>
      </c>
      <c r="C681" s="49" t="s">
        <v>148</v>
      </c>
      <c r="D681" s="49" t="s">
        <v>149</v>
      </c>
      <c r="E681" s="49" t="s">
        <v>4346</v>
      </c>
      <c r="F681" s="51">
        <v>46181</v>
      </c>
      <c r="G681" s="49">
        <v>44508.6</v>
      </c>
      <c r="H681" s="49" t="s">
        <v>18</v>
      </c>
      <c r="I681" s="51">
        <v>46224</v>
      </c>
      <c r="J681" s="54">
        <f>INT(Cobros[[#This Row],[Fecha Cargo]])</f>
        <v>46181</v>
      </c>
      <c r="K681" s="54">
        <f>INT(Cobros[[#This Row],[Fecha Aplicacion]])</f>
        <v>46224</v>
      </c>
      <c r="L681" s="55" t="str">
        <f>INDEX(Clientes[Días Plazo],MATCH(Cobros[[#This Row],[Cod. Cliente]],Clientes[Codigo],0),1)</f>
        <v>45</v>
      </c>
      <c r="M681" s="45" t="str">
        <f>IF(Cobros[[#This Row],[Dias de Credito]]&lt;=0,"Contado","Credito")</f>
        <v>Credito</v>
      </c>
      <c r="N681" s="45">
        <f>Cobros[[#This Row],[Fecha Aplicación S]]-Cobros[[#This Row],[Fecha Cargo S]]</f>
        <v>43</v>
      </c>
      <c r="O681" s="45">
        <f>Cobros[[#This Row],[Dias al pago]]-Cobros[[#This Row],[Dias de Credito]]</f>
        <v>-2</v>
      </c>
      <c r="P681" s="45">
        <f>SUMIFS(TablaDias[Porcentaje],TablaDias[Tipo],Cobros[[#This Row],[Tipo]],TablaDias[Desde ],"&lt;="&amp;MAX(0,Cobros[[#This Row],[Dias pasado]]),TablaDias[Hasta ],"&gt;="&amp;Cobros[[#This Row],[Dias pasado]])</f>
        <v>100</v>
      </c>
      <c r="Q68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81" s="34">
        <f>IF(COUNTIF(PAPEL[Numero],Cobros[[#This Row],[Doc. Cargo]])&gt;0,1,0)</f>
        <v>0</v>
      </c>
      <c r="S681" s="46">
        <f t="array" ref="S6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1" s="46">
        <f t="array" ref="T681">INDEX(Ventas[[Unidades]:[2]],MATCH("Gerente de Venta",Ventas[Vendedor %],0),6+Cobros[[#This Row],[Mes]])</f>
        <v>0.005</v>
      </c>
      <c r="U681" s="34">
        <f>IF(Cobros[[#This Row],[Tipo]]="Credito",IF(60&gt;=Cobros[[#This Row],[Dias al pago]],1,0),IF(Cobros[[#This Row],[Dias al pago]]&lt;=3,1,0))</f>
        <v>1</v>
      </c>
      <c r="V681" s="46">
        <f>(Cobros[[#This Row],[% A pagar Vendedor]]/100)*Cobros[[#This Row],[Valor Pagado]]*Cobros[[#This Row],[Vencido]]*(Cobros[[#This Row],[% aplicar]]/100)*IF(Cobros[[#This Row],[% A pagar Vendedor]]&gt;0,1,0)</f>
        <v>445.086</v>
      </c>
      <c r="W681" s="46">
        <f>0.5%*Cobros[[#This Row],[Valor Pagado]]</f>
        <v>222.543</v>
      </c>
      <c r="X681" s="34"/>
    </row>
    <row r="682" spans="1:24">
      <c r="A682" s="49" t="s">
        <v>3954</v>
      </c>
      <c r="B682" s="49" t="s">
        <v>4906</v>
      </c>
      <c r="C682" s="49" t="s">
        <v>148</v>
      </c>
      <c r="D682" s="49" t="s">
        <v>149</v>
      </c>
      <c r="E682" s="49" t="s">
        <v>4907</v>
      </c>
      <c r="F682" s="51">
        <v>46183</v>
      </c>
      <c r="G682" s="49">
        <v>3180.8</v>
      </c>
      <c r="H682" s="49" t="s">
        <v>18</v>
      </c>
      <c r="I682" s="51">
        <v>46224</v>
      </c>
      <c r="J682" s="54">
        <f>INT(Cobros[[#This Row],[Fecha Cargo]])</f>
        <v>46183</v>
      </c>
      <c r="K682" s="54">
        <f>INT(Cobros[[#This Row],[Fecha Aplicacion]])</f>
        <v>46224</v>
      </c>
      <c r="L682" s="55" t="str">
        <f>INDEX(Clientes[Días Plazo],MATCH(Cobros[[#This Row],[Cod. Cliente]],Clientes[Codigo],0),1)</f>
        <v>45</v>
      </c>
      <c r="M682" s="45" t="str">
        <f>IF(Cobros[[#This Row],[Dias de Credito]]&lt;=0,"Contado","Credito")</f>
        <v>Credito</v>
      </c>
      <c r="N682" s="45">
        <f>Cobros[[#This Row],[Fecha Aplicación S]]-Cobros[[#This Row],[Fecha Cargo S]]</f>
        <v>41</v>
      </c>
      <c r="O682" s="45">
        <f>Cobros[[#This Row],[Dias al pago]]-Cobros[[#This Row],[Dias de Credito]]</f>
        <v>-4</v>
      </c>
      <c r="P682" s="45">
        <f>SUMIFS(TablaDias[Porcentaje],TablaDias[Tipo],Cobros[[#This Row],[Tipo]],TablaDias[Desde ],"&lt;="&amp;MAX(0,Cobros[[#This Row],[Dias pasado]]),TablaDias[Hasta ],"&gt;="&amp;Cobros[[#This Row],[Dias pasado]])</f>
        <v>100</v>
      </c>
      <c r="Q68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82" s="34">
        <f>IF(COUNTIF(PAPEL[Numero],Cobros[[#This Row],[Doc. Cargo]])&gt;0,1,0)</f>
        <v>0</v>
      </c>
      <c r="S682" s="46">
        <f t="array" ref="S6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2" s="46">
        <f t="array" ref="T682">INDEX(Ventas[[Unidades]:[2]],MATCH("Gerente de Venta",Ventas[Vendedor %],0),6+Cobros[[#This Row],[Mes]])</f>
        <v>0.005</v>
      </c>
      <c r="U682" s="34">
        <f>IF(Cobros[[#This Row],[Tipo]]="Credito",IF(60&gt;=Cobros[[#This Row],[Dias al pago]],1,0),IF(Cobros[[#This Row],[Dias al pago]]&lt;=3,1,0))</f>
        <v>1</v>
      </c>
      <c r="V682" s="46">
        <f>(Cobros[[#This Row],[% A pagar Vendedor]]/100)*Cobros[[#This Row],[Valor Pagado]]*Cobros[[#This Row],[Vencido]]*(Cobros[[#This Row],[% aplicar]]/100)*IF(Cobros[[#This Row],[% A pagar Vendedor]]&gt;0,1,0)</f>
        <v>31.808</v>
      </c>
      <c r="W682" s="46">
        <f>0.5%*Cobros[[#This Row],[Valor Pagado]]</f>
        <v>15.904</v>
      </c>
      <c r="X682" s="34"/>
    </row>
    <row r="683" spans="1:24">
      <c r="A683" s="49" t="s">
        <v>3954</v>
      </c>
      <c r="B683" s="49" t="s">
        <v>4906</v>
      </c>
      <c r="C683" s="49" t="s">
        <v>148</v>
      </c>
      <c r="D683" s="49" t="s">
        <v>149</v>
      </c>
      <c r="E683" s="49" t="s">
        <v>4908</v>
      </c>
      <c r="F683" s="51">
        <v>46216</v>
      </c>
      <c r="G683" s="49">
        <v>41.4</v>
      </c>
      <c r="H683" s="49" t="s">
        <v>18</v>
      </c>
      <c r="I683" s="51">
        <v>46224</v>
      </c>
      <c r="J683" s="54">
        <f>INT(Cobros[[#This Row],[Fecha Cargo]])</f>
        <v>46216</v>
      </c>
      <c r="K683" s="54">
        <f>INT(Cobros[[#This Row],[Fecha Aplicacion]])</f>
        <v>46224</v>
      </c>
      <c r="L683" s="55" t="str">
        <f>INDEX(Clientes[Días Plazo],MATCH(Cobros[[#This Row],[Cod. Cliente]],Clientes[Codigo],0),1)</f>
        <v>45</v>
      </c>
      <c r="M683" s="45" t="str">
        <f>IF(Cobros[[#This Row],[Dias de Credito]]&lt;=0,"Contado","Credito")</f>
        <v>Credito</v>
      </c>
      <c r="N683" s="45">
        <f>Cobros[[#This Row],[Fecha Aplicación S]]-Cobros[[#This Row],[Fecha Cargo S]]</f>
        <v>8</v>
      </c>
      <c r="O683" s="45">
        <f>Cobros[[#This Row],[Dias al pago]]-Cobros[[#This Row],[Dias de Credito]]</f>
        <v>-37</v>
      </c>
      <c r="P683" s="45">
        <f>SUMIFS(TablaDias[Porcentaje],TablaDias[Tipo],Cobros[[#This Row],[Tipo]],TablaDias[Desde ],"&lt;="&amp;MAX(0,Cobros[[#This Row],[Dias pasado]]),TablaDias[Hasta ],"&gt;="&amp;Cobros[[#This Row],[Dias pasado]])</f>
        <v>100</v>
      </c>
      <c r="Q68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3" s="34">
        <f>IF(COUNTIF(PAPEL[Numero],Cobros[[#This Row],[Doc. Cargo]])&gt;0,1,0)</f>
        <v>0</v>
      </c>
      <c r="S683" s="46">
        <f t="array" ref="S6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83" s="46">
        <f t="array" ref="T683">INDEX(Ventas[[Unidades]:[2]],MATCH("Gerente de Venta",Ventas[Vendedor %],0),6+Cobros[[#This Row],[Mes]])</f>
        <v>0.005</v>
      </c>
      <c r="U683" s="34">
        <f>IF(Cobros[[#This Row],[Tipo]]="Credito",IF(60&gt;=Cobros[[#This Row],[Dias al pago]],1,0),IF(Cobros[[#This Row],[Dias al pago]]&lt;=3,1,0))</f>
        <v>1</v>
      </c>
      <c r="V683" s="46">
        <f>(Cobros[[#This Row],[% A pagar Vendedor]]/100)*Cobros[[#This Row],[Valor Pagado]]*Cobros[[#This Row],[Vencido]]*(Cobros[[#This Row],[% aplicar]]/100)*IF(Cobros[[#This Row],[% A pagar Vendedor]]&gt;0,1,0)</f>
        <v>0.5175</v>
      </c>
      <c r="W683" s="46">
        <f>0.5%*Cobros[[#This Row],[Valor Pagado]]</f>
        <v>0.207</v>
      </c>
      <c r="X683" s="34"/>
    </row>
    <row r="684" spans="1:24">
      <c r="A684" s="49" t="s">
        <v>3860</v>
      </c>
      <c r="B684" s="49" t="s">
        <v>4805</v>
      </c>
      <c r="C684" s="49" t="s">
        <v>1222</v>
      </c>
      <c r="D684" s="49" t="s">
        <v>1223</v>
      </c>
      <c r="E684" s="49" t="s">
        <v>4909</v>
      </c>
      <c r="F684" s="51">
        <v>46223</v>
      </c>
      <c r="G684" s="49">
        <v>0.9</v>
      </c>
      <c r="H684" s="49" t="s">
        <v>20</v>
      </c>
      <c r="I684" s="51">
        <v>46223</v>
      </c>
      <c r="J684" s="54">
        <f>INT(Cobros[[#This Row],[Fecha Cargo]])</f>
        <v>46223</v>
      </c>
      <c r="K684" s="54">
        <f>INT(Cobros[[#This Row],[Fecha Aplicacion]])</f>
        <v>46223</v>
      </c>
      <c r="L684" s="55" t="str">
        <f>INDEX(Clientes[Días Plazo],MATCH(Cobros[[#This Row],[Cod. Cliente]],Clientes[Codigo],0),1)</f>
        <v>7</v>
      </c>
      <c r="M684" s="45" t="str">
        <f>IF(Cobros[[#This Row],[Dias de Credito]]&lt;=0,"Contado","Credito")</f>
        <v>Credito</v>
      </c>
      <c r="N684" s="45">
        <f>Cobros[[#This Row],[Fecha Aplicación S]]-Cobros[[#This Row],[Fecha Cargo S]]</f>
        <v>0</v>
      </c>
      <c r="O684" s="45">
        <f>Cobros[[#This Row],[Dias al pago]]-Cobros[[#This Row],[Dias de Credito]]</f>
        <v>-7</v>
      </c>
      <c r="P684" s="45">
        <f>SUMIFS(TablaDias[Porcentaje],TablaDias[Tipo],Cobros[[#This Row],[Tipo]],TablaDias[Desde ],"&lt;="&amp;MAX(0,Cobros[[#This Row],[Dias pasado]]),TablaDias[Hasta ],"&gt;="&amp;Cobros[[#This Row],[Dias pasado]])</f>
        <v>100</v>
      </c>
      <c r="Q68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4" s="34">
        <f>IF(COUNTIF(PAPEL[Numero],Cobros[[#This Row],[Doc. Cargo]])&gt;0,1,0)</f>
        <v>0</v>
      </c>
      <c r="S684" s="46">
        <f t="array" ref="S6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84" s="46">
        <f t="array" ref="T684">INDEX(Ventas[[Unidades]:[2]],MATCH("Gerente de Venta",Ventas[Vendedor %],0),6+Cobros[[#This Row],[Mes]])</f>
        <v>0.005</v>
      </c>
      <c r="U684" s="34">
        <f>IF(Cobros[[#This Row],[Tipo]]="Credito",IF(60&gt;=Cobros[[#This Row],[Dias al pago]],1,0),IF(Cobros[[#This Row],[Dias al pago]]&lt;=3,1,0))</f>
        <v>1</v>
      </c>
      <c r="V684" s="46">
        <f>(Cobros[[#This Row],[% A pagar Vendedor]]/100)*Cobros[[#This Row],[Valor Pagado]]*Cobros[[#This Row],[Vencido]]*(Cobros[[#This Row],[% aplicar]]/100)*IF(Cobros[[#This Row],[% A pagar Vendedor]]&gt;0,1,0)</f>
        <v>0.01125</v>
      </c>
      <c r="W684" s="46">
        <f>0.5%*Cobros[[#This Row],[Valor Pagado]]</f>
        <v>0.0045</v>
      </c>
      <c r="X684" s="34"/>
    </row>
    <row r="685" spans="1:24">
      <c r="A685" s="49" t="s">
        <v>3860</v>
      </c>
      <c r="B685" s="49" t="s">
        <v>4910</v>
      </c>
      <c r="C685" s="49" t="s">
        <v>1222</v>
      </c>
      <c r="D685" s="49" t="s">
        <v>1223</v>
      </c>
      <c r="E685" s="49" t="s">
        <v>4909</v>
      </c>
      <c r="F685" s="51">
        <v>46223</v>
      </c>
      <c r="G685" s="49">
        <v>350</v>
      </c>
      <c r="H685" s="49" t="s">
        <v>20</v>
      </c>
      <c r="I685" s="51">
        <v>46224</v>
      </c>
      <c r="J685" s="54">
        <f>INT(Cobros[[#This Row],[Fecha Cargo]])</f>
        <v>46223</v>
      </c>
      <c r="K685" s="54">
        <f>INT(Cobros[[#This Row],[Fecha Aplicacion]])</f>
        <v>46224</v>
      </c>
      <c r="L685" s="55" t="str">
        <f>INDEX(Clientes[Días Plazo],MATCH(Cobros[[#This Row],[Cod. Cliente]],Clientes[Codigo],0),1)</f>
        <v>7</v>
      </c>
      <c r="M685" s="45" t="str">
        <f>IF(Cobros[[#This Row],[Dias de Credito]]&lt;=0,"Contado","Credito")</f>
        <v>Credito</v>
      </c>
      <c r="N685" s="45">
        <f>Cobros[[#This Row],[Fecha Aplicación S]]-Cobros[[#This Row],[Fecha Cargo S]]</f>
        <v>1</v>
      </c>
      <c r="O685" s="45">
        <f>Cobros[[#This Row],[Dias al pago]]-Cobros[[#This Row],[Dias de Credito]]</f>
        <v>-6</v>
      </c>
      <c r="P685" s="45">
        <f>SUMIFS(TablaDias[Porcentaje],TablaDias[Tipo],Cobros[[#This Row],[Tipo]],TablaDias[Desde ],"&lt;="&amp;MAX(0,Cobros[[#This Row],[Dias pasado]]),TablaDias[Hasta ],"&gt;="&amp;Cobros[[#This Row],[Dias pasado]])</f>
        <v>100</v>
      </c>
      <c r="Q68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5" s="34">
        <f>IF(COUNTIF(PAPEL[Numero],Cobros[[#This Row],[Doc. Cargo]])&gt;0,1,0)</f>
        <v>0</v>
      </c>
      <c r="S685" s="46">
        <f t="array" ref="S6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85" s="46">
        <f t="array" ref="T685">INDEX(Ventas[[Unidades]:[2]],MATCH("Gerente de Venta",Ventas[Vendedor %],0),6+Cobros[[#This Row],[Mes]])</f>
        <v>0.005</v>
      </c>
      <c r="U685" s="34">
        <f>IF(Cobros[[#This Row],[Tipo]]="Credito",IF(60&gt;=Cobros[[#This Row],[Dias al pago]],1,0),IF(Cobros[[#This Row],[Dias al pago]]&lt;=3,1,0))</f>
        <v>1</v>
      </c>
      <c r="V685" s="46">
        <f>(Cobros[[#This Row],[% A pagar Vendedor]]/100)*Cobros[[#This Row],[Valor Pagado]]*Cobros[[#This Row],[Vencido]]*(Cobros[[#This Row],[% aplicar]]/100)*IF(Cobros[[#This Row],[% A pagar Vendedor]]&gt;0,1,0)</f>
        <v>4.375</v>
      </c>
      <c r="W685" s="46">
        <f>0.5%*Cobros[[#This Row],[Valor Pagado]]</f>
        <v>1.75</v>
      </c>
      <c r="X685" s="34"/>
    </row>
    <row r="686" ht="30" spans="1:24">
      <c r="A686" s="49" t="s">
        <v>3860</v>
      </c>
      <c r="B686" s="49" t="s">
        <v>4911</v>
      </c>
      <c r="C686" s="49" t="s">
        <v>1384</v>
      </c>
      <c r="D686" s="49" t="s">
        <v>1385</v>
      </c>
      <c r="E686" s="49" t="s">
        <v>4912</v>
      </c>
      <c r="F686" s="51">
        <v>46185</v>
      </c>
      <c r="G686" s="49">
        <v>2405</v>
      </c>
      <c r="H686" s="49" t="s">
        <v>22</v>
      </c>
      <c r="I686" s="51">
        <v>46224</v>
      </c>
      <c r="J686" s="54">
        <f>INT(Cobros[[#This Row],[Fecha Cargo]])</f>
        <v>46185</v>
      </c>
      <c r="K686" s="54">
        <f>INT(Cobros[[#This Row],[Fecha Aplicacion]])</f>
        <v>46224</v>
      </c>
      <c r="L686" s="55" t="str">
        <f>INDEX(Clientes[Días Plazo],MATCH(Cobros[[#This Row],[Cod. Cliente]],Clientes[Codigo],0),1)</f>
        <v>21</v>
      </c>
      <c r="M686" s="45" t="str">
        <f>IF(Cobros[[#This Row],[Dias de Credito]]&lt;=0,"Contado","Credito")</f>
        <v>Credito</v>
      </c>
      <c r="N686" s="45">
        <f>Cobros[[#This Row],[Fecha Aplicación S]]-Cobros[[#This Row],[Fecha Cargo S]]</f>
        <v>39</v>
      </c>
      <c r="O686" s="45">
        <f>Cobros[[#This Row],[Dias al pago]]-Cobros[[#This Row],[Dias de Credito]]</f>
        <v>18</v>
      </c>
      <c r="P686" s="45">
        <f>SUMIFS(TablaDias[Porcentaje],TablaDias[Tipo],Cobros[[#This Row],[Tipo]],TablaDias[Desde ],"&lt;="&amp;MAX(0,Cobros[[#This Row],[Dias pasado]]),TablaDias[Hasta ],"&gt;="&amp;Cobros[[#This Row],[Dias pasado]])</f>
        <v>50</v>
      </c>
      <c r="Q68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86" s="34">
        <f>IF(COUNTIF(PAPEL[Numero],Cobros[[#This Row],[Doc. Cargo]])&gt;0,1,0)</f>
        <v>0</v>
      </c>
      <c r="S686" s="46">
        <f t="array" ref="S6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6" s="46">
        <f t="array" ref="T686">INDEX(Ventas[[Unidades]:[2]],MATCH("Gerente de Venta",Ventas[Vendedor %],0),6+Cobros[[#This Row],[Mes]])</f>
        <v>0.005</v>
      </c>
      <c r="U686" s="34">
        <f>IF(Cobros[[#This Row],[Tipo]]="Credito",IF(60&gt;=Cobros[[#This Row],[Dias al pago]],1,0),IF(Cobros[[#This Row],[Dias al pago]]&lt;=3,1,0))</f>
        <v>1</v>
      </c>
      <c r="V686" s="46">
        <f>(Cobros[[#This Row],[% A pagar Vendedor]]/100)*Cobros[[#This Row],[Valor Pagado]]*Cobros[[#This Row],[Vencido]]*(Cobros[[#This Row],[% aplicar]]/100)*IF(Cobros[[#This Row],[% A pagar Vendedor]]&gt;0,1,0)</f>
        <v>12.025</v>
      </c>
      <c r="W686" s="46">
        <f>0.5%*Cobros[[#This Row],[Valor Pagado]]</f>
        <v>12.025</v>
      </c>
      <c r="X686" s="34"/>
    </row>
    <row r="687" ht="30" spans="1:24">
      <c r="A687" s="49" t="s">
        <v>3860</v>
      </c>
      <c r="B687" s="49" t="s">
        <v>4913</v>
      </c>
      <c r="C687" s="49" t="s">
        <v>3319</v>
      </c>
      <c r="D687" s="49" t="s">
        <v>3320</v>
      </c>
      <c r="E687" s="49" t="s">
        <v>4914</v>
      </c>
      <c r="F687" s="51">
        <v>46224</v>
      </c>
      <c r="G687" s="49">
        <v>130</v>
      </c>
      <c r="H687" s="49" t="s">
        <v>3865</v>
      </c>
      <c r="I687" s="51">
        <v>46224</v>
      </c>
      <c r="J687" s="54">
        <f>INT(Cobros[[#This Row],[Fecha Cargo]])</f>
        <v>46224</v>
      </c>
      <c r="K687" s="54">
        <f>INT(Cobros[[#This Row],[Fecha Aplicacion]])</f>
        <v>46224</v>
      </c>
      <c r="L687" s="55">
        <f>INDEX(Clientes[Días Plazo],MATCH(Cobros[[#This Row],[Cod. Cliente]],Clientes[Codigo],0),1)</f>
        <v>0</v>
      </c>
      <c r="M687" s="45" t="str">
        <f>IF(Cobros[[#This Row],[Dias de Credito]]&lt;=0,"Contado","Credito")</f>
        <v>Contado</v>
      </c>
      <c r="N687" s="45">
        <f>Cobros[[#This Row],[Fecha Aplicación S]]-Cobros[[#This Row],[Fecha Cargo S]]</f>
        <v>0</v>
      </c>
      <c r="O687" s="45">
        <f>Cobros[[#This Row],[Dias al pago]]-Cobros[[#This Row],[Dias de Credito]]</f>
        <v>0</v>
      </c>
      <c r="P687" s="45">
        <f>SUMIFS(TablaDias[Porcentaje],TablaDias[Tipo],Cobros[[#This Row],[Tipo]],TablaDias[Desde ],"&lt;="&amp;MAX(0,Cobros[[#This Row],[Dias pasado]]),TablaDias[Hasta ],"&gt;="&amp;Cobros[[#This Row],[Dias pasado]])</f>
        <v>100</v>
      </c>
      <c r="Q68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7" s="34">
        <f>IF(COUNTIF(PAPEL[Numero],Cobros[[#This Row],[Doc. Cargo]])&gt;0,1,0)</f>
        <v>0</v>
      </c>
      <c r="S687" s="46">
        <v>1</v>
      </c>
      <c r="T687" s="46">
        <f t="array" ref="T687">INDEX(Ventas[[Unidades]:[2]],MATCH("Gerente de Venta",Ventas[Vendedor %],0),6+Cobros[[#This Row],[Mes]])</f>
        <v>0.005</v>
      </c>
      <c r="U687" s="34">
        <f>IF(Cobros[[#This Row],[Tipo]]="Credito",IF(60&gt;=Cobros[[#This Row],[Dias al pago]],1,0),IF(Cobros[[#This Row],[Dias al pago]]&lt;=3,1,0))</f>
        <v>1</v>
      </c>
      <c r="V687" s="46">
        <f>(Cobros[[#This Row],[% A pagar Vendedor]]/100)*Cobros[[#This Row],[Valor Pagado]]*Cobros[[#This Row],[Vencido]]*(Cobros[[#This Row],[% aplicar]]/100)*IF(Cobros[[#This Row],[% A pagar Vendedor]]&gt;0,1,0)</f>
        <v>1.3</v>
      </c>
      <c r="W687" s="46">
        <f>0.5%*Cobros[[#This Row],[Valor Pagado]]</f>
        <v>0.65</v>
      </c>
      <c r="X687" s="34"/>
    </row>
    <row r="688" spans="1:24">
      <c r="A688" s="49" t="s">
        <v>3904</v>
      </c>
      <c r="B688" s="49" t="s">
        <v>4915</v>
      </c>
      <c r="C688" s="49" t="s">
        <v>1991</v>
      </c>
      <c r="D688" s="49" t="s">
        <v>1992</v>
      </c>
      <c r="E688" s="49" t="s">
        <v>4916</v>
      </c>
      <c r="F688" s="51">
        <v>46224</v>
      </c>
      <c r="G688" s="49">
        <v>5117.3</v>
      </c>
      <c r="H688" s="49" t="s">
        <v>19</v>
      </c>
      <c r="I688" s="51">
        <v>46224</v>
      </c>
      <c r="J688" s="54">
        <f>INT(Cobros[[#This Row],[Fecha Cargo]])</f>
        <v>46224</v>
      </c>
      <c r="K688" s="54">
        <f>INT(Cobros[[#This Row],[Fecha Aplicacion]])</f>
        <v>46224</v>
      </c>
      <c r="L688" s="55">
        <f>INDEX(Clientes[Días Plazo],MATCH(Cobros[[#This Row],[Cod. Cliente]],Clientes[Codigo],0),1)</f>
        <v>0</v>
      </c>
      <c r="M688" s="45" t="str">
        <f>IF(Cobros[[#This Row],[Dias de Credito]]&lt;=0,"Contado","Credito")</f>
        <v>Contado</v>
      </c>
      <c r="N688" s="45">
        <f>Cobros[[#This Row],[Fecha Aplicación S]]-Cobros[[#This Row],[Fecha Cargo S]]</f>
        <v>0</v>
      </c>
      <c r="O688" s="45">
        <f>Cobros[[#This Row],[Dias al pago]]-Cobros[[#This Row],[Dias de Credito]]</f>
        <v>0</v>
      </c>
      <c r="P688" s="45">
        <f>SUMIFS(TablaDias[Porcentaje],TablaDias[Tipo],Cobros[[#This Row],[Tipo]],TablaDias[Desde ],"&lt;="&amp;MAX(0,Cobros[[#This Row],[Dias pasado]]),TablaDias[Hasta ],"&gt;="&amp;Cobros[[#This Row],[Dias pasado]])</f>
        <v>100</v>
      </c>
      <c r="Q68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88" s="34">
        <f>IF(COUNTIF(PAPEL[Numero],Cobros[[#This Row],[Doc. Cargo]])&gt;0,1,0)</f>
        <v>0</v>
      </c>
      <c r="S688" s="46">
        <f t="array" ref="S6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88" s="46">
        <f t="array" ref="T688">INDEX(Ventas[[Unidades]:[2]],MATCH("Gerente de Venta",Ventas[Vendedor %],0),6+Cobros[[#This Row],[Mes]])</f>
        <v>0.005</v>
      </c>
      <c r="U688" s="34">
        <f>IF(Cobros[[#This Row],[Tipo]]="Credito",IF(60&gt;=Cobros[[#This Row],[Dias al pago]],1,0),IF(Cobros[[#This Row],[Dias al pago]]&lt;=3,1,0))</f>
        <v>1</v>
      </c>
      <c r="V688" s="46">
        <f>(Cobros[[#This Row],[% A pagar Vendedor]]/100)*Cobros[[#This Row],[Valor Pagado]]*Cobros[[#This Row],[Vencido]]*(Cobros[[#This Row],[% aplicar]]/100)*IF(Cobros[[#This Row],[% A pagar Vendedor]]&gt;0,1,0)</f>
        <v>63.96625</v>
      </c>
      <c r="W688" s="46">
        <f>0.5%*Cobros[[#This Row],[Valor Pagado]]</f>
        <v>25.5865</v>
      </c>
      <c r="X688" s="34"/>
    </row>
    <row r="689" spans="1:24">
      <c r="A689" s="49" t="s">
        <v>3884</v>
      </c>
      <c r="B689" s="49" t="s">
        <v>4917</v>
      </c>
      <c r="C689" s="49" t="s">
        <v>295</v>
      </c>
      <c r="D689" s="49" t="s">
        <v>296</v>
      </c>
      <c r="E689" s="49" t="s">
        <v>4918</v>
      </c>
      <c r="F689" s="51">
        <v>46181</v>
      </c>
      <c r="G689" s="49">
        <v>6340.68</v>
      </c>
      <c r="H689" s="49" t="s">
        <v>18</v>
      </c>
      <c r="I689" s="51">
        <v>46224</v>
      </c>
      <c r="J689" s="54">
        <f>INT(Cobros[[#This Row],[Fecha Cargo]])</f>
        <v>46181</v>
      </c>
      <c r="K689" s="54">
        <f>INT(Cobros[[#This Row],[Fecha Aplicacion]])</f>
        <v>46224</v>
      </c>
      <c r="L689" s="55" t="str">
        <f>INDEX(Clientes[Días Plazo],MATCH(Cobros[[#This Row],[Cod. Cliente]],Clientes[Codigo],0),1)</f>
        <v>7</v>
      </c>
      <c r="M689" s="45" t="str">
        <f>IF(Cobros[[#This Row],[Dias de Credito]]&lt;=0,"Contado","Credito")</f>
        <v>Credito</v>
      </c>
      <c r="N689" s="45">
        <f>Cobros[[#This Row],[Fecha Aplicación S]]-Cobros[[#This Row],[Fecha Cargo S]]</f>
        <v>43</v>
      </c>
      <c r="O689" s="45">
        <f>Cobros[[#This Row],[Dias al pago]]-Cobros[[#This Row],[Dias de Credito]]</f>
        <v>36</v>
      </c>
      <c r="P689" s="45">
        <f>SUMIFS(TablaDias[Porcentaje],TablaDias[Tipo],Cobros[[#This Row],[Tipo]],TablaDias[Desde ],"&lt;="&amp;MAX(0,Cobros[[#This Row],[Dias pasado]]),TablaDias[Hasta ],"&gt;="&amp;Cobros[[#This Row],[Dias pasado]])</f>
        <v>30</v>
      </c>
      <c r="Q68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89" s="34">
        <f>IF(COUNTIF(PAPEL[Numero],Cobros[[#This Row],[Doc. Cargo]])&gt;0,1,0)</f>
        <v>0</v>
      </c>
      <c r="S689" s="46">
        <f t="array" ref="S6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689" s="46">
        <f t="array" ref="T689">INDEX(Ventas[[Unidades]:[2]],MATCH("Gerente de Venta",Ventas[Vendedor %],0),6+Cobros[[#This Row],[Mes]])</f>
        <v>0.005</v>
      </c>
      <c r="U689" s="34">
        <f>IF(Cobros[[#This Row],[Tipo]]="Credito",IF(60&gt;=Cobros[[#This Row],[Dias al pago]],1,0),IF(Cobros[[#This Row],[Dias al pago]]&lt;=3,1,0))</f>
        <v>1</v>
      </c>
      <c r="V689" s="46">
        <f>(Cobros[[#This Row],[% A pagar Vendedor]]/100)*Cobros[[#This Row],[Valor Pagado]]*Cobros[[#This Row],[Vencido]]*(Cobros[[#This Row],[% aplicar]]/100)*IF(Cobros[[#This Row],[% A pagar Vendedor]]&gt;0,1,0)</f>
        <v>19.02204</v>
      </c>
      <c r="W689" s="46">
        <f>0.5%*Cobros[[#This Row],[Valor Pagado]]</f>
        <v>31.7034</v>
      </c>
      <c r="X689" s="34"/>
    </row>
    <row r="690" spans="1:24">
      <c r="A690" s="49" t="s">
        <v>3875</v>
      </c>
      <c r="B690" s="49" t="s">
        <v>4919</v>
      </c>
      <c r="C690" s="49" t="s">
        <v>3052</v>
      </c>
      <c r="D690" s="49" t="s">
        <v>3053</v>
      </c>
      <c r="E690" s="49" t="s">
        <v>4920</v>
      </c>
      <c r="F690" s="51">
        <v>46224</v>
      </c>
      <c r="G690" s="49">
        <v>187</v>
      </c>
      <c r="H690" s="49" t="s">
        <v>16</v>
      </c>
      <c r="I690" s="51">
        <v>46224</v>
      </c>
      <c r="J690" s="54">
        <f>INT(Cobros[[#This Row],[Fecha Cargo]])</f>
        <v>46224</v>
      </c>
      <c r="K690" s="54">
        <f>INT(Cobros[[#This Row],[Fecha Aplicacion]])</f>
        <v>46224</v>
      </c>
      <c r="L690" s="55">
        <f>INDEX(Clientes[Días Plazo],MATCH(Cobros[[#This Row],[Cod. Cliente]],Clientes[Codigo],0),1)</f>
        <v>0</v>
      </c>
      <c r="M690" s="45" t="str">
        <f>IF(Cobros[[#This Row],[Dias de Credito]]&lt;=0,"Contado","Credito")</f>
        <v>Contado</v>
      </c>
      <c r="N690" s="45">
        <f>Cobros[[#This Row],[Fecha Aplicación S]]-Cobros[[#This Row],[Fecha Cargo S]]</f>
        <v>0</v>
      </c>
      <c r="O690" s="45">
        <f>Cobros[[#This Row],[Dias al pago]]-Cobros[[#This Row],[Dias de Credito]]</f>
        <v>0</v>
      </c>
      <c r="P690" s="45">
        <f>SUMIFS(TablaDias[Porcentaje],TablaDias[Tipo],Cobros[[#This Row],[Tipo]],TablaDias[Desde ],"&lt;="&amp;MAX(0,Cobros[[#This Row],[Dias pasado]]),TablaDias[Hasta ],"&gt;="&amp;Cobros[[#This Row],[Dias pasado]])</f>
        <v>100</v>
      </c>
      <c r="Q69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0" s="34">
        <f>IF(COUNTIF(PAPEL[Numero],Cobros[[#This Row],[Doc. Cargo]])&gt;0,1,0)</f>
        <v>0</v>
      </c>
      <c r="S690" s="46">
        <f t="array" ref="S6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0" s="47">
        <v>0.005</v>
      </c>
      <c r="U690" s="34">
        <f>IF(Cobros[[#This Row],[Tipo]]="Credito",IF(60&gt;=Cobros[[#This Row],[Dias al pago]],1,0),IF(Cobros[[#This Row],[Dias al pago]]&lt;=3,1,0))</f>
        <v>1</v>
      </c>
      <c r="V690" s="46">
        <f>(Cobros[[#This Row],[% A pagar Vendedor]]/100)*Cobros[[#This Row],[Valor Pagado]]*Cobros[[#This Row],[Vencido]]*(Cobros[[#This Row],[% aplicar]]/100)*IF(Cobros[[#This Row],[% A pagar Vendedor]]&gt;0,1,0)</f>
        <v>2.3375</v>
      </c>
      <c r="W690" s="46">
        <f>0.5%*Cobros[[#This Row],[Valor Pagado]]</f>
        <v>0.935</v>
      </c>
      <c r="X690" s="34"/>
    </row>
    <row r="691" ht="30" spans="1:24">
      <c r="A691" s="49" t="s">
        <v>3860</v>
      </c>
      <c r="B691" s="49" t="s">
        <v>4921</v>
      </c>
      <c r="C691" s="49" t="s">
        <v>1921</v>
      </c>
      <c r="D691" s="49" t="s">
        <v>1922</v>
      </c>
      <c r="E691" s="49" t="s">
        <v>4201</v>
      </c>
      <c r="F691" s="51">
        <v>46196</v>
      </c>
      <c r="G691" s="49">
        <v>1800</v>
      </c>
      <c r="H691" s="49" t="s">
        <v>3865</v>
      </c>
      <c r="I691" s="51">
        <v>46224</v>
      </c>
      <c r="J691" s="54">
        <f>INT(Cobros[[#This Row],[Fecha Cargo]])</f>
        <v>46196</v>
      </c>
      <c r="K691" s="54">
        <f>INT(Cobros[[#This Row],[Fecha Aplicacion]])</f>
        <v>46224</v>
      </c>
      <c r="L691" s="55" t="str">
        <f>INDEX(Clientes[Días Plazo],MATCH(Cobros[[#This Row],[Cod. Cliente]],Clientes[Codigo],0),1)</f>
        <v>21</v>
      </c>
      <c r="M691" s="45" t="str">
        <f>IF(Cobros[[#This Row],[Dias de Credito]]&lt;=0,"Contado","Credito")</f>
        <v>Credito</v>
      </c>
      <c r="N691" s="45">
        <f>Cobros[[#This Row],[Fecha Aplicación S]]-Cobros[[#This Row],[Fecha Cargo S]]</f>
        <v>28</v>
      </c>
      <c r="O691" s="45">
        <f>Cobros[[#This Row],[Dias al pago]]-Cobros[[#This Row],[Dias de Credito]]</f>
        <v>7</v>
      </c>
      <c r="P691" s="45">
        <f>SUMIFS(TablaDias[Porcentaje],TablaDias[Tipo],Cobros[[#This Row],[Tipo]],TablaDias[Desde ],"&lt;="&amp;MAX(0,Cobros[[#This Row],[Dias pasado]]),TablaDias[Hasta ],"&gt;="&amp;Cobros[[#This Row],[Dias pasado]])</f>
        <v>100</v>
      </c>
      <c r="Q69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91" s="34">
        <f>IF(COUNTIF(PAPEL[Numero],Cobros[[#This Row],[Doc. Cargo]])&gt;0,1,0)</f>
        <v>0</v>
      </c>
      <c r="S691" s="46">
        <v>1</v>
      </c>
      <c r="T691" s="46">
        <f t="array" ref="T691">INDEX(Ventas[[Unidades]:[2]],MATCH("Gerente de Venta",Ventas[Vendedor %],0),6+Cobros[[#This Row],[Mes]])</f>
        <v>0.005</v>
      </c>
      <c r="U691" s="34">
        <f>IF(Cobros[[#This Row],[Tipo]]="Credito",IF(60&gt;=Cobros[[#This Row],[Dias al pago]],1,0),IF(Cobros[[#This Row],[Dias al pago]]&lt;=3,1,0))</f>
        <v>1</v>
      </c>
      <c r="V691" s="46">
        <f>(Cobros[[#This Row],[% A pagar Vendedor]]/100)*Cobros[[#This Row],[Valor Pagado]]*Cobros[[#This Row],[Vencido]]*(Cobros[[#This Row],[% aplicar]]/100)*IF(Cobros[[#This Row],[% A pagar Vendedor]]&gt;0,1,0)</f>
        <v>18</v>
      </c>
      <c r="W691" s="46">
        <f>0.5%*Cobros[[#This Row],[Valor Pagado]]</f>
        <v>9</v>
      </c>
      <c r="X691" s="34"/>
    </row>
    <row r="692" spans="1:24">
      <c r="A692" s="49" t="s">
        <v>3922</v>
      </c>
      <c r="B692" s="49" t="s">
        <v>4922</v>
      </c>
      <c r="C692" s="49" t="s">
        <v>578</v>
      </c>
      <c r="D692" s="49" t="s">
        <v>579</v>
      </c>
      <c r="E692" s="49" t="s">
        <v>4923</v>
      </c>
      <c r="F692" s="51">
        <v>46213</v>
      </c>
      <c r="G692" s="49">
        <v>805</v>
      </c>
      <c r="H692" s="49" t="s">
        <v>19</v>
      </c>
      <c r="I692" s="51">
        <v>46217</v>
      </c>
      <c r="J692" s="54">
        <f>INT(Cobros[[#This Row],[Fecha Cargo]])</f>
        <v>46213</v>
      </c>
      <c r="K692" s="54">
        <f>INT(Cobros[[#This Row],[Fecha Aplicacion]])</f>
        <v>46217</v>
      </c>
      <c r="L692" s="55" t="str">
        <f>INDEX(Clientes[Días Plazo],MATCH(Cobros[[#This Row],[Cod. Cliente]],Clientes[Codigo],0),1)</f>
        <v>30</v>
      </c>
      <c r="M692" s="45" t="str">
        <f>IF(Cobros[[#This Row],[Dias de Credito]]&lt;=0,"Contado","Credito")</f>
        <v>Credito</v>
      </c>
      <c r="N692" s="45">
        <f>Cobros[[#This Row],[Fecha Aplicación S]]-Cobros[[#This Row],[Fecha Cargo S]]</f>
        <v>4</v>
      </c>
      <c r="O692" s="45">
        <f>Cobros[[#This Row],[Dias al pago]]-Cobros[[#This Row],[Dias de Credito]]</f>
        <v>-26</v>
      </c>
      <c r="P692" s="45">
        <f>SUMIFS(TablaDias[Porcentaje],TablaDias[Tipo],Cobros[[#This Row],[Tipo]],TablaDias[Desde ],"&lt;="&amp;MAX(0,Cobros[[#This Row],[Dias pasado]]),TablaDias[Hasta ],"&gt;="&amp;Cobros[[#This Row],[Dias pasado]])</f>
        <v>100</v>
      </c>
      <c r="Q69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2" s="34">
        <f>IF(COUNTIF(PAPEL[Numero],Cobros[[#This Row],[Doc. Cargo]])&gt;0,1,0)</f>
        <v>0</v>
      </c>
      <c r="S692" s="46">
        <f t="array" ref="S6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2" s="46">
        <f t="array" ref="T692">INDEX(Ventas[[Unidades]:[2]],MATCH("Gerente de Venta",Ventas[Vendedor %],0),6+Cobros[[#This Row],[Mes]])</f>
        <v>0.005</v>
      </c>
      <c r="U692" s="34">
        <f>IF(Cobros[[#This Row],[Tipo]]="Credito",IF(60&gt;=Cobros[[#This Row],[Dias al pago]],1,0),IF(Cobros[[#This Row],[Dias al pago]]&lt;=3,1,0))</f>
        <v>1</v>
      </c>
      <c r="V692" s="46">
        <f>(Cobros[[#This Row],[% A pagar Vendedor]]/100)*Cobros[[#This Row],[Valor Pagado]]*Cobros[[#This Row],[Vencido]]*(Cobros[[#This Row],[% aplicar]]/100)*IF(Cobros[[#This Row],[% A pagar Vendedor]]&gt;0,1,0)</f>
        <v>10.0625</v>
      </c>
      <c r="W692" s="46">
        <f>0.5%*Cobros[[#This Row],[Valor Pagado]]</f>
        <v>4.025</v>
      </c>
      <c r="X692" s="34"/>
    </row>
    <row r="693" spans="1:24">
      <c r="A693" s="49" t="s">
        <v>3860</v>
      </c>
      <c r="B693" s="49" t="s">
        <v>4924</v>
      </c>
      <c r="C693" s="49" t="s">
        <v>3715</v>
      </c>
      <c r="D693" s="49" t="s">
        <v>3716</v>
      </c>
      <c r="E693" s="49" t="s">
        <v>4603</v>
      </c>
      <c r="F693" s="51">
        <v>46213</v>
      </c>
      <c r="G693" s="49">
        <v>658.35</v>
      </c>
      <c r="H693" s="49" t="s">
        <v>16</v>
      </c>
      <c r="I693" s="51">
        <v>46224</v>
      </c>
      <c r="J693" s="54">
        <f>INT(Cobros[[#This Row],[Fecha Cargo]])</f>
        <v>46213</v>
      </c>
      <c r="K693" s="54">
        <f>INT(Cobros[[#This Row],[Fecha Aplicacion]])</f>
        <v>46224</v>
      </c>
      <c r="L693" s="55" t="str">
        <f>INDEX(Clientes[Días Plazo],MATCH(Cobros[[#This Row],[Cod. Cliente]],Clientes[Codigo],0),1)</f>
        <v>7</v>
      </c>
      <c r="M693" s="45" t="str">
        <f>IF(Cobros[[#This Row],[Dias de Credito]]&lt;=0,"Contado","Credito")</f>
        <v>Credito</v>
      </c>
      <c r="N693" s="45">
        <f>Cobros[[#This Row],[Fecha Aplicación S]]-Cobros[[#This Row],[Fecha Cargo S]]</f>
        <v>11</v>
      </c>
      <c r="O693" s="45">
        <f>Cobros[[#This Row],[Dias al pago]]-Cobros[[#This Row],[Dias de Credito]]</f>
        <v>4</v>
      </c>
      <c r="P693" s="45">
        <f>SUMIFS(TablaDias[Porcentaje],TablaDias[Tipo],Cobros[[#This Row],[Tipo]],TablaDias[Desde ],"&lt;="&amp;MAX(0,Cobros[[#This Row],[Dias pasado]]),TablaDias[Hasta ],"&gt;="&amp;Cobros[[#This Row],[Dias pasado]])</f>
        <v>100</v>
      </c>
      <c r="Q69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3" s="34">
        <f>IF(COUNTIF(PAPEL[Numero],Cobros[[#This Row],[Doc. Cargo]])&gt;0,1,0)</f>
        <v>0</v>
      </c>
      <c r="S693" s="46">
        <f t="array" ref="S6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3" s="47">
        <v>0.005</v>
      </c>
      <c r="U693" s="34">
        <f>IF(Cobros[[#This Row],[Tipo]]="Credito",IF(60&gt;=Cobros[[#This Row],[Dias al pago]],1,0),IF(Cobros[[#This Row],[Dias al pago]]&lt;=3,1,0))</f>
        <v>1</v>
      </c>
      <c r="V693" s="46">
        <f>(Cobros[[#This Row],[% A pagar Vendedor]]/100)*Cobros[[#This Row],[Valor Pagado]]*Cobros[[#This Row],[Vencido]]*(Cobros[[#This Row],[% aplicar]]/100)*IF(Cobros[[#This Row],[% A pagar Vendedor]]&gt;0,1,0)</f>
        <v>8.229375</v>
      </c>
      <c r="W693" s="46">
        <f>0.5%*Cobros[[#This Row],[Valor Pagado]]</f>
        <v>3.29175</v>
      </c>
      <c r="X693" s="34"/>
    </row>
    <row r="694" spans="1:24">
      <c r="A694" s="49" t="s">
        <v>3875</v>
      </c>
      <c r="B694" s="49" t="s">
        <v>4925</v>
      </c>
      <c r="C694" s="49" t="s">
        <v>1991</v>
      </c>
      <c r="D694" s="49" t="s">
        <v>1992</v>
      </c>
      <c r="E694" s="49" t="s">
        <v>4926</v>
      </c>
      <c r="F694" s="51">
        <v>46224</v>
      </c>
      <c r="G694" s="49">
        <v>18000</v>
      </c>
      <c r="H694" s="49" t="s">
        <v>19</v>
      </c>
      <c r="I694" s="51">
        <v>46224</v>
      </c>
      <c r="J694" s="54">
        <f>INT(Cobros[[#This Row],[Fecha Cargo]])</f>
        <v>46224</v>
      </c>
      <c r="K694" s="54">
        <f>INT(Cobros[[#This Row],[Fecha Aplicacion]])</f>
        <v>46224</v>
      </c>
      <c r="L694" s="55">
        <f>INDEX(Clientes[Días Plazo],MATCH(Cobros[[#This Row],[Cod. Cliente]],Clientes[Codigo],0),1)</f>
        <v>0</v>
      </c>
      <c r="M694" s="45" t="str">
        <f>IF(Cobros[[#This Row],[Dias de Credito]]&lt;=0,"Contado","Credito")</f>
        <v>Contado</v>
      </c>
      <c r="N694" s="45">
        <f>Cobros[[#This Row],[Fecha Aplicación S]]-Cobros[[#This Row],[Fecha Cargo S]]</f>
        <v>0</v>
      </c>
      <c r="O694" s="45">
        <f>Cobros[[#This Row],[Dias al pago]]-Cobros[[#This Row],[Dias de Credito]]</f>
        <v>0</v>
      </c>
      <c r="P694" s="45">
        <f>SUMIFS(TablaDias[Porcentaje],TablaDias[Tipo],Cobros[[#This Row],[Tipo]],TablaDias[Desde ],"&lt;="&amp;MAX(0,Cobros[[#This Row],[Dias pasado]]),TablaDias[Hasta ],"&gt;="&amp;Cobros[[#This Row],[Dias pasado]])</f>
        <v>100</v>
      </c>
      <c r="Q69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4" s="34">
        <f>IF(COUNTIF(PAPEL[Numero],Cobros[[#This Row],[Doc. Cargo]])&gt;0,1,0)</f>
        <v>0</v>
      </c>
      <c r="S694" s="46">
        <f t="array" ref="S6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4" s="46">
        <f t="array" ref="T694">INDEX(Ventas[[Unidades]:[2]],MATCH("Gerente de Venta",Ventas[Vendedor %],0),6+Cobros[[#This Row],[Mes]])</f>
        <v>0.005</v>
      </c>
      <c r="U694" s="34">
        <f>IF(Cobros[[#This Row],[Tipo]]="Credito",IF(60&gt;=Cobros[[#This Row],[Dias al pago]],1,0),IF(Cobros[[#This Row],[Dias al pago]]&lt;=3,1,0))</f>
        <v>1</v>
      </c>
      <c r="V694" s="46">
        <f>(Cobros[[#This Row],[% A pagar Vendedor]]/100)*Cobros[[#This Row],[Valor Pagado]]*Cobros[[#This Row],[Vencido]]*(Cobros[[#This Row],[% aplicar]]/100)*IF(Cobros[[#This Row],[% A pagar Vendedor]]&gt;0,1,0)</f>
        <v>225</v>
      </c>
      <c r="W694" s="46">
        <f>0.5%*Cobros[[#This Row],[Valor Pagado]]</f>
        <v>90</v>
      </c>
      <c r="X694" s="34"/>
    </row>
    <row r="695" spans="1:24">
      <c r="A695" s="49" t="s">
        <v>3860</v>
      </c>
      <c r="B695" s="49" t="s">
        <v>4927</v>
      </c>
      <c r="C695" s="49" t="s">
        <v>255</v>
      </c>
      <c r="D695" s="49" t="s">
        <v>256</v>
      </c>
      <c r="E695" s="49" t="s">
        <v>4377</v>
      </c>
      <c r="F695" s="51">
        <v>46213</v>
      </c>
      <c r="G695" s="49">
        <v>75.25</v>
      </c>
      <c r="H695" s="49" t="s">
        <v>16</v>
      </c>
      <c r="I695" s="51">
        <v>46224</v>
      </c>
      <c r="J695" s="54">
        <f>INT(Cobros[[#This Row],[Fecha Cargo]])</f>
        <v>46213</v>
      </c>
      <c r="K695" s="54">
        <f>INT(Cobros[[#This Row],[Fecha Aplicacion]])</f>
        <v>46224</v>
      </c>
      <c r="L695" s="55" t="str">
        <f>INDEX(Clientes[Días Plazo],MATCH(Cobros[[#This Row],[Cod. Cliente]],Clientes[Codigo],0),1)</f>
        <v>15</v>
      </c>
      <c r="M695" s="45" t="str">
        <f>IF(Cobros[[#This Row],[Dias de Credito]]&lt;=0,"Contado","Credito")</f>
        <v>Credito</v>
      </c>
      <c r="N695" s="45">
        <f>Cobros[[#This Row],[Fecha Aplicación S]]-Cobros[[#This Row],[Fecha Cargo S]]</f>
        <v>11</v>
      </c>
      <c r="O695" s="45">
        <f>Cobros[[#This Row],[Dias al pago]]-Cobros[[#This Row],[Dias de Credito]]</f>
        <v>-4</v>
      </c>
      <c r="P695" s="45">
        <f>SUMIFS(TablaDias[Porcentaje],TablaDias[Tipo],Cobros[[#This Row],[Tipo]],TablaDias[Desde ],"&lt;="&amp;MAX(0,Cobros[[#This Row],[Dias pasado]]),TablaDias[Hasta ],"&gt;="&amp;Cobros[[#This Row],[Dias pasado]])</f>
        <v>100</v>
      </c>
      <c r="Q69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5" s="34">
        <f>IF(COUNTIF(PAPEL[Numero],Cobros[[#This Row],[Doc. Cargo]])&gt;0,1,0)</f>
        <v>0</v>
      </c>
      <c r="S695" s="46">
        <f t="array" ref="S6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5" s="47">
        <v>0.005</v>
      </c>
      <c r="U695" s="34">
        <f>IF(Cobros[[#This Row],[Tipo]]="Credito",IF(60&gt;=Cobros[[#This Row],[Dias al pago]],1,0),IF(Cobros[[#This Row],[Dias al pago]]&lt;=3,1,0))</f>
        <v>1</v>
      </c>
      <c r="V695" s="46">
        <f>(Cobros[[#This Row],[% A pagar Vendedor]]/100)*Cobros[[#This Row],[Valor Pagado]]*Cobros[[#This Row],[Vencido]]*(Cobros[[#This Row],[% aplicar]]/100)*IF(Cobros[[#This Row],[% A pagar Vendedor]]&gt;0,1,0)</f>
        <v>0.940625</v>
      </c>
      <c r="W695" s="46">
        <f>0.5%*Cobros[[#This Row],[Valor Pagado]]</f>
        <v>0.37625</v>
      </c>
      <c r="X695" s="34"/>
    </row>
    <row r="696" spans="1:24">
      <c r="A696" s="49" t="s">
        <v>3860</v>
      </c>
      <c r="B696" s="49" t="s">
        <v>4927</v>
      </c>
      <c r="C696" s="49" t="s">
        <v>255</v>
      </c>
      <c r="D696" s="49" t="s">
        <v>256</v>
      </c>
      <c r="E696" s="49" t="s">
        <v>4928</v>
      </c>
      <c r="F696" s="51">
        <v>46218</v>
      </c>
      <c r="G696" s="49">
        <v>24.75</v>
      </c>
      <c r="H696" s="49" t="s">
        <v>16</v>
      </c>
      <c r="I696" s="51">
        <v>46224</v>
      </c>
      <c r="J696" s="54">
        <f>INT(Cobros[[#This Row],[Fecha Cargo]])</f>
        <v>46218</v>
      </c>
      <c r="K696" s="54">
        <f>INT(Cobros[[#This Row],[Fecha Aplicacion]])</f>
        <v>46224</v>
      </c>
      <c r="L696" s="55" t="str">
        <f>INDEX(Clientes[Días Plazo],MATCH(Cobros[[#This Row],[Cod. Cliente]],Clientes[Codigo],0),1)</f>
        <v>15</v>
      </c>
      <c r="M696" s="45" t="str">
        <f>IF(Cobros[[#This Row],[Dias de Credito]]&lt;=0,"Contado","Credito")</f>
        <v>Credito</v>
      </c>
      <c r="N696" s="45">
        <f>Cobros[[#This Row],[Fecha Aplicación S]]-Cobros[[#This Row],[Fecha Cargo S]]</f>
        <v>6</v>
      </c>
      <c r="O696" s="45">
        <f>Cobros[[#This Row],[Dias al pago]]-Cobros[[#This Row],[Dias de Credito]]</f>
        <v>-9</v>
      </c>
      <c r="P696" s="45">
        <f>SUMIFS(TablaDias[Porcentaje],TablaDias[Tipo],Cobros[[#This Row],[Tipo]],TablaDias[Desde ],"&lt;="&amp;MAX(0,Cobros[[#This Row],[Dias pasado]]),TablaDias[Hasta ],"&gt;="&amp;Cobros[[#This Row],[Dias pasado]])</f>
        <v>100</v>
      </c>
      <c r="Q69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6" s="34">
        <f>IF(COUNTIF(PAPEL[Numero],Cobros[[#This Row],[Doc. Cargo]])&gt;0,1,0)</f>
        <v>0</v>
      </c>
      <c r="S696" s="46">
        <f t="array" ref="S6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6" s="47">
        <v>0.005</v>
      </c>
      <c r="U696" s="34">
        <f>IF(Cobros[[#This Row],[Tipo]]="Credito",IF(60&gt;=Cobros[[#This Row],[Dias al pago]],1,0),IF(Cobros[[#This Row],[Dias al pago]]&lt;=3,1,0))</f>
        <v>1</v>
      </c>
      <c r="V696" s="46">
        <f>(Cobros[[#This Row],[% A pagar Vendedor]]/100)*Cobros[[#This Row],[Valor Pagado]]*Cobros[[#This Row],[Vencido]]*(Cobros[[#This Row],[% aplicar]]/100)*IF(Cobros[[#This Row],[% A pagar Vendedor]]&gt;0,1,0)</f>
        <v>0.309375</v>
      </c>
      <c r="W696" s="46">
        <f>0.5%*Cobros[[#This Row],[Valor Pagado]]</f>
        <v>0.12375</v>
      </c>
      <c r="X696" s="34"/>
    </row>
    <row r="697" spans="1:24">
      <c r="A697" s="49" t="s">
        <v>3860</v>
      </c>
      <c r="B697" s="49" t="s">
        <v>4929</v>
      </c>
      <c r="C697" s="49" t="s">
        <v>1538</v>
      </c>
      <c r="D697" s="49" t="s">
        <v>1539</v>
      </c>
      <c r="E697" s="49" t="s">
        <v>4930</v>
      </c>
      <c r="F697" s="51">
        <v>46224</v>
      </c>
      <c r="G697" s="49">
        <v>210</v>
      </c>
      <c r="H697" s="49" t="s">
        <v>18</v>
      </c>
      <c r="I697" s="51">
        <v>46224</v>
      </c>
      <c r="J697" s="54">
        <f>INT(Cobros[[#This Row],[Fecha Cargo]])</f>
        <v>46224</v>
      </c>
      <c r="K697" s="54">
        <f>INT(Cobros[[#This Row],[Fecha Aplicacion]])</f>
        <v>46224</v>
      </c>
      <c r="L697" s="55">
        <f>INDEX(Clientes[Días Plazo],MATCH(Cobros[[#This Row],[Cod. Cliente]],Clientes[Codigo],0),1)</f>
        <v>0</v>
      </c>
      <c r="M697" s="45" t="str">
        <f>IF(Cobros[[#This Row],[Dias de Credito]]&lt;=0,"Contado","Credito")</f>
        <v>Contado</v>
      </c>
      <c r="N697" s="45">
        <f>Cobros[[#This Row],[Fecha Aplicación S]]-Cobros[[#This Row],[Fecha Cargo S]]</f>
        <v>0</v>
      </c>
      <c r="O697" s="45">
        <f>Cobros[[#This Row],[Dias al pago]]-Cobros[[#This Row],[Dias de Credito]]</f>
        <v>0</v>
      </c>
      <c r="P697" s="45">
        <f>SUMIFS(TablaDias[Porcentaje],TablaDias[Tipo],Cobros[[#This Row],[Tipo]],TablaDias[Desde ],"&lt;="&amp;MAX(0,Cobros[[#This Row],[Dias pasado]]),TablaDias[Hasta ],"&gt;="&amp;Cobros[[#This Row],[Dias pasado]])</f>
        <v>100</v>
      </c>
      <c r="Q69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7" s="34">
        <f>IF(COUNTIF(PAPEL[Numero],Cobros[[#This Row],[Doc. Cargo]])&gt;0,1,0)</f>
        <v>0</v>
      </c>
      <c r="S697" s="46">
        <f t="array" ref="S6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7" s="46">
        <f t="array" ref="T697">INDEX(Ventas[[Unidades]:[2]],MATCH("Gerente de Venta",Ventas[Vendedor %],0),6+Cobros[[#This Row],[Mes]])</f>
        <v>0.005</v>
      </c>
      <c r="U697" s="34">
        <f>IF(Cobros[[#This Row],[Tipo]]="Credito",IF(60&gt;=Cobros[[#This Row],[Dias al pago]],1,0),IF(Cobros[[#This Row],[Dias al pago]]&lt;=3,1,0))</f>
        <v>1</v>
      </c>
      <c r="V697" s="46">
        <f>(Cobros[[#This Row],[% A pagar Vendedor]]/100)*Cobros[[#This Row],[Valor Pagado]]*Cobros[[#This Row],[Vencido]]*(Cobros[[#This Row],[% aplicar]]/100)*IF(Cobros[[#This Row],[% A pagar Vendedor]]&gt;0,1,0)</f>
        <v>2.625</v>
      </c>
      <c r="W697" s="46">
        <f>0.5%*Cobros[[#This Row],[Valor Pagado]]</f>
        <v>1.05</v>
      </c>
      <c r="X697" s="62"/>
    </row>
    <row r="698" spans="1:24">
      <c r="A698" s="49" t="s">
        <v>3860</v>
      </c>
      <c r="B698" s="49" t="s">
        <v>4931</v>
      </c>
      <c r="C698" s="49" t="s">
        <v>538</v>
      </c>
      <c r="D698" s="49" t="s">
        <v>539</v>
      </c>
      <c r="E698" s="49" t="s">
        <v>4932</v>
      </c>
      <c r="F698" s="51">
        <v>46220</v>
      </c>
      <c r="G698" s="49">
        <v>660.25</v>
      </c>
      <c r="H698" s="49" t="s">
        <v>16</v>
      </c>
      <c r="I698" s="51">
        <v>46224</v>
      </c>
      <c r="J698" s="54">
        <f>INT(Cobros[[#This Row],[Fecha Cargo]])</f>
        <v>46220</v>
      </c>
      <c r="K698" s="54">
        <f>INT(Cobros[[#This Row],[Fecha Aplicacion]])</f>
        <v>46224</v>
      </c>
      <c r="L698" s="55">
        <f>INDEX(Clientes[Días Plazo],MATCH(Cobros[[#This Row],[Cod. Cliente]],Clientes[Codigo],0),1)</f>
        <v>0</v>
      </c>
      <c r="M698" s="45" t="str">
        <f>IF(Cobros[[#This Row],[Dias de Credito]]&lt;=0,"Contado","Credito")</f>
        <v>Contado</v>
      </c>
      <c r="N698" s="45">
        <f>Cobros[[#This Row],[Fecha Aplicación S]]-Cobros[[#This Row],[Fecha Cargo S]]</f>
        <v>4</v>
      </c>
      <c r="O698" s="45">
        <f>Cobros[[#This Row],[Dias al pago]]-Cobros[[#This Row],[Dias de Credito]]</f>
        <v>4</v>
      </c>
      <c r="P698" s="45">
        <f>SUMIFS(TablaDias[Porcentaje],TablaDias[Tipo],Cobros[[#This Row],[Tipo]],TablaDias[Desde ],"&lt;="&amp;MAX(0,Cobros[[#This Row],[Dias pasado]]),TablaDias[Hasta ],"&gt;="&amp;Cobros[[#This Row],[Dias pasado]])</f>
        <v>0</v>
      </c>
      <c r="Q69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698" s="34">
        <f>IF(COUNTIF(PAPEL[Numero],Cobros[[#This Row],[Doc. Cargo]])&gt;0,1,0)</f>
        <v>0</v>
      </c>
      <c r="S698" s="46">
        <f t="array" ref="S6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8" s="47">
        <v>0.005</v>
      </c>
      <c r="U698" s="34">
        <f>IF(Cobros[[#This Row],[Tipo]]="Credito",IF(60&gt;=Cobros[[#This Row],[Dias al pago]],1,0),IF(Cobros[[#This Row],[Dias al pago]]&lt;=3,1,0))</f>
        <v>0</v>
      </c>
      <c r="V698" s="46">
        <f>(Cobros[[#This Row],[% A pagar Vendedor]]/100)*Cobros[[#This Row],[Valor Pagado]]*Cobros[[#This Row],[Vencido]]*(Cobros[[#This Row],[% aplicar]]/100)*IF(Cobros[[#This Row],[% A pagar Vendedor]]&gt;0,1,0)</f>
        <v>0</v>
      </c>
      <c r="W698" s="46">
        <f>0.5%*Cobros[[#This Row],[Valor Pagado]]</f>
        <v>3.30125</v>
      </c>
      <c r="X698" s="62"/>
    </row>
    <row r="699" spans="1:24">
      <c r="A699" s="49" t="s">
        <v>3884</v>
      </c>
      <c r="B699" s="49" t="s">
        <v>4933</v>
      </c>
      <c r="C699" s="49" t="s">
        <v>484</v>
      </c>
      <c r="D699" s="49" t="s">
        <v>485</v>
      </c>
      <c r="E699" s="49" t="s">
        <v>4842</v>
      </c>
      <c r="F699" s="51">
        <v>46191</v>
      </c>
      <c r="G699" s="49">
        <v>1176.19</v>
      </c>
      <c r="H699" s="49" t="s">
        <v>19</v>
      </c>
      <c r="I699" s="51">
        <v>46216</v>
      </c>
      <c r="J699" s="54">
        <f>INT(Cobros[[#This Row],[Fecha Cargo]])</f>
        <v>46191</v>
      </c>
      <c r="K699" s="54">
        <f>INT(Cobros[[#This Row],[Fecha Aplicacion]])</f>
        <v>46216</v>
      </c>
      <c r="L699" s="55" t="str">
        <f>INDEX(Clientes[Días Plazo],MATCH(Cobros[[#This Row],[Cod. Cliente]],Clientes[Codigo],0),1)</f>
        <v>30</v>
      </c>
      <c r="M699" s="45" t="str">
        <f>IF(Cobros[[#This Row],[Dias de Credito]]&lt;=0,"Contado","Credito")</f>
        <v>Credito</v>
      </c>
      <c r="N699" s="45">
        <f>Cobros[[#This Row],[Fecha Aplicación S]]-Cobros[[#This Row],[Fecha Cargo S]]</f>
        <v>25</v>
      </c>
      <c r="O699" s="45">
        <f>Cobros[[#This Row],[Dias al pago]]-Cobros[[#This Row],[Dias de Credito]]</f>
        <v>-5</v>
      </c>
      <c r="P699" s="45">
        <f>SUMIFS(TablaDias[Porcentaje],TablaDias[Tipo],Cobros[[#This Row],[Tipo]],TablaDias[Desde ],"&lt;="&amp;MAX(0,Cobros[[#This Row],[Dias pasado]]),TablaDias[Hasta ],"&gt;="&amp;Cobros[[#This Row],[Dias pasado]])</f>
        <v>100</v>
      </c>
      <c r="Q69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699" s="34">
        <f>IF(COUNTIF(PAPEL[Numero],Cobros[[#This Row],[Doc. Cargo]])&gt;0,1,0)</f>
        <v>0</v>
      </c>
      <c r="S699" s="46">
        <f t="array" ref="S6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699" s="46">
        <f t="array" ref="T699">INDEX(Ventas[[Unidades]:[2]],MATCH("Gerente de Venta",Ventas[Vendedor %],0),6+Cobros[[#This Row],[Mes]])</f>
        <v>0.005</v>
      </c>
      <c r="U699" s="34">
        <f>IF(Cobros[[#This Row],[Tipo]]="Credito",IF(60&gt;=Cobros[[#This Row],[Dias al pago]],1,0),IF(Cobros[[#This Row],[Dias al pago]]&lt;=3,1,0))</f>
        <v>1</v>
      </c>
      <c r="V699" s="46">
        <f>(Cobros[[#This Row],[% A pagar Vendedor]]/100)*Cobros[[#This Row],[Valor Pagado]]*Cobros[[#This Row],[Vencido]]*(Cobros[[#This Row],[% aplicar]]/100)*IF(Cobros[[#This Row],[% A pagar Vendedor]]&gt;0,1,0)</f>
        <v>14.702375</v>
      </c>
      <c r="W699" s="46">
        <f>0.5%*Cobros[[#This Row],[Valor Pagado]]</f>
        <v>5.88095</v>
      </c>
      <c r="X699" s="34"/>
    </row>
    <row r="700" spans="1:24">
      <c r="A700" s="49" t="s">
        <v>3884</v>
      </c>
      <c r="B700" s="49" t="s">
        <v>4934</v>
      </c>
      <c r="C700" s="49" t="s">
        <v>484</v>
      </c>
      <c r="D700" s="49" t="s">
        <v>485</v>
      </c>
      <c r="E700" s="49" t="s">
        <v>4842</v>
      </c>
      <c r="F700" s="51">
        <v>46191</v>
      </c>
      <c r="G700" s="49">
        <v>1175</v>
      </c>
      <c r="H700" s="49" t="s">
        <v>19</v>
      </c>
      <c r="I700" s="51">
        <v>46216</v>
      </c>
      <c r="J700" s="54">
        <f>INT(Cobros[[#This Row],[Fecha Cargo]])</f>
        <v>46191</v>
      </c>
      <c r="K700" s="54">
        <f>INT(Cobros[[#This Row],[Fecha Aplicacion]])</f>
        <v>46216</v>
      </c>
      <c r="L700" s="55" t="str">
        <f>INDEX(Clientes[Días Plazo],MATCH(Cobros[[#This Row],[Cod. Cliente]],Clientes[Codigo],0),1)</f>
        <v>30</v>
      </c>
      <c r="M700" s="45" t="str">
        <f>IF(Cobros[[#This Row],[Dias de Credito]]&lt;=0,"Contado","Credito")</f>
        <v>Credito</v>
      </c>
      <c r="N700" s="45">
        <f>Cobros[[#This Row],[Fecha Aplicación S]]-Cobros[[#This Row],[Fecha Cargo S]]</f>
        <v>25</v>
      </c>
      <c r="O700" s="45">
        <f>Cobros[[#This Row],[Dias al pago]]-Cobros[[#This Row],[Dias de Credito]]</f>
        <v>-5</v>
      </c>
      <c r="P700" s="45">
        <f>SUMIFS(TablaDias[Porcentaje],TablaDias[Tipo],Cobros[[#This Row],[Tipo]],TablaDias[Desde ],"&lt;="&amp;MAX(0,Cobros[[#This Row],[Dias pasado]]),TablaDias[Hasta ],"&gt;="&amp;Cobros[[#This Row],[Dias pasado]])</f>
        <v>100</v>
      </c>
      <c r="Q70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00" s="34">
        <f>IF(COUNTIF(PAPEL[Numero],Cobros[[#This Row],[Doc. Cargo]])&gt;0,1,0)</f>
        <v>0</v>
      </c>
      <c r="S700" s="46">
        <f t="array" ref="S7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0" s="46">
        <f t="array" ref="T700">INDEX(Ventas[[Unidades]:[2]],MATCH("Gerente de Venta",Ventas[Vendedor %],0),6+Cobros[[#This Row],[Mes]])</f>
        <v>0.005</v>
      </c>
      <c r="U700" s="34">
        <f>IF(Cobros[[#This Row],[Tipo]]="Credito",IF(60&gt;=Cobros[[#This Row],[Dias al pago]],1,0),IF(Cobros[[#This Row],[Dias al pago]]&lt;=3,1,0))</f>
        <v>1</v>
      </c>
      <c r="V700" s="46">
        <f>(Cobros[[#This Row],[% A pagar Vendedor]]/100)*Cobros[[#This Row],[Valor Pagado]]*Cobros[[#This Row],[Vencido]]*(Cobros[[#This Row],[% aplicar]]/100)*IF(Cobros[[#This Row],[% A pagar Vendedor]]&gt;0,1,0)</f>
        <v>14.6875</v>
      </c>
      <c r="W700" s="46">
        <f>0.5%*Cobros[[#This Row],[Valor Pagado]]</f>
        <v>5.875</v>
      </c>
      <c r="X700" s="34"/>
    </row>
    <row r="701" ht="30" spans="1:24">
      <c r="A701" s="49" t="s">
        <v>3922</v>
      </c>
      <c r="B701" s="49" t="s">
        <v>4935</v>
      </c>
      <c r="C701" s="49" t="s">
        <v>1959</v>
      </c>
      <c r="D701" s="49" t="s">
        <v>1960</v>
      </c>
      <c r="E701" s="49" t="s">
        <v>4936</v>
      </c>
      <c r="F701" s="51">
        <v>46224</v>
      </c>
      <c r="G701" s="49">
        <v>754</v>
      </c>
      <c r="H701" s="49" t="s">
        <v>3865</v>
      </c>
      <c r="I701" s="51">
        <v>46224</v>
      </c>
      <c r="J701" s="54">
        <f>INT(Cobros[[#This Row],[Fecha Cargo]])</f>
        <v>46224</v>
      </c>
      <c r="K701" s="54">
        <f>INT(Cobros[[#This Row],[Fecha Aplicacion]])</f>
        <v>46224</v>
      </c>
      <c r="L701" s="55">
        <f>INDEX(Clientes[Días Plazo],MATCH(Cobros[[#This Row],[Cod. Cliente]],Clientes[Codigo],0),1)</f>
        <v>0</v>
      </c>
      <c r="M701" s="45" t="str">
        <f>IF(Cobros[[#This Row],[Dias de Credito]]&lt;=0,"Contado","Credito")</f>
        <v>Contado</v>
      </c>
      <c r="N701" s="45">
        <f>Cobros[[#This Row],[Fecha Aplicación S]]-Cobros[[#This Row],[Fecha Cargo S]]</f>
        <v>0</v>
      </c>
      <c r="O701" s="45">
        <f>Cobros[[#This Row],[Dias al pago]]-Cobros[[#This Row],[Dias de Credito]]</f>
        <v>0</v>
      </c>
      <c r="P701" s="45">
        <f>SUMIFS(TablaDias[Porcentaje],TablaDias[Tipo],Cobros[[#This Row],[Tipo]],TablaDias[Desde ],"&lt;="&amp;MAX(0,Cobros[[#This Row],[Dias pasado]]),TablaDias[Hasta ],"&gt;="&amp;Cobros[[#This Row],[Dias pasado]])</f>
        <v>100</v>
      </c>
      <c r="Q70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1" s="34">
        <f>IF(COUNTIF(PAPEL[Numero],Cobros[[#This Row],[Doc. Cargo]])&gt;0,1,0)</f>
        <v>0</v>
      </c>
      <c r="S701" s="46">
        <v>1</v>
      </c>
      <c r="T701" s="46">
        <f t="array" ref="T701">INDEX(Ventas[[Unidades]:[2]],MATCH("Gerente de Venta",Ventas[Vendedor %],0),6+Cobros[[#This Row],[Mes]])</f>
        <v>0.005</v>
      </c>
      <c r="U701" s="34">
        <f>IF(Cobros[[#This Row],[Tipo]]="Credito",IF(60&gt;=Cobros[[#This Row],[Dias al pago]],1,0),IF(Cobros[[#This Row],[Dias al pago]]&lt;=3,1,0))</f>
        <v>1</v>
      </c>
      <c r="V701" s="46">
        <f>(Cobros[[#This Row],[% A pagar Vendedor]]/100)*Cobros[[#This Row],[Valor Pagado]]*Cobros[[#This Row],[Vencido]]*(Cobros[[#This Row],[% aplicar]]/100)*IF(Cobros[[#This Row],[% A pagar Vendedor]]&gt;0,1,0)</f>
        <v>7.54</v>
      </c>
      <c r="W701" s="46">
        <f>0.5%*Cobros[[#This Row],[Valor Pagado]]</f>
        <v>3.77</v>
      </c>
      <c r="X701" s="34"/>
    </row>
    <row r="702" ht="30" spans="1:24">
      <c r="A702" s="49" t="s">
        <v>3860</v>
      </c>
      <c r="B702" s="49" t="s">
        <v>4937</v>
      </c>
      <c r="C702" s="49" t="s">
        <v>1959</v>
      </c>
      <c r="D702" s="49" t="s">
        <v>1960</v>
      </c>
      <c r="E702" s="49" t="s">
        <v>4936</v>
      </c>
      <c r="F702" s="51">
        <v>46224</v>
      </c>
      <c r="G702" s="49">
        <v>245.95</v>
      </c>
      <c r="H702" s="49" t="s">
        <v>3865</v>
      </c>
      <c r="I702" s="51">
        <v>46224</v>
      </c>
      <c r="J702" s="54">
        <f>INT(Cobros[[#This Row],[Fecha Cargo]])</f>
        <v>46224</v>
      </c>
      <c r="K702" s="54">
        <f>INT(Cobros[[#This Row],[Fecha Aplicacion]])</f>
        <v>46224</v>
      </c>
      <c r="L702" s="55">
        <f>INDEX(Clientes[Días Plazo],MATCH(Cobros[[#This Row],[Cod. Cliente]],Clientes[Codigo],0),1)</f>
        <v>0</v>
      </c>
      <c r="M702" s="45" t="str">
        <f>IF(Cobros[[#This Row],[Dias de Credito]]&lt;=0,"Contado","Credito")</f>
        <v>Contado</v>
      </c>
      <c r="N702" s="45">
        <f>Cobros[[#This Row],[Fecha Aplicación S]]-Cobros[[#This Row],[Fecha Cargo S]]</f>
        <v>0</v>
      </c>
      <c r="O702" s="45">
        <f>Cobros[[#This Row],[Dias al pago]]-Cobros[[#This Row],[Dias de Credito]]</f>
        <v>0</v>
      </c>
      <c r="P702" s="45">
        <f>SUMIFS(TablaDias[Porcentaje],TablaDias[Tipo],Cobros[[#This Row],[Tipo]],TablaDias[Desde ],"&lt;="&amp;MAX(0,Cobros[[#This Row],[Dias pasado]]),TablaDias[Hasta ],"&gt;="&amp;Cobros[[#This Row],[Dias pasado]])</f>
        <v>100</v>
      </c>
      <c r="Q702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2">
        <f>IF(COUNTIF(PAPEL[Numero],Cobros[[#This Row],[Doc. Cargo]])&gt;0,1,0)</f>
        <v>0</v>
      </c>
      <c r="S702" s="46">
        <v>1</v>
      </c>
      <c r="T702" s="46">
        <f t="array" ref="T702">INDEX(Ventas[[Unidades]:[2]],MATCH("Gerente de Venta",Ventas[Vendedor %],0),6+Cobros[[#This Row],[Mes]])</f>
        <v>0.005</v>
      </c>
      <c r="U702" s="34">
        <f>IF(Cobros[[#This Row],[Tipo]]="Credito",IF(60&gt;=Cobros[[#This Row],[Dias al pago]],1,0),IF(Cobros[[#This Row],[Dias al pago]]&lt;=3,1,0))</f>
        <v>1</v>
      </c>
      <c r="V702" s="46">
        <f>(Cobros[[#This Row],[% A pagar Vendedor]]/100)*Cobros[[#This Row],[Valor Pagado]]*Cobros[[#This Row],[Vencido]]*(Cobros[[#This Row],[% aplicar]]/100)*IF(Cobros[[#This Row],[% A pagar Vendedor]]&gt;0,1,0)</f>
        <v>2.4595</v>
      </c>
      <c r="W702" s="46">
        <f>0.5%*Cobros[[#This Row],[Valor Pagado]]</f>
        <v>1.22975</v>
      </c>
      <c r="X702" s="60"/>
    </row>
    <row r="703" spans="1:24">
      <c r="A703" s="49" t="s">
        <v>3860</v>
      </c>
      <c r="B703" s="49" t="s">
        <v>4938</v>
      </c>
      <c r="C703" s="49" t="s">
        <v>2749</v>
      </c>
      <c r="D703" s="49" t="s">
        <v>2750</v>
      </c>
      <c r="E703" s="49" t="s">
        <v>4939</v>
      </c>
      <c r="F703" s="51">
        <v>46224</v>
      </c>
      <c r="G703" s="49">
        <v>110</v>
      </c>
      <c r="H703" s="49" t="s">
        <v>16</v>
      </c>
      <c r="I703" s="51">
        <v>46224</v>
      </c>
      <c r="J703" s="54">
        <f>INT(Cobros[[#This Row],[Fecha Cargo]])</f>
        <v>46224</v>
      </c>
      <c r="K703" s="54">
        <f>INT(Cobros[[#This Row],[Fecha Aplicacion]])</f>
        <v>46224</v>
      </c>
      <c r="L703" s="55">
        <f>INDEX(Clientes[Días Plazo],MATCH(Cobros[[#This Row],[Cod. Cliente]],Clientes[Codigo],0),1)</f>
        <v>0</v>
      </c>
      <c r="M703" s="45" t="str">
        <f>IF(Cobros[[#This Row],[Dias de Credito]]&lt;=0,"Contado","Credito")</f>
        <v>Contado</v>
      </c>
      <c r="N703" s="45">
        <f>Cobros[[#This Row],[Fecha Aplicación S]]-Cobros[[#This Row],[Fecha Cargo S]]</f>
        <v>0</v>
      </c>
      <c r="O703" s="45">
        <f>Cobros[[#This Row],[Dias al pago]]-Cobros[[#This Row],[Dias de Credito]]</f>
        <v>0</v>
      </c>
      <c r="P703" s="45">
        <f>SUMIFS(TablaDias[Porcentaje],TablaDias[Tipo],Cobros[[#This Row],[Tipo]],TablaDias[Desde ],"&lt;="&amp;MAX(0,Cobros[[#This Row],[Dias pasado]]),TablaDias[Hasta ],"&gt;="&amp;Cobros[[#This Row],[Dias pasado]])</f>
        <v>100</v>
      </c>
      <c r="Q70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3" s="34">
        <f>IF(COUNTIF(PAPEL[Numero],Cobros[[#This Row],[Doc. Cargo]])&gt;0,1,0)</f>
        <v>0</v>
      </c>
      <c r="S703" s="46">
        <f t="array" ref="S7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3" s="47">
        <v>0.005</v>
      </c>
      <c r="U703" s="34">
        <f>IF(Cobros[[#This Row],[Tipo]]="Credito",IF(60&gt;=Cobros[[#This Row],[Dias al pago]],1,0),IF(Cobros[[#This Row],[Dias al pago]]&lt;=3,1,0))</f>
        <v>1</v>
      </c>
      <c r="V703" s="46">
        <f>(Cobros[[#This Row],[% A pagar Vendedor]]/100)*Cobros[[#This Row],[Valor Pagado]]*Cobros[[#This Row],[Vencido]]*(Cobros[[#This Row],[% aplicar]]/100)*IF(Cobros[[#This Row],[% A pagar Vendedor]]&gt;0,1,0)</f>
        <v>1.375</v>
      </c>
      <c r="W703" s="46">
        <f>0.5%*Cobros[[#This Row],[Valor Pagado]]</f>
        <v>0.55</v>
      </c>
      <c r="X703" s="34"/>
    </row>
    <row r="704" spans="1:24">
      <c r="A704" s="49" t="s">
        <v>3860</v>
      </c>
      <c r="B704" s="49" t="s">
        <v>4940</v>
      </c>
      <c r="C704" s="49" t="s">
        <v>330</v>
      </c>
      <c r="D704" s="49" t="s">
        <v>331</v>
      </c>
      <c r="E704" s="49" t="s">
        <v>4941</v>
      </c>
      <c r="F704" s="51">
        <v>46224</v>
      </c>
      <c r="G704" s="49">
        <v>2295.25</v>
      </c>
      <c r="H704" s="49" t="s">
        <v>20</v>
      </c>
      <c r="I704" s="51">
        <v>46224</v>
      </c>
      <c r="J704" s="54">
        <f>INT(Cobros[[#This Row],[Fecha Cargo]])</f>
        <v>46224</v>
      </c>
      <c r="K704" s="54">
        <f>INT(Cobros[[#This Row],[Fecha Aplicacion]])</f>
        <v>46224</v>
      </c>
      <c r="L704" s="55">
        <f>INDEX(Clientes[Días Plazo],MATCH(Cobros[[#This Row],[Cod. Cliente]],Clientes[Codigo],0),1)</f>
        <v>0</v>
      </c>
      <c r="M704" s="45" t="str">
        <f>IF(Cobros[[#This Row],[Dias de Credito]]&lt;=0,"Contado","Credito")</f>
        <v>Contado</v>
      </c>
      <c r="N704" s="45">
        <f>Cobros[[#This Row],[Fecha Aplicación S]]-Cobros[[#This Row],[Fecha Cargo S]]</f>
        <v>0</v>
      </c>
      <c r="O704" s="45">
        <f>Cobros[[#This Row],[Dias al pago]]-Cobros[[#This Row],[Dias de Credito]]</f>
        <v>0</v>
      </c>
      <c r="P704" s="45">
        <f>SUMIFS(TablaDias[Porcentaje],TablaDias[Tipo],Cobros[[#This Row],[Tipo]],TablaDias[Desde ],"&lt;="&amp;MAX(0,Cobros[[#This Row],[Dias pasado]]),TablaDias[Hasta ],"&gt;="&amp;Cobros[[#This Row],[Dias pasado]])</f>
        <v>100</v>
      </c>
      <c r="Q70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4" s="34">
        <f>IF(COUNTIF(PAPEL[Numero],Cobros[[#This Row],[Doc. Cargo]])&gt;0,1,0)</f>
        <v>0</v>
      </c>
      <c r="S704" s="46">
        <f t="array" ref="S7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4" s="46">
        <f t="array" ref="T704">INDEX(Ventas[[Unidades]:[2]],MATCH("Gerente de Venta",Ventas[Vendedor %],0),6+Cobros[[#This Row],[Mes]])</f>
        <v>0.005</v>
      </c>
      <c r="U704" s="34">
        <f>IF(Cobros[[#This Row],[Tipo]]="Credito",IF(60&gt;=Cobros[[#This Row],[Dias al pago]],1,0),IF(Cobros[[#This Row],[Dias al pago]]&lt;=3,1,0))</f>
        <v>1</v>
      </c>
      <c r="V704" s="46">
        <f>(Cobros[[#This Row],[% A pagar Vendedor]]/100)*Cobros[[#This Row],[Valor Pagado]]*Cobros[[#This Row],[Vencido]]*(Cobros[[#This Row],[% aplicar]]/100)*IF(Cobros[[#This Row],[% A pagar Vendedor]]&gt;0,1,0)</f>
        <v>28.690625</v>
      </c>
      <c r="W704" s="46">
        <f>0.5%*Cobros[[#This Row],[Valor Pagado]]</f>
        <v>11.47625</v>
      </c>
      <c r="X704" s="34"/>
    </row>
    <row r="705" spans="1:24">
      <c r="A705" s="49" t="s">
        <v>3860</v>
      </c>
      <c r="B705" s="49" t="s">
        <v>4942</v>
      </c>
      <c r="C705" s="49" t="s">
        <v>1222</v>
      </c>
      <c r="D705" s="49" t="s">
        <v>1223</v>
      </c>
      <c r="E705" s="49" t="s">
        <v>4909</v>
      </c>
      <c r="F705" s="51">
        <v>46223</v>
      </c>
      <c r="G705" s="49">
        <v>250</v>
      </c>
      <c r="H705" s="49" t="s">
        <v>20</v>
      </c>
      <c r="I705" s="51">
        <v>46224</v>
      </c>
      <c r="J705" s="54">
        <f>INT(Cobros[[#This Row],[Fecha Cargo]])</f>
        <v>46223</v>
      </c>
      <c r="K705" s="54">
        <f>INT(Cobros[[#This Row],[Fecha Aplicacion]])</f>
        <v>46224</v>
      </c>
      <c r="L705" s="55" t="str">
        <f>INDEX(Clientes[Días Plazo],MATCH(Cobros[[#This Row],[Cod. Cliente]],Clientes[Codigo],0),1)</f>
        <v>7</v>
      </c>
      <c r="M705" s="45" t="str">
        <f>IF(Cobros[[#This Row],[Dias de Credito]]&lt;=0,"Contado","Credito")</f>
        <v>Credito</v>
      </c>
      <c r="N705" s="45">
        <f>Cobros[[#This Row],[Fecha Aplicación S]]-Cobros[[#This Row],[Fecha Cargo S]]</f>
        <v>1</v>
      </c>
      <c r="O705" s="45">
        <f>Cobros[[#This Row],[Dias al pago]]-Cobros[[#This Row],[Dias de Credito]]</f>
        <v>-6</v>
      </c>
      <c r="P705" s="45">
        <f>SUMIFS(TablaDias[Porcentaje],TablaDias[Tipo],Cobros[[#This Row],[Tipo]],TablaDias[Desde ],"&lt;="&amp;MAX(0,Cobros[[#This Row],[Dias pasado]]),TablaDias[Hasta ],"&gt;="&amp;Cobros[[#This Row],[Dias pasado]])</f>
        <v>100</v>
      </c>
      <c r="Q705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5">
        <f>IF(COUNTIF(PAPEL[Numero],Cobros[[#This Row],[Doc. Cargo]])&gt;0,1,0)</f>
        <v>0</v>
      </c>
      <c r="S705" s="46">
        <f t="array" ref="S7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5" s="46">
        <f t="array" ref="T705">INDEX(Ventas[[Unidades]:[2]],MATCH("Gerente de Venta",Ventas[Vendedor %],0),6+Cobros[[#This Row],[Mes]])</f>
        <v>0.005</v>
      </c>
      <c r="U705" s="34">
        <f>IF(Cobros[[#This Row],[Tipo]]="Credito",IF(60&gt;=Cobros[[#This Row],[Dias al pago]],1,0),IF(Cobros[[#This Row],[Dias al pago]]&lt;=3,1,0))</f>
        <v>1</v>
      </c>
      <c r="V705" s="46">
        <f>(Cobros[[#This Row],[% A pagar Vendedor]]/100)*Cobros[[#This Row],[Valor Pagado]]*Cobros[[#This Row],[Vencido]]*(Cobros[[#This Row],[% aplicar]]/100)*IF(Cobros[[#This Row],[% A pagar Vendedor]]&gt;0,1,0)</f>
        <v>3.125</v>
      </c>
      <c r="W705" s="46">
        <f>0.5%*Cobros[[#This Row],[Valor Pagado]]</f>
        <v>1.25</v>
      </c>
      <c r="X705" s="60"/>
    </row>
    <row r="706" ht="30" spans="1:24">
      <c r="A706" s="49" t="s">
        <v>3860</v>
      </c>
      <c r="B706" s="49" t="s">
        <v>4943</v>
      </c>
      <c r="C706" s="49" t="s">
        <v>1260</v>
      </c>
      <c r="D706" s="49" t="s">
        <v>1261</v>
      </c>
      <c r="E706" s="49" t="s">
        <v>4944</v>
      </c>
      <c r="F706" s="51">
        <v>46216</v>
      </c>
      <c r="G706" s="49">
        <v>1580</v>
      </c>
      <c r="H706" s="49" t="s">
        <v>3865</v>
      </c>
      <c r="I706" s="51">
        <v>46224</v>
      </c>
      <c r="J706" s="54">
        <f>INT(Cobros[[#This Row],[Fecha Cargo]])</f>
        <v>46216</v>
      </c>
      <c r="K706" s="54">
        <f>INT(Cobros[[#This Row],[Fecha Aplicacion]])</f>
        <v>46224</v>
      </c>
      <c r="L706" s="55" t="str">
        <f>INDEX(Clientes[Días Plazo],MATCH(Cobros[[#This Row],[Cod. Cliente]],Clientes[Codigo],0),1)</f>
        <v>21</v>
      </c>
      <c r="M706" s="45" t="str">
        <f>IF(Cobros[[#This Row],[Dias de Credito]]&lt;=0,"Contado","Credito")</f>
        <v>Credito</v>
      </c>
      <c r="N706" s="45">
        <f>Cobros[[#This Row],[Fecha Aplicación S]]-Cobros[[#This Row],[Fecha Cargo S]]</f>
        <v>8</v>
      </c>
      <c r="O706" s="45">
        <f>Cobros[[#This Row],[Dias al pago]]-Cobros[[#This Row],[Dias de Credito]]</f>
        <v>-13</v>
      </c>
      <c r="P706" s="45">
        <f>SUMIFS(TablaDias[Porcentaje],TablaDias[Tipo],Cobros[[#This Row],[Tipo]],TablaDias[Desde ],"&lt;="&amp;MAX(0,Cobros[[#This Row],[Dias pasado]]),TablaDias[Hasta ],"&gt;="&amp;Cobros[[#This Row],[Dias pasado]])</f>
        <v>100</v>
      </c>
      <c r="Q70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6" s="34">
        <f>IF(COUNTIF(PAPEL[Numero],Cobros[[#This Row],[Doc. Cargo]])&gt;0,1,0)</f>
        <v>0</v>
      </c>
      <c r="S706" s="46">
        <v>1</v>
      </c>
      <c r="T706" s="46">
        <f t="array" ref="T706">INDEX(Ventas[[Unidades]:[2]],MATCH("Gerente de Venta",Ventas[Vendedor %],0),6+Cobros[[#This Row],[Mes]])</f>
        <v>0.005</v>
      </c>
      <c r="U706" s="34">
        <f>IF(Cobros[[#This Row],[Tipo]]="Credito",IF(60&gt;=Cobros[[#This Row],[Dias al pago]],1,0),IF(Cobros[[#This Row],[Dias al pago]]&lt;=3,1,0))</f>
        <v>1</v>
      </c>
      <c r="V706" s="46">
        <f>(Cobros[[#This Row],[% A pagar Vendedor]]/100)*Cobros[[#This Row],[Valor Pagado]]*Cobros[[#This Row],[Vencido]]*(Cobros[[#This Row],[% aplicar]]/100)*IF(Cobros[[#This Row],[% A pagar Vendedor]]&gt;0,1,0)</f>
        <v>15.8</v>
      </c>
      <c r="W706" s="46">
        <f>0.5%*Cobros[[#This Row],[Valor Pagado]]</f>
        <v>7.9</v>
      </c>
      <c r="X706" s="34"/>
    </row>
    <row r="707" spans="1:24">
      <c r="A707" s="49" t="s">
        <v>3860</v>
      </c>
      <c r="B707" s="49" t="s">
        <v>4945</v>
      </c>
      <c r="C707" s="49" t="s">
        <v>2962</v>
      </c>
      <c r="D707" s="49" t="s">
        <v>2963</v>
      </c>
      <c r="E707" s="49" t="s">
        <v>4946</v>
      </c>
      <c r="F707" s="51">
        <v>46224</v>
      </c>
      <c r="G707" s="49">
        <v>6.6</v>
      </c>
      <c r="H707" s="49" t="s">
        <v>20</v>
      </c>
      <c r="I707" s="51">
        <v>46224</v>
      </c>
      <c r="J707" s="54">
        <f>INT(Cobros[[#This Row],[Fecha Cargo]])</f>
        <v>46224</v>
      </c>
      <c r="K707" s="54">
        <f>INT(Cobros[[#This Row],[Fecha Aplicacion]])</f>
        <v>46224</v>
      </c>
      <c r="L707" s="55">
        <f>INDEX(Clientes[Días Plazo],MATCH(Cobros[[#This Row],[Cod. Cliente]],Clientes[Codigo],0),1)</f>
        <v>0</v>
      </c>
      <c r="M707" s="45" t="str">
        <f>IF(Cobros[[#This Row],[Dias de Credito]]&lt;=0,"Contado","Credito")</f>
        <v>Contado</v>
      </c>
      <c r="N707" s="45">
        <f>Cobros[[#This Row],[Fecha Aplicación S]]-Cobros[[#This Row],[Fecha Cargo S]]</f>
        <v>0</v>
      </c>
      <c r="O707" s="45">
        <f>Cobros[[#This Row],[Dias al pago]]-Cobros[[#This Row],[Dias de Credito]]</f>
        <v>0</v>
      </c>
      <c r="P707" s="45">
        <f>SUMIFS(TablaDias[Porcentaje],TablaDias[Tipo],Cobros[[#This Row],[Tipo]],TablaDias[Desde ],"&lt;="&amp;MAX(0,Cobros[[#This Row],[Dias pasado]]),TablaDias[Hasta ],"&gt;="&amp;Cobros[[#This Row],[Dias pasado]])</f>
        <v>100</v>
      </c>
      <c r="Q70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7" s="34">
        <f>IF(COUNTIF(PAPEL[Numero],Cobros[[#This Row],[Doc. Cargo]])&gt;0,1,0)</f>
        <v>0</v>
      </c>
      <c r="S707" s="46">
        <f t="array" ref="S7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7" s="46">
        <f t="array" ref="T707">INDEX(Ventas[[Unidades]:[2]],MATCH("Gerente de Venta",Ventas[Vendedor %],0),6+Cobros[[#This Row],[Mes]])</f>
        <v>0.005</v>
      </c>
      <c r="U707" s="34">
        <f>IF(Cobros[[#This Row],[Tipo]]="Credito",IF(60&gt;=Cobros[[#This Row],[Dias al pago]],1,0),IF(Cobros[[#This Row],[Dias al pago]]&lt;=3,1,0))</f>
        <v>1</v>
      </c>
      <c r="V707" s="46">
        <f>(Cobros[[#This Row],[% A pagar Vendedor]]/100)*Cobros[[#This Row],[Valor Pagado]]*Cobros[[#This Row],[Vencido]]*(Cobros[[#This Row],[% aplicar]]/100)*IF(Cobros[[#This Row],[% A pagar Vendedor]]&gt;0,1,0)</f>
        <v>0.0825</v>
      </c>
      <c r="W707" s="46">
        <f>0.5%*Cobros[[#This Row],[Valor Pagado]]</f>
        <v>0.033</v>
      </c>
      <c r="X707" s="34"/>
    </row>
    <row r="708" spans="1:24">
      <c r="A708" s="49" t="s">
        <v>3860</v>
      </c>
      <c r="B708" s="49" t="s">
        <v>4947</v>
      </c>
      <c r="C708" s="49" t="s">
        <v>3040</v>
      </c>
      <c r="D708" s="49" t="s">
        <v>3041</v>
      </c>
      <c r="E708" s="49" t="s">
        <v>4948</v>
      </c>
      <c r="F708" s="51">
        <v>46224</v>
      </c>
      <c r="G708" s="49">
        <v>158</v>
      </c>
      <c r="H708" s="49" t="s">
        <v>18</v>
      </c>
      <c r="I708" s="51">
        <v>46224</v>
      </c>
      <c r="J708" s="54">
        <f>INT(Cobros[[#This Row],[Fecha Cargo]])</f>
        <v>46224</v>
      </c>
      <c r="K708" s="54">
        <f>INT(Cobros[[#This Row],[Fecha Aplicacion]])</f>
        <v>46224</v>
      </c>
      <c r="L708" s="55">
        <f>INDEX(Clientes[Días Plazo],MATCH(Cobros[[#This Row],[Cod. Cliente]],Clientes[Codigo],0),1)</f>
        <v>0</v>
      </c>
      <c r="M708" s="45" t="str">
        <f>IF(Cobros[[#This Row],[Dias de Credito]]&lt;=0,"Contado","Credito")</f>
        <v>Contado</v>
      </c>
      <c r="N708" s="45">
        <f>Cobros[[#This Row],[Fecha Aplicación S]]-Cobros[[#This Row],[Fecha Cargo S]]</f>
        <v>0</v>
      </c>
      <c r="O708" s="45">
        <f>Cobros[[#This Row],[Dias al pago]]-Cobros[[#This Row],[Dias de Credito]]</f>
        <v>0</v>
      </c>
      <c r="P708" s="45">
        <f>SUMIFS(TablaDias[Porcentaje],TablaDias[Tipo],Cobros[[#This Row],[Tipo]],TablaDias[Desde ],"&lt;="&amp;MAX(0,Cobros[[#This Row],[Dias pasado]]),TablaDias[Hasta ],"&gt;="&amp;Cobros[[#This Row],[Dias pasado]])</f>
        <v>100</v>
      </c>
      <c r="Q708" s="34">
        <v>0</v>
      </c>
      <c r="R708" s="34">
        <f>IF(COUNTIF(PAPEL[Numero],Cobros[[#This Row],[Doc. Cargo]])&gt;0,1,0)</f>
        <v>0</v>
      </c>
      <c r="S708" s="46">
        <f t="array" ref="S7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8" s="46">
        <f t="array" ref="T708">INDEX(Ventas[[Unidades]:[2]],MATCH("Gerente de Venta",Ventas[Vendedor %],0),6+Cobros[[#This Row],[Mes]])</f>
        <v>0.005</v>
      </c>
      <c r="U708" s="34">
        <f>IF(Cobros[[#This Row],[Tipo]]="Credito",IF(60&gt;=Cobros[[#This Row],[Dias al pago]],1,0),IF(Cobros[[#This Row],[Dias al pago]]&lt;=3,1,0))</f>
        <v>1</v>
      </c>
      <c r="V708" s="46">
        <f>(Cobros[[#This Row],[% A pagar Vendedor]]/100)*Cobros[[#This Row],[Valor Pagado]]*Cobros[[#This Row],[Vencido]]*(Cobros[[#This Row],[% aplicar]]/100)*IF(Cobros[[#This Row],[% A pagar Vendedor]]&gt;0,1,0)</f>
        <v>1.975</v>
      </c>
      <c r="W708" s="46">
        <f>0.5%*Cobros[[#This Row],[Valor Pagado]]</f>
        <v>0.79</v>
      </c>
      <c r="X708" s="34"/>
    </row>
    <row r="709" spans="1:24">
      <c r="A709" s="49" t="s">
        <v>3875</v>
      </c>
      <c r="B709" s="49" t="s">
        <v>4949</v>
      </c>
      <c r="C709" s="49" t="s">
        <v>3040</v>
      </c>
      <c r="D709" s="49" t="s">
        <v>3041</v>
      </c>
      <c r="E709" s="49" t="s">
        <v>4948</v>
      </c>
      <c r="F709" s="51">
        <v>46224</v>
      </c>
      <c r="G709" s="49">
        <v>300</v>
      </c>
      <c r="H709" s="49" t="s">
        <v>18</v>
      </c>
      <c r="I709" s="51">
        <v>46224</v>
      </c>
      <c r="J709" s="54">
        <f>INT(Cobros[[#This Row],[Fecha Cargo]])</f>
        <v>46224</v>
      </c>
      <c r="K709" s="54">
        <f>INT(Cobros[[#This Row],[Fecha Aplicacion]])</f>
        <v>46224</v>
      </c>
      <c r="L709" s="55">
        <f>INDEX(Clientes[Días Plazo],MATCH(Cobros[[#This Row],[Cod. Cliente]],Clientes[Codigo],0),1)</f>
        <v>0</v>
      </c>
      <c r="M709" s="45" t="str">
        <f>IF(Cobros[[#This Row],[Dias de Credito]]&lt;=0,"Contado","Credito")</f>
        <v>Contado</v>
      </c>
      <c r="N709" s="45">
        <f>Cobros[[#This Row],[Fecha Aplicación S]]-Cobros[[#This Row],[Fecha Cargo S]]</f>
        <v>0</v>
      </c>
      <c r="O709" s="45">
        <f>Cobros[[#This Row],[Dias al pago]]-Cobros[[#This Row],[Dias de Credito]]</f>
        <v>0</v>
      </c>
      <c r="P709" s="45">
        <f>SUMIFS(TablaDias[Porcentaje],TablaDias[Tipo],Cobros[[#This Row],[Tipo]],TablaDias[Desde ],"&lt;="&amp;MAX(0,Cobros[[#This Row],[Dias pasado]]),TablaDias[Hasta ],"&gt;="&amp;Cobros[[#This Row],[Dias pasado]])</f>
        <v>100</v>
      </c>
      <c r="Q70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09" s="34">
        <f>IF(COUNTIF(PAPEL[Numero],Cobros[[#This Row],[Doc. Cargo]])&gt;0,1,0)</f>
        <v>0</v>
      </c>
      <c r="S709" s="46">
        <f t="array" ref="S7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09" s="46">
        <f t="array" ref="T709">INDEX(Ventas[[Unidades]:[2]],MATCH("Gerente de Venta",Ventas[Vendedor %],0),6+Cobros[[#This Row],[Mes]])</f>
        <v>0.005</v>
      </c>
      <c r="U709" s="34">
        <f>IF(Cobros[[#This Row],[Tipo]]="Credito",IF(60&gt;=Cobros[[#This Row],[Dias al pago]],1,0),IF(Cobros[[#This Row],[Dias al pago]]&lt;=3,1,0))</f>
        <v>1</v>
      </c>
      <c r="V709" s="46">
        <f>(Cobros[[#This Row],[% A pagar Vendedor]]/100)*Cobros[[#This Row],[Valor Pagado]]*Cobros[[#This Row],[Vencido]]*(Cobros[[#This Row],[% aplicar]]/100)*IF(Cobros[[#This Row],[% A pagar Vendedor]]&gt;0,1,0)</f>
        <v>3.75</v>
      </c>
      <c r="W709" s="46">
        <f>0.5%*Cobros[[#This Row],[Valor Pagado]]</f>
        <v>1.5</v>
      </c>
      <c r="X709" s="34"/>
    </row>
    <row r="710" ht="30" spans="1:24">
      <c r="A710" s="49" t="s">
        <v>3884</v>
      </c>
      <c r="B710" s="49" t="s">
        <v>4950</v>
      </c>
      <c r="C710" s="49" t="s">
        <v>586</v>
      </c>
      <c r="D710" s="49" t="s">
        <v>587</v>
      </c>
      <c r="E710" s="49" t="s">
        <v>4951</v>
      </c>
      <c r="F710" s="51">
        <v>46224</v>
      </c>
      <c r="G710" s="49">
        <v>420</v>
      </c>
      <c r="H710" s="49" t="s">
        <v>3865</v>
      </c>
      <c r="I710" s="51">
        <v>46224</v>
      </c>
      <c r="J710" s="54">
        <f>INT(Cobros[[#This Row],[Fecha Cargo]])</f>
        <v>46224</v>
      </c>
      <c r="K710" s="54">
        <f>INT(Cobros[[#This Row],[Fecha Aplicacion]])</f>
        <v>46224</v>
      </c>
      <c r="L710" s="55">
        <f>INDEX(Clientes[Días Plazo],MATCH(Cobros[[#This Row],[Cod. Cliente]],Clientes[Codigo],0),1)</f>
        <v>0</v>
      </c>
      <c r="M710" s="45" t="str">
        <f>IF(Cobros[[#This Row],[Dias de Credito]]&lt;=0,"Contado","Credito")</f>
        <v>Contado</v>
      </c>
      <c r="N710" s="45">
        <f>Cobros[[#This Row],[Fecha Aplicación S]]-Cobros[[#This Row],[Fecha Cargo S]]</f>
        <v>0</v>
      </c>
      <c r="O710" s="45">
        <f>Cobros[[#This Row],[Dias al pago]]-Cobros[[#This Row],[Dias de Credito]]</f>
        <v>0</v>
      </c>
      <c r="P710" s="45">
        <f>SUMIFS(TablaDias[Porcentaje],TablaDias[Tipo],Cobros[[#This Row],[Tipo]],TablaDias[Desde ],"&lt;="&amp;MAX(0,Cobros[[#This Row],[Dias pasado]]),TablaDias[Hasta ],"&gt;="&amp;Cobros[[#This Row],[Dias pasado]])</f>
        <v>100</v>
      </c>
      <c r="Q71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0" s="34">
        <f>IF(COUNTIF(PAPEL[Numero],Cobros[[#This Row],[Doc. Cargo]])&gt;0,1,0)</f>
        <v>0</v>
      </c>
      <c r="S710" s="46">
        <v>1</v>
      </c>
      <c r="T710" s="46">
        <f t="array" ref="T710">INDEX(Ventas[[Unidades]:[2]],MATCH("Gerente de Venta",Ventas[Vendedor %],0),6+Cobros[[#This Row],[Mes]])</f>
        <v>0.005</v>
      </c>
      <c r="U710" s="34">
        <f>IF(Cobros[[#This Row],[Tipo]]="Credito",IF(60&gt;=Cobros[[#This Row],[Dias al pago]],1,0),IF(Cobros[[#This Row],[Dias al pago]]&lt;=3,1,0))</f>
        <v>1</v>
      </c>
      <c r="V710" s="46">
        <f>(Cobros[[#This Row],[% A pagar Vendedor]]/100)*Cobros[[#This Row],[Valor Pagado]]*Cobros[[#This Row],[Vencido]]*(Cobros[[#This Row],[% aplicar]]/100)*IF(Cobros[[#This Row],[% A pagar Vendedor]]&gt;0,1,0)</f>
        <v>4.2</v>
      </c>
      <c r="W710" s="46">
        <f>0.5%*Cobros[[#This Row],[Valor Pagado]]</f>
        <v>2.1</v>
      </c>
      <c r="X710" s="68"/>
    </row>
    <row r="711" spans="1:24">
      <c r="A711" s="49" t="s">
        <v>3860</v>
      </c>
      <c r="B711" s="49" t="s">
        <v>4952</v>
      </c>
      <c r="C711" s="49" t="s">
        <v>3578</v>
      </c>
      <c r="D711" s="49" t="s">
        <v>3579</v>
      </c>
      <c r="E711" s="49" t="s">
        <v>4953</v>
      </c>
      <c r="F711" s="51">
        <v>46195</v>
      </c>
      <c r="G711" s="49">
        <v>14497.5</v>
      </c>
      <c r="H711" s="49" t="s">
        <v>16</v>
      </c>
      <c r="I711" s="51">
        <v>46224</v>
      </c>
      <c r="J711" s="54">
        <f>INT(Cobros[[#This Row],[Fecha Cargo]])</f>
        <v>46195</v>
      </c>
      <c r="K711" s="54">
        <f>INT(Cobros[[#This Row],[Fecha Aplicacion]])</f>
        <v>46224</v>
      </c>
      <c r="L711" s="55" t="str">
        <f>INDEX(Clientes[Días Plazo],MATCH(Cobros[[#This Row],[Cod. Cliente]],Clientes[Codigo],0),1)</f>
        <v>21</v>
      </c>
      <c r="M711" s="45" t="str">
        <f>IF(Cobros[[#This Row],[Dias de Credito]]&lt;=0,"Contado","Credito")</f>
        <v>Credito</v>
      </c>
      <c r="N711" s="45">
        <f>Cobros[[#This Row],[Fecha Aplicación S]]-Cobros[[#This Row],[Fecha Cargo S]]</f>
        <v>29</v>
      </c>
      <c r="O711" s="45">
        <f>Cobros[[#This Row],[Dias al pago]]-Cobros[[#This Row],[Dias de Credito]]</f>
        <v>8</v>
      </c>
      <c r="P711" s="45">
        <f>SUMIFS(TablaDias[Porcentaje],TablaDias[Tipo],Cobros[[#This Row],[Tipo]],TablaDias[Desde ],"&lt;="&amp;MAX(0,Cobros[[#This Row],[Dias pasado]]),TablaDias[Hasta ],"&gt;="&amp;Cobros[[#This Row],[Dias pasado]])</f>
        <v>100</v>
      </c>
      <c r="Q71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11" s="34">
        <f>IF(COUNTIF(PAPEL[Numero],Cobros[[#This Row],[Doc. Cargo]])&gt;0,1,0)</f>
        <v>0</v>
      </c>
      <c r="S711" s="46">
        <f t="array" ref="S7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11" s="47">
        <v>0.005</v>
      </c>
      <c r="U711" s="34">
        <f>IF(Cobros[[#This Row],[Tipo]]="Credito",IF(60&gt;=Cobros[[#This Row],[Dias al pago]],1,0),IF(Cobros[[#This Row],[Dias al pago]]&lt;=3,1,0))</f>
        <v>1</v>
      </c>
      <c r="V711" s="46">
        <f>(Cobros[[#This Row],[% A pagar Vendedor]]/100)*Cobros[[#This Row],[Valor Pagado]]*Cobros[[#This Row],[Vencido]]*(Cobros[[#This Row],[% aplicar]]/100)*IF(Cobros[[#This Row],[% A pagar Vendedor]]&gt;0,1,0)</f>
        <v>144.975</v>
      </c>
      <c r="W711" s="46">
        <f>0.5%*Cobros[[#This Row],[Valor Pagado]]</f>
        <v>72.4875</v>
      </c>
      <c r="X711" s="34"/>
    </row>
    <row r="712" spans="1:24">
      <c r="A712" s="49" t="s">
        <v>3884</v>
      </c>
      <c r="B712" s="49" t="s">
        <v>4954</v>
      </c>
      <c r="C712" s="49" t="s">
        <v>295</v>
      </c>
      <c r="D712" s="49" t="s">
        <v>296</v>
      </c>
      <c r="E712" s="49" t="s">
        <v>4918</v>
      </c>
      <c r="F712" s="51">
        <v>46181</v>
      </c>
      <c r="G712" s="49">
        <v>109.32</v>
      </c>
      <c r="H712" s="49" t="s">
        <v>18</v>
      </c>
      <c r="I712" s="51">
        <v>46225</v>
      </c>
      <c r="J712" s="54">
        <f>INT(Cobros[[#This Row],[Fecha Cargo]])</f>
        <v>46181</v>
      </c>
      <c r="K712" s="54">
        <f>INT(Cobros[[#This Row],[Fecha Aplicacion]])</f>
        <v>46225</v>
      </c>
      <c r="L712" s="55" t="str">
        <f>INDEX(Clientes[Días Plazo],MATCH(Cobros[[#This Row],[Cod. Cliente]],Clientes[Codigo],0),1)</f>
        <v>7</v>
      </c>
      <c r="M712" s="45" t="str">
        <f>IF(Cobros[[#This Row],[Dias de Credito]]&lt;=0,"Contado","Credito")</f>
        <v>Credito</v>
      </c>
      <c r="N712" s="45">
        <f>Cobros[[#This Row],[Fecha Aplicación S]]-Cobros[[#This Row],[Fecha Cargo S]]</f>
        <v>44</v>
      </c>
      <c r="O712" s="45">
        <f>Cobros[[#This Row],[Dias al pago]]-Cobros[[#This Row],[Dias de Credito]]</f>
        <v>37</v>
      </c>
      <c r="P712" s="45">
        <f>SUMIFS(TablaDias[Porcentaje],TablaDias[Tipo],Cobros[[#This Row],[Tipo]],TablaDias[Desde ],"&lt;="&amp;MAX(0,Cobros[[#This Row],[Dias pasado]]),TablaDias[Hasta ],"&gt;="&amp;Cobros[[#This Row],[Dias pasado]])</f>
        <v>30</v>
      </c>
      <c r="Q71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12" s="34">
        <f>IF(COUNTIF(PAPEL[Numero],Cobros[[#This Row],[Doc. Cargo]])&gt;0,1,0)</f>
        <v>0</v>
      </c>
      <c r="S712" s="46">
        <f t="array" ref="S7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12" s="46">
        <f t="array" ref="T712">INDEX(Ventas[[Unidades]:[2]],MATCH("Gerente de Venta",Ventas[Vendedor %],0),6+Cobros[[#This Row],[Mes]])</f>
        <v>0.005</v>
      </c>
      <c r="U712" s="34">
        <v>1</v>
      </c>
      <c r="V712" s="46">
        <f>(Cobros[[#This Row],[% A pagar Vendedor]]/100)*Cobros[[#This Row],[Valor Pagado]]*Cobros[[#This Row],[Vencido]]*(Cobros[[#This Row],[% aplicar]]/100)*IF(Cobros[[#This Row],[% A pagar Vendedor]]&gt;0,1,0)</f>
        <v>0.32796</v>
      </c>
      <c r="W712" s="46">
        <f>0.5%*Cobros[[#This Row],[Valor Pagado]]</f>
        <v>0.5466</v>
      </c>
      <c r="X712" s="68"/>
    </row>
    <row r="713" ht="30" spans="1:24">
      <c r="A713" s="49" t="s">
        <v>3884</v>
      </c>
      <c r="B713" s="49" t="s">
        <v>4955</v>
      </c>
      <c r="C713" s="49" t="s">
        <v>2505</v>
      </c>
      <c r="D713" s="49" t="s">
        <v>2506</v>
      </c>
      <c r="E713" s="49" t="s">
        <v>4956</v>
      </c>
      <c r="F713" s="51">
        <v>46225</v>
      </c>
      <c r="G713" s="49">
        <v>210</v>
      </c>
      <c r="H713" s="49" t="s">
        <v>22</v>
      </c>
      <c r="I713" s="51">
        <v>46225</v>
      </c>
      <c r="J713" s="54">
        <f>INT(Cobros[[#This Row],[Fecha Cargo]])</f>
        <v>46225</v>
      </c>
      <c r="K713" s="54">
        <f>INT(Cobros[[#This Row],[Fecha Aplicacion]])</f>
        <v>46225</v>
      </c>
      <c r="L713" s="55">
        <f>INDEX(Clientes[Días Plazo],MATCH(Cobros[[#This Row],[Cod. Cliente]],Clientes[Codigo],0),1)</f>
        <v>0</v>
      </c>
      <c r="M713" s="45" t="str">
        <f>IF(Cobros[[#This Row],[Dias de Credito]]&lt;=0,"Contado","Credito")</f>
        <v>Contado</v>
      </c>
      <c r="N713" s="45">
        <f>Cobros[[#This Row],[Fecha Aplicación S]]-Cobros[[#This Row],[Fecha Cargo S]]</f>
        <v>0</v>
      </c>
      <c r="O713" s="45">
        <f>Cobros[[#This Row],[Dias al pago]]-Cobros[[#This Row],[Dias de Credito]]</f>
        <v>0</v>
      </c>
      <c r="P713" s="45">
        <f>SUMIFS(TablaDias[Porcentaje],TablaDias[Tipo],Cobros[[#This Row],[Tipo]],TablaDias[Desde ],"&lt;="&amp;MAX(0,Cobros[[#This Row],[Dias pasado]]),TablaDias[Hasta ],"&gt;="&amp;Cobros[[#This Row],[Dias pasado]])</f>
        <v>100</v>
      </c>
      <c r="Q71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3" s="34">
        <f>IF(COUNTIF(PAPEL[Numero],Cobros[[#This Row],[Doc. Cargo]])&gt;0,1,0)</f>
        <v>0</v>
      </c>
      <c r="S713" s="46">
        <f t="array" ref="S7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13" s="46">
        <f t="array" ref="T713">INDEX(Ventas[[Unidades]:[2]],MATCH("Gerente de Venta",Ventas[Vendedor %],0),6+Cobros[[#This Row],[Mes]])</f>
        <v>0.005</v>
      </c>
      <c r="U713" s="34">
        <v>1</v>
      </c>
      <c r="V713" s="46">
        <f>(Cobros[[#This Row],[% A pagar Vendedor]]/100)*Cobros[[#This Row],[Valor Pagado]]*Cobros[[#This Row],[Vencido]]*(Cobros[[#This Row],[% aplicar]]/100)*IF(Cobros[[#This Row],[% A pagar Vendedor]]&gt;0,1,0)</f>
        <v>2.1</v>
      </c>
      <c r="W713" s="46">
        <f>0.5%*Cobros[[#This Row],[Valor Pagado]]</f>
        <v>1.05</v>
      </c>
      <c r="X713" s="34"/>
    </row>
    <row r="714" ht="30" spans="1:24">
      <c r="A714" s="49" t="s">
        <v>3860</v>
      </c>
      <c r="B714" s="49" t="s">
        <v>4957</v>
      </c>
      <c r="C714" s="49" t="s">
        <v>3456</v>
      </c>
      <c r="D714" s="49" t="s">
        <v>3457</v>
      </c>
      <c r="E714" s="49" t="s">
        <v>4958</v>
      </c>
      <c r="F714" s="51">
        <v>46206</v>
      </c>
      <c r="G714" s="49">
        <v>800.1</v>
      </c>
      <c r="H714" s="49" t="s">
        <v>1355</v>
      </c>
      <c r="I714" s="51">
        <v>46204</v>
      </c>
      <c r="J714" s="54">
        <f>INT(Cobros[[#This Row],[Fecha Cargo]])</f>
        <v>46206</v>
      </c>
      <c r="K714" s="54">
        <f>INT(Cobros[[#This Row],[Fecha Aplicacion]])</f>
        <v>46204</v>
      </c>
      <c r="L714" s="55">
        <f>INDEX(Clientes[Días Plazo],MATCH(Cobros[[#This Row],[Cod. Cliente]],Clientes[Codigo],0),1)</f>
        <v>0</v>
      </c>
      <c r="M714" s="45" t="str">
        <f>IF(Cobros[[#This Row],[Dias de Credito]]&lt;=0,"Contado","Credito")</f>
        <v>Contado</v>
      </c>
      <c r="N714" s="45">
        <f>Cobros[[#This Row],[Fecha Aplicación S]]-Cobros[[#This Row],[Fecha Cargo S]]</f>
        <v>-2</v>
      </c>
      <c r="O714" s="45">
        <f>Cobros[[#This Row],[Dias al pago]]-Cobros[[#This Row],[Dias de Credito]]</f>
        <v>-2</v>
      </c>
      <c r="P714" s="45">
        <f>SUMIFS(TablaDias[Porcentaje],TablaDias[Tipo],Cobros[[#This Row],[Tipo]],TablaDias[Desde ],"&lt;="&amp;MAX(0,Cobros[[#This Row],[Dias pasado]]),TablaDias[Hasta ],"&gt;="&amp;Cobros[[#This Row],[Dias pasado]])</f>
        <v>100</v>
      </c>
      <c r="Q71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4" s="34">
        <f>IF(COUNTIF(PAPEL[Numero],Cobros[[#This Row],[Doc. Cargo]])&gt;0,1,0)</f>
        <v>0</v>
      </c>
      <c r="S714" s="46">
        <v>1</v>
      </c>
      <c r="T714" s="46">
        <f t="array" ref="T714">INDEX(Ventas[[Unidades]:[2]],MATCH("Gerente de Venta",Ventas[Vendedor %],0),6+Cobros[[#This Row],[Mes]])</f>
        <v>0.005</v>
      </c>
      <c r="U714" s="34">
        <f>IF(Cobros[[#This Row],[Tipo]]="Credito",IF(60&gt;=Cobros[[#This Row],[Dias al pago]],1,0),IF(Cobros[[#This Row],[Dias al pago]]&lt;=3,1,0))</f>
        <v>1</v>
      </c>
      <c r="V714" s="46">
        <f>(Cobros[[#This Row],[% A pagar Vendedor]]/100)*Cobros[[#This Row],[Valor Pagado]]*Cobros[[#This Row],[Vencido]]*(Cobros[[#This Row],[% aplicar]]/100)*IF(Cobros[[#This Row],[% A pagar Vendedor]]&gt;0,1,0)</f>
        <v>8.001</v>
      </c>
      <c r="W714" s="46">
        <f>0.5%*Cobros[[#This Row],[Valor Pagado]]</f>
        <v>4.0005</v>
      </c>
      <c r="X714" s="34"/>
    </row>
    <row r="715" ht="30" spans="1:24">
      <c r="A715" s="49" t="s">
        <v>3860</v>
      </c>
      <c r="B715" s="49" t="s">
        <v>4959</v>
      </c>
      <c r="C715" s="49" t="s">
        <v>3456</v>
      </c>
      <c r="D715" s="49" t="s">
        <v>3457</v>
      </c>
      <c r="E715" s="49" t="s">
        <v>4960</v>
      </c>
      <c r="F715" s="51">
        <v>46225</v>
      </c>
      <c r="G715" s="49">
        <v>630</v>
      </c>
      <c r="H715" s="49" t="s">
        <v>1355</v>
      </c>
      <c r="I715" s="51">
        <v>46225</v>
      </c>
      <c r="J715" s="54">
        <f>INT(Cobros[[#This Row],[Fecha Cargo]])</f>
        <v>46225</v>
      </c>
      <c r="K715" s="54">
        <f>INT(Cobros[[#This Row],[Fecha Aplicacion]])</f>
        <v>46225</v>
      </c>
      <c r="L715" s="55">
        <f>INDEX(Clientes[Días Plazo],MATCH(Cobros[[#This Row],[Cod. Cliente]],Clientes[Codigo],0),1)</f>
        <v>0</v>
      </c>
      <c r="M715" s="45" t="str">
        <f>IF(Cobros[[#This Row],[Dias de Credito]]&lt;=0,"Contado","Credito")</f>
        <v>Contado</v>
      </c>
      <c r="N715" s="45">
        <f>Cobros[[#This Row],[Fecha Aplicación S]]-Cobros[[#This Row],[Fecha Cargo S]]</f>
        <v>0</v>
      </c>
      <c r="O715" s="45">
        <f>Cobros[[#This Row],[Dias al pago]]-Cobros[[#This Row],[Dias de Credito]]</f>
        <v>0</v>
      </c>
      <c r="P715" s="45">
        <f>SUMIFS(TablaDias[Porcentaje],TablaDias[Tipo],Cobros[[#This Row],[Tipo]],TablaDias[Desde ],"&lt;="&amp;MAX(0,Cobros[[#This Row],[Dias pasado]]),TablaDias[Hasta ],"&gt;="&amp;Cobros[[#This Row],[Dias pasado]])</f>
        <v>100</v>
      </c>
      <c r="Q71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5" s="34">
        <f>IF(COUNTIF(PAPEL[Numero],Cobros[[#This Row],[Doc. Cargo]])&gt;0,1,0)</f>
        <v>0</v>
      </c>
      <c r="S715" s="46">
        <v>1</v>
      </c>
      <c r="T715" s="46">
        <f t="array" ref="T715">INDEX(Ventas[[Unidades]:[2]],MATCH("Gerente de Venta",Ventas[Vendedor %],0),6+Cobros[[#This Row],[Mes]])</f>
        <v>0.005</v>
      </c>
      <c r="U715" s="34">
        <f>IF(Cobros[[#This Row],[Tipo]]="Credito",IF(60&gt;=Cobros[[#This Row],[Dias al pago]],1,0),IF(Cobros[[#This Row],[Dias al pago]]&lt;=3,1,0))</f>
        <v>1</v>
      </c>
      <c r="V715" s="46">
        <f>(Cobros[[#This Row],[% A pagar Vendedor]]/100)*Cobros[[#This Row],[Valor Pagado]]*Cobros[[#This Row],[Vencido]]*(Cobros[[#This Row],[% aplicar]]/100)*IF(Cobros[[#This Row],[% A pagar Vendedor]]&gt;0,1,0)</f>
        <v>6.3</v>
      </c>
      <c r="W715" s="46">
        <f>0.5%*Cobros[[#This Row],[Valor Pagado]]</f>
        <v>3.15</v>
      </c>
      <c r="X715" s="34"/>
    </row>
    <row r="716" spans="1:24">
      <c r="A716" s="49" t="s">
        <v>3860</v>
      </c>
      <c r="B716" s="49" t="s">
        <v>4961</v>
      </c>
      <c r="C716" s="49" t="s">
        <v>2536</v>
      </c>
      <c r="D716" s="49" t="s">
        <v>2537</v>
      </c>
      <c r="E716" s="49" t="s">
        <v>4962</v>
      </c>
      <c r="F716" s="51">
        <v>46225</v>
      </c>
      <c r="G716" s="49">
        <v>281.25</v>
      </c>
      <c r="H716" s="49" t="s">
        <v>20</v>
      </c>
      <c r="I716" s="51">
        <v>46225</v>
      </c>
      <c r="J716" s="54">
        <f>INT(Cobros[[#This Row],[Fecha Cargo]])</f>
        <v>46225</v>
      </c>
      <c r="K716" s="54">
        <f>INT(Cobros[[#This Row],[Fecha Aplicacion]])</f>
        <v>46225</v>
      </c>
      <c r="L716" s="55">
        <f>INDEX(Clientes[Días Plazo],MATCH(Cobros[[#This Row],[Cod. Cliente]],Clientes[Codigo],0),1)</f>
        <v>0</v>
      </c>
      <c r="M716" s="45" t="str">
        <f>IF(Cobros[[#This Row],[Dias de Credito]]&lt;=0,"Contado","Credito")</f>
        <v>Contado</v>
      </c>
      <c r="N716" s="45">
        <f>Cobros[[#This Row],[Fecha Aplicación S]]-Cobros[[#This Row],[Fecha Cargo S]]</f>
        <v>0</v>
      </c>
      <c r="O716" s="45">
        <f>Cobros[[#This Row],[Dias al pago]]-Cobros[[#This Row],[Dias de Credito]]</f>
        <v>0</v>
      </c>
      <c r="P716" s="45">
        <f>SUMIFS(TablaDias[Porcentaje],TablaDias[Tipo],Cobros[[#This Row],[Tipo]],TablaDias[Desde ],"&lt;="&amp;MAX(0,Cobros[[#This Row],[Dias pasado]]),TablaDias[Hasta ],"&gt;="&amp;Cobros[[#This Row],[Dias pasado]])</f>
        <v>100</v>
      </c>
      <c r="Q71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6" s="34">
        <f>IF(COUNTIF(PAPEL[Numero],Cobros[[#This Row],[Doc. Cargo]])&gt;0,1,0)</f>
        <v>0</v>
      </c>
      <c r="S716" s="46">
        <f t="array" ref="S7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16" s="46">
        <f t="array" ref="T716">INDEX(Ventas[[Unidades]:[2]],MATCH("Gerente de Venta",Ventas[Vendedor %],0),6+Cobros[[#This Row],[Mes]])</f>
        <v>0.005</v>
      </c>
      <c r="U716" s="34">
        <f>IF(Cobros[[#This Row],[Tipo]]="Credito",IF(60&gt;=Cobros[[#This Row],[Dias al pago]],1,0),IF(Cobros[[#This Row],[Dias al pago]]&lt;=3,1,0))</f>
        <v>1</v>
      </c>
      <c r="V716" s="46">
        <f>(Cobros[[#This Row],[% A pagar Vendedor]]/100)*Cobros[[#This Row],[Valor Pagado]]*Cobros[[#This Row],[Vencido]]*(Cobros[[#This Row],[% aplicar]]/100)*IF(Cobros[[#This Row],[% A pagar Vendedor]]&gt;0,1,0)</f>
        <v>3.515625</v>
      </c>
      <c r="W716" s="46">
        <f>0.5%*Cobros[[#This Row],[Valor Pagado]]</f>
        <v>1.40625</v>
      </c>
      <c r="X716" s="34"/>
    </row>
    <row r="717" spans="1:24">
      <c r="A717" s="49" t="s">
        <v>3860</v>
      </c>
      <c r="B717" s="49" t="s">
        <v>4963</v>
      </c>
      <c r="C717" s="49" t="s">
        <v>530</v>
      </c>
      <c r="D717" s="49" t="s">
        <v>531</v>
      </c>
      <c r="E717" s="49" t="s">
        <v>4733</v>
      </c>
      <c r="F717" s="51">
        <v>46211</v>
      </c>
      <c r="G717" s="49">
        <v>260</v>
      </c>
      <c r="H717" s="49" t="s">
        <v>18</v>
      </c>
      <c r="I717" s="51">
        <v>46225</v>
      </c>
      <c r="J717" s="54">
        <f>INT(Cobros[[#This Row],[Fecha Cargo]])</f>
        <v>46211</v>
      </c>
      <c r="K717" s="54">
        <f>INT(Cobros[[#This Row],[Fecha Aplicacion]])</f>
        <v>46225</v>
      </c>
      <c r="L717" s="55" t="str">
        <f>INDEX(Clientes[Días Plazo],MATCH(Cobros[[#This Row],[Cod. Cliente]],Clientes[Codigo],0),1)</f>
        <v>15</v>
      </c>
      <c r="M717" s="45" t="str">
        <f>IF(Cobros[[#This Row],[Dias de Credito]]&lt;=0,"Contado","Credito")</f>
        <v>Credito</v>
      </c>
      <c r="N717" s="45">
        <f>Cobros[[#This Row],[Fecha Aplicación S]]-Cobros[[#This Row],[Fecha Cargo S]]</f>
        <v>14</v>
      </c>
      <c r="O717" s="45">
        <f>Cobros[[#This Row],[Dias al pago]]-Cobros[[#This Row],[Dias de Credito]]</f>
        <v>-1</v>
      </c>
      <c r="P717" s="45">
        <f>SUMIFS(TablaDias[Porcentaje],TablaDias[Tipo],Cobros[[#This Row],[Tipo]],TablaDias[Desde ],"&lt;="&amp;MAX(0,Cobros[[#This Row],[Dias pasado]]),TablaDias[Hasta ],"&gt;="&amp;Cobros[[#This Row],[Dias pasado]])</f>
        <v>100</v>
      </c>
      <c r="Q71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7" s="34">
        <f>IF(COUNTIF(PAPEL[Numero],Cobros[[#This Row],[Doc. Cargo]])&gt;0,1,0)</f>
        <v>0</v>
      </c>
      <c r="S717" s="46">
        <f t="array" ref="S7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17" s="46">
        <f t="array" ref="T717">INDEX(Ventas[[Unidades]:[2]],MATCH("Gerente de Venta",Ventas[Vendedor %],0),6+Cobros[[#This Row],[Mes]])</f>
        <v>0.005</v>
      </c>
      <c r="U717" s="34">
        <f>IF(Cobros[[#This Row],[Tipo]]="Credito",IF(60&gt;=Cobros[[#This Row],[Dias al pago]],1,0),IF(Cobros[[#This Row],[Dias al pago]]&lt;=3,1,0))</f>
        <v>1</v>
      </c>
      <c r="V717" s="46">
        <f>(Cobros[[#This Row],[% A pagar Vendedor]]/100)*Cobros[[#This Row],[Valor Pagado]]*Cobros[[#This Row],[Vencido]]*(Cobros[[#This Row],[% aplicar]]/100)*IF(Cobros[[#This Row],[% A pagar Vendedor]]&gt;0,1,0)</f>
        <v>3.25</v>
      </c>
      <c r="W717" s="46">
        <f>0.5%*Cobros[[#This Row],[Valor Pagado]]</f>
        <v>1.3</v>
      </c>
      <c r="X717" s="34"/>
    </row>
    <row r="718" ht="30" spans="1:24">
      <c r="A718" s="49" t="s">
        <v>3860</v>
      </c>
      <c r="B718" s="49" t="s">
        <v>4964</v>
      </c>
      <c r="C718" s="49" t="s">
        <v>1386</v>
      </c>
      <c r="D718" s="49" t="s">
        <v>1387</v>
      </c>
      <c r="E718" s="49" t="s">
        <v>4965</v>
      </c>
      <c r="F718" s="51">
        <v>46185</v>
      </c>
      <c r="G718" s="49">
        <v>2405</v>
      </c>
      <c r="H718" s="49" t="s">
        <v>22</v>
      </c>
      <c r="I718" s="51">
        <v>46225</v>
      </c>
      <c r="J718" s="54">
        <f>INT(Cobros[[#This Row],[Fecha Cargo]])</f>
        <v>46185</v>
      </c>
      <c r="K718" s="54">
        <f>INT(Cobros[[#This Row],[Fecha Aplicacion]])</f>
        <v>46225</v>
      </c>
      <c r="L718" s="55" t="str">
        <f>INDEX(Clientes[Días Plazo],MATCH(Cobros[[#This Row],[Cod. Cliente]],Clientes[Codigo],0),1)</f>
        <v>21</v>
      </c>
      <c r="M718" s="45" t="str">
        <f>IF(Cobros[[#This Row],[Dias de Credito]]&lt;=0,"Contado","Credito")</f>
        <v>Credito</v>
      </c>
      <c r="N718" s="45">
        <f>Cobros[[#This Row],[Fecha Aplicación S]]-Cobros[[#This Row],[Fecha Cargo S]]</f>
        <v>40</v>
      </c>
      <c r="O718" s="45">
        <f>Cobros[[#This Row],[Dias al pago]]-Cobros[[#This Row],[Dias de Credito]]</f>
        <v>19</v>
      </c>
      <c r="P718" s="45">
        <f>SUMIFS(TablaDias[Porcentaje],TablaDias[Tipo],Cobros[[#This Row],[Tipo]],TablaDias[Desde ],"&lt;="&amp;MAX(0,Cobros[[#This Row],[Dias pasado]]),TablaDias[Hasta ],"&gt;="&amp;Cobros[[#This Row],[Dias pasado]])</f>
        <v>50</v>
      </c>
      <c r="Q71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18" s="34">
        <f>IF(COUNTIF(PAPEL[Numero],Cobros[[#This Row],[Doc. Cargo]])&gt;0,1,0)</f>
        <v>0</v>
      </c>
      <c r="S718" s="46">
        <f t="array" ref="S7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18" s="46">
        <f t="array" ref="T718">INDEX(Ventas[[Unidades]:[2]],MATCH("Gerente de Venta",Ventas[Vendedor %],0),6+Cobros[[#This Row],[Mes]])</f>
        <v>0.005</v>
      </c>
      <c r="U718" s="34">
        <f>IF(Cobros[[#This Row],[Tipo]]="Credito",IF(60&gt;=Cobros[[#This Row],[Dias al pago]],1,0),IF(Cobros[[#This Row],[Dias al pago]]&lt;=3,1,0))</f>
        <v>1</v>
      </c>
      <c r="V718" s="46">
        <f>(Cobros[[#This Row],[% A pagar Vendedor]]/100)*Cobros[[#This Row],[Valor Pagado]]*Cobros[[#This Row],[Vencido]]*(Cobros[[#This Row],[% aplicar]]/100)*IF(Cobros[[#This Row],[% A pagar Vendedor]]&gt;0,1,0)</f>
        <v>12.025</v>
      </c>
      <c r="W718" s="46">
        <f>0.5%*Cobros[[#This Row],[Valor Pagado]]</f>
        <v>12.025</v>
      </c>
      <c r="X718" s="34"/>
    </row>
    <row r="719" spans="1:24">
      <c r="A719" s="49" t="s">
        <v>3954</v>
      </c>
      <c r="B719" s="49" t="s">
        <v>4966</v>
      </c>
      <c r="C719" s="49" t="s">
        <v>731</v>
      </c>
      <c r="D719" s="49" t="s">
        <v>732</v>
      </c>
      <c r="E719" s="49" t="s">
        <v>4967</v>
      </c>
      <c r="F719" s="51">
        <v>46210</v>
      </c>
      <c r="G719" s="49">
        <v>947.2</v>
      </c>
      <c r="H719" s="49" t="s">
        <v>20</v>
      </c>
      <c r="I719" s="51">
        <v>46225</v>
      </c>
      <c r="J719" s="54">
        <f>INT(Cobros[[#This Row],[Fecha Cargo]])</f>
        <v>46210</v>
      </c>
      <c r="K719" s="54">
        <f>INT(Cobros[[#This Row],[Fecha Aplicacion]])</f>
        <v>46225</v>
      </c>
      <c r="L719" s="55" t="str">
        <f>INDEX(Clientes[Días Plazo],MATCH(Cobros[[#This Row],[Cod. Cliente]],Clientes[Codigo],0),1)</f>
        <v>21</v>
      </c>
      <c r="M719" s="45" t="str">
        <f>IF(Cobros[[#This Row],[Dias de Credito]]&lt;=0,"Contado","Credito")</f>
        <v>Credito</v>
      </c>
      <c r="N719" s="45">
        <f>Cobros[[#This Row],[Fecha Aplicación S]]-Cobros[[#This Row],[Fecha Cargo S]]</f>
        <v>15</v>
      </c>
      <c r="O719" s="45">
        <f>Cobros[[#This Row],[Dias al pago]]-Cobros[[#This Row],[Dias de Credito]]</f>
        <v>-6</v>
      </c>
      <c r="P719" s="45">
        <f>SUMIFS(TablaDias[Porcentaje],TablaDias[Tipo],Cobros[[#This Row],[Tipo]],TablaDias[Desde ],"&lt;="&amp;MAX(0,Cobros[[#This Row],[Dias pasado]]),TablaDias[Hasta ],"&gt;="&amp;Cobros[[#This Row],[Dias pasado]])</f>
        <v>100</v>
      </c>
      <c r="Q71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19" s="34">
        <f>IF(COUNTIF(PAPEL[Numero],Cobros[[#This Row],[Doc. Cargo]])&gt;0,1,0)</f>
        <v>0</v>
      </c>
      <c r="S719" s="46">
        <f t="array" ref="S7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19" s="46">
        <f t="array" ref="T719">INDEX(Ventas[[Unidades]:[2]],MATCH("Gerente de Venta",Ventas[Vendedor %],0),6+Cobros[[#This Row],[Mes]])</f>
        <v>0.005</v>
      </c>
      <c r="U719" s="34">
        <f>IF(Cobros[[#This Row],[Tipo]]="Credito",IF(60&gt;=Cobros[[#This Row],[Dias al pago]],1,0),IF(Cobros[[#This Row],[Dias al pago]]&lt;=3,1,0))</f>
        <v>1</v>
      </c>
      <c r="V719" s="46">
        <f>(Cobros[[#This Row],[% A pagar Vendedor]]/100)*Cobros[[#This Row],[Valor Pagado]]*Cobros[[#This Row],[Vencido]]*(Cobros[[#This Row],[% aplicar]]/100)*IF(Cobros[[#This Row],[% A pagar Vendedor]]&gt;0,1,0)</f>
        <v>11.84</v>
      </c>
      <c r="W719" s="46">
        <f>0.5%*Cobros[[#This Row],[Valor Pagado]]</f>
        <v>4.736</v>
      </c>
      <c r="X719" s="34"/>
    </row>
    <row r="720" spans="1:24">
      <c r="A720" s="49" t="s">
        <v>3860</v>
      </c>
      <c r="B720" s="49" t="s">
        <v>4968</v>
      </c>
      <c r="C720" s="49" t="s">
        <v>578</v>
      </c>
      <c r="D720" s="49" t="s">
        <v>579</v>
      </c>
      <c r="E720" s="49" t="s">
        <v>4969</v>
      </c>
      <c r="F720" s="51">
        <v>46178</v>
      </c>
      <c r="G720" s="49">
        <v>719</v>
      </c>
      <c r="H720" s="49" t="s">
        <v>19</v>
      </c>
      <c r="I720" s="51">
        <v>46225</v>
      </c>
      <c r="J720" s="54">
        <f>INT(Cobros[[#This Row],[Fecha Cargo]])</f>
        <v>46178</v>
      </c>
      <c r="K720" s="54">
        <f>INT(Cobros[[#This Row],[Fecha Aplicacion]])</f>
        <v>46225</v>
      </c>
      <c r="L720" s="55" t="str">
        <f>INDEX(Clientes[Días Plazo],MATCH(Cobros[[#This Row],[Cod. Cliente]],Clientes[Codigo],0),1)</f>
        <v>30</v>
      </c>
      <c r="M720" s="45" t="str">
        <f>IF(Cobros[[#This Row],[Dias de Credito]]&lt;=0,"Contado","Credito")</f>
        <v>Credito</v>
      </c>
      <c r="N720" s="45">
        <f>Cobros[[#This Row],[Fecha Aplicación S]]-Cobros[[#This Row],[Fecha Cargo S]]</f>
        <v>47</v>
      </c>
      <c r="O720" s="45">
        <f>Cobros[[#This Row],[Dias al pago]]-Cobros[[#This Row],[Dias de Credito]]</f>
        <v>17</v>
      </c>
      <c r="P720" s="45">
        <f>SUMIFS(TablaDias[Porcentaje],TablaDias[Tipo],Cobros[[#This Row],[Tipo]],TablaDias[Desde ],"&lt;="&amp;MAX(0,Cobros[[#This Row],[Dias pasado]]),TablaDias[Hasta ],"&gt;="&amp;Cobros[[#This Row],[Dias pasado]])</f>
        <v>50</v>
      </c>
      <c r="Q72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0" s="34">
        <f>IF(COUNTIF(PAPEL[Numero],Cobros[[#This Row],[Doc. Cargo]])&gt;0,1,0)</f>
        <v>0</v>
      </c>
      <c r="S720" s="46">
        <f t="array" ref="S7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0" s="46">
        <f t="array" ref="T720">INDEX(Ventas[[Unidades]:[2]],MATCH("Gerente de Venta",Ventas[Vendedor %],0),6+Cobros[[#This Row],[Mes]])</f>
        <v>0.005</v>
      </c>
      <c r="U720" s="34">
        <f>IF(Cobros[[#This Row],[Tipo]]="Credito",IF(60&gt;=Cobros[[#This Row],[Dias al pago]],1,0),IF(Cobros[[#This Row],[Dias al pago]]&lt;=3,1,0))</f>
        <v>1</v>
      </c>
      <c r="V720" s="46">
        <f>(Cobros[[#This Row],[% A pagar Vendedor]]/100)*Cobros[[#This Row],[Valor Pagado]]*Cobros[[#This Row],[Vencido]]*(Cobros[[#This Row],[% aplicar]]/100)*IF(Cobros[[#This Row],[% A pagar Vendedor]]&gt;0,1,0)</f>
        <v>4.49375</v>
      </c>
      <c r="W720" s="46">
        <f>0.5%*Cobros[[#This Row],[Valor Pagado]]</f>
        <v>3.595</v>
      </c>
      <c r="X720" s="34"/>
    </row>
    <row r="721" spans="1:24">
      <c r="A721" s="49" t="s">
        <v>3860</v>
      </c>
      <c r="B721" s="49" t="s">
        <v>4968</v>
      </c>
      <c r="C721" s="49" t="s">
        <v>578</v>
      </c>
      <c r="D721" s="49" t="s">
        <v>579</v>
      </c>
      <c r="E721" s="49" t="s">
        <v>4970</v>
      </c>
      <c r="F721" s="51">
        <v>46184</v>
      </c>
      <c r="G721" s="49">
        <v>1660</v>
      </c>
      <c r="H721" s="49" t="s">
        <v>19</v>
      </c>
      <c r="I721" s="51">
        <v>46225</v>
      </c>
      <c r="J721" s="54">
        <f>INT(Cobros[[#This Row],[Fecha Cargo]])</f>
        <v>46184</v>
      </c>
      <c r="K721" s="54">
        <f>INT(Cobros[[#This Row],[Fecha Aplicacion]])</f>
        <v>46225</v>
      </c>
      <c r="L721" s="55" t="str">
        <f>INDEX(Clientes[Días Plazo],MATCH(Cobros[[#This Row],[Cod. Cliente]],Clientes[Codigo],0),1)</f>
        <v>30</v>
      </c>
      <c r="M721" s="45" t="str">
        <f>IF(Cobros[[#This Row],[Dias de Credito]]&lt;=0,"Contado","Credito")</f>
        <v>Credito</v>
      </c>
      <c r="N721" s="45">
        <f>Cobros[[#This Row],[Fecha Aplicación S]]-Cobros[[#This Row],[Fecha Cargo S]]</f>
        <v>41</v>
      </c>
      <c r="O721" s="45">
        <f>Cobros[[#This Row],[Dias al pago]]-Cobros[[#This Row],[Dias de Credito]]</f>
        <v>11</v>
      </c>
      <c r="P721" s="45">
        <f>SUMIFS(TablaDias[Porcentaje],TablaDias[Tipo],Cobros[[#This Row],[Tipo]],TablaDias[Desde ],"&lt;="&amp;MAX(0,Cobros[[#This Row],[Dias pasado]]),TablaDias[Hasta ],"&gt;="&amp;Cobros[[#This Row],[Dias pasado]])</f>
        <v>100</v>
      </c>
      <c r="Q72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1" s="34">
        <f>IF(COUNTIF(PAPEL[Numero],Cobros[[#This Row],[Doc. Cargo]])&gt;0,1,0)</f>
        <v>0</v>
      </c>
      <c r="S721" s="46">
        <f t="array" ref="S7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1" s="46">
        <f t="array" ref="T721">INDEX(Ventas[[Unidades]:[2]],MATCH("Gerente de Venta",Ventas[Vendedor %],0),6+Cobros[[#This Row],[Mes]])</f>
        <v>0.005</v>
      </c>
      <c r="U721" s="34">
        <f>IF(Cobros[[#This Row],[Tipo]]="Credito",IF(60&gt;=Cobros[[#This Row],[Dias al pago]],1,0),IF(Cobros[[#This Row],[Dias al pago]]&lt;=3,1,0))</f>
        <v>1</v>
      </c>
      <c r="V721" s="46">
        <f>(Cobros[[#This Row],[% A pagar Vendedor]]/100)*Cobros[[#This Row],[Valor Pagado]]*Cobros[[#This Row],[Vencido]]*(Cobros[[#This Row],[% aplicar]]/100)*IF(Cobros[[#This Row],[% A pagar Vendedor]]&gt;0,1,0)</f>
        <v>20.75</v>
      </c>
      <c r="W721" s="46">
        <f>0.5%*Cobros[[#This Row],[Valor Pagado]]</f>
        <v>8.3</v>
      </c>
      <c r="X721" s="34"/>
    </row>
    <row r="722" spans="1:24">
      <c r="A722" s="49" t="s">
        <v>3860</v>
      </c>
      <c r="B722" s="49" t="s">
        <v>4968</v>
      </c>
      <c r="C722" s="49" t="s">
        <v>578</v>
      </c>
      <c r="D722" s="49" t="s">
        <v>579</v>
      </c>
      <c r="E722" s="49" t="s">
        <v>4971</v>
      </c>
      <c r="F722" s="51">
        <v>46184</v>
      </c>
      <c r="G722" s="49">
        <v>325.15</v>
      </c>
      <c r="H722" s="49" t="s">
        <v>19</v>
      </c>
      <c r="I722" s="51">
        <v>46225</v>
      </c>
      <c r="J722" s="54">
        <f>INT(Cobros[[#This Row],[Fecha Cargo]])</f>
        <v>46184</v>
      </c>
      <c r="K722" s="54">
        <f>INT(Cobros[[#This Row],[Fecha Aplicacion]])</f>
        <v>46225</v>
      </c>
      <c r="L722" s="55" t="str">
        <f>INDEX(Clientes[Días Plazo],MATCH(Cobros[[#This Row],[Cod. Cliente]],Clientes[Codigo],0),1)</f>
        <v>30</v>
      </c>
      <c r="M722" s="45" t="str">
        <f>IF(Cobros[[#This Row],[Dias de Credito]]&lt;=0,"Contado","Credito")</f>
        <v>Credito</v>
      </c>
      <c r="N722" s="45">
        <f>Cobros[[#This Row],[Fecha Aplicación S]]-Cobros[[#This Row],[Fecha Cargo S]]</f>
        <v>41</v>
      </c>
      <c r="O722" s="45">
        <f>Cobros[[#This Row],[Dias al pago]]-Cobros[[#This Row],[Dias de Credito]]</f>
        <v>11</v>
      </c>
      <c r="P722" s="45">
        <f>SUMIFS(TablaDias[Porcentaje],TablaDias[Tipo],Cobros[[#This Row],[Tipo]],TablaDias[Desde ],"&lt;="&amp;MAX(0,Cobros[[#This Row],[Dias pasado]]),TablaDias[Hasta ],"&gt;="&amp;Cobros[[#This Row],[Dias pasado]])</f>
        <v>100</v>
      </c>
      <c r="Q72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2" s="34">
        <f>IF(COUNTIF(PAPEL[Numero],Cobros[[#This Row],[Doc. Cargo]])&gt;0,1,0)</f>
        <v>0</v>
      </c>
      <c r="S722" s="46">
        <f t="array" ref="S72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2" s="46">
        <f t="array" ref="T722">INDEX(Ventas[[Unidades]:[2]],MATCH("Gerente de Venta",Ventas[Vendedor %],0),6+Cobros[[#This Row],[Mes]])</f>
        <v>0.005</v>
      </c>
      <c r="U722" s="34">
        <f>IF(Cobros[[#This Row],[Tipo]]="Credito",IF(60&gt;=Cobros[[#This Row],[Dias al pago]],1,0),IF(Cobros[[#This Row],[Dias al pago]]&lt;=3,1,0))</f>
        <v>1</v>
      </c>
      <c r="V722" s="46">
        <f>(Cobros[[#This Row],[% A pagar Vendedor]]/100)*Cobros[[#This Row],[Valor Pagado]]*Cobros[[#This Row],[Vencido]]*(Cobros[[#This Row],[% aplicar]]/100)*IF(Cobros[[#This Row],[% A pagar Vendedor]]&gt;0,1,0)</f>
        <v>4.064375</v>
      </c>
      <c r="W722" s="46">
        <f>0.5%*Cobros[[#This Row],[Valor Pagado]]</f>
        <v>1.62575</v>
      </c>
      <c r="X722" s="62"/>
    </row>
    <row r="723" spans="1:24">
      <c r="A723" s="49" t="s">
        <v>3860</v>
      </c>
      <c r="B723" s="49" t="s">
        <v>4968</v>
      </c>
      <c r="C723" s="49" t="s">
        <v>578</v>
      </c>
      <c r="D723" s="49" t="s">
        <v>579</v>
      </c>
      <c r="E723" s="49" t="s">
        <v>4972</v>
      </c>
      <c r="F723" s="51">
        <v>46184</v>
      </c>
      <c r="G723" s="49">
        <v>1256.5</v>
      </c>
      <c r="H723" s="49" t="s">
        <v>19</v>
      </c>
      <c r="I723" s="51">
        <v>46225</v>
      </c>
      <c r="J723" s="54">
        <f>INT(Cobros[[#This Row],[Fecha Cargo]])</f>
        <v>46184</v>
      </c>
      <c r="K723" s="54">
        <f>INT(Cobros[[#This Row],[Fecha Aplicacion]])</f>
        <v>46225</v>
      </c>
      <c r="L723" s="55" t="str">
        <f>INDEX(Clientes[Días Plazo],MATCH(Cobros[[#This Row],[Cod. Cliente]],Clientes[Codigo],0),1)</f>
        <v>30</v>
      </c>
      <c r="M723" s="45" t="str">
        <f>IF(Cobros[[#This Row],[Dias de Credito]]&lt;=0,"Contado","Credito")</f>
        <v>Credito</v>
      </c>
      <c r="N723" s="45">
        <f>Cobros[[#This Row],[Fecha Aplicación S]]-Cobros[[#This Row],[Fecha Cargo S]]</f>
        <v>41</v>
      </c>
      <c r="O723" s="45">
        <f>Cobros[[#This Row],[Dias al pago]]-Cobros[[#This Row],[Dias de Credito]]</f>
        <v>11</v>
      </c>
      <c r="P723" s="45">
        <f>SUMIFS(TablaDias[Porcentaje],TablaDias[Tipo],Cobros[[#This Row],[Tipo]],TablaDias[Desde ],"&lt;="&amp;MAX(0,Cobros[[#This Row],[Dias pasado]]),TablaDias[Hasta ],"&gt;="&amp;Cobros[[#This Row],[Dias pasado]])</f>
        <v>100</v>
      </c>
      <c r="Q72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3" s="34">
        <f>IF(COUNTIF(PAPEL[Numero],Cobros[[#This Row],[Doc. Cargo]])&gt;0,1,0)</f>
        <v>0</v>
      </c>
      <c r="S723" s="46">
        <f t="array" ref="S7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3" s="46">
        <f t="array" ref="T723">INDEX(Ventas[[Unidades]:[2]],MATCH("Gerente de Venta",Ventas[Vendedor %],0),6+Cobros[[#This Row],[Mes]])</f>
        <v>0.005</v>
      </c>
      <c r="U723" s="34">
        <f>IF(Cobros[[#This Row],[Tipo]]="Credito",IF(60&gt;=Cobros[[#This Row],[Dias al pago]],1,0),IF(Cobros[[#This Row],[Dias al pago]]&lt;=3,1,0))</f>
        <v>1</v>
      </c>
      <c r="V723" s="46">
        <f>(Cobros[[#This Row],[% A pagar Vendedor]]/100)*Cobros[[#This Row],[Valor Pagado]]*Cobros[[#This Row],[Vencido]]*(Cobros[[#This Row],[% aplicar]]/100)*IF(Cobros[[#This Row],[% A pagar Vendedor]]&gt;0,1,0)</f>
        <v>15.70625</v>
      </c>
      <c r="W723" s="46">
        <f>0.5%*Cobros[[#This Row],[Valor Pagado]]</f>
        <v>6.2825</v>
      </c>
      <c r="X723" s="34"/>
    </row>
    <row r="724" spans="1:24">
      <c r="A724" s="49" t="s">
        <v>3860</v>
      </c>
      <c r="B724" s="49" t="s">
        <v>4968</v>
      </c>
      <c r="C724" s="49" t="s">
        <v>578</v>
      </c>
      <c r="D724" s="49" t="s">
        <v>579</v>
      </c>
      <c r="E724" s="49" t="s">
        <v>4973</v>
      </c>
      <c r="F724" s="51">
        <v>46171</v>
      </c>
      <c r="G724" s="49">
        <v>2386.8</v>
      </c>
      <c r="H724" s="49" t="s">
        <v>19</v>
      </c>
      <c r="I724" s="51">
        <v>46225</v>
      </c>
      <c r="J724" s="54">
        <f>INT(Cobros[[#This Row],[Fecha Cargo]])</f>
        <v>46171</v>
      </c>
      <c r="K724" s="54">
        <f>INT(Cobros[[#This Row],[Fecha Aplicacion]])</f>
        <v>46225</v>
      </c>
      <c r="L724" s="55" t="str">
        <f>INDEX(Clientes[Días Plazo],MATCH(Cobros[[#This Row],[Cod. Cliente]],Clientes[Codigo],0),1)</f>
        <v>30</v>
      </c>
      <c r="M724" s="45" t="str">
        <f>IF(Cobros[[#This Row],[Dias de Credito]]&lt;=0,"Contado","Credito")</f>
        <v>Credito</v>
      </c>
      <c r="N724" s="45">
        <f>Cobros[[#This Row],[Fecha Aplicación S]]-Cobros[[#This Row],[Fecha Cargo S]]</f>
        <v>54</v>
      </c>
      <c r="O724" s="45">
        <f>Cobros[[#This Row],[Dias al pago]]-Cobros[[#This Row],[Dias de Credito]]</f>
        <v>24</v>
      </c>
      <c r="P724" s="45">
        <f>SUMIFS(TablaDias[Porcentaje],TablaDias[Tipo],Cobros[[#This Row],[Tipo]],TablaDias[Desde ],"&lt;="&amp;MAX(0,Cobros[[#This Row],[Dias pasado]]),TablaDias[Hasta ],"&gt;="&amp;Cobros[[#This Row],[Dias pasado]])</f>
        <v>50</v>
      </c>
      <c r="Q72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24" s="34">
        <f>IF(COUNTIF(PAPEL[Numero],Cobros[[#This Row],[Doc. Cargo]])&gt;0,1,0)</f>
        <v>0</v>
      </c>
      <c r="S724" s="46">
        <f t="array" ref="S7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24" s="46">
        <f t="array" ref="T724">INDEX(Ventas[[Unidades]:[2]],MATCH("Gerente de Venta",Ventas[Vendedor %],0),6+Cobros[[#This Row],[Mes]])</f>
        <v>0.005</v>
      </c>
      <c r="U724" s="34">
        <f>IF(Cobros[[#This Row],[Tipo]]="Credito",IF(60&gt;=Cobros[[#This Row],[Dias al pago]],1,0),IF(Cobros[[#This Row],[Dias al pago]]&lt;=3,1,0))</f>
        <v>1</v>
      </c>
      <c r="V724" s="46">
        <f>(Cobros[[#This Row],[% A pagar Vendedor]]/100)*Cobros[[#This Row],[Valor Pagado]]*Cobros[[#This Row],[Vencido]]*(Cobros[[#This Row],[% aplicar]]/100)*IF(Cobros[[#This Row],[% A pagar Vendedor]]&gt;0,1,0)</f>
        <v>11.934</v>
      </c>
      <c r="W724" s="46">
        <f>0.5%*Cobros[[#This Row],[Valor Pagado]]</f>
        <v>11.934</v>
      </c>
      <c r="X724" s="34"/>
    </row>
    <row r="725" spans="1:24">
      <c r="A725" s="49" t="s">
        <v>3860</v>
      </c>
      <c r="B725" s="49" t="s">
        <v>4974</v>
      </c>
      <c r="C725" s="49" t="s">
        <v>2912</v>
      </c>
      <c r="D725" s="49" t="s">
        <v>2913</v>
      </c>
      <c r="E725" s="49" t="s">
        <v>4975</v>
      </c>
      <c r="F725" s="51">
        <v>46225</v>
      </c>
      <c r="G725" s="49">
        <v>1195.78</v>
      </c>
      <c r="H725" s="49" t="s">
        <v>16</v>
      </c>
      <c r="I725" s="51">
        <v>46225</v>
      </c>
      <c r="J725" s="54">
        <f>INT(Cobros[[#This Row],[Fecha Cargo]])</f>
        <v>46225</v>
      </c>
      <c r="K725" s="54">
        <f>INT(Cobros[[#This Row],[Fecha Aplicacion]])</f>
        <v>46225</v>
      </c>
      <c r="L725" s="55">
        <f>INDEX(Clientes[Días Plazo],MATCH(Cobros[[#This Row],[Cod. Cliente]],Clientes[Codigo],0),1)</f>
        <v>0</v>
      </c>
      <c r="M725" s="45" t="str">
        <f>IF(Cobros[[#This Row],[Dias de Credito]]&lt;=0,"Contado","Credito")</f>
        <v>Contado</v>
      </c>
      <c r="N725" s="45">
        <f>Cobros[[#This Row],[Fecha Aplicación S]]-Cobros[[#This Row],[Fecha Cargo S]]</f>
        <v>0</v>
      </c>
      <c r="O725" s="45">
        <f>Cobros[[#This Row],[Dias al pago]]-Cobros[[#This Row],[Dias de Credito]]</f>
        <v>0</v>
      </c>
      <c r="P725" s="45">
        <f>SUMIFS(TablaDias[Porcentaje],TablaDias[Tipo],Cobros[[#This Row],[Tipo]],TablaDias[Desde ],"&lt;="&amp;MAX(0,Cobros[[#This Row],[Dias pasado]]),TablaDias[Hasta ],"&gt;="&amp;Cobros[[#This Row],[Dias pasado]])</f>
        <v>100</v>
      </c>
      <c r="Q72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25" s="34">
        <f>IF(COUNTIF(PAPEL[Numero],Cobros[[#This Row],[Doc. Cargo]])&gt;0,1,0)</f>
        <v>0</v>
      </c>
      <c r="S725" s="46">
        <f t="array" ref="S7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5" s="47">
        <v>0.005</v>
      </c>
      <c r="U725" s="34">
        <f>IF(Cobros[[#This Row],[Tipo]]="Credito",IF(60&gt;=Cobros[[#This Row],[Dias al pago]],1,0),IF(Cobros[[#This Row],[Dias al pago]]&lt;=3,1,0))</f>
        <v>1</v>
      </c>
      <c r="V725" s="46">
        <f>(Cobros[[#This Row],[% A pagar Vendedor]]/100)*Cobros[[#This Row],[Valor Pagado]]*Cobros[[#This Row],[Vencido]]*(Cobros[[#This Row],[% aplicar]]/100)*IF(Cobros[[#This Row],[% A pagar Vendedor]]&gt;0,1,0)</f>
        <v>14.94725</v>
      </c>
      <c r="W725" s="46">
        <f>0.5%*Cobros[[#This Row],[Valor Pagado]]</f>
        <v>5.9789</v>
      </c>
      <c r="X725" s="34"/>
    </row>
    <row r="726" spans="1:24">
      <c r="A726" s="49" t="s">
        <v>3860</v>
      </c>
      <c r="B726" s="49" t="s">
        <v>4976</v>
      </c>
      <c r="C726" s="49" t="s">
        <v>1222</v>
      </c>
      <c r="D726" s="49" t="s">
        <v>1223</v>
      </c>
      <c r="E726" s="49" t="s">
        <v>4909</v>
      </c>
      <c r="F726" s="51">
        <v>46223</v>
      </c>
      <c r="G726" s="49">
        <v>53</v>
      </c>
      <c r="H726" s="49" t="s">
        <v>20</v>
      </c>
      <c r="I726" s="51">
        <v>46225</v>
      </c>
      <c r="J726" s="54">
        <f>INT(Cobros[[#This Row],[Fecha Cargo]])</f>
        <v>46223</v>
      </c>
      <c r="K726" s="54">
        <f>INT(Cobros[[#This Row],[Fecha Aplicacion]])</f>
        <v>46225</v>
      </c>
      <c r="L726" s="55" t="str">
        <f>INDEX(Clientes[Días Plazo],MATCH(Cobros[[#This Row],[Cod. Cliente]],Clientes[Codigo],0),1)</f>
        <v>7</v>
      </c>
      <c r="M726" s="45" t="str">
        <f>IF(Cobros[[#This Row],[Dias de Credito]]&lt;=0,"Contado","Credito")</f>
        <v>Credito</v>
      </c>
      <c r="N726" s="45">
        <f>Cobros[[#This Row],[Fecha Aplicación S]]-Cobros[[#This Row],[Fecha Cargo S]]</f>
        <v>2</v>
      </c>
      <c r="O726" s="45">
        <f>Cobros[[#This Row],[Dias al pago]]-Cobros[[#This Row],[Dias de Credito]]</f>
        <v>-5</v>
      </c>
      <c r="P726" s="45">
        <f>SUMIFS(TablaDias[Porcentaje],TablaDias[Tipo],Cobros[[#This Row],[Tipo]],TablaDias[Desde ],"&lt;="&amp;MAX(0,Cobros[[#This Row],[Dias pasado]]),TablaDias[Hasta ],"&gt;="&amp;Cobros[[#This Row],[Dias pasado]])</f>
        <v>100</v>
      </c>
      <c r="Q72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26" s="34">
        <f>IF(COUNTIF(PAPEL[Numero],Cobros[[#This Row],[Doc. Cargo]])&gt;0,1,0)</f>
        <v>0</v>
      </c>
      <c r="S726" s="46">
        <f t="array" ref="S7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6" s="46">
        <f t="array" ref="T726">INDEX(Ventas[[Unidades]:[2]],MATCH("Gerente de Venta",Ventas[Vendedor %],0),6+Cobros[[#This Row],[Mes]])</f>
        <v>0.005</v>
      </c>
      <c r="U726" s="34">
        <f>IF(Cobros[[#This Row],[Tipo]]="Credito",IF(60&gt;=Cobros[[#This Row],[Dias al pago]],1,0),IF(Cobros[[#This Row],[Dias al pago]]&lt;=3,1,0))</f>
        <v>1</v>
      </c>
      <c r="V726" s="46">
        <f>(Cobros[[#This Row],[% A pagar Vendedor]]/100)*Cobros[[#This Row],[Valor Pagado]]*Cobros[[#This Row],[Vencido]]*(Cobros[[#This Row],[% aplicar]]/100)*IF(Cobros[[#This Row],[% A pagar Vendedor]]&gt;0,1,0)</f>
        <v>0.6625</v>
      </c>
      <c r="W726" s="46">
        <f>0.5%*Cobros[[#This Row],[Valor Pagado]]</f>
        <v>0.265</v>
      </c>
      <c r="X726" s="34"/>
    </row>
    <row r="727" ht="30" spans="1:24">
      <c r="A727" s="49" t="s">
        <v>3860</v>
      </c>
      <c r="B727" s="49" t="s">
        <v>4977</v>
      </c>
      <c r="C727" s="49" t="s">
        <v>1664</v>
      </c>
      <c r="D727" s="49" t="s">
        <v>1665</v>
      </c>
      <c r="E727" s="49" t="s">
        <v>4978</v>
      </c>
      <c r="F727" s="51">
        <v>46225</v>
      </c>
      <c r="G727" s="49">
        <v>266</v>
      </c>
      <c r="H727" s="49" t="s">
        <v>22</v>
      </c>
      <c r="I727" s="51">
        <v>46225</v>
      </c>
      <c r="J727" s="54">
        <f>INT(Cobros[[#This Row],[Fecha Cargo]])</f>
        <v>46225</v>
      </c>
      <c r="K727" s="54">
        <f>INT(Cobros[[#This Row],[Fecha Aplicacion]])</f>
        <v>46225</v>
      </c>
      <c r="L727" s="55">
        <f>INDEX(Clientes[Días Plazo],MATCH(Cobros[[#This Row],[Cod. Cliente]],Clientes[Codigo],0),1)</f>
        <v>0</v>
      </c>
      <c r="M727" s="45" t="str">
        <f>IF(Cobros[[#This Row],[Dias de Credito]]&lt;=0,"Contado","Credito")</f>
        <v>Contado</v>
      </c>
      <c r="N727" s="45">
        <f>Cobros[[#This Row],[Fecha Aplicación S]]-Cobros[[#This Row],[Fecha Cargo S]]</f>
        <v>0</v>
      </c>
      <c r="O727" s="45">
        <f>Cobros[[#This Row],[Dias al pago]]-Cobros[[#This Row],[Dias de Credito]]</f>
        <v>0</v>
      </c>
      <c r="P727" s="45">
        <f>SUMIFS(TablaDias[Porcentaje],TablaDias[Tipo],Cobros[[#This Row],[Tipo]],TablaDias[Desde ],"&lt;="&amp;MAX(0,Cobros[[#This Row],[Dias pasado]]),TablaDias[Hasta ],"&gt;="&amp;Cobros[[#This Row],[Dias pasado]])</f>
        <v>100</v>
      </c>
      <c r="Q72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27" s="34">
        <f>IF(COUNTIF(PAPEL[Numero],Cobros[[#This Row],[Doc. Cargo]])&gt;0,1,0)</f>
        <v>0</v>
      </c>
      <c r="S727" s="46">
        <f t="array" ref="S7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27" s="46">
        <f t="array" ref="T727">INDEX(Ventas[[Unidades]:[2]],MATCH("Gerente de Venta",Ventas[Vendedor %],0),6+Cobros[[#This Row],[Mes]])</f>
        <v>0.005</v>
      </c>
      <c r="U727" s="34">
        <f>IF(Cobros[[#This Row],[Tipo]]="Credito",IF(60&gt;=Cobros[[#This Row],[Dias al pago]],1,0),IF(Cobros[[#This Row],[Dias al pago]]&lt;=3,1,0))</f>
        <v>1</v>
      </c>
      <c r="V727" s="46">
        <f>(Cobros[[#This Row],[% A pagar Vendedor]]/100)*Cobros[[#This Row],[Valor Pagado]]*Cobros[[#This Row],[Vencido]]*(Cobros[[#This Row],[% aplicar]]/100)*IF(Cobros[[#This Row],[% A pagar Vendedor]]&gt;0,1,0)</f>
        <v>2.66</v>
      </c>
      <c r="W727" s="46">
        <f>0.5%*Cobros[[#This Row],[Valor Pagado]]</f>
        <v>1.33</v>
      </c>
      <c r="X727" s="34"/>
    </row>
    <row r="728" spans="1:24">
      <c r="A728" s="49" t="s">
        <v>3860</v>
      </c>
      <c r="B728" s="49" t="s">
        <v>4979</v>
      </c>
      <c r="C728" s="49" t="s">
        <v>1845</v>
      </c>
      <c r="D728" s="49" t="s">
        <v>1846</v>
      </c>
      <c r="E728" s="49" t="s">
        <v>4980</v>
      </c>
      <c r="F728" s="51">
        <v>46225</v>
      </c>
      <c r="G728" s="49">
        <v>630</v>
      </c>
      <c r="H728" s="49" t="s">
        <v>18</v>
      </c>
      <c r="I728" s="51">
        <v>46225</v>
      </c>
      <c r="J728" s="54">
        <f>INT(Cobros[[#This Row],[Fecha Cargo]])</f>
        <v>46225</v>
      </c>
      <c r="K728" s="54">
        <f>INT(Cobros[[#This Row],[Fecha Aplicacion]])</f>
        <v>46225</v>
      </c>
      <c r="L728" s="55">
        <f>INDEX(Clientes[Días Plazo],MATCH(Cobros[[#This Row],[Cod. Cliente]],Clientes[Codigo],0),1)</f>
        <v>0</v>
      </c>
      <c r="M728" s="45" t="str">
        <f>IF(Cobros[[#This Row],[Dias de Credito]]&lt;=0,"Contado","Credito")</f>
        <v>Contado</v>
      </c>
      <c r="N728" s="45">
        <f>Cobros[[#This Row],[Fecha Aplicación S]]-Cobros[[#This Row],[Fecha Cargo S]]</f>
        <v>0</v>
      </c>
      <c r="O728" s="45">
        <f>Cobros[[#This Row],[Dias al pago]]-Cobros[[#This Row],[Dias de Credito]]</f>
        <v>0</v>
      </c>
      <c r="P728" s="45">
        <f>SUMIFS(TablaDias[Porcentaje],TablaDias[Tipo],Cobros[[#This Row],[Tipo]],TablaDias[Desde ],"&lt;="&amp;MAX(0,Cobros[[#This Row],[Dias pasado]]),TablaDias[Hasta ],"&gt;="&amp;Cobros[[#This Row],[Dias pasado]])</f>
        <v>100</v>
      </c>
      <c r="Q72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28" s="34">
        <f>IF(COUNTIF(PAPEL[Numero],Cobros[[#This Row],[Doc. Cargo]])&gt;0,1,0)</f>
        <v>0</v>
      </c>
      <c r="S728" s="46">
        <f t="array" ref="S7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28" s="46">
        <f t="array" ref="T728">INDEX(Ventas[[Unidades]:[2]],MATCH("Gerente de Venta",Ventas[Vendedor %],0),6+Cobros[[#This Row],[Mes]])</f>
        <v>0.005</v>
      </c>
      <c r="U728" s="34">
        <f>IF(Cobros[[#This Row],[Tipo]]="Credito",IF(60&gt;=Cobros[[#This Row],[Dias al pago]],1,0),IF(Cobros[[#This Row],[Dias al pago]]&lt;=3,1,0))</f>
        <v>1</v>
      </c>
      <c r="V728" s="46">
        <f>(Cobros[[#This Row],[% A pagar Vendedor]]/100)*Cobros[[#This Row],[Valor Pagado]]*Cobros[[#This Row],[Vencido]]*(Cobros[[#This Row],[% aplicar]]/100)*IF(Cobros[[#This Row],[% A pagar Vendedor]]&gt;0,1,0)</f>
        <v>7.875</v>
      </c>
      <c r="W728" s="46">
        <f>0.5%*Cobros[[#This Row],[Valor Pagado]]</f>
        <v>3.15</v>
      </c>
      <c r="X728" s="34"/>
    </row>
    <row r="729" ht="45" spans="1:24">
      <c r="A729" s="49" t="s">
        <v>3860</v>
      </c>
      <c r="B729" s="49" t="s">
        <v>4981</v>
      </c>
      <c r="C729" s="49" t="s">
        <v>2507</v>
      </c>
      <c r="D729" s="49" t="s">
        <v>2508</v>
      </c>
      <c r="E729" s="49" t="s">
        <v>4982</v>
      </c>
      <c r="F729" s="51">
        <v>46195</v>
      </c>
      <c r="G729" s="49">
        <v>3838.35</v>
      </c>
      <c r="H729" s="49" t="s">
        <v>1355</v>
      </c>
      <c r="I729" s="51">
        <v>46225</v>
      </c>
      <c r="J729" s="54">
        <f>INT(Cobros[[#This Row],[Fecha Cargo]])</f>
        <v>46195</v>
      </c>
      <c r="K729" s="54">
        <f>INT(Cobros[[#This Row],[Fecha Aplicacion]])</f>
        <v>46225</v>
      </c>
      <c r="L729" s="55" t="str">
        <f>INDEX(Clientes[Días Plazo],MATCH(Cobros[[#This Row],[Cod. Cliente]],Clientes[Codigo],0),1)</f>
        <v>15</v>
      </c>
      <c r="M729" s="45" t="str">
        <f>IF(Cobros[[#This Row],[Dias de Credito]]&lt;=0,"Contado","Credito")</f>
        <v>Credito</v>
      </c>
      <c r="N729" s="45">
        <f>Cobros[[#This Row],[Fecha Aplicación S]]-Cobros[[#This Row],[Fecha Cargo S]]</f>
        <v>30</v>
      </c>
      <c r="O729" s="45">
        <f>Cobros[[#This Row],[Dias al pago]]-Cobros[[#This Row],[Dias de Credito]]</f>
        <v>15</v>
      </c>
      <c r="P729" s="45">
        <f>SUMIFS(TablaDias[Porcentaje],TablaDias[Tipo],Cobros[[#This Row],[Tipo]],TablaDias[Desde ],"&lt;="&amp;MAX(0,Cobros[[#This Row],[Dias pasado]]),TablaDias[Hasta ],"&gt;="&amp;Cobros[[#This Row],[Dias pasado]])</f>
        <v>100</v>
      </c>
      <c r="Q72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29" s="34">
        <f>IF(COUNTIF(PAPEL[Numero],Cobros[[#This Row],[Doc. Cargo]])&gt;0,1,0)</f>
        <v>0</v>
      </c>
      <c r="S729" s="46">
        <v>1</v>
      </c>
      <c r="T729" s="46">
        <f t="array" ref="T729">INDEX(Ventas[[Unidades]:[2]],MATCH("Gerente de Venta",Ventas[Vendedor %],0),6+Cobros[[#This Row],[Mes]])</f>
        <v>0.005</v>
      </c>
      <c r="U729" s="34">
        <f>IF(Cobros[[#This Row],[Tipo]]="Credito",IF(60&gt;=Cobros[[#This Row],[Dias al pago]],1,0),IF(Cobros[[#This Row],[Dias al pago]]&lt;=3,1,0))</f>
        <v>1</v>
      </c>
      <c r="V729" s="46">
        <f>(Cobros[[#This Row],[% A pagar Vendedor]]/100)*Cobros[[#This Row],[Valor Pagado]]*Cobros[[#This Row],[Vencido]]*(Cobros[[#This Row],[% aplicar]]/100)*IF(Cobros[[#This Row],[% A pagar Vendedor]]&gt;0,1,0)</f>
        <v>38.3835</v>
      </c>
      <c r="W729" s="46">
        <f>0.5%*Cobros[[#This Row],[Valor Pagado]]</f>
        <v>19.19175</v>
      </c>
      <c r="X729" s="34"/>
    </row>
    <row r="730" spans="1:24">
      <c r="A730" s="49" t="s">
        <v>3875</v>
      </c>
      <c r="B730" s="49" t="s">
        <v>4983</v>
      </c>
      <c r="C730" s="49" t="s">
        <v>2962</v>
      </c>
      <c r="D730" s="49" t="s">
        <v>2963</v>
      </c>
      <c r="E730" s="49" t="s">
        <v>4946</v>
      </c>
      <c r="F730" s="51">
        <v>46224</v>
      </c>
      <c r="G730" s="49">
        <v>100</v>
      </c>
      <c r="H730" s="49" t="s">
        <v>20</v>
      </c>
      <c r="I730" s="51">
        <v>46225</v>
      </c>
      <c r="J730" s="54">
        <f>INT(Cobros[[#This Row],[Fecha Cargo]])</f>
        <v>46224</v>
      </c>
      <c r="K730" s="54">
        <f>INT(Cobros[[#This Row],[Fecha Aplicacion]])</f>
        <v>46225</v>
      </c>
      <c r="L730" s="55">
        <f>INDEX(Clientes[Días Plazo],MATCH(Cobros[[#This Row],[Cod. Cliente]],Clientes[Codigo],0),1)</f>
        <v>0</v>
      </c>
      <c r="M730" s="45" t="str">
        <f>IF(Cobros[[#This Row],[Dias de Credito]]&lt;=0,"Contado","Credito")</f>
        <v>Contado</v>
      </c>
      <c r="N730" s="45">
        <f>Cobros[[#This Row],[Fecha Aplicación S]]-Cobros[[#This Row],[Fecha Cargo S]]</f>
        <v>1</v>
      </c>
      <c r="O730" s="45">
        <f>Cobros[[#This Row],[Dias al pago]]-Cobros[[#This Row],[Dias de Credito]]</f>
        <v>1</v>
      </c>
      <c r="P730" s="45">
        <f>SUMIFS(TablaDias[Porcentaje],TablaDias[Tipo],Cobros[[#This Row],[Tipo]],TablaDias[Desde ],"&lt;="&amp;MAX(0,Cobros[[#This Row],[Dias pasado]]),TablaDias[Hasta ],"&gt;="&amp;Cobros[[#This Row],[Dias pasado]])</f>
        <v>100</v>
      </c>
      <c r="Q73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0" s="34">
        <f>IF(COUNTIF(PAPEL[Numero],Cobros[[#This Row],[Doc. Cargo]])&gt;0,1,0)</f>
        <v>0</v>
      </c>
      <c r="S730" s="46">
        <f t="array" ref="S7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30" s="46">
        <f t="array" ref="T730">INDEX(Ventas[[Unidades]:[2]],MATCH("Gerente de Venta",Ventas[Vendedor %],0),6+Cobros[[#This Row],[Mes]])</f>
        <v>0.005</v>
      </c>
      <c r="U730" s="34">
        <f>IF(Cobros[[#This Row],[Tipo]]="Credito",IF(60&gt;=Cobros[[#This Row],[Dias al pago]],1,0),IF(Cobros[[#This Row],[Dias al pago]]&lt;=3,1,0))</f>
        <v>1</v>
      </c>
      <c r="V730" s="46">
        <f>(Cobros[[#This Row],[% A pagar Vendedor]]/100)*Cobros[[#This Row],[Valor Pagado]]*Cobros[[#This Row],[Vencido]]*(Cobros[[#This Row],[% aplicar]]/100)*IF(Cobros[[#This Row],[% A pagar Vendedor]]&gt;0,1,0)</f>
        <v>1.25</v>
      </c>
      <c r="W730" s="46">
        <f>0.5%*Cobros[[#This Row],[Valor Pagado]]</f>
        <v>0.5</v>
      </c>
      <c r="X730" s="34"/>
    </row>
    <row r="731" ht="30" spans="1:24">
      <c r="A731" s="49" t="s">
        <v>3875</v>
      </c>
      <c r="B731" s="49" t="s">
        <v>4984</v>
      </c>
      <c r="C731" s="49" t="s">
        <v>1482</v>
      </c>
      <c r="D731" s="49" t="s">
        <v>1483</v>
      </c>
      <c r="E731" s="49" t="s">
        <v>4985</v>
      </c>
      <c r="F731" s="51">
        <v>46155</v>
      </c>
      <c r="G731" s="49">
        <v>4.82</v>
      </c>
      <c r="H731" s="49" t="s">
        <v>3865</v>
      </c>
      <c r="I731" s="51">
        <v>46225</v>
      </c>
      <c r="J731" s="54">
        <f>INT(Cobros[[#This Row],[Fecha Cargo]])</f>
        <v>46155</v>
      </c>
      <c r="K731" s="54">
        <f>INT(Cobros[[#This Row],[Fecha Aplicacion]])</f>
        <v>46225</v>
      </c>
      <c r="L731" s="55" t="str">
        <f>INDEX(Clientes[Días Plazo],MATCH(Cobros[[#This Row],[Cod. Cliente]],Clientes[Codigo],0),1)</f>
        <v>30</v>
      </c>
      <c r="M731" s="45" t="str">
        <f>IF(Cobros[[#This Row],[Dias de Credito]]&lt;=0,"Contado","Credito")</f>
        <v>Credito</v>
      </c>
      <c r="N731" s="45">
        <f>Cobros[[#This Row],[Fecha Aplicación S]]-Cobros[[#This Row],[Fecha Cargo S]]</f>
        <v>70</v>
      </c>
      <c r="O731" s="45">
        <f>Cobros[[#This Row],[Dias al pago]]-Cobros[[#This Row],[Dias de Credito]]</f>
        <v>40</v>
      </c>
      <c r="P731" s="45">
        <f>SUMIFS(TablaDias[Porcentaje],TablaDias[Tipo],Cobros[[#This Row],[Tipo]],TablaDias[Desde ],"&lt;="&amp;MAX(0,Cobros[[#This Row],[Dias pasado]]),TablaDias[Hasta ],"&gt;="&amp;Cobros[[#This Row],[Dias pasado]])</f>
        <v>30</v>
      </c>
      <c r="Q73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31" s="34">
        <f>IF(COUNTIF(PAPEL[Numero],Cobros[[#This Row],[Doc. Cargo]])&gt;0,1,0)</f>
        <v>0</v>
      </c>
      <c r="S731" s="46">
        <v>1</v>
      </c>
      <c r="T731" s="46">
        <f t="array" ref="T731">INDEX(Ventas[[Unidades]:[2]],MATCH("Gerente de Venta",Ventas[Vendedor %],0),6+Cobros[[#This Row],[Mes]])</f>
        <v>0.005</v>
      </c>
      <c r="U731" s="34">
        <f>IF(Cobros[[#This Row],[Tipo]]="Credito",IF(60&gt;=Cobros[[#This Row],[Dias al pago]],1,0),IF(Cobros[[#This Row],[Dias al pago]]&lt;=3,1,0))</f>
        <v>0</v>
      </c>
      <c r="V731" s="46">
        <f>(Cobros[[#This Row],[% A pagar Vendedor]]/100)*Cobros[[#This Row],[Valor Pagado]]*Cobros[[#This Row],[Vencido]]*(Cobros[[#This Row],[% aplicar]]/100)*IF(Cobros[[#This Row],[% A pagar Vendedor]]&gt;0,1,0)</f>
        <v>0</v>
      </c>
      <c r="W731" s="46">
        <f>0.5%*Cobros[[#This Row],[Valor Pagado]]</f>
        <v>0.0241</v>
      </c>
      <c r="X731" s="34"/>
    </row>
    <row r="732" spans="1:24">
      <c r="A732" s="49" t="s">
        <v>3875</v>
      </c>
      <c r="B732" s="49" t="s">
        <v>4986</v>
      </c>
      <c r="C732" s="49" t="s">
        <v>1677</v>
      </c>
      <c r="D732" s="49" t="s">
        <v>1678</v>
      </c>
      <c r="E732" s="49" t="s">
        <v>4987</v>
      </c>
      <c r="F732" s="51">
        <v>46225</v>
      </c>
      <c r="G732" s="49">
        <v>930</v>
      </c>
      <c r="H732" s="49" t="s">
        <v>20</v>
      </c>
      <c r="I732" s="51">
        <v>46225</v>
      </c>
      <c r="J732" s="54">
        <f>INT(Cobros[[#This Row],[Fecha Cargo]])</f>
        <v>46225</v>
      </c>
      <c r="K732" s="54">
        <f>INT(Cobros[[#This Row],[Fecha Aplicacion]])</f>
        <v>46225</v>
      </c>
      <c r="L732" s="55">
        <f>INDEX(Clientes[Días Plazo],MATCH(Cobros[[#This Row],[Cod. Cliente]],Clientes[Codigo],0),1)</f>
        <v>0</v>
      </c>
      <c r="M732" s="45" t="str">
        <f>IF(Cobros[[#This Row],[Dias de Credito]]&lt;=0,"Contado","Credito")</f>
        <v>Contado</v>
      </c>
      <c r="N732" s="45">
        <f>Cobros[[#This Row],[Fecha Aplicación S]]-Cobros[[#This Row],[Fecha Cargo S]]</f>
        <v>0</v>
      </c>
      <c r="O732" s="45">
        <f>Cobros[[#This Row],[Dias al pago]]-Cobros[[#This Row],[Dias de Credito]]</f>
        <v>0</v>
      </c>
      <c r="P732" s="45">
        <f>SUMIFS(TablaDias[Porcentaje],TablaDias[Tipo],Cobros[[#This Row],[Tipo]],TablaDias[Desde ],"&lt;="&amp;MAX(0,Cobros[[#This Row],[Dias pasado]]),TablaDias[Hasta ],"&gt;="&amp;Cobros[[#This Row],[Dias pasado]])</f>
        <v>100</v>
      </c>
      <c r="Q73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2" s="34">
        <f>IF(COUNTIF(PAPEL[Numero],Cobros[[#This Row],[Doc. Cargo]])&gt;0,1,0)</f>
        <v>0</v>
      </c>
      <c r="S732" s="46">
        <f t="array" ref="S7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32" s="46">
        <f t="array" ref="T732">INDEX(Ventas[[Unidades]:[2]],MATCH("Gerente de Venta",Ventas[Vendedor %],0),6+Cobros[[#This Row],[Mes]])</f>
        <v>0.005</v>
      </c>
      <c r="U732" s="34">
        <f>IF(Cobros[[#This Row],[Tipo]]="Credito",IF(60&gt;=Cobros[[#This Row],[Dias al pago]],1,0),IF(Cobros[[#This Row],[Dias al pago]]&lt;=3,1,0))</f>
        <v>1</v>
      </c>
      <c r="V732" s="46">
        <f>(Cobros[[#This Row],[% A pagar Vendedor]]/100)*Cobros[[#This Row],[Valor Pagado]]*Cobros[[#This Row],[Vencido]]*(Cobros[[#This Row],[% aplicar]]/100)*IF(Cobros[[#This Row],[% A pagar Vendedor]]&gt;0,1,0)</f>
        <v>11.625</v>
      </c>
      <c r="W732" s="46">
        <v>4.65</v>
      </c>
      <c r="X732" s="34"/>
    </row>
    <row r="733" ht="30" spans="1:24">
      <c r="A733" s="49" t="s">
        <v>3860</v>
      </c>
      <c r="B733" s="49" t="s">
        <v>4988</v>
      </c>
      <c r="C733" s="49" t="s">
        <v>562</v>
      </c>
      <c r="D733" s="49" t="s">
        <v>563</v>
      </c>
      <c r="E733" s="49" t="s">
        <v>4989</v>
      </c>
      <c r="F733" s="51">
        <v>46224</v>
      </c>
      <c r="G733" s="49">
        <v>1217.58</v>
      </c>
      <c r="H733" s="49" t="s">
        <v>3865</v>
      </c>
      <c r="I733" s="51">
        <v>46225</v>
      </c>
      <c r="J733" s="54">
        <f>INT(Cobros[[#This Row],[Fecha Cargo]])</f>
        <v>46224</v>
      </c>
      <c r="K733" s="54">
        <f>INT(Cobros[[#This Row],[Fecha Aplicacion]])</f>
        <v>46225</v>
      </c>
      <c r="L733" s="55">
        <f>INDEX(Clientes[Días Plazo],MATCH(Cobros[[#This Row],[Cod. Cliente]],Clientes[Codigo],0),1)</f>
        <v>0</v>
      </c>
      <c r="M733" s="45" t="str">
        <f>IF(Cobros[[#This Row],[Dias de Credito]]&lt;=0,"Contado","Credito")</f>
        <v>Contado</v>
      </c>
      <c r="N733" s="45">
        <f>Cobros[[#This Row],[Fecha Aplicación S]]-Cobros[[#This Row],[Fecha Cargo S]]</f>
        <v>1</v>
      </c>
      <c r="O733" s="45">
        <f>Cobros[[#This Row],[Dias al pago]]-Cobros[[#This Row],[Dias de Credito]]</f>
        <v>1</v>
      </c>
      <c r="P733" s="45">
        <f>SUMIFS(TablaDias[Porcentaje],TablaDias[Tipo],Cobros[[#This Row],[Tipo]],TablaDias[Desde ],"&lt;="&amp;MAX(0,Cobros[[#This Row],[Dias pasado]]),TablaDias[Hasta ],"&gt;="&amp;Cobros[[#This Row],[Dias pasado]])</f>
        <v>100</v>
      </c>
      <c r="Q73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3" s="34">
        <f>IF(COUNTIF(PAPEL[Numero],Cobros[[#This Row],[Doc. Cargo]])&gt;0,1,0)</f>
        <v>0</v>
      </c>
      <c r="S733" s="46">
        <v>1</v>
      </c>
      <c r="T733" s="46">
        <f t="array" ref="T733">INDEX(Ventas[[Unidades]:[2]],MATCH("Gerente de Venta",Ventas[Vendedor %],0),6+Cobros[[#This Row],[Mes]])</f>
        <v>0.005</v>
      </c>
      <c r="U733" s="34">
        <f>IF(Cobros[[#This Row],[Tipo]]="Credito",IF(60&gt;=Cobros[[#This Row],[Dias al pago]],1,0),IF(Cobros[[#This Row],[Dias al pago]]&lt;=3,1,0))</f>
        <v>1</v>
      </c>
      <c r="V733" s="46">
        <f>(Cobros[[#This Row],[% A pagar Vendedor]]/100)*Cobros[[#This Row],[Valor Pagado]]*Cobros[[#This Row],[Vencido]]*(Cobros[[#This Row],[% aplicar]]/100)*IF(Cobros[[#This Row],[% A pagar Vendedor]]&gt;0,1,0)</f>
        <v>12.1758</v>
      </c>
      <c r="W733" s="46">
        <f>0.5%*Cobros[[#This Row],[Valor Pagado]]</f>
        <v>6.0879</v>
      </c>
      <c r="X733" s="34"/>
    </row>
    <row r="734" ht="30" spans="1:24">
      <c r="A734" s="49" t="s">
        <v>3860</v>
      </c>
      <c r="B734" s="49" t="s">
        <v>4990</v>
      </c>
      <c r="C734" s="49" t="s">
        <v>562</v>
      </c>
      <c r="D734" s="49" t="s">
        <v>563</v>
      </c>
      <c r="E734" s="49" t="s">
        <v>4989</v>
      </c>
      <c r="F734" s="51">
        <v>46224</v>
      </c>
      <c r="G734" s="49">
        <v>100</v>
      </c>
      <c r="H734" s="49" t="s">
        <v>3865</v>
      </c>
      <c r="I734" s="51">
        <v>46225</v>
      </c>
      <c r="J734" s="54">
        <f>INT(Cobros[[#This Row],[Fecha Cargo]])</f>
        <v>46224</v>
      </c>
      <c r="K734" s="54">
        <f>INT(Cobros[[#This Row],[Fecha Aplicacion]])</f>
        <v>46225</v>
      </c>
      <c r="L734" s="55">
        <f>INDEX(Clientes[Días Plazo],MATCH(Cobros[[#This Row],[Cod. Cliente]],Clientes[Codigo],0),1)</f>
        <v>0</v>
      </c>
      <c r="M734" s="45" t="str">
        <f>IF(Cobros[[#This Row],[Dias de Credito]]&lt;=0,"Contado","Credito")</f>
        <v>Contado</v>
      </c>
      <c r="N734" s="45">
        <f>Cobros[[#This Row],[Fecha Aplicación S]]-Cobros[[#This Row],[Fecha Cargo S]]</f>
        <v>1</v>
      </c>
      <c r="O734" s="45">
        <f>Cobros[[#This Row],[Dias al pago]]-Cobros[[#This Row],[Dias de Credito]]</f>
        <v>1</v>
      </c>
      <c r="P734" s="45">
        <f>SUMIFS(TablaDias[Porcentaje],TablaDias[Tipo],Cobros[[#This Row],[Tipo]],TablaDias[Desde ],"&lt;="&amp;MAX(0,Cobros[[#This Row],[Dias pasado]]),TablaDias[Hasta ],"&gt;="&amp;Cobros[[#This Row],[Dias pasado]])</f>
        <v>100</v>
      </c>
      <c r="Q7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4" s="34">
        <f>IF(COUNTIF(PAPEL[Numero],Cobros[[#This Row],[Doc. Cargo]])&gt;0,1,0)</f>
        <v>0</v>
      </c>
      <c r="S734" s="46">
        <v>1</v>
      </c>
      <c r="T734" s="46">
        <f t="array" ref="T734">INDEX(Ventas[[Unidades]:[2]],MATCH("Gerente de Venta",Ventas[Vendedor %],0),6+Cobros[[#This Row],[Mes]])</f>
        <v>0.005</v>
      </c>
      <c r="U734" s="34">
        <f>IF(Cobros[[#This Row],[Tipo]]="Credito",IF(60&gt;=Cobros[[#This Row],[Dias al pago]],1,0),IF(Cobros[[#This Row],[Dias al pago]]&lt;=3,1,0))</f>
        <v>1</v>
      </c>
      <c r="V734" s="46">
        <f>(Cobros[[#This Row],[% A pagar Vendedor]]/100)*Cobros[[#This Row],[Valor Pagado]]*Cobros[[#This Row],[Vencido]]*(Cobros[[#This Row],[% aplicar]]/100)*IF(Cobros[[#This Row],[% A pagar Vendedor]]&gt;0,1,0)</f>
        <v>1</v>
      </c>
      <c r="W734" s="46">
        <f>0.5%*Cobros[[#This Row],[Valor Pagado]]</f>
        <v>0.5</v>
      </c>
      <c r="X734" s="34"/>
    </row>
    <row r="735" spans="1:24">
      <c r="A735" s="49" t="s">
        <v>3884</v>
      </c>
      <c r="B735" s="49" t="s">
        <v>4991</v>
      </c>
      <c r="C735" s="49" t="s">
        <v>3147</v>
      </c>
      <c r="D735" s="49" t="s">
        <v>3148</v>
      </c>
      <c r="E735" s="49" t="s">
        <v>4992</v>
      </c>
      <c r="F735" s="51">
        <v>46225</v>
      </c>
      <c r="G735" s="49">
        <v>210</v>
      </c>
      <c r="H735" s="49" t="s">
        <v>18</v>
      </c>
      <c r="I735" s="51">
        <v>46225</v>
      </c>
      <c r="J735" s="54">
        <f>INT(Cobros[[#This Row],[Fecha Cargo]])</f>
        <v>46225</v>
      </c>
      <c r="K735" s="54">
        <f>INT(Cobros[[#This Row],[Fecha Aplicacion]])</f>
        <v>46225</v>
      </c>
      <c r="L735" s="55">
        <f>INDEX(Clientes[Días Plazo],MATCH(Cobros[[#This Row],[Cod. Cliente]],Clientes[Codigo],0),1)</f>
        <v>0</v>
      </c>
      <c r="M735" s="45" t="str">
        <f>IF(Cobros[[#This Row],[Dias de Credito]]&lt;=0,"Contado","Credito")</f>
        <v>Contado</v>
      </c>
      <c r="N735" s="45">
        <f>Cobros[[#This Row],[Fecha Aplicación S]]-Cobros[[#This Row],[Fecha Cargo S]]</f>
        <v>0</v>
      </c>
      <c r="O735" s="45">
        <f>Cobros[[#This Row],[Dias al pago]]-Cobros[[#This Row],[Dias de Credito]]</f>
        <v>0</v>
      </c>
      <c r="P735" s="45">
        <f>SUMIFS(TablaDias[Porcentaje],TablaDias[Tipo],Cobros[[#This Row],[Tipo]],TablaDias[Desde ],"&lt;="&amp;MAX(0,Cobros[[#This Row],[Dias pasado]]),TablaDias[Hasta ],"&gt;="&amp;Cobros[[#This Row],[Dias pasado]])</f>
        <v>100</v>
      </c>
      <c r="Q73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5" s="34">
        <f>IF(COUNTIF(PAPEL[Numero],Cobros[[#This Row],[Doc. Cargo]])&gt;0,1,0)</f>
        <v>0</v>
      </c>
      <c r="S735" s="46">
        <f t="array" ref="S73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35" s="46">
        <f t="array" ref="T735">INDEX(Ventas[[Unidades]:[2]],MATCH("Gerente de Venta",Ventas[Vendedor %],0),6+Cobros[[#This Row],[Mes]])</f>
        <v>0.005</v>
      </c>
      <c r="U735" s="34">
        <f>IF(Cobros[[#This Row],[Tipo]]="Credito",IF(60&gt;=Cobros[[#This Row],[Dias al pago]],1,0),IF(Cobros[[#This Row],[Dias al pago]]&lt;=3,1,0))</f>
        <v>1</v>
      </c>
      <c r="V735" s="46">
        <f>(Cobros[[#This Row],[% A pagar Vendedor]]/100)*Cobros[[#This Row],[Valor Pagado]]*Cobros[[#This Row],[Vencido]]*(Cobros[[#This Row],[% aplicar]]/100)*IF(Cobros[[#This Row],[% A pagar Vendedor]]&gt;0,1,0)</f>
        <v>2.625</v>
      </c>
      <c r="W735" s="46">
        <f>0.5%*Cobros[[#This Row],[Valor Pagado]]</f>
        <v>1.05</v>
      </c>
      <c r="X735" s="34"/>
    </row>
    <row r="736" spans="1:24">
      <c r="A736" s="49" t="s">
        <v>3860</v>
      </c>
      <c r="B736" s="49" t="s">
        <v>4993</v>
      </c>
      <c r="C736" s="49" t="s">
        <v>3576</v>
      </c>
      <c r="D736" s="49" t="s">
        <v>3577</v>
      </c>
      <c r="E736" s="49" t="s">
        <v>4994</v>
      </c>
      <c r="F736" s="51">
        <v>46175</v>
      </c>
      <c r="G736" s="49">
        <v>430</v>
      </c>
      <c r="H736" s="49" t="s">
        <v>16</v>
      </c>
      <c r="I736" s="51">
        <v>46225</v>
      </c>
      <c r="J736" s="54">
        <f>INT(Cobros[[#This Row],[Fecha Cargo]])</f>
        <v>46175</v>
      </c>
      <c r="K736" s="54">
        <f>INT(Cobros[[#This Row],[Fecha Aplicacion]])</f>
        <v>46225</v>
      </c>
      <c r="L736" s="55" t="str">
        <f>INDEX(Clientes[Días Plazo],MATCH(Cobros[[#This Row],[Cod. Cliente]],Clientes[Codigo],0),1)</f>
        <v>15</v>
      </c>
      <c r="M736" s="45" t="str">
        <f>IF(Cobros[[#This Row],[Dias de Credito]]&lt;=0,"Contado","Credito")</f>
        <v>Credito</v>
      </c>
      <c r="N736" s="45">
        <f>Cobros[[#This Row],[Fecha Aplicación S]]-Cobros[[#This Row],[Fecha Cargo S]]</f>
        <v>50</v>
      </c>
      <c r="O736" s="45">
        <f>Cobros[[#This Row],[Dias al pago]]-Cobros[[#This Row],[Dias de Credito]]</f>
        <v>35</v>
      </c>
      <c r="P736" s="45">
        <f>SUMIFS(TablaDias[Porcentaje],TablaDias[Tipo],Cobros[[#This Row],[Tipo]],TablaDias[Desde ],"&lt;="&amp;MAX(0,Cobros[[#This Row],[Dias pasado]]),TablaDias[Hasta ],"&gt;="&amp;Cobros[[#This Row],[Dias pasado]])</f>
        <v>30</v>
      </c>
      <c r="Q73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36" s="34">
        <f>IF(COUNTIF(PAPEL[Numero],Cobros[[#This Row],[Doc. Cargo]])&gt;0,1,0)</f>
        <v>0</v>
      </c>
      <c r="S736" s="46">
        <f t="array" ref="S73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36" s="47">
        <v>0.005</v>
      </c>
      <c r="U736" s="34">
        <v>1</v>
      </c>
      <c r="V736" s="46">
        <f>(Cobros[[#This Row],[% A pagar Vendedor]]/100)*Cobros[[#This Row],[Valor Pagado]]*Cobros[[#This Row],[Vencido]]*(Cobros[[#This Row],[% aplicar]]/100)*IF(Cobros[[#This Row],[% A pagar Vendedor]]&gt;0,1,0)</f>
        <v>1.29</v>
      </c>
      <c r="W736" s="46">
        <f>0.5%*Cobros[[#This Row],[Valor Pagado]]</f>
        <v>2.15</v>
      </c>
      <c r="X736" s="34"/>
    </row>
    <row r="737" spans="1:24">
      <c r="A737" s="49" t="s">
        <v>3860</v>
      </c>
      <c r="B737" s="49" t="s">
        <v>4993</v>
      </c>
      <c r="C737" s="49" t="s">
        <v>3576</v>
      </c>
      <c r="D737" s="49" t="s">
        <v>3577</v>
      </c>
      <c r="E737" s="49" t="s">
        <v>4995</v>
      </c>
      <c r="F737" s="51">
        <v>46177</v>
      </c>
      <c r="G737" s="49">
        <v>481</v>
      </c>
      <c r="H737" s="49" t="s">
        <v>16</v>
      </c>
      <c r="I737" s="51">
        <v>46225</v>
      </c>
      <c r="J737" s="54">
        <f>INT(Cobros[[#This Row],[Fecha Cargo]])</f>
        <v>46177</v>
      </c>
      <c r="K737" s="54">
        <f>INT(Cobros[[#This Row],[Fecha Aplicacion]])</f>
        <v>46225</v>
      </c>
      <c r="L737" s="55" t="str">
        <f>INDEX(Clientes[Días Plazo],MATCH(Cobros[[#This Row],[Cod. Cliente]],Clientes[Codigo],0),1)</f>
        <v>15</v>
      </c>
      <c r="M737" s="45" t="str">
        <f>IF(Cobros[[#This Row],[Dias de Credito]]&lt;=0,"Contado","Credito")</f>
        <v>Credito</v>
      </c>
      <c r="N737" s="45">
        <f>Cobros[[#This Row],[Fecha Aplicación S]]-Cobros[[#This Row],[Fecha Cargo S]]</f>
        <v>48</v>
      </c>
      <c r="O737" s="45">
        <f>Cobros[[#This Row],[Dias al pago]]-Cobros[[#This Row],[Dias de Credito]]</f>
        <v>33</v>
      </c>
      <c r="P737" s="45">
        <f>SUMIFS(TablaDias[Porcentaje],TablaDias[Tipo],Cobros[[#This Row],[Tipo]],TablaDias[Desde ],"&lt;="&amp;MAX(0,Cobros[[#This Row],[Dias pasado]]),TablaDias[Hasta ],"&gt;="&amp;Cobros[[#This Row],[Dias pasado]])</f>
        <v>30</v>
      </c>
      <c r="Q73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37" s="34">
        <f>IF(COUNTIF(PAPEL[Numero],Cobros[[#This Row],[Doc. Cargo]])&gt;0,1,0)</f>
        <v>0</v>
      </c>
      <c r="S737" s="46">
        <f t="array" ref="S7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37" s="47">
        <v>0.005</v>
      </c>
      <c r="U737" s="34">
        <f>IF(Cobros[[#This Row],[Tipo]]="Credito",IF(60&gt;=Cobros[[#This Row],[Dias al pago]],1,0),IF(Cobros[[#This Row],[Dias al pago]]&lt;=3,1,0))</f>
        <v>1</v>
      </c>
      <c r="V737" s="46">
        <f>(Cobros[[#This Row],[% A pagar Vendedor]]/100)*Cobros[[#This Row],[Valor Pagado]]*Cobros[[#This Row],[Vencido]]*(Cobros[[#This Row],[% aplicar]]/100)*IF(Cobros[[#This Row],[% A pagar Vendedor]]&gt;0,1,0)</f>
        <v>1.443</v>
      </c>
      <c r="W737" s="46">
        <v>2.405</v>
      </c>
      <c r="X737" s="34"/>
    </row>
    <row r="738" ht="30" spans="1:24">
      <c r="A738" s="49" t="s">
        <v>3875</v>
      </c>
      <c r="B738" s="49" t="s">
        <v>4996</v>
      </c>
      <c r="C738" s="49" t="s">
        <v>960</v>
      </c>
      <c r="D738" s="49" t="s">
        <v>961</v>
      </c>
      <c r="E738" s="49" t="s">
        <v>4853</v>
      </c>
      <c r="F738" s="51">
        <v>46219</v>
      </c>
      <c r="G738" s="49">
        <v>700</v>
      </c>
      <c r="H738" s="49" t="s">
        <v>22</v>
      </c>
      <c r="I738" s="51">
        <v>46225</v>
      </c>
      <c r="J738" s="54">
        <f>INT(Cobros[[#This Row],[Fecha Cargo]])</f>
        <v>46219</v>
      </c>
      <c r="K738" s="54">
        <f>INT(Cobros[[#This Row],[Fecha Aplicacion]])</f>
        <v>46225</v>
      </c>
      <c r="L738" s="55" t="str">
        <f>INDEX(Clientes[Días Plazo],MATCH(Cobros[[#This Row],[Cod. Cliente]],Clientes[Codigo],0),1)</f>
        <v>21</v>
      </c>
      <c r="M738" s="45" t="str">
        <f>IF(Cobros[[#This Row],[Dias de Credito]]&lt;=0,"Contado","Credito")</f>
        <v>Credito</v>
      </c>
      <c r="N738" s="45">
        <f>Cobros[[#This Row],[Fecha Aplicación S]]-Cobros[[#This Row],[Fecha Cargo S]]</f>
        <v>6</v>
      </c>
      <c r="O738" s="45">
        <f>Cobros[[#This Row],[Dias al pago]]-Cobros[[#This Row],[Dias de Credito]]</f>
        <v>-15</v>
      </c>
      <c r="P738" s="45">
        <f>SUMIFS(TablaDias[Porcentaje],TablaDias[Tipo],Cobros[[#This Row],[Tipo]],TablaDias[Desde ],"&lt;="&amp;MAX(0,Cobros[[#This Row],[Dias pasado]]),TablaDias[Hasta ],"&gt;="&amp;Cobros[[#This Row],[Dias pasado]])</f>
        <v>100</v>
      </c>
      <c r="Q73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38" s="34">
        <f>IF(COUNTIF(PAPEL[Numero],Cobros[[#This Row],[Doc. Cargo]])&gt;0,1,0)</f>
        <v>0</v>
      </c>
      <c r="S738" s="46">
        <f t="array" ref="S7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38" s="46">
        <f t="array" ref="T738">INDEX(Ventas[[Unidades]:[2]],MATCH("Gerente de Venta",Ventas[Vendedor %],0),6+Cobros[[#This Row],[Mes]])</f>
        <v>0.005</v>
      </c>
      <c r="U738" s="34">
        <f>IF(Cobros[[#This Row],[Tipo]]="Credito",IF(60&gt;=Cobros[[#This Row],[Dias al pago]],1,0),IF(Cobros[[#This Row],[Dias al pago]]&lt;=3,1,0))</f>
        <v>1</v>
      </c>
      <c r="V738" s="46">
        <f>(Cobros[[#This Row],[% A pagar Vendedor]]/100)*Cobros[[#This Row],[Valor Pagado]]*Cobros[[#This Row],[Vencido]]*(Cobros[[#This Row],[% aplicar]]/100)*IF(Cobros[[#This Row],[% A pagar Vendedor]]&gt;0,1,0)</f>
        <v>7</v>
      </c>
      <c r="W738" s="46">
        <f>0.5%*Cobros[[#This Row],[Valor Pagado]]</f>
        <v>3.5</v>
      </c>
      <c r="X738" s="62"/>
    </row>
    <row r="739" ht="30" spans="1:24">
      <c r="A739" s="49" t="s">
        <v>3931</v>
      </c>
      <c r="B739" s="49" t="s">
        <v>4997</v>
      </c>
      <c r="C739" s="49" t="s">
        <v>442</v>
      </c>
      <c r="D739" s="49" t="s">
        <v>443</v>
      </c>
      <c r="E739" s="49" t="s">
        <v>4998</v>
      </c>
      <c r="F739" s="51">
        <v>46195</v>
      </c>
      <c r="G739" s="49">
        <v>275.7</v>
      </c>
      <c r="H739" s="49" t="s">
        <v>1355</v>
      </c>
      <c r="I739" s="51">
        <v>46225</v>
      </c>
      <c r="J739" s="54">
        <f>INT(Cobros[[#This Row],[Fecha Cargo]])</f>
        <v>46195</v>
      </c>
      <c r="K739" s="54">
        <f>INT(Cobros[[#This Row],[Fecha Aplicacion]])</f>
        <v>46225</v>
      </c>
      <c r="L739" s="55" t="str">
        <f>INDEX(Clientes[Días Plazo],MATCH(Cobros[[#This Row],[Cod. Cliente]],Clientes[Codigo],0),1)</f>
        <v>15</v>
      </c>
      <c r="M739" s="45" t="str">
        <f>IF(Cobros[[#This Row],[Dias de Credito]]&lt;=0,"Contado","Credito")</f>
        <v>Credito</v>
      </c>
      <c r="N739" s="45">
        <f>Cobros[[#This Row],[Fecha Aplicación S]]-Cobros[[#This Row],[Fecha Cargo S]]</f>
        <v>30</v>
      </c>
      <c r="O739" s="45">
        <f>Cobros[[#This Row],[Dias al pago]]-Cobros[[#This Row],[Dias de Credito]]</f>
        <v>15</v>
      </c>
      <c r="P739" s="45">
        <f>SUMIFS(TablaDias[Porcentaje],TablaDias[Tipo],Cobros[[#This Row],[Tipo]],TablaDias[Desde ],"&lt;="&amp;MAX(0,Cobros[[#This Row],[Dias pasado]]),TablaDias[Hasta ],"&gt;="&amp;Cobros[[#This Row],[Dias pasado]])</f>
        <v>100</v>
      </c>
      <c r="Q73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39" s="34">
        <f>IF(COUNTIF(PAPEL[Numero],Cobros[[#This Row],[Doc. Cargo]])&gt;0,1,0)</f>
        <v>0</v>
      </c>
      <c r="S739" s="46">
        <v>1</v>
      </c>
      <c r="T739" s="46">
        <f t="array" ref="T739">INDEX(Ventas[[Unidades]:[2]],MATCH("Gerente de Venta",Ventas[Vendedor %],0),6+Cobros[[#This Row],[Mes]])</f>
        <v>0.005</v>
      </c>
      <c r="U739" s="34">
        <f>IF(Cobros[[#This Row],[Tipo]]="Credito",IF(60&gt;=Cobros[[#This Row],[Dias al pago]],1,0),IF(Cobros[[#This Row],[Dias al pago]]&lt;=3,1,0))</f>
        <v>1</v>
      </c>
      <c r="V739" s="46">
        <f>(Cobros[[#This Row],[% A pagar Vendedor]]/100)*Cobros[[#This Row],[Valor Pagado]]*Cobros[[#This Row],[Vencido]]*(Cobros[[#This Row],[% aplicar]]/100)*IF(Cobros[[#This Row],[% A pagar Vendedor]]&gt;0,1,0)</f>
        <v>2.757</v>
      </c>
      <c r="W739" s="46">
        <f>0.5%*Cobros[[#This Row],[Valor Pagado]]</f>
        <v>1.3785</v>
      </c>
      <c r="X739" s="62"/>
    </row>
    <row r="740" ht="30" spans="1:24">
      <c r="A740" s="49" t="s">
        <v>3931</v>
      </c>
      <c r="B740" s="49" t="s">
        <v>4997</v>
      </c>
      <c r="C740" s="49" t="s">
        <v>442</v>
      </c>
      <c r="D740" s="49" t="s">
        <v>443</v>
      </c>
      <c r="E740" s="49" t="s">
        <v>4999</v>
      </c>
      <c r="F740" s="51">
        <v>46195</v>
      </c>
      <c r="G740" s="49">
        <v>1224.3</v>
      </c>
      <c r="H740" s="49" t="s">
        <v>1355</v>
      </c>
      <c r="I740" s="51">
        <v>46225</v>
      </c>
      <c r="J740" s="54">
        <f>INT(Cobros[[#This Row],[Fecha Cargo]])</f>
        <v>46195</v>
      </c>
      <c r="K740" s="54">
        <f>INT(Cobros[[#This Row],[Fecha Aplicacion]])</f>
        <v>46225</v>
      </c>
      <c r="L740" s="55" t="str">
        <f>INDEX(Clientes[Días Plazo],MATCH(Cobros[[#This Row],[Cod. Cliente]],Clientes[Codigo],0),1)</f>
        <v>15</v>
      </c>
      <c r="M740" s="45" t="str">
        <f>IF(Cobros[[#This Row],[Dias de Credito]]&lt;=0,"Contado","Credito")</f>
        <v>Credito</v>
      </c>
      <c r="N740" s="45">
        <f>Cobros[[#This Row],[Fecha Aplicación S]]-Cobros[[#This Row],[Fecha Cargo S]]</f>
        <v>30</v>
      </c>
      <c r="O740" s="45">
        <f>Cobros[[#This Row],[Dias al pago]]-Cobros[[#This Row],[Dias de Credito]]</f>
        <v>15</v>
      </c>
      <c r="P740" s="45">
        <f>SUMIFS(TablaDias[Porcentaje],TablaDias[Tipo],Cobros[[#This Row],[Tipo]],TablaDias[Desde ],"&lt;="&amp;MAX(0,Cobros[[#This Row],[Dias pasado]]),TablaDias[Hasta ],"&gt;="&amp;Cobros[[#This Row],[Dias pasado]])</f>
        <v>100</v>
      </c>
      <c r="Q7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40" s="34">
        <f>IF(COUNTIF(PAPEL[Numero],Cobros[[#This Row],[Doc. Cargo]])&gt;0,1,0)</f>
        <v>0</v>
      </c>
      <c r="S740" s="46">
        <v>1</v>
      </c>
      <c r="T740" s="46">
        <f t="array" ref="T740">INDEX(Ventas[[Unidades]:[2]],MATCH("Gerente de Venta",Ventas[Vendedor %],0),6+Cobros[[#This Row],[Mes]])</f>
        <v>0.005</v>
      </c>
      <c r="U740" s="34">
        <f>IF(Cobros[[#This Row],[Tipo]]="Credito",IF(60&gt;=Cobros[[#This Row],[Dias al pago]],1,0),IF(Cobros[[#This Row],[Dias al pago]]&lt;=3,1,0))</f>
        <v>1</v>
      </c>
      <c r="V740" s="46">
        <f>(Cobros[[#This Row],[% A pagar Vendedor]]/100)*Cobros[[#This Row],[Valor Pagado]]*Cobros[[#This Row],[Vencido]]*(Cobros[[#This Row],[% aplicar]]/100)*IF(Cobros[[#This Row],[% A pagar Vendedor]]&gt;0,1,0)</f>
        <v>12.243</v>
      </c>
      <c r="W740" s="46">
        <f>0.5%*Cobros[[#This Row],[Valor Pagado]]</f>
        <v>6.1215</v>
      </c>
      <c r="X740" s="34"/>
    </row>
    <row r="741" ht="30" spans="1:24">
      <c r="A741" s="49" t="s">
        <v>3931</v>
      </c>
      <c r="B741" s="49" t="s">
        <v>5000</v>
      </c>
      <c r="C741" s="49" t="s">
        <v>1790</v>
      </c>
      <c r="D741" s="49" t="s">
        <v>1791</v>
      </c>
      <c r="E741" s="49" t="s">
        <v>4270</v>
      </c>
      <c r="F741" s="51">
        <v>46209</v>
      </c>
      <c r="G741" s="49">
        <v>294</v>
      </c>
      <c r="H741" s="49" t="s">
        <v>22</v>
      </c>
      <c r="I741" s="51">
        <v>46225</v>
      </c>
      <c r="J741" s="54">
        <f>INT(Cobros[[#This Row],[Fecha Cargo]])</f>
        <v>46209</v>
      </c>
      <c r="K741" s="54">
        <f>INT(Cobros[[#This Row],[Fecha Aplicacion]])</f>
        <v>46225</v>
      </c>
      <c r="L741" s="55">
        <v>0</v>
      </c>
      <c r="M741" s="45" t="str">
        <f>IF(Cobros[[#This Row],[Dias de Credito]]&lt;=0,"Contado","Credito")</f>
        <v>Contado</v>
      </c>
      <c r="N741" s="45">
        <f>Cobros[[#This Row],[Fecha Aplicación S]]-Cobros[[#This Row],[Fecha Cargo S]]</f>
        <v>16</v>
      </c>
      <c r="O741" s="45">
        <f>Cobros[[#This Row],[Dias al pago]]-Cobros[[#This Row],[Dias de Credito]]</f>
        <v>16</v>
      </c>
      <c r="P741" s="45">
        <f>SUMIFS(TablaDias[Porcentaje],TablaDias[Tipo],Cobros[[#This Row],[Tipo]],TablaDias[Desde ],"&lt;="&amp;MAX(0,Cobros[[#This Row],[Dias pasado]]),TablaDias[Hasta ],"&gt;="&amp;Cobros[[#This Row],[Dias pasado]])</f>
        <v>0</v>
      </c>
      <c r="Q74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1" s="34">
        <f>IF(COUNTIF(PAPEL[Numero],Cobros[[#This Row],[Doc. Cargo]])&gt;0,1,0)</f>
        <v>0</v>
      </c>
      <c r="S741" s="46">
        <f t="array" ref="S7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41" s="46">
        <f t="array" ref="T741">INDEX(Ventas[[Unidades]:[2]],MATCH("Gerente de Venta",Ventas[Vendedor %],0),6+Cobros[[#This Row],[Mes]])</f>
        <v>0.005</v>
      </c>
      <c r="U741" s="34">
        <f>IF(Cobros[[#This Row],[Tipo]]="Credito",IF(60&gt;=Cobros[[#This Row],[Dias al pago]],1,0),IF(Cobros[[#This Row],[Dias al pago]]&lt;=3,1,0))</f>
        <v>0</v>
      </c>
      <c r="V741" s="46">
        <f>(Cobros[[#This Row],[% A pagar Vendedor]]/100)*Cobros[[#This Row],[Valor Pagado]]*Cobros[[#This Row],[Vencido]]*(Cobros[[#This Row],[% aplicar]]/100)*IF(Cobros[[#This Row],[% A pagar Vendedor]]&gt;0,1,0)</f>
        <v>0</v>
      </c>
      <c r="W741" s="46">
        <f>0.5%*Cobros[[#This Row],[Valor Pagado]]</f>
        <v>1.47</v>
      </c>
      <c r="X741" s="62"/>
    </row>
    <row r="742" ht="30" spans="1:24">
      <c r="A742" s="49" t="s">
        <v>3931</v>
      </c>
      <c r="B742" s="49" t="s">
        <v>5001</v>
      </c>
      <c r="C742" s="49" t="s">
        <v>2225</v>
      </c>
      <c r="D742" s="49" t="s">
        <v>2226</v>
      </c>
      <c r="E742" s="49" t="s">
        <v>3924</v>
      </c>
      <c r="F742" s="51">
        <v>46204</v>
      </c>
      <c r="G742" s="49">
        <v>5663</v>
      </c>
      <c r="H742" s="49" t="s">
        <v>3865</v>
      </c>
      <c r="I742" s="51">
        <v>46225</v>
      </c>
      <c r="J742" s="54">
        <f>INT(Cobros[[#This Row],[Fecha Cargo]])</f>
        <v>46204</v>
      </c>
      <c r="K742" s="54">
        <f>INT(Cobros[[#This Row],[Fecha Aplicacion]])</f>
        <v>46225</v>
      </c>
      <c r="L742" s="55">
        <v>0</v>
      </c>
      <c r="M742" s="45" t="str">
        <f>IF(Cobros[[#This Row],[Dias de Credito]]&lt;=0,"Contado","Credito")</f>
        <v>Contado</v>
      </c>
      <c r="N742" s="45">
        <f>Cobros[[#This Row],[Fecha Aplicación S]]-Cobros[[#This Row],[Fecha Cargo S]]</f>
        <v>21</v>
      </c>
      <c r="O742" s="45">
        <f>Cobros[[#This Row],[Dias al pago]]-Cobros[[#This Row],[Dias de Credito]]</f>
        <v>21</v>
      </c>
      <c r="P742" s="45">
        <f>SUMIFS(TablaDias[Porcentaje],TablaDias[Tipo],Cobros[[#This Row],[Tipo]],TablaDias[Desde ],"&lt;="&amp;MAX(0,Cobros[[#This Row],[Dias pasado]]),TablaDias[Hasta ],"&gt;="&amp;Cobros[[#This Row],[Dias pasado]])</f>
        <v>0</v>
      </c>
      <c r="Q74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2" s="34">
        <f>IF(COUNTIF(PAPEL[Numero],Cobros[[#This Row],[Doc. Cargo]])&gt;0,1,0)</f>
        <v>0</v>
      </c>
      <c r="S742" s="46">
        <v>1</v>
      </c>
      <c r="T742" s="46">
        <f t="array" ref="T742">INDEX(Ventas[[Unidades]:[2]],MATCH("Gerente de Venta",Ventas[Vendedor %],0),6+Cobros[[#This Row],[Mes]])</f>
        <v>0.005</v>
      </c>
      <c r="U742" s="34">
        <f>IF(Cobros[[#This Row],[Tipo]]="Credito",IF(60&gt;=Cobros[[#This Row],[Dias al pago]],1,0),IF(Cobros[[#This Row],[Dias al pago]]&lt;=3,1,0))</f>
        <v>0</v>
      </c>
      <c r="V742" s="46">
        <f>(Cobros[[#This Row],[% A pagar Vendedor]]/100)*Cobros[[#This Row],[Valor Pagado]]*Cobros[[#This Row],[Vencido]]*(Cobros[[#This Row],[% aplicar]]/100)*IF(Cobros[[#This Row],[% A pagar Vendedor]]&gt;0,1,0)</f>
        <v>0</v>
      </c>
      <c r="W742" s="46">
        <f>0.5%*Cobros[[#This Row],[Valor Pagado]]</f>
        <v>28.315</v>
      </c>
      <c r="X742" s="34"/>
    </row>
    <row r="743" ht="30" spans="1:24">
      <c r="A743" s="49" t="s">
        <v>3931</v>
      </c>
      <c r="B743" s="49" t="s">
        <v>5001</v>
      </c>
      <c r="C743" s="49" t="s">
        <v>2225</v>
      </c>
      <c r="D743" s="49" t="s">
        <v>2226</v>
      </c>
      <c r="E743" s="49" t="s">
        <v>5002</v>
      </c>
      <c r="F743" s="51">
        <v>46205</v>
      </c>
      <c r="G743" s="49">
        <v>480</v>
      </c>
      <c r="H743" s="49" t="s">
        <v>3865</v>
      </c>
      <c r="I743" s="51">
        <v>46225</v>
      </c>
      <c r="J743" s="54">
        <f>INT(Cobros[[#This Row],[Fecha Cargo]])</f>
        <v>46205</v>
      </c>
      <c r="K743" s="54">
        <f>INT(Cobros[[#This Row],[Fecha Aplicacion]])</f>
        <v>46225</v>
      </c>
      <c r="L743" s="55" t="str">
        <f>INDEX(Clientes[Días Plazo],MATCH(Cobros[[#This Row],[Cod. Cliente]],Clientes[Codigo],0),1)</f>
        <v>15</v>
      </c>
      <c r="M743" s="45" t="str">
        <f>IF(Cobros[[#This Row],[Dias de Credito]]&lt;=0,"Contado","Credito")</f>
        <v>Credito</v>
      </c>
      <c r="N743" s="45">
        <f>Cobros[[#This Row],[Fecha Aplicación S]]-Cobros[[#This Row],[Fecha Cargo S]]</f>
        <v>20</v>
      </c>
      <c r="O743" s="45">
        <f>Cobros[[#This Row],[Dias al pago]]-Cobros[[#This Row],[Dias de Credito]]</f>
        <v>5</v>
      </c>
      <c r="P743" s="45">
        <f>SUMIFS(TablaDias[Porcentaje],TablaDias[Tipo],Cobros[[#This Row],[Tipo]],TablaDias[Desde ],"&lt;="&amp;MAX(0,Cobros[[#This Row],[Dias pasado]]),TablaDias[Hasta ],"&gt;="&amp;Cobros[[#This Row],[Dias pasado]])</f>
        <v>100</v>
      </c>
      <c r="Q74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3" s="34">
        <f>IF(COUNTIF(PAPEL[Numero],Cobros[[#This Row],[Doc. Cargo]])&gt;0,1,0)</f>
        <v>0</v>
      </c>
      <c r="S743" s="46">
        <v>1</v>
      </c>
      <c r="T743" s="46">
        <f t="array" ref="T743">INDEX(Ventas[[Unidades]:[2]],MATCH("Gerente de Venta",Ventas[Vendedor %],0),6+Cobros[[#This Row],[Mes]])</f>
        <v>0.005</v>
      </c>
      <c r="U743" s="34">
        <f>IF(Cobros[[#This Row],[Tipo]]="Credito",IF(60&gt;=Cobros[[#This Row],[Dias al pago]],1,0),IF(Cobros[[#This Row],[Dias al pago]]&lt;=3,1,0))</f>
        <v>1</v>
      </c>
      <c r="V743" s="46">
        <f>(Cobros[[#This Row],[% A pagar Vendedor]]/100)*Cobros[[#This Row],[Valor Pagado]]*Cobros[[#This Row],[Vencido]]*(Cobros[[#This Row],[% aplicar]]/100)*IF(Cobros[[#This Row],[% A pagar Vendedor]]&gt;0,1,0)</f>
        <v>4.8</v>
      </c>
      <c r="W743" s="46">
        <f>0.5%*Cobros[[#This Row],[Valor Pagado]]</f>
        <v>2.4</v>
      </c>
      <c r="X743" s="34"/>
    </row>
    <row r="744" ht="30" spans="1:24">
      <c r="A744" s="49" t="s">
        <v>3931</v>
      </c>
      <c r="B744" s="49" t="s">
        <v>5001</v>
      </c>
      <c r="C744" s="49" t="s">
        <v>2225</v>
      </c>
      <c r="D744" s="49" t="s">
        <v>2226</v>
      </c>
      <c r="E744" s="49" t="s">
        <v>5003</v>
      </c>
      <c r="F744" s="51">
        <v>46205</v>
      </c>
      <c r="G744" s="49">
        <v>568</v>
      </c>
      <c r="H744" s="49" t="s">
        <v>3865</v>
      </c>
      <c r="I744" s="51">
        <v>46225</v>
      </c>
      <c r="J744" s="54">
        <f>INT(Cobros[[#This Row],[Fecha Cargo]])</f>
        <v>46205</v>
      </c>
      <c r="K744" s="54">
        <f>INT(Cobros[[#This Row],[Fecha Aplicacion]])</f>
        <v>46225</v>
      </c>
      <c r="L744" s="55" t="str">
        <f>INDEX(Clientes[Días Plazo],MATCH(Cobros[[#This Row],[Cod. Cliente]],Clientes[Codigo],0),1)</f>
        <v>15</v>
      </c>
      <c r="M744" s="45" t="str">
        <f>IF(Cobros[[#This Row],[Dias de Credito]]&lt;=0,"Contado","Credito")</f>
        <v>Credito</v>
      </c>
      <c r="N744" s="45">
        <f>Cobros[[#This Row],[Fecha Aplicación S]]-Cobros[[#This Row],[Fecha Cargo S]]</f>
        <v>20</v>
      </c>
      <c r="O744" s="45">
        <f>Cobros[[#This Row],[Dias al pago]]-Cobros[[#This Row],[Dias de Credito]]</f>
        <v>5</v>
      </c>
      <c r="P744" s="45">
        <f>SUMIFS(TablaDias[Porcentaje],TablaDias[Tipo],Cobros[[#This Row],[Tipo]],TablaDias[Desde ],"&lt;="&amp;MAX(0,Cobros[[#This Row],[Dias pasado]]),TablaDias[Hasta ],"&gt;="&amp;Cobros[[#This Row],[Dias pasado]])</f>
        <v>100</v>
      </c>
      <c r="Q74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4" s="34">
        <f>IF(COUNTIF(PAPEL[Numero],Cobros[[#This Row],[Doc. Cargo]])&gt;0,1,0)</f>
        <v>0</v>
      </c>
      <c r="S744" s="46">
        <v>1</v>
      </c>
      <c r="T744" s="46">
        <f t="array" ref="T744">INDEX(Ventas[[Unidades]:[2]],MATCH("Gerente de Venta",Ventas[Vendedor %],0),6+Cobros[[#This Row],[Mes]])</f>
        <v>0.005</v>
      </c>
      <c r="U744" s="34">
        <f>IF(Cobros[[#This Row],[Tipo]]="Credito",IF(60&gt;=Cobros[[#This Row],[Dias al pago]],1,0),IF(Cobros[[#This Row],[Dias al pago]]&lt;=3,1,0))</f>
        <v>1</v>
      </c>
      <c r="V744" s="46">
        <f>(Cobros[[#This Row],[% A pagar Vendedor]]/100)*Cobros[[#This Row],[Valor Pagado]]*Cobros[[#This Row],[Vencido]]*(Cobros[[#This Row],[% aplicar]]/100)*IF(Cobros[[#This Row],[% A pagar Vendedor]]&gt;0,1,0)</f>
        <v>5.68</v>
      </c>
      <c r="W744" s="46">
        <f>0.5%*Cobros[[#This Row],[Valor Pagado]]</f>
        <v>2.84</v>
      </c>
      <c r="X744" s="34"/>
    </row>
    <row r="745" ht="30" spans="1:24">
      <c r="A745" s="49" t="s">
        <v>3884</v>
      </c>
      <c r="B745" s="49" t="s">
        <v>5004</v>
      </c>
      <c r="C745" s="49" t="s">
        <v>1841</v>
      </c>
      <c r="D745" s="49" t="s">
        <v>1842</v>
      </c>
      <c r="E745" s="49" t="s">
        <v>5005</v>
      </c>
      <c r="F745" s="51">
        <v>46225</v>
      </c>
      <c r="G745" s="49">
        <v>107</v>
      </c>
      <c r="H745" s="49" t="s">
        <v>22</v>
      </c>
      <c r="I745" s="51">
        <v>46225</v>
      </c>
      <c r="J745" s="54">
        <f>INT(Cobros[[#This Row],[Fecha Cargo]])</f>
        <v>46225</v>
      </c>
      <c r="K745" s="54">
        <f>INT(Cobros[[#This Row],[Fecha Aplicacion]])</f>
        <v>46225</v>
      </c>
      <c r="L745" s="55">
        <f>INDEX(Clientes[Días Plazo],MATCH(Cobros[[#This Row],[Cod. Cliente]],Clientes[Codigo],0),1)</f>
        <v>0</v>
      </c>
      <c r="M745" s="45" t="str">
        <f>IF(Cobros[[#This Row],[Dias de Credito]]&lt;=0,"Contado","Credito")</f>
        <v>Contado</v>
      </c>
      <c r="N745" s="45">
        <f>Cobros[[#This Row],[Fecha Aplicación S]]-Cobros[[#This Row],[Fecha Cargo S]]</f>
        <v>0</v>
      </c>
      <c r="O745" s="45">
        <f>Cobros[[#This Row],[Dias al pago]]-Cobros[[#This Row],[Dias de Credito]]</f>
        <v>0</v>
      </c>
      <c r="P745" s="45">
        <f>SUMIFS(TablaDias[Porcentaje],TablaDias[Tipo],Cobros[[#This Row],[Tipo]],TablaDias[Desde ],"&lt;="&amp;MAX(0,Cobros[[#This Row],[Dias pasado]]),TablaDias[Hasta ],"&gt;="&amp;Cobros[[#This Row],[Dias pasado]])</f>
        <v>100</v>
      </c>
      <c r="Q7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5" s="34">
        <f>IF(COUNTIF(PAPEL[Numero],Cobros[[#This Row],[Doc. Cargo]])&gt;0,1,0)</f>
        <v>0</v>
      </c>
      <c r="S745" s="46">
        <f t="array" ref="S7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45" s="46">
        <f t="array" ref="T745">INDEX(Ventas[[Unidades]:[2]],MATCH("Gerente de Venta",Ventas[Vendedor %],0),6+Cobros[[#This Row],[Mes]])</f>
        <v>0.005</v>
      </c>
      <c r="U745" s="34">
        <f>IF(Cobros[[#This Row],[Tipo]]="Credito",IF(60&gt;=Cobros[[#This Row],[Dias al pago]],1,0),IF(Cobros[[#This Row],[Dias al pago]]&lt;=3,1,0))</f>
        <v>1</v>
      </c>
      <c r="V745" s="46">
        <f>(Cobros[[#This Row],[% A pagar Vendedor]]/100)*Cobros[[#This Row],[Valor Pagado]]*Cobros[[#This Row],[Vencido]]*(Cobros[[#This Row],[% aplicar]]/100)*IF(Cobros[[#This Row],[% A pagar Vendedor]]&gt;0,1,0)</f>
        <v>1.07</v>
      </c>
      <c r="W745" s="46">
        <f>0.5%*Cobros[[#This Row],[Valor Pagado]]</f>
        <v>0.535</v>
      </c>
      <c r="X745" s="34"/>
    </row>
    <row r="746" spans="1:24">
      <c r="A746" s="49" t="s">
        <v>3922</v>
      </c>
      <c r="B746" s="49" t="s">
        <v>5006</v>
      </c>
      <c r="C746" s="49" t="s">
        <v>819</v>
      </c>
      <c r="D746" s="49" t="s">
        <v>820</v>
      </c>
      <c r="E746" s="49" t="s">
        <v>5007</v>
      </c>
      <c r="F746" s="51">
        <v>46224</v>
      </c>
      <c r="G746" s="49">
        <v>295.8</v>
      </c>
      <c r="H746" s="49" t="s">
        <v>16</v>
      </c>
      <c r="I746" s="51">
        <v>46225</v>
      </c>
      <c r="J746" s="54">
        <f>INT(Cobros[[#This Row],[Fecha Cargo]])</f>
        <v>46224</v>
      </c>
      <c r="K746" s="54">
        <f>INT(Cobros[[#This Row],[Fecha Aplicacion]])</f>
        <v>46225</v>
      </c>
      <c r="L746" s="55" t="str">
        <f>INDEX(Clientes[Días Plazo],MATCH(Cobros[[#This Row],[Cod. Cliente]],Clientes[Codigo],0),1)</f>
        <v>45</v>
      </c>
      <c r="M746" s="45" t="str">
        <f>IF(Cobros[[#This Row],[Dias de Credito]]&lt;=0,"Contado","Credito")</f>
        <v>Credito</v>
      </c>
      <c r="N746" s="45">
        <f>Cobros[[#This Row],[Fecha Aplicación S]]-Cobros[[#This Row],[Fecha Cargo S]]</f>
        <v>1</v>
      </c>
      <c r="O746" s="45">
        <f>Cobros[[#This Row],[Dias al pago]]-Cobros[[#This Row],[Dias de Credito]]</f>
        <v>-44</v>
      </c>
      <c r="P746" s="45">
        <f>SUMIFS(TablaDias[Porcentaje],TablaDias[Tipo],Cobros[[#This Row],[Tipo]],TablaDias[Desde ],"&lt;="&amp;MAX(0,Cobros[[#This Row],[Dias pasado]]),TablaDias[Hasta ],"&gt;="&amp;Cobros[[#This Row],[Dias pasado]])</f>
        <v>100</v>
      </c>
      <c r="Q74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46" s="34">
        <f>IF(COUNTIF(PAPEL[Numero],Cobros[[#This Row],[Doc. Cargo]])&gt;0,1,0)</f>
        <v>0</v>
      </c>
      <c r="S746" s="46">
        <f t="array" ref="S7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46" s="47">
        <v>0.005</v>
      </c>
      <c r="U746" s="34">
        <f>IF(Cobros[[#This Row],[Tipo]]="Credito",IF(60&gt;=Cobros[[#This Row],[Dias al pago]],1,0),IF(Cobros[[#This Row],[Dias al pago]]&lt;=3,1,0))</f>
        <v>1</v>
      </c>
      <c r="V746" s="46">
        <f>(Cobros[[#This Row],[% A pagar Vendedor]]/100)*Cobros[[#This Row],[Valor Pagado]]*Cobros[[#This Row],[Vencido]]*(Cobros[[#This Row],[% aplicar]]/100)*IF(Cobros[[#This Row],[% A pagar Vendedor]]&gt;0,1,0)</f>
        <v>3.6975</v>
      </c>
      <c r="W746" s="46">
        <f>0.5%*Cobros[[#This Row],[Valor Pagado]]</f>
        <v>1.479</v>
      </c>
      <c r="X746" s="34"/>
    </row>
    <row r="747" spans="1:24">
      <c r="A747" s="49" t="s">
        <v>3884</v>
      </c>
      <c r="B747" s="49" t="s">
        <v>5008</v>
      </c>
      <c r="C747" s="49" t="s">
        <v>484</v>
      </c>
      <c r="D747" s="49" t="s">
        <v>485</v>
      </c>
      <c r="E747" s="49" t="s">
        <v>5009</v>
      </c>
      <c r="F747" s="51">
        <v>46191</v>
      </c>
      <c r="G747" s="49">
        <v>480</v>
      </c>
      <c r="H747" s="49" t="s">
        <v>19</v>
      </c>
      <c r="I747" s="51">
        <v>46225</v>
      </c>
      <c r="J747" s="54">
        <f>INT(Cobros[[#This Row],[Fecha Cargo]])</f>
        <v>46191</v>
      </c>
      <c r="K747" s="54">
        <f>INT(Cobros[[#This Row],[Fecha Aplicacion]])</f>
        <v>46225</v>
      </c>
      <c r="L747" s="55" t="str">
        <f>INDEX(Clientes[Días Plazo],MATCH(Cobros[[#This Row],[Cod. Cliente]],Clientes[Codigo],0),1)</f>
        <v>30</v>
      </c>
      <c r="M747" s="45" t="str">
        <f>IF(Cobros[[#This Row],[Dias de Credito]]&lt;=0,"Contado","Credito")</f>
        <v>Credito</v>
      </c>
      <c r="N747" s="45">
        <f>Cobros[[#This Row],[Fecha Aplicación S]]-Cobros[[#This Row],[Fecha Cargo S]]</f>
        <v>34</v>
      </c>
      <c r="O747" s="45">
        <f>Cobros[[#This Row],[Dias al pago]]-Cobros[[#This Row],[Dias de Credito]]</f>
        <v>4</v>
      </c>
      <c r="P747" s="45">
        <f>SUMIFS(TablaDias[Porcentaje],TablaDias[Tipo],Cobros[[#This Row],[Tipo]],TablaDias[Desde ],"&lt;="&amp;MAX(0,Cobros[[#This Row],[Dias pasado]]),TablaDias[Hasta ],"&gt;="&amp;Cobros[[#This Row],[Dias pasado]])</f>
        <v>100</v>
      </c>
      <c r="Q74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47" s="34">
        <f>IF(COUNTIF(PAPEL[Numero],Cobros[[#This Row],[Doc. Cargo]])&gt;0,1,0)</f>
        <v>0</v>
      </c>
      <c r="S747" s="46">
        <f t="array" ref="S7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47" s="46">
        <f t="array" ref="T747">INDEX(Ventas[[Unidades]:[2]],MATCH("Gerente de Venta",Ventas[Vendedor %],0),6+Cobros[[#This Row],[Mes]])</f>
        <v>0.005</v>
      </c>
      <c r="U747" s="34">
        <f>IF(Cobros[[#This Row],[Tipo]]="Credito",IF(60&gt;=Cobros[[#This Row],[Dias al pago]],1,0),IF(Cobros[[#This Row],[Dias al pago]]&lt;=3,1,0))</f>
        <v>1</v>
      </c>
      <c r="V747" s="46">
        <f>(Cobros[[#This Row],[% A pagar Vendedor]]/100)*Cobros[[#This Row],[Valor Pagado]]*Cobros[[#This Row],[Vencido]]*(Cobros[[#This Row],[% aplicar]]/100)*IF(Cobros[[#This Row],[% A pagar Vendedor]]&gt;0,1,0)</f>
        <v>6</v>
      </c>
      <c r="W747" s="46">
        <f>0.5%*Cobros[[#This Row],[Valor Pagado]]</f>
        <v>2.4</v>
      </c>
      <c r="X747" s="34"/>
    </row>
    <row r="748" spans="1:24">
      <c r="A748" s="49" t="s">
        <v>3884</v>
      </c>
      <c r="B748" s="49" t="s">
        <v>5008</v>
      </c>
      <c r="C748" s="49" t="s">
        <v>484</v>
      </c>
      <c r="D748" s="49" t="s">
        <v>485</v>
      </c>
      <c r="E748" s="49" t="s">
        <v>5010</v>
      </c>
      <c r="F748" s="51">
        <v>46195</v>
      </c>
      <c r="G748" s="49">
        <v>642.47</v>
      </c>
      <c r="H748" s="49" t="s">
        <v>19</v>
      </c>
      <c r="I748" s="51">
        <v>46225</v>
      </c>
      <c r="J748" s="54">
        <f>INT(Cobros[[#This Row],[Fecha Cargo]])</f>
        <v>46195</v>
      </c>
      <c r="K748" s="54">
        <f>INT(Cobros[[#This Row],[Fecha Aplicacion]])</f>
        <v>46225</v>
      </c>
      <c r="L748" s="55" t="str">
        <f>INDEX(Clientes[Días Plazo],MATCH(Cobros[[#This Row],[Cod. Cliente]],Clientes[Codigo],0),1)</f>
        <v>30</v>
      </c>
      <c r="M748" s="45" t="str">
        <f>IF(Cobros[[#This Row],[Dias de Credito]]&lt;=0,"Contado","Credito")</f>
        <v>Credito</v>
      </c>
      <c r="N748" s="45">
        <f>Cobros[[#This Row],[Fecha Aplicación S]]-Cobros[[#This Row],[Fecha Cargo S]]</f>
        <v>30</v>
      </c>
      <c r="O748" s="45">
        <f>Cobros[[#This Row],[Dias al pago]]-Cobros[[#This Row],[Dias de Credito]]</f>
        <v>0</v>
      </c>
      <c r="P748" s="45">
        <f>SUMIFS(TablaDias[Porcentaje],TablaDias[Tipo],Cobros[[#This Row],[Tipo]],TablaDias[Desde ],"&lt;="&amp;MAX(0,Cobros[[#This Row],[Dias pasado]]),TablaDias[Hasta ],"&gt;="&amp;Cobros[[#This Row],[Dias pasado]])</f>
        <v>100</v>
      </c>
      <c r="Q7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48" s="34">
        <v>0</v>
      </c>
      <c r="S748" s="46">
        <f t="array" ref="S7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48" s="46">
        <f t="array" ref="T748">INDEX(Ventas[[Unidades]:[2]],MATCH("Gerente de Venta",Ventas[Vendedor %],0),6+Cobros[[#This Row],[Mes]])</f>
        <v>0.005</v>
      </c>
      <c r="U748" s="34">
        <f>IF(Cobros[[#This Row],[Tipo]]="Credito",IF(60&gt;=Cobros[[#This Row],[Dias al pago]],1,0),IF(Cobros[[#This Row],[Dias al pago]]&lt;=3,1,0))</f>
        <v>1</v>
      </c>
      <c r="V748" s="46">
        <f>(Cobros[[#This Row],[% A pagar Vendedor]]/100)*Cobros[[#This Row],[Valor Pagado]]*Cobros[[#This Row],[Vencido]]*(Cobros[[#This Row],[% aplicar]]/100)*IF(Cobros[[#This Row],[% A pagar Vendedor]]&gt;0,1,0)</f>
        <v>8.030875</v>
      </c>
      <c r="W748" s="46">
        <f>0.5%*Cobros[[#This Row],[Valor Pagado]]</f>
        <v>3.21235</v>
      </c>
      <c r="X748" s="34"/>
    </row>
    <row r="749" spans="1:24">
      <c r="A749" s="49" t="s">
        <v>3884</v>
      </c>
      <c r="B749" s="49" t="s">
        <v>5011</v>
      </c>
      <c r="C749" s="49" t="s">
        <v>484</v>
      </c>
      <c r="D749" s="49" t="s">
        <v>485</v>
      </c>
      <c r="E749" s="49" t="s">
        <v>5010</v>
      </c>
      <c r="F749" s="51">
        <v>46195</v>
      </c>
      <c r="G749" s="49">
        <v>1121.35</v>
      </c>
      <c r="H749" s="49" t="s">
        <v>19</v>
      </c>
      <c r="I749" s="51">
        <v>46225</v>
      </c>
      <c r="J749" s="54">
        <f>INT(Cobros[[#This Row],[Fecha Cargo]])</f>
        <v>46195</v>
      </c>
      <c r="K749" s="54">
        <f>INT(Cobros[[#This Row],[Fecha Aplicacion]])</f>
        <v>46225</v>
      </c>
      <c r="L749" s="55" t="str">
        <f>INDEX(Clientes[Días Plazo],MATCH(Cobros[[#This Row],[Cod. Cliente]],Clientes[Codigo],0),1)</f>
        <v>30</v>
      </c>
      <c r="M749" s="45" t="str">
        <f>IF(Cobros[[#This Row],[Dias de Credito]]&lt;=0,"Contado","Credito")</f>
        <v>Credito</v>
      </c>
      <c r="N749" s="45">
        <f>Cobros[[#This Row],[Fecha Aplicación S]]-Cobros[[#This Row],[Fecha Cargo S]]</f>
        <v>30</v>
      </c>
      <c r="O749" s="45">
        <f>Cobros[[#This Row],[Dias al pago]]-Cobros[[#This Row],[Dias de Credito]]</f>
        <v>0</v>
      </c>
      <c r="P749" s="45">
        <f>SUMIFS(TablaDias[Porcentaje],TablaDias[Tipo],Cobros[[#This Row],[Tipo]],TablaDias[Desde ],"&lt;="&amp;MAX(0,Cobros[[#This Row],[Dias pasado]]),TablaDias[Hasta ],"&gt;="&amp;Cobros[[#This Row],[Dias pasado]])</f>
        <v>100</v>
      </c>
      <c r="Q74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49" s="34">
        <f>IF(COUNTIF(PAPEL[Numero],Cobros[[#This Row],[Doc. Cargo]])&gt;0,1,0)</f>
        <v>0</v>
      </c>
      <c r="S749" s="46">
        <f t="array" ref="S7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49" s="46">
        <f t="array" ref="T749">INDEX(Ventas[[Unidades]:[2]],MATCH("Gerente de Venta",Ventas[Vendedor %],0),6+Cobros[[#This Row],[Mes]])</f>
        <v>0.005</v>
      </c>
      <c r="U749" s="34">
        <f>IF(Cobros[[#This Row],[Tipo]]="Credito",IF(60&gt;=Cobros[[#This Row],[Dias al pago]],1,0),IF(Cobros[[#This Row],[Dias al pago]]&lt;=3,1,0))</f>
        <v>1</v>
      </c>
      <c r="V749" s="46">
        <f>(Cobros[[#This Row],[% A pagar Vendedor]]/100)*Cobros[[#This Row],[Valor Pagado]]*Cobros[[#This Row],[Vencido]]*(Cobros[[#This Row],[% aplicar]]/100)*IF(Cobros[[#This Row],[% A pagar Vendedor]]&gt;0,1,0)</f>
        <v>14.016875</v>
      </c>
      <c r="W749" s="46">
        <f>0.5%*Cobros[[#This Row],[Valor Pagado]]</f>
        <v>5.60675</v>
      </c>
      <c r="X749" s="34"/>
    </row>
    <row r="750" spans="1:24">
      <c r="A750" s="49" t="s">
        <v>3884</v>
      </c>
      <c r="B750" s="49" t="s">
        <v>5012</v>
      </c>
      <c r="C750" s="49" t="s">
        <v>484</v>
      </c>
      <c r="D750" s="49" t="s">
        <v>485</v>
      </c>
      <c r="E750" s="49" t="s">
        <v>5010</v>
      </c>
      <c r="F750" s="51">
        <v>46195</v>
      </c>
      <c r="G750" s="49">
        <v>1120.22</v>
      </c>
      <c r="H750" s="49" t="s">
        <v>19</v>
      </c>
      <c r="I750" s="51">
        <v>46225</v>
      </c>
      <c r="J750" s="54">
        <f>INT(Cobros[[#This Row],[Fecha Cargo]])</f>
        <v>46195</v>
      </c>
      <c r="K750" s="54">
        <f>INT(Cobros[[#This Row],[Fecha Aplicacion]])</f>
        <v>46225</v>
      </c>
      <c r="L750" s="55" t="str">
        <f>INDEX(Clientes[Días Plazo],MATCH(Cobros[[#This Row],[Cod. Cliente]],Clientes[Codigo],0),1)</f>
        <v>30</v>
      </c>
      <c r="M750" s="45" t="str">
        <f>IF(Cobros[[#This Row],[Dias de Credito]]&lt;=0,"Contado","Credito")</f>
        <v>Credito</v>
      </c>
      <c r="N750" s="45">
        <f>Cobros[[#This Row],[Fecha Aplicación S]]-Cobros[[#This Row],[Fecha Cargo S]]</f>
        <v>30</v>
      </c>
      <c r="O750" s="45">
        <f>Cobros[[#This Row],[Dias al pago]]-Cobros[[#This Row],[Dias de Credito]]</f>
        <v>0</v>
      </c>
      <c r="P750" s="45">
        <f>SUMIFS(TablaDias[Porcentaje],TablaDias[Tipo],Cobros[[#This Row],[Tipo]],TablaDias[Desde ],"&lt;="&amp;MAX(0,Cobros[[#This Row],[Dias pasado]]),TablaDias[Hasta ],"&gt;="&amp;Cobros[[#This Row],[Dias pasado]])</f>
        <v>100</v>
      </c>
      <c r="Q75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0" s="34">
        <f>IF(COUNTIF(PAPEL[Numero],Cobros[[#This Row],[Doc. Cargo]])&gt;0,1,0)</f>
        <v>0</v>
      </c>
      <c r="S750" s="46">
        <f t="array" ref="S7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0" s="46">
        <f t="array" ref="T750">INDEX(Ventas[[Unidades]:[2]],MATCH("Gerente de Venta",Ventas[Vendedor %],0),6+Cobros[[#This Row],[Mes]])</f>
        <v>0.005</v>
      </c>
      <c r="U750" s="34">
        <f>IF(Cobros[[#This Row],[Tipo]]="Credito",IF(60&gt;=Cobros[[#This Row],[Dias al pago]],1,0),IF(Cobros[[#This Row],[Dias al pago]]&lt;=3,1,0))</f>
        <v>1</v>
      </c>
      <c r="V750" s="46">
        <f>(Cobros[[#This Row],[% A pagar Vendedor]]/100)*Cobros[[#This Row],[Valor Pagado]]*Cobros[[#This Row],[Vencido]]*(Cobros[[#This Row],[% aplicar]]/100)*IF(Cobros[[#This Row],[% A pagar Vendedor]]&gt;0,1,0)</f>
        <v>14.00275</v>
      </c>
      <c r="W750" s="46">
        <f>0.5%*Cobros[[#This Row],[Valor Pagado]]</f>
        <v>5.6011</v>
      </c>
      <c r="X750" s="34"/>
    </row>
    <row r="751" spans="1:24">
      <c r="A751" s="49" t="s">
        <v>3884</v>
      </c>
      <c r="B751" s="49" t="s">
        <v>5013</v>
      </c>
      <c r="C751" s="49" t="s">
        <v>484</v>
      </c>
      <c r="D751" s="49" t="s">
        <v>485</v>
      </c>
      <c r="E751" s="49" t="s">
        <v>5010</v>
      </c>
      <c r="F751" s="51">
        <v>46195</v>
      </c>
      <c r="G751" s="49">
        <v>1119.1</v>
      </c>
      <c r="H751" s="49" t="s">
        <v>19</v>
      </c>
      <c r="I751" s="51">
        <v>46225</v>
      </c>
      <c r="J751" s="54">
        <f>INT(Cobros[[#This Row],[Fecha Cargo]])</f>
        <v>46195</v>
      </c>
      <c r="K751" s="54">
        <f>INT(Cobros[[#This Row],[Fecha Aplicacion]])</f>
        <v>46225</v>
      </c>
      <c r="L751" s="55" t="str">
        <f>INDEX(Clientes[Días Plazo],MATCH(Cobros[[#This Row],[Cod. Cliente]],Clientes[Codigo],0),1)</f>
        <v>30</v>
      </c>
      <c r="M751" s="45" t="str">
        <f>IF(Cobros[[#This Row],[Dias de Credito]]&lt;=0,"Contado","Credito")</f>
        <v>Credito</v>
      </c>
      <c r="N751" s="45">
        <f>Cobros[[#This Row],[Fecha Aplicación S]]-Cobros[[#This Row],[Fecha Cargo S]]</f>
        <v>30</v>
      </c>
      <c r="O751" s="45">
        <f>Cobros[[#This Row],[Dias al pago]]-Cobros[[#This Row],[Dias de Credito]]</f>
        <v>0</v>
      </c>
      <c r="P751" s="45">
        <f>SUMIFS(TablaDias[Porcentaje],TablaDias[Tipo],Cobros[[#This Row],[Tipo]],TablaDias[Desde ],"&lt;="&amp;MAX(0,Cobros[[#This Row],[Dias pasado]]),TablaDias[Hasta ],"&gt;="&amp;Cobros[[#This Row],[Dias pasado]])</f>
        <v>100</v>
      </c>
      <c r="Q75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1" s="34">
        <f>IF(COUNTIF(PAPEL[Numero],Cobros[[#This Row],[Doc. Cargo]])&gt;0,1,0)</f>
        <v>0</v>
      </c>
      <c r="S751" s="46">
        <f t="array" ref="S7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1" s="46">
        <f t="array" ref="T751">INDEX(Ventas[[Unidades]:[2]],MATCH("Gerente de Venta",Ventas[Vendedor %],0),6+Cobros[[#This Row],[Mes]])</f>
        <v>0.005</v>
      </c>
      <c r="U751" s="34">
        <f>IF(Cobros[[#This Row],[Tipo]]="Credito",IF(60&gt;=Cobros[[#This Row],[Dias al pago]],1,0),IF(Cobros[[#This Row],[Dias al pago]]&lt;=3,1,0))</f>
        <v>1</v>
      </c>
      <c r="V751" s="46">
        <f>(Cobros[[#This Row],[% A pagar Vendedor]]/100)*Cobros[[#This Row],[Valor Pagado]]*Cobros[[#This Row],[Vencido]]*(Cobros[[#This Row],[% aplicar]]/100)*IF(Cobros[[#This Row],[% A pagar Vendedor]]&gt;0,1,0)</f>
        <v>13.98875</v>
      </c>
      <c r="W751" s="46">
        <f>0.5%*Cobros[[#This Row],[Valor Pagado]]</f>
        <v>5.5955</v>
      </c>
      <c r="X751" s="34"/>
    </row>
    <row r="752" spans="1:24">
      <c r="A752" s="49" t="s">
        <v>3884</v>
      </c>
      <c r="B752" s="49" t="s">
        <v>5014</v>
      </c>
      <c r="C752" s="49" t="s">
        <v>484</v>
      </c>
      <c r="D752" s="49" t="s">
        <v>485</v>
      </c>
      <c r="E752" s="49" t="s">
        <v>5010</v>
      </c>
      <c r="F752" s="51">
        <v>46195</v>
      </c>
      <c r="G752" s="49">
        <v>1117.98</v>
      </c>
      <c r="H752" s="49" t="s">
        <v>19</v>
      </c>
      <c r="I752" s="51">
        <v>46225</v>
      </c>
      <c r="J752" s="54">
        <f>INT(Cobros[[#This Row],[Fecha Cargo]])</f>
        <v>46195</v>
      </c>
      <c r="K752" s="54">
        <f>INT(Cobros[[#This Row],[Fecha Aplicacion]])</f>
        <v>46225</v>
      </c>
      <c r="L752" s="55" t="str">
        <f>INDEX(Clientes[Días Plazo],MATCH(Cobros[[#This Row],[Cod. Cliente]],Clientes[Codigo],0),1)</f>
        <v>30</v>
      </c>
      <c r="M752" s="45" t="str">
        <f>IF(Cobros[[#This Row],[Dias de Credito]]&lt;=0,"Contado","Credito")</f>
        <v>Credito</v>
      </c>
      <c r="N752" s="45">
        <f>Cobros[[#This Row],[Fecha Aplicación S]]-Cobros[[#This Row],[Fecha Cargo S]]</f>
        <v>30</v>
      </c>
      <c r="O752" s="45">
        <f>Cobros[[#This Row],[Dias al pago]]-Cobros[[#This Row],[Dias de Credito]]</f>
        <v>0</v>
      </c>
      <c r="P752" s="45">
        <f>SUMIFS(TablaDias[Porcentaje],TablaDias[Tipo],Cobros[[#This Row],[Tipo]],TablaDias[Desde ],"&lt;="&amp;MAX(0,Cobros[[#This Row],[Dias pasado]]),TablaDias[Hasta ],"&gt;="&amp;Cobros[[#This Row],[Dias pasado]])</f>
        <v>100</v>
      </c>
      <c r="Q75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2" s="34">
        <f>IF(COUNTIF(PAPEL[Numero],Cobros[[#This Row],[Doc. Cargo]])&gt;0,1,0)</f>
        <v>0</v>
      </c>
      <c r="S752" s="46">
        <f t="array" ref="S7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2" s="46">
        <f t="array" ref="T752">INDEX(Ventas[[Unidades]:[2]],MATCH("Gerente de Venta",Ventas[Vendedor %],0),6+Cobros[[#This Row],[Mes]])</f>
        <v>0.005</v>
      </c>
      <c r="U752" s="34">
        <f>IF(Cobros[[#This Row],[Tipo]]="Credito",IF(60&gt;=Cobros[[#This Row],[Dias al pago]],1,0),IF(Cobros[[#This Row],[Dias al pago]]&lt;=3,1,0))</f>
        <v>1</v>
      </c>
      <c r="V752" s="46">
        <f>(Cobros[[#This Row],[% A pagar Vendedor]]/100)*Cobros[[#This Row],[Valor Pagado]]*Cobros[[#This Row],[Vencido]]*(Cobros[[#This Row],[% aplicar]]/100)*IF(Cobros[[#This Row],[% A pagar Vendedor]]&gt;0,1,0)</f>
        <v>13.97475</v>
      </c>
      <c r="W752" s="46">
        <f>0.5%*Cobros[[#This Row],[Valor Pagado]]</f>
        <v>5.5899</v>
      </c>
      <c r="X752" s="34"/>
    </row>
    <row r="753" spans="1:24">
      <c r="A753" s="49" t="s">
        <v>3884</v>
      </c>
      <c r="B753" s="49" t="s">
        <v>5015</v>
      </c>
      <c r="C753" s="49" t="s">
        <v>484</v>
      </c>
      <c r="D753" s="49" t="s">
        <v>485</v>
      </c>
      <c r="E753" s="49" t="s">
        <v>5010</v>
      </c>
      <c r="F753" s="51">
        <v>46195</v>
      </c>
      <c r="G753" s="49">
        <v>1116.85</v>
      </c>
      <c r="H753" s="49" t="s">
        <v>19</v>
      </c>
      <c r="I753" s="51">
        <v>46225</v>
      </c>
      <c r="J753" s="54">
        <f>INT(Cobros[[#This Row],[Fecha Cargo]])</f>
        <v>46195</v>
      </c>
      <c r="K753" s="54">
        <f>INT(Cobros[[#This Row],[Fecha Aplicacion]])</f>
        <v>46225</v>
      </c>
      <c r="L753" s="55" t="str">
        <f>INDEX(Clientes[Días Plazo],MATCH(Cobros[[#This Row],[Cod. Cliente]],Clientes[Codigo],0),1)</f>
        <v>30</v>
      </c>
      <c r="M753" s="45" t="str">
        <f>IF(Cobros[[#This Row],[Dias de Credito]]&lt;=0,"Contado","Credito")</f>
        <v>Credito</v>
      </c>
      <c r="N753" s="45">
        <f>Cobros[[#This Row],[Fecha Aplicación S]]-Cobros[[#This Row],[Fecha Cargo S]]</f>
        <v>30</v>
      </c>
      <c r="O753" s="45">
        <f>Cobros[[#This Row],[Dias al pago]]-Cobros[[#This Row],[Dias de Credito]]</f>
        <v>0</v>
      </c>
      <c r="P753" s="45">
        <f>SUMIFS(TablaDias[Porcentaje],TablaDias[Tipo],Cobros[[#This Row],[Tipo]],TablaDias[Desde ],"&lt;="&amp;MAX(0,Cobros[[#This Row],[Dias pasado]]),TablaDias[Hasta ],"&gt;="&amp;Cobros[[#This Row],[Dias pasado]])</f>
        <v>100</v>
      </c>
      <c r="Q75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3" s="34">
        <f>IF(COUNTIF(PAPEL[Numero],Cobros[[#This Row],[Doc. Cargo]])&gt;0,1,0)</f>
        <v>0</v>
      </c>
      <c r="S753" s="46">
        <f t="array" ref="S7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3" s="46">
        <f t="array" ref="T753">INDEX(Ventas[[Unidades]:[2]],MATCH("Gerente de Venta",Ventas[Vendedor %],0),6+Cobros[[#This Row],[Mes]])</f>
        <v>0.005</v>
      </c>
      <c r="U753" s="34">
        <f>IF(Cobros[[#This Row],[Tipo]]="Credito",IF(60&gt;=Cobros[[#This Row],[Dias al pago]],1,0),IF(Cobros[[#This Row],[Dias al pago]]&lt;=3,1,0))</f>
        <v>1</v>
      </c>
      <c r="V753" s="46">
        <f>(Cobros[[#This Row],[% A pagar Vendedor]]/100)*Cobros[[#This Row],[Valor Pagado]]*Cobros[[#This Row],[Vencido]]*(Cobros[[#This Row],[% aplicar]]/100)*IF(Cobros[[#This Row],[% A pagar Vendedor]]&gt;0,1,0)</f>
        <v>13.960625</v>
      </c>
      <c r="W753" s="46">
        <f>0.5%*Cobros[[#This Row],[Valor Pagado]]</f>
        <v>5.58425</v>
      </c>
      <c r="X753" s="34"/>
    </row>
    <row r="754" spans="1:24">
      <c r="A754" s="49" t="s">
        <v>3884</v>
      </c>
      <c r="B754" s="49" t="s">
        <v>5016</v>
      </c>
      <c r="C754" s="49" t="s">
        <v>484</v>
      </c>
      <c r="D754" s="49" t="s">
        <v>485</v>
      </c>
      <c r="E754" s="49" t="s">
        <v>5010</v>
      </c>
      <c r="F754" s="51">
        <v>46195</v>
      </c>
      <c r="G754" s="49">
        <v>898.88</v>
      </c>
      <c r="H754" s="49" t="s">
        <v>19</v>
      </c>
      <c r="I754" s="51">
        <v>46225</v>
      </c>
      <c r="J754" s="54">
        <f>INT(Cobros[[#This Row],[Fecha Cargo]])</f>
        <v>46195</v>
      </c>
      <c r="K754" s="54">
        <f>INT(Cobros[[#This Row],[Fecha Aplicacion]])</f>
        <v>46225</v>
      </c>
      <c r="L754" s="55" t="str">
        <f>INDEX(Clientes[Días Plazo],MATCH(Cobros[[#This Row],[Cod. Cliente]],Clientes[Codigo],0),1)</f>
        <v>30</v>
      </c>
      <c r="M754" s="45" t="str">
        <f>IF(Cobros[[#This Row],[Dias de Credito]]&lt;=0,"Contado","Credito")</f>
        <v>Credito</v>
      </c>
      <c r="N754" s="45">
        <f>Cobros[[#This Row],[Fecha Aplicación S]]-Cobros[[#This Row],[Fecha Cargo S]]</f>
        <v>30</v>
      </c>
      <c r="O754" s="45">
        <f>Cobros[[#This Row],[Dias al pago]]-Cobros[[#This Row],[Dias de Credito]]</f>
        <v>0</v>
      </c>
      <c r="P754" s="45">
        <f>SUMIFS(TablaDias[Porcentaje],TablaDias[Tipo],Cobros[[#This Row],[Tipo]],TablaDias[Desde ],"&lt;="&amp;MAX(0,Cobros[[#This Row],[Dias pasado]]),TablaDias[Hasta ],"&gt;="&amp;Cobros[[#This Row],[Dias pasado]])</f>
        <v>100</v>
      </c>
      <c r="Q75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4" s="34">
        <f>IF(COUNTIF(PAPEL[Numero],Cobros[[#This Row],[Doc. Cargo]])&gt;0,1,0)</f>
        <v>0</v>
      </c>
      <c r="S754" s="46">
        <f t="array" ref="S7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4" s="46">
        <f t="array" ref="T754">INDEX(Ventas[[Unidades]:[2]],MATCH("Gerente de Venta",Ventas[Vendedor %],0),6+Cobros[[#This Row],[Mes]])</f>
        <v>0.005</v>
      </c>
      <c r="U754" s="34">
        <f>IF(Cobros[[#This Row],[Tipo]]="Credito",IF(60&gt;=Cobros[[#This Row],[Dias al pago]],1,0),IF(Cobros[[#This Row],[Dias al pago]]&lt;=3,1,0))</f>
        <v>1</v>
      </c>
      <c r="V754" s="46">
        <f>(Cobros[[#This Row],[% A pagar Vendedor]]/100)*Cobros[[#This Row],[Valor Pagado]]*Cobros[[#This Row],[Vencido]]*(Cobros[[#This Row],[% aplicar]]/100)*IF(Cobros[[#This Row],[% A pagar Vendedor]]&gt;0,1,0)</f>
        <v>11.236</v>
      </c>
      <c r="W754" s="46">
        <f>0.5%*Cobros[[#This Row],[Valor Pagado]]</f>
        <v>4.4944</v>
      </c>
      <c r="X754" s="34"/>
    </row>
    <row r="755" spans="1:24">
      <c r="A755" s="49" t="s">
        <v>3884</v>
      </c>
      <c r="B755" s="49" t="s">
        <v>5017</v>
      </c>
      <c r="C755" s="49" t="s">
        <v>484</v>
      </c>
      <c r="D755" s="49" t="s">
        <v>485</v>
      </c>
      <c r="E755" s="49" t="s">
        <v>5010</v>
      </c>
      <c r="F755" s="51">
        <v>46195</v>
      </c>
      <c r="G755" s="49">
        <v>853.93</v>
      </c>
      <c r="H755" s="49" t="s">
        <v>19</v>
      </c>
      <c r="I755" s="51">
        <v>46225</v>
      </c>
      <c r="J755" s="54">
        <f>INT(Cobros[[#This Row],[Fecha Cargo]])</f>
        <v>46195</v>
      </c>
      <c r="K755" s="54">
        <f>INT(Cobros[[#This Row],[Fecha Aplicacion]])</f>
        <v>46225</v>
      </c>
      <c r="L755" s="55" t="str">
        <f>INDEX(Clientes[Días Plazo],MATCH(Cobros[[#This Row],[Cod. Cliente]],Clientes[Codigo],0),1)</f>
        <v>30</v>
      </c>
      <c r="M755" s="45" t="str">
        <f>IF(Cobros[[#This Row],[Dias de Credito]]&lt;=0,"Contado","Credito")</f>
        <v>Credito</v>
      </c>
      <c r="N755" s="45">
        <f>Cobros[[#This Row],[Fecha Aplicación S]]-Cobros[[#This Row],[Fecha Cargo S]]</f>
        <v>30</v>
      </c>
      <c r="O755" s="45">
        <f>Cobros[[#This Row],[Dias al pago]]-Cobros[[#This Row],[Dias de Credito]]</f>
        <v>0</v>
      </c>
      <c r="P755" s="45">
        <f>SUMIFS(TablaDias[Porcentaje],TablaDias[Tipo],Cobros[[#This Row],[Tipo]],TablaDias[Desde ],"&lt;="&amp;MAX(0,Cobros[[#This Row],[Dias pasado]]),TablaDias[Hasta ],"&gt;="&amp;Cobros[[#This Row],[Dias pasado]])</f>
        <v>100</v>
      </c>
      <c r="Q75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5" s="34">
        <f>IF(COUNTIF(PAPEL[Numero],Cobros[[#This Row],[Doc. Cargo]])&gt;0,1,0)</f>
        <v>0</v>
      </c>
      <c r="S755" s="46">
        <f t="array" ref="S7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5" s="46">
        <f t="array" ref="T755">INDEX(Ventas[[Unidades]:[2]],MATCH("Gerente de Venta",Ventas[Vendedor %],0),6+Cobros[[#This Row],[Mes]])</f>
        <v>0.005</v>
      </c>
      <c r="U755" s="34">
        <f>IF(Cobros[[#This Row],[Tipo]]="Credito",IF(60&gt;=Cobros[[#This Row],[Dias al pago]],1,0),IF(Cobros[[#This Row],[Dias al pago]]&lt;=3,1,0))</f>
        <v>1</v>
      </c>
      <c r="V755" s="46">
        <f>(Cobros[[#This Row],[% A pagar Vendedor]]/100)*Cobros[[#This Row],[Valor Pagado]]*Cobros[[#This Row],[Vencido]]*(Cobros[[#This Row],[% aplicar]]/100)*IF(Cobros[[#This Row],[% A pagar Vendedor]]&gt;0,1,0)</f>
        <v>10.674125</v>
      </c>
      <c r="W755" s="46">
        <f>0.5%*Cobros[[#This Row],[Valor Pagado]]</f>
        <v>4.26965</v>
      </c>
      <c r="X755" s="34"/>
    </row>
    <row r="756" spans="1:24">
      <c r="A756" s="49" t="s">
        <v>3884</v>
      </c>
      <c r="B756" s="49" t="s">
        <v>5018</v>
      </c>
      <c r="C756" s="49" t="s">
        <v>484</v>
      </c>
      <c r="D756" s="49" t="s">
        <v>485</v>
      </c>
      <c r="E756" s="49" t="s">
        <v>5010</v>
      </c>
      <c r="F756" s="51">
        <v>46195</v>
      </c>
      <c r="G756" s="49">
        <v>1084.27</v>
      </c>
      <c r="H756" s="49" t="s">
        <v>19</v>
      </c>
      <c r="I756" s="51">
        <v>46225</v>
      </c>
      <c r="J756" s="54">
        <f>INT(Cobros[[#This Row],[Fecha Cargo]])</f>
        <v>46195</v>
      </c>
      <c r="K756" s="54">
        <f>INT(Cobros[[#This Row],[Fecha Aplicacion]])</f>
        <v>46225</v>
      </c>
      <c r="L756" s="55" t="str">
        <f>INDEX(Clientes[Días Plazo],MATCH(Cobros[[#This Row],[Cod. Cliente]],Clientes[Codigo],0),1)</f>
        <v>30</v>
      </c>
      <c r="M756" s="45" t="str">
        <f>IF(Cobros[[#This Row],[Dias de Credito]]&lt;=0,"Contado","Credito")</f>
        <v>Credito</v>
      </c>
      <c r="N756" s="45">
        <f>Cobros[[#This Row],[Fecha Aplicación S]]-Cobros[[#This Row],[Fecha Cargo S]]</f>
        <v>30</v>
      </c>
      <c r="O756" s="45">
        <f>Cobros[[#This Row],[Dias al pago]]-Cobros[[#This Row],[Dias de Credito]]</f>
        <v>0</v>
      </c>
      <c r="P756" s="45">
        <f>SUMIFS(TablaDias[Porcentaje],TablaDias[Tipo],Cobros[[#This Row],[Tipo]],TablaDias[Desde ],"&lt;="&amp;MAX(0,Cobros[[#This Row],[Dias pasado]]),TablaDias[Hasta ],"&gt;="&amp;Cobros[[#This Row],[Dias pasado]])</f>
        <v>100</v>
      </c>
      <c r="Q75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6" s="34">
        <f>IF(COUNTIF(PAPEL[Numero],Cobros[[#This Row],[Doc. Cargo]])&gt;0,1,0)</f>
        <v>0</v>
      </c>
      <c r="S756" s="46">
        <f t="array" ref="S75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6" s="46">
        <f t="array" ref="T756">INDEX(Ventas[[Unidades]:[2]],MATCH("Gerente de Venta",Ventas[Vendedor %],0),6+Cobros[[#This Row],[Mes]])</f>
        <v>0.005</v>
      </c>
      <c r="U756" s="34">
        <f>IF(Cobros[[#This Row],[Tipo]]="Credito",IF(60&gt;=Cobros[[#This Row],[Dias al pago]],1,0),IF(Cobros[[#This Row],[Dias al pago]]&lt;=3,1,0))</f>
        <v>1</v>
      </c>
      <c r="V756" s="46">
        <f>(Cobros[[#This Row],[% A pagar Vendedor]]/100)*Cobros[[#This Row],[Valor Pagado]]*Cobros[[#This Row],[Vencido]]*(Cobros[[#This Row],[% aplicar]]/100)*IF(Cobros[[#This Row],[% A pagar Vendedor]]&gt;0,1,0)</f>
        <v>13.553375</v>
      </c>
      <c r="W756" s="46">
        <f>0.5%*Cobros[[#This Row],[Valor Pagado]]</f>
        <v>5.42135</v>
      </c>
      <c r="X756" s="34"/>
    </row>
    <row r="757" spans="1:24">
      <c r="A757" s="49" t="s">
        <v>3884</v>
      </c>
      <c r="B757" s="49" t="s">
        <v>5019</v>
      </c>
      <c r="C757" s="49" t="s">
        <v>484</v>
      </c>
      <c r="D757" s="49" t="s">
        <v>485</v>
      </c>
      <c r="E757" s="49" t="s">
        <v>5010</v>
      </c>
      <c r="F757" s="51">
        <v>46195</v>
      </c>
      <c r="G757" s="49">
        <v>44.94</v>
      </c>
      <c r="H757" s="49" t="s">
        <v>19</v>
      </c>
      <c r="I757" s="51">
        <v>46225</v>
      </c>
      <c r="J757" s="54">
        <f>INT(Cobros[[#This Row],[Fecha Cargo]])</f>
        <v>46195</v>
      </c>
      <c r="K757" s="54">
        <f>INT(Cobros[[#This Row],[Fecha Aplicacion]])</f>
        <v>46225</v>
      </c>
      <c r="L757" s="55" t="str">
        <f>INDEX(Clientes[Días Plazo],MATCH(Cobros[[#This Row],[Cod. Cliente]],Clientes[Codigo],0),1)</f>
        <v>30</v>
      </c>
      <c r="M757" s="45" t="str">
        <f>IF(Cobros[[#This Row],[Dias de Credito]]&lt;=0,"Contado","Credito")</f>
        <v>Credito</v>
      </c>
      <c r="N757" s="45">
        <f>Cobros[[#This Row],[Fecha Aplicación S]]-Cobros[[#This Row],[Fecha Cargo S]]</f>
        <v>30</v>
      </c>
      <c r="O757" s="45">
        <f>Cobros[[#This Row],[Dias al pago]]-Cobros[[#This Row],[Dias de Credito]]</f>
        <v>0</v>
      </c>
      <c r="P757" s="45">
        <f>SUMIFS(TablaDias[Porcentaje],TablaDias[Tipo],Cobros[[#This Row],[Tipo]],TablaDias[Desde ],"&lt;="&amp;MAX(0,Cobros[[#This Row],[Dias pasado]]),TablaDias[Hasta ],"&gt;="&amp;Cobros[[#This Row],[Dias pasado]])</f>
        <v>100</v>
      </c>
      <c r="Q75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57" s="34">
        <f>IF(COUNTIF(PAPEL[Numero],Cobros[[#This Row],[Doc. Cargo]])&gt;0,1,0)</f>
        <v>0</v>
      </c>
      <c r="S757" s="46">
        <f t="array" ref="S7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7" s="46">
        <f t="array" ref="T757">INDEX(Ventas[[Unidades]:[2]],MATCH("Gerente de Venta",Ventas[Vendedor %],0),6+Cobros[[#This Row],[Mes]])</f>
        <v>0.005</v>
      </c>
      <c r="U757" s="34">
        <f>IF(Cobros[[#This Row],[Tipo]]="Credito",IF(60&gt;=Cobros[[#This Row],[Dias al pago]],1,0),IF(Cobros[[#This Row],[Dias al pago]]&lt;=3,1,0))</f>
        <v>1</v>
      </c>
      <c r="V757" s="46">
        <f>(Cobros[[#This Row],[% A pagar Vendedor]]/100)*Cobros[[#This Row],[Valor Pagado]]*Cobros[[#This Row],[Vencido]]*(Cobros[[#This Row],[% aplicar]]/100)*IF(Cobros[[#This Row],[% A pagar Vendedor]]&gt;0,1,0)</f>
        <v>0.56175</v>
      </c>
      <c r="W757" s="46">
        <f>0.5%*Cobros[[#This Row],[Valor Pagado]]</f>
        <v>0.2247</v>
      </c>
      <c r="X757" s="34"/>
    </row>
    <row r="758" spans="1:24">
      <c r="A758" s="49" t="s">
        <v>3884</v>
      </c>
      <c r="B758" s="49" t="s">
        <v>5020</v>
      </c>
      <c r="C758" s="49" t="s">
        <v>1492</v>
      </c>
      <c r="D758" s="49" t="s">
        <v>1493</v>
      </c>
      <c r="E758" s="49" t="s">
        <v>5021</v>
      </c>
      <c r="F758" s="51">
        <v>46225</v>
      </c>
      <c r="G758" s="49">
        <v>75</v>
      </c>
      <c r="H758" s="49" t="s">
        <v>16</v>
      </c>
      <c r="I758" s="51">
        <v>46225</v>
      </c>
      <c r="J758" s="54">
        <f>INT(Cobros[[#This Row],[Fecha Cargo]])</f>
        <v>46225</v>
      </c>
      <c r="K758" s="54">
        <f>INT(Cobros[[#This Row],[Fecha Aplicacion]])</f>
        <v>46225</v>
      </c>
      <c r="L758" s="55">
        <f>INDEX(Clientes[Días Plazo],MATCH(Cobros[[#This Row],[Cod. Cliente]],Clientes[Codigo],0),1)</f>
        <v>0</v>
      </c>
      <c r="M758" s="45" t="str">
        <f>IF(Cobros[[#This Row],[Dias de Credito]]&lt;=0,"Contado","Credito")</f>
        <v>Contado</v>
      </c>
      <c r="N758" s="45">
        <f>Cobros[[#This Row],[Fecha Aplicación S]]-Cobros[[#This Row],[Fecha Cargo S]]</f>
        <v>0</v>
      </c>
      <c r="O758" s="45">
        <f>Cobros[[#This Row],[Dias al pago]]-Cobros[[#This Row],[Dias de Credito]]</f>
        <v>0</v>
      </c>
      <c r="P758" s="45">
        <f>SUMIFS(TablaDias[Porcentaje],TablaDias[Tipo],Cobros[[#This Row],[Tipo]],TablaDias[Desde ],"&lt;="&amp;MAX(0,Cobros[[#This Row],[Dias pasado]]),TablaDias[Hasta ],"&gt;="&amp;Cobros[[#This Row],[Dias pasado]])</f>
        <v>100</v>
      </c>
      <c r="Q75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58" s="34">
        <f>IF(COUNTIF(PAPEL[Numero],Cobros[[#This Row],[Doc. Cargo]])&gt;0,1,0)</f>
        <v>0</v>
      </c>
      <c r="S758" s="46">
        <f t="array" ref="S7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8" s="47">
        <v>0.005</v>
      </c>
      <c r="U758" s="34">
        <f>IF(Cobros[[#This Row],[Tipo]]="Credito",IF(60&gt;=Cobros[[#This Row],[Dias al pago]],1,0),IF(Cobros[[#This Row],[Dias al pago]]&lt;=3,1,0))</f>
        <v>1</v>
      </c>
      <c r="V758" s="46">
        <f>(Cobros[[#This Row],[% A pagar Vendedor]]/100)*Cobros[[#This Row],[Valor Pagado]]*Cobros[[#This Row],[Vencido]]*(Cobros[[#This Row],[% aplicar]]/100)*IF(Cobros[[#This Row],[% A pagar Vendedor]]&gt;0,1,0)</f>
        <v>0.9375</v>
      </c>
      <c r="W758" s="46">
        <f>0.5%*Cobros[[#This Row],[Valor Pagado]]</f>
        <v>0.375</v>
      </c>
      <c r="X758" s="34"/>
    </row>
    <row r="759" spans="1:24">
      <c r="A759" s="49" t="s">
        <v>3860</v>
      </c>
      <c r="B759" s="49" t="s">
        <v>5022</v>
      </c>
      <c r="C759" s="49" t="s">
        <v>1222</v>
      </c>
      <c r="D759" s="49" t="s">
        <v>1223</v>
      </c>
      <c r="E759" s="49" t="s">
        <v>4909</v>
      </c>
      <c r="F759" s="51">
        <v>46223</v>
      </c>
      <c r="G759" s="49">
        <v>832.45</v>
      </c>
      <c r="H759" s="49" t="s">
        <v>20</v>
      </c>
      <c r="I759" s="51">
        <v>46226</v>
      </c>
      <c r="J759" s="54">
        <f>INT(Cobros[[#This Row],[Fecha Cargo]])</f>
        <v>46223</v>
      </c>
      <c r="K759" s="54">
        <f>INT(Cobros[[#This Row],[Fecha Aplicacion]])</f>
        <v>46226</v>
      </c>
      <c r="L759" s="55" t="str">
        <f>INDEX(Clientes[Días Plazo],MATCH(Cobros[[#This Row],[Cod. Cliente]],Clientes[Codigo],0),1)</f>
        <v>7</v>
      </c>
      <c r="M759" s="45" t="str">
        <f>IF(Cobros[[#This Row],[Dias de Credito]]&lt;=0,"Contado","Credito")</f>
        <v>Credito</v>
      </c>
      <c r="N759" s="45">
        <f>Cobros[[#This Row],[Fecha Aplicación S]]-Cobros[[#This Row],[Fecha Cargo S]]</f>
        <v>3</v>
      </c>
      <c r="O759" s="45">
        <f>Cobros[[#This Row],[Dias al pago]]-Cobros[[#This Row],[Dias de Credito]]</f>
        <v>-4</v>
      </c>
      <c r="P759" s="45">
        <f>SUMIFS(TablaDias[Porcentaje],TablaDias[Tipo],Cobros[[#This Row],[Tipo]],TablaDias[Desde ],"&lt;="&amp;MAX(0,Cobros[[#This Row],[Dias pasado]]),TablaDias[Hasta ],"&gt;="&amp;Cobros[[#This Row],[Dias pasado]])</f>
        <v>100</v>
      </c>
      <c r="Q75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59" s="34">
        <f>IF(COUNTIF(PAPEL[Numero],Cobros[[#This Row],[Doc. Cargo]])&gt;0,1,0)</f>
        <v>0</v>
      </c>
      <c r="S759" s="46">
        <f t="array" ref="S7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59" s="46">
        <f t="array" ref="T759">INDEX(Ventas[[Unidades]:[2]],MATCH("Gerente de Venta",Ventas[Vendedor %],0),6+Cobros[[#This Row],[Mes]])</f>
        <v>0.005</v>
      </c>
      <c r="U759" s="34">
        <f>IF(Cobros[[#This Row],[Tipo]]="Credito",IF(60&gt;=Cobros[[#This Row],[Dias al pago]],1,0),IF(Cobros[[#This Row],[Dias al pago]]&lt;=3,1,0))</f>
        <v>1</v>
      </c>
      <c r="V759" s="46">
        <f>(Cobros[[#This Row],[% A pagar Vendedor]]/100)*Cobros[[#This Row],[Valor Pagado]]*Cobros[[#This Row],[Vencido]]*(Cobros[[#This Row],[% aplicar]]/100)*IF(Cobros[[#This Row],[% A pagar Vendedor]]&gt;0,1,0)</f>
        <v>10.405625</v>
      </c>
      <c r="W759" s="46">
        <f>0.5%*Cobros[[#This Row],[Valor Pagado]]</f>
        <v>4.16225</v>
      </c>
      <c r="X759" s="34"/>
    </row>
    <row r="760" spans="1:24">
      <c r="A760" s="49" t="s">
        <v>3860</v>
      </c>
      <c r="B760" s="49" t="s">
        <v>5022</v>
      </c>
      <c r="C760" s="49" t="s">
        <v>1222</v>
      </c>
      <c r="D760" s="49" t="s">
        <v>1223</v>
      </c>
      <c r="E760" s="49" t="s">
        <v>5023</v>
      </c>
      <c r="F760" s="51">
        <v>46224</v>
      </c>
      <c r="G760" s="49">
        <v>267.55</v>
      </c>
      <c r="H760" s="49" t="s">
        <v>20</v>
      </c>
      <c r="I760" s="51">
        <v>46226</v>
      </c>
      <c r="J760" s="54">
        <f>INT(Cobros[[#This Row],[Fecha Cargo]])</f>
        <v>46224</v>
      </c>
      <c r="K760" s="54">
        <f>INT(Cobros[[#This Row],[Fecha Aplicacion]])</f>
        <v>46226</v>
      </c>
      <c r="L760" s="55" t="str">
        <f>INDEX(Clientes[Días Plazo],MATCH(Cobros[[#This Row],[Cod. Cliente]],Clientes[Codigo],0),1)</f>
        <v>7</v>
      </c>
      <c r="M760" s="45" t="str">
        <f>IF(Cobros[[#This Row],[Dias de Credito]]&lt;=0,"Contado","Credito")</f>
        <v>Credito</v>
      </c>
      <c r="N760" s="45">
        <f>Cobros[[#This Row],[Fecha Aplicación S]]-Cobros[[#This Row],[Fecha Cargo S]]</f>
        <v>2</v>
      </c>
      <c r="O760" s="45">
        <f>Cobros[[#This Row],[Dias al pago]]-Cobros[[#This Row],[Dias de Credito]]</f>
        <v>-5</v>
      </c>
      <c r="P760" s="45">
        <f>SUMIFS(TablaDias[Porcentaje],TablaDias[Tipo],Cobros[[#This Row],[Tipo]],TablaDias[Desde ],"&lt;="&amp;MAX(0,Cobros[[#This Row],[Dias pasado]]),TablaDias[Hasta ],"&gt;="&amp;Cobros[[#This Row],[Dias pasado]])</f>
        <v>100</v>
      </c>
      <c r="Q76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0" s="34">
        <f>IF(COUNTIF(PAPEL[Numero],Cobros[[#This Row],[Doc. Cargo]])&gt;0,1,0)</f>
        <v>0</v>
      </c>
      <c r="S760" s="46">
        <f t="array" ref="S7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0" s="46">
        <f t="array" ref="T760">INDEX(Ventas[[Unidades]:[2]],MATCH("Gerente de Venta",Ventas[Vendedor %],0),6+Cobros[[#This Row],[Mes]])</f>
        <v>0.005</v>
      </c>
      <c r="U760" s="34">
        <f>IF(Cobros[[#This Row],[Tipo]]="Credito",IF(60&gt;=Cobros[[#This Row],[Dias al pago]],1,0),IF(Cobros[[#This Row],[Dias al pago]]&lt;=3,1,0))</f>
        <v>1</v>
      </c>
      <c r="V760" s="46">
        <f>(Cobros[[#This Row],[% A pagar Vendedor]]/100)*Cobros[[#This Row],[Valor Pagado]]*Cobros[[#This Row],[Vencido]]*(Cobros[[#This Row],[% aplicar]]/100)*IF(Cobros[[#This Row],[% A pagar Vendedor]]&gt;0,1,0)</f>
        <v>3.344375</v>
      </c>
      <c r="W760" s="46">
        <f>0.5%*Cobros[[#This Row],[Valor Pagado]]</f>
        <v>1.33775</v>
      </c>
      <c r="X760" s="34"/>
    </row>
    <row r="761" ht="30" spans="1:24">
      <c r="A761" s="49" t="s">
        <v>3860</v>
      </c>
      <c r="B761" s="49" t="s">
        <v>5024</v>
      </c>
      <c r="C761" s="49" t="s">
        <v>3531</v>
      </c>
      <c r="D761" s="49" t="s">
        <v>3532</v>
      </c>
      <c r="E761" s="49" t="s">
        <v>5025</v>
      </c>
      <c r="F761" s="51">
        <v>46205</v>
      </c>
      <c r="G761" s="49">
        <v>235</v>
      </c>
      <c r="H761" s="49" t="s">
        <v>3865</v>
      </c>
      <c r="I761" s="51">
        <v>46226</v>
      </c>
      <c r="J761" s="54">
        <f>INT(Cobros[[#This Row],[Fecha Cargo]])</f>
        <v>46205</v>
      </c>
      <c r="K761" s="54">
        <f>INT(Cobros[[#This Row],[Fecha Aplicacion]])</f>
        <v>46226</v>
      </c>
      <c r="L761" s="55" t="str">
        <f>INDEX(Clientes[Días Plazo],MATCH(Cobros[[#This Row],[Cod. Cliente]],Clientes[Codigo],0),1)</f>
        <v>15</v>
      </c>
      <c r="M761" s="45" t="str">
        <f>IF(Cobros[[#This Row],[Dias de Credito]]&lt;=0,"Contado","Credito")</f>
        <v>Credito</v>
      </c>
      <c r="N761" s="45">
        <f>Cobros[[#This Row],[Fecha Aplicación S]]-Cobros[[#This Row],[Fecha Cargo S]]</f>
        <v>21</v>
      </c>
      <c r="O761" s="45">
        <f>Cobros[[#This Row],[Dias al pago]]-Cobros[[#This Row],[Dias de Credito]]</f>
        <v>6</v>
      </c>
      <c r="P761" s="45">
        <f>SUMIFS(TablaDias[Porcentaje],TablaDias[Tipo],Cobros[[#This Row],[Tipo]],TablaDias[Desde ],"&lt;="&amp;MAX(0,Cobros[[#This Row],[Dias pasado]]),TablaDias[Hasta ],"&gt;="&amp;Cobros[[#This Row],[Dias pasado]])</f>
        <v>100</v>
      </c>
      <c r="Q76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1" s="34">
        <f>IF(COUNTIF(PAPEL[Numero],Cobros[[#This Row],[Doc. Cargo]])&gt;0,1,0)</f>
        <v>0</v>
      </c>
      <c r="S761" s="46">
        <v>1</v>
      </c>
      <c r="T761" s="46">
        <f t="array" ref="T761">INDEX(Ventas[[Unidades]:[2]],MATCH("Gerente de Venta",Ventas[Vendedor %],0),6+Cobros[[#This Row],[Mes]])</f>
        <v>0.005</v>
      </c>
      <c r="U761" s="34">
        <f>IF(Cobros[[#This Row],[Tipo]]="Credito",IF(60&gt;=Cobros[[#This Row],[Dias al pago]],1,0),IF(Cobros[[#This Row],[Dias al pago]]&lt;=3,1,0))</f>
        <v>1</v>
      </c>
      <c r="V761" s="46">
        <f>(Cobros[[#This Row],[% A pagar Vendedor]]/100)*Cobros[[#This Row],[Valor Pagado]]*Cobros[[#This Row],[Vencido]]*(Cobros[[#This Row],[% aplicar]]/100)*IF(Cobros[[#This Row],[% A pagar Vendedor]]&gt;0,1,0)</f>
        <v>2.35</v>
      </c>
      <c r="W761" s="46">
        <f>0.5%*Cobros[[#This Row],[Valor Pagado]]</f>
        <v>1.175</v>
      </c>
      <c r="X761" s="34"/>
    </row>
    <row r="762" ht="30" spans="1:24">
      <c r="A762" s="49" t="s">
        <v>3884</v>
      </c>
      <c r="B762" s="49" t="s">
        <v>5026</v>
      </c>
      <c r="C762" s="49" t="s">
        <v>688</v>
      </c>
      <c r="D762" s="49" t="s">
        <v>689</v>
      </c>
      <c r="E762" s="49" t="s">
        <v>5027</v>
      </c>
      <c r="F762" s="51">
        <v>46226</v>
      </c>
      <c r="G762" s="49">
        <v>510</v>
      </c>
      <c r="H762" s="49" t="s">
        <v>22</v>
      </c>
      <c r="I762" s="51">
        <v>46226</v>
      </c>
      <c r="J762" s="54">
        <f>INT(Cobros[[#This Row],[Fecha Cargo]])</f>
        <v>46226</v>
      </c>
      <c r="K762" s="54">
        <f>INT(Cobros[[#This Row],[Fecha Aplicacion]])</f>
        <v>46226</v>
      </c>
      <c r="L762" s="55">
        <f>INDEX(Clientes[Días Plazo],MATCH(Cobros[[#This Row],[Cod. Cliente]],Clientes[Codigo],0),1)</f>
        <v>0</v>
      </c>
      <c r="M762" s="45" t="str">
        <f>IF(Cobros[[#This Row],[Dias de Credito]]&lt;=0,"Contado","Credito")</f>
        <v>Contado</v>
      </c>
      <c r="N762" s="45">
        <f>Cobros[[#This Row],[Fecha Aplicación S]]-Cobros[[#This Row],[Fecha Cargo S]]</f>
        <v>0</v>
      </c>
      <c r="O762" s="45">
        <f>Cobros[[#This Row],[Dias al pago]]-Cobros[[#This Row],[Dias de Credito]]</f>
        <v>0</v>
      </c>
      <c r="P762" s="45">
        <f>SUMIFS(TablaDias[Porcentaje],TablaDias[Tipo],Cobros[[#This Row],[Tipo]],TablaDias[Desde ],"&lt;="&amp;MAX(0,Cobros[[#This Row],[Dias pasado]]),TablaDias[Hasta ],"&gt;="&amp;Cobros[[#This Row],[Dias pasado]])</f>
        <v>100</v>
      </c>
      <c r="Q76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2" s="34">
        <f>IF(COUNTIF(PAPEL[Numero],Cobros[[#This Row],[Doc. Cargo]])&gt;0,1,0)</f>
        <v>0</v>
      </c>
      <c r="S762" s="46">
        <f t="array" ref="S7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62" s="46">
        <f t="array" ref="T762">INDEX(Ventas[[Unidades]:[2]],MATCH("Gerente de Venta",Ventas[Vendedor %],0),6+Cobros[[#This Row],[Mes]])</f>
        <v>0.005</v>
      </c>
      <c r="U762" s="34">
        <f>IF(Cobros[[#This Row],[Tipo]]="Credito",IF(60&gt;=Cobros[[#This Row],[Dias al pago]],1,0),IF(Cobros[[#This Row],[Dias al pago]]&lt;=3,1,0))</f>
        <v>1</v>
      </c>
      <c r="V762" s="46">
        <f>(Cobros[[#This Row],[% A pagar Vendedor]]/100)*Cobros[[#This Row],[Valor Pagado]]*Cobros[[#This Row],[Vencido]]*(Cobros[[#This Row],[% aplicar]]/100)*IF(Cobros[[#This Row],[% A pagar Vendedor]]&gt;0,1,0)</f>
        <v>5.1</v>
      </c>
      <c r="W762" s="46">
        <f>0.5%*Cobros[[#This Row],[Valor Pagado]]</f>
        <v>2.55</v>
      </c>
      <c r="X762" s="34"/>
    </row>
    <row r="763" ht="30" spans="1:24">
      <c r="A763" s="49" t="s">
        <v>3860</v>
      </c>
      <c r="B763" s="49" t="s">
        <v>5028</v>
      </c>
      <c r="C763" s="49" t="s">
        <v>411</v>
      </c>
      <c r="D763" s="49" t="s">
        <v>412</v>
      </c>
      <c r="E763" s="49" t="s">
        <v>5029</v>
      </c>
      <c r="F763" s="51">
        <v>46225</v>
      </c>
      <c r="G763" s="49">
        <v>176.1</v>
      </c>
      <c r="H763" s="49" t="s">
        <v>1355</v>
      </c>
      <c r="I763" s="51">
        <v>46225</v>
      </c>
      <c r="J763" s="54">
        <f>INT(Cobros[[#This Row],[Fecha Cargo]])</f>
        <v>46225</v>
      </c>
      <c r="K763" s="54">
        <f>INT(Cobros[[#This Row],[Fecha Aplicacion]])</f>
        <v>46225</v>
      </c>
      <c r="L763" s="55">
        <f>INDEX(Clientes[Días Plazo],MATCH(Cobros[[#This Row],[Cod. Cliente]],Clientes[Codigo],0),1)</f>
        <v>0</v>
      </c>
      <c r="M763" s="45" t="str">
        <f>IF(Cobros[[#This Row],[Dias de Credito]]&lt;=0,"Contado","Credito")</f>
        <v>Contado</v>
      </c>
      <c r="N763" s="45">
        <f>Cobros[[#This Row],[Fecha Aplicación S]]-Cobros[[#This Row],[Fecha Cargo S]]</f>
        <v>0</v>
      </c>
      <c r="O763" s="45">
        <f>Cobros[[#This Row],[Dias al pago]]-Cobros[[#This Row],[Dias de Credito]]</f>
        <v>0</v>
      </c>
      <c r="P763" s="45">
        <f>SUMIFS(TablaDias[Porcentaje],TablaDias[Tipo],Cobros[[#This Row],[Tipo]],TablaDias[Desde ],"&lt;="&amp;MAX(0,Cobros[[#This Row],[Dias pasado]]),TablaDias[Hasta ],"&gt;="&amp;Cobros[[#This Row],[Dias pasado]])</f>
        <v>100</v>
      </c>
      <c r="Q76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3" s="34">
        <f>IF(COUNTIF(PAPEL[Numero],Cobros[[#This Row],[Doc. Cargo]])&gt;0,1,0)</f>
        <v>0</v>
      </c>
      <c r="S763" s="46">
        <v>1</v>
      </c>
      <c r="T763" s="46">
        <f t="array" ref="T763">INDEX(Ventas[[Unidades]:[2]],MATCH("Gerente de Venta",Ventas[Vendedor %],0),6+Cobros[[#This Row],[Mes]])</f>
        <v>0.005</v>
      </c>
      <c r="U763" s="34">
        <f>IF(Cobros[[#This Row],[Tipo]]="Credito",IF(60&gt;=Cobros[[#This Row],[Dias al pago]],1,0),IF(Cobros[[#This Row],[Dias al pago]]&lt;=3,1,0))</f>
        <v>1</v>
      </c>
      <c r="V763" s="46">
        <f>(Cobros[[#This Row],[% A pagar Vendedor]]/100)*Cobros[[#This Row],[Valor Pagado]]*Cobros[[#This Row],[Vencido]]*(Cobros[[#This Row],[% aplicar]]/100)*IF(Cobros[[#This Row],[% A pagar Vendedor]]&gt;0,1,0)</f>
        <v>1.761</v>
      </c>
      <c r="W763" s="46">
        <f>0.5%*Cobros[[#This Row],[Valor Pagado]]</f>
        <v>0.8805</v>
      </c>
      <c r="X763" s="34"/>
    </row>
    <row r="764" spans="1:24">
      <c r="A764" s="49" t="s">
        <v>3860</v>
      </c>
      <c r="B764" s="49" t="s">
        <v>5030</v>
      </c>
      <c r="C764" s="49" t="s">
        <v>2593</v>
      </c>
      <c r="D764" s="49" t="s">
        <v>2594</v>
      </c>
      <c r="E764" s="49" t="s">
        <v>5031</v>
      </c>
      <c r="F764" s="51">
        <v>46225</v>
      </c>
      <c r="G764" s="49">
        <v>45.2</v>
      </c>
      <c r="H764" s="49" t="s">
        <v>20</v>
      </c>
      <c r="I764" s="51">
        <v>46226</v>
      </c>
      <c r="J764" s="54">
        <f>INT(Cobros[[#This Row],[Fecha Cargo]])</f>
        <v>46225</v>
      </c>
      <c r="K764" s="54">
        <f>INT(Cobros[[#This Row],[Fecha Aplicacion]])</f>
        <v>46226</v>
      </c>
      <c r="L764" s="55">
        <f>INDEX(Clientes[Días Plazo],MATCH(Cobros[[#This Row],[Cod. Cliente]],Clientes[Codigo],0),1)</f>
        <v>0</v>
      </c>
      <c r="M764" s="45" t="str">
        <f>IF(Cobros[[#This Row],[Dias de Credito]]&lt;=0,"Contado","Credito")</f>
        <v>Contado</v>
      </c>
      <c r="N764" s="45">
        <f>Cobros[[#This Row],[Fecha Aplicación S]]-Cobros[[#This Row],[Fecha Cargo S]]</f>
        <v>1</v>
      </c>
      <c r="O764" s="45">
        <f>Cobros[[#This Row],[Dias al pago]]-Cobros[[#This Row],[Dias de Credito]]</f>
        <v>1</v>
      </c>
      <c r="P764" s="45">
        <f>SUMIFS(TablaDias[Porcentaje],TablaDias[Tipo],Cobros[[#This Row],[Tipo]],TablaDias[Desde ],"&lt;="&amp;MAX(0,Cobros[[#This Row],[Dias pasado]]),TablaDias[Hasta ],"&gt;="&amp;Cobros[[#This Row],[Dias pasado]])</f>
        <v>100</v>
      </c>
      <c r="Q76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4" s="34">
        <f>IF(COUNTIF(PAPEL[Numero],Cobros[[#This Row],[Doc. Cargo]])&gt;0,1,0)</f>
        <v>0</v>
      </c>
      <c r="S764" s="46">
        <f t="array" ref="S7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4" s="46">
        <f t="array" ref="T764">INDEX(Ventas[[Unidades]:[2]],MATCH("Gerente de Venta",Ventas[Vendedor %],0),6+Cobros[[#This Row],[Mes]])</f>
        <v>0.005</v>
      </c>
      <c r="U764" s="34">
        <f>IF(Cobros[[#This Row],[Tipo]]="Credito",IF(60&gt;=Cobros[[#This Row],[Dias al pago]],1,0),IF(Cobros[[#This Row],[Dias al pago]]&lt;=3,1,0))</f>
        <v>1</v>
      </c>
      <c r="V764" s="46">
        <f>(Cobros[[#This Row],[% A pagar Vendedor]]/100)*Cobros[[#This Row],[Valor Pagado]]*Cobros[[#This Row],[Vencido]]*(Cobros[[#This Row],[% aplicar]]/100)*IF(Cobros[[#This Row],[% A pagar Vendedor]]&gt;0,1,0)</f>
        <v>0.565</v>
      </c>
      <c r="W764" s="46">
        <f>0.5%*Cobros[[#This Row],[Valor Pagado]]</f>
        <v>0.226</v>
      </c>
      <c r="X764" s="34"/>
    </row>
    <row r="765" ht="30" spans="1:24">
      <c r="A765" s="49" t="s">
        <v>3860</v>
      </c>
      <c r="B765" s="49" t="s">
        <v>5032</v>
      </c>
      <c r="C765" s="49" t="s">
        <v>2285</v>
      </c>
      <c r="D765" s="49" t="s">
        <v>2286</v>
      </c>
      <c r="E765" s="49" t="s">
        <v>5033</v>
      </c>
      <c r="F765" s="51">
        <v>46225</v>
      </c>
      <c r="G765" s="49">
        <v>568</v>
      </c>
      <c r="H765" s="49" t="s">
        <v>1355</v>
      </c>
      <c r="I765" s="51">
        <v>46226</v>
      </c>
      <c r="J765" s="54">
        <f>INT(Cobros[[#This Row],[Fecha Cargo]])</f>
        <v>46225</v>
      </c>
      <c r="K765" s="54">
        <f>INT(Cobros[[#This Row],[Fecha Aplicacion]])</f>
        <v>46226</v>
      </c>
      <c r="L765" s="55">
        <f>INDEX(Clientes[Días Plazo],MATCH(Cobros[[#This Row],[Cod. Cliente]],Clientes[Codigo],0),1)</f>
        <v>0</v>
      </c>
      <c r="M765" s="45" t="str">
        <f>IF(Cobros[[#This Row],[Dias de Credito]]&lt;=0,"Contado","Credito")</f>
        <v>Contado</v>
      </c>
      <c r="N765" s="45">
        <f>Cobros[[#This Row],[Fecha Aplicación S]]-Cobros[[#This Row],[Fecha Cargo S]]</f>
        <v>1</v>
      </c>
      <c r="O765" s="45">
        <f>Cobros[[#This Row],[Dias al pago]]-Cobros[[#This Row],[Dias de Credito]]</f>
        <v>1</v>
      </c>
      <c r="P765" s="45">
        <f>SUMIFS(TablaDias[Porcentaje],TablaDias[Tipo],Cobros[[#This Row],[Tipo]],TablaDias[Desde ],"&lt;="&amp;MAX(0,Cobros[[#This Row],[Dias pasado]]),TablaDias[Hasta ],"&gt;="&amp;Cobros[[#This Row],[Dias pasado]])</f>
        <v>100</v>
      </c>
      <c r="Q76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5" s="34">
        <f>IF(COUNTIF(PAPEL[Numero],Cobros[[#This Row],[Doc. Cargo]])&gt;0,1,0)</f>
        <v>0</v>
      </c>
      <c r="S765" s="46">
        <v>1</v>
      </c>
      <c r="T765" s="46">
        <f t="array" ref="T765">INDEX(Ventas[[Unidades]:[2]],MATCH("Gerente de Venta",Ventas[Vendedor %],0),6+Cobros[[#This Row],[Mes]])</f>
        <v>0.005</v>
      </c>
      <c r="U765" s="34">
        <f>IF(Cobros[[#This Row],[Tipo]]="Credito",IF(60&gt;=Cobros[[#This Row],[Dias al pago]],1,0),IF(Cobros[[#This Row],[Dias al pago]]&lt;=3,1,0))</f>
        <v>1</v>
      </c>
      <c r="V765" s="46">
        <f>(Cobros[[#This Row],[% A pagar Vendedor]]/100)*Cobros[[#This Row],[Valor Pagado]]*Cobros[[#This Row],[Vencido]]*(Cobros[[#This Row],[% aplicar]]/100)*IF(Cobros[[#This Row],[% A pagar Vendedor]]&gt;0,1,0)</f>
        <v>5.68</v>
      </c>
      <c r="W765" s="46">
        <f>0.5%*Cobros[[#This Row],[Valor Pagado]]</f>
        <v>2.84</v>
      </c>
      <c r="X765" s="34"/>
    </row>
    <row r="766" ht="30" spans="1:24">
      <c r="A766" s="49" t="s">
        <v>3884</v>
      </c>
      <c r="B766" s="49" t="s">
        <v>5034</v>
      </c>
      <c r="C766" s="49" t="s">
        <v>1008</v>
      </c>
      <c r="D766" s="49" t="s">
        <v>1009</v>
      </c>
      <c r="E766" s="49" t="s">
        <v>4782</v>
      </c>
      <c r="F766" s="51">
        <v>46206</v>
      </c>
      <c r="G766" s="49">
        <v>194</v>
      </c>
      <c r="H766" s="49" t="s">
        <v>3865</v>
      </c>
      <c r="I766" s="51">
        <v>46226</v>
      </c>
      <c r="J766" s="54">
        <f>INT(Cobros[[#This Row],[Fecha Cargo]])</f>
        <v>46206</v>
      </c>
      <c r="K766" s="54">
        <f>INT(Cobros[[#This Row],[Fecha Aplicacion]])</f>
        <v>46226</v>
      </c>
      <c r="L766" s="55" t="str">
        <f>INDEX(Clientes[Días Plazo],MATCH(Cobros[[#This Row],[Cod. Cliente]],Clientes[Codigo],0),1)</f>
        <v>15</v>
      </c>
      <c r="M766" s="45" t="str">
        <f>IF(Cobros[[#This Row],[Dias de Credito]]&lt;=0,"Contado","Credito")</f>
        <v>Credito</v>
      </c>
      <c r="N766" s="45">
        <f>Cobros[[#This Row],[Fecha Aplicación S]]-Cobros[[#This Row],[Fecha Cargo S]]</f>
        <v>20</v>
      </c>
      <c r="O766" s="45">
        <f>Cobros[[#This Row],[Dias al pago]]-Cobros[[#This Row],[Dias de Credito]]</f>
        <v>5</v>
      </c>
      <c r="P766" s="45">
        <f>SUMIFS(TablaDias[Porcentaje],TablaDias[Tipo],Cobros[[#This Row],[Tipo]],TablaDias[Desde ],"&lt;="&amp;MAX(0,Cobros[[#This Row],[Dias pasado]]),TablaDias[Hasta ],"&gt;="&amp;Cobros[[#This Row],[Dias pasado]])</f>
        <v>100</v>
      </c>
      <c r="Q76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6" s="34">
        <f>IF(COUNTIF(PAPEL[Numero],Cobros[[#This Row],[Doc. Cargo]])&gt;0,1,0)</f>
        <v>0</v>
      </c>
      <c r="S766" s="46">
        <v>1</v>
      </c>
      <c r="T766" s="46">
        <f t="array" ref="T766">INDEX(Ventas[[Unidades]:[2]],MATCH("Gerente de Venta",Ventas[Vendedor %],0),6+Cobros[[#This Row],[Mes]])</f>
        <v>0.005</v>
      </c>
      <c r="U766" s="34">
        <f>IF(Cobros[[#This Row],[Tipo]]="Credito",IF(60&gt;=Cobros[[#This Row],[Dias al pago]],1,0),IF(Cobros[[#This Row],[Dias al pago]]&lt;=3,1,0))</f>
        <v>1</v>
      </c>
      <c r="V766" s="46">
        <f>(Cobros[[#This Row],[% A pagar Vendedor]]/100)*Cobros[[#This Row],[Valor Pagado]]*Cobros[[#This Row],[Vencido]]*(Cobros[[#This Row],[% aplicar]]/100)*IF(Cobros[[#This Row],[% A pagar Vendedor]]&gt;0,1,0)</f>
        <v>1.94</v>
      </c>
      <c r="W766" s="46">
        <f>0.5%*Cobros[[#This Row],[Valor Pagado]]</f>
        <v>0.97</v>
      </c>
      <c r="X766" s="34"/>
    </row>
    <row r="767" spans="1:24">
      <c r="A767" s="49" t="s">
        <v>3904</v>
      </c>
      <c r="B767" s="49" t="s">
        <v>5035</v>
      </c>
      <c r="C767" s="49" t="s">
        <v>1645</v>
      </c>
      <c r="D767" s="49" t="s">
        <v>1646</v>
      </c>
      <c r="E767" s="49" t="s">
        <v>5036</v>
      </c>
      <c r="F767" s="51">
        <v>46224</v>
      </c>
      <c r="G767" s="49">
        <v>225</v>
      </c>
      <c r="H767" s="49" t="s">
        <v>16</v>
      </c>
      <c r="I767" s="51">
        <v>46223</v>
      </c>
      <c r="J767" s="54">
        <f>INT(Cobros[[#This Row],[Fecha Cargo]])</f>
        <v>46224</v>
      </c>
      <c r="K767" s="54">
        <f>INT(Cobros[[#This Row],[Fecha Aplicacion]])</f>
        <v>46223</v>
      </c>
      <c r="L767" s="55" t="str">
        <f>INDEX(Clientes[Días Plazo],MATCH(Cobros[[#This Row],[Cod. Cliente]],Clientes[Codigo],0),1)</f>
        <v>15</v>
      </c>
      <c r="M767" s="45" t="str">
        <f>IF(Cobros[[#This Row],[Dias de Credito]]&lt;=0,"Contado","Credito")</f>
        <v>Credito</v>
      </c>
      <c r="N767" s="45">
        <f>Cobros[[#This Row],[Fecha Aplicación S]]-Cobros[[#This Row],[Fecha Cargo S]]</f>
        <v>-1</v>
      </c>
      <c r="O767" s="45">
        <f>Cobros[[#This Row],[Dias al pago]]-Cobros[[#This Row],[Dias de Credito]]</f>
        <v>-16</v>
      </c>
      <c r="P767" s="45">
        <f>SUMIFS(TablaDias[Porcentaje],TablaDias[Tipo],Cobros[[#This Row],[Tipo]],TablaDias[Desde ],"&lt;="&amp;MAX(0,Cobros[[#This Row],[Dias pasado]]),TablaDias[Hasta ],"&gt;="&amp;Cobros[[#This Row],[Dias pasado]])</f>
        <v>100</v>
      </c>
      <c r="Q76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7" s="34">
        <f>IF(COUNTIF(PAPEL[Numero],Cobros[[#This Row],[Doc. Cargo]])&gt;0,1,0)</f>
        <v>0</v>
      </c>
      <c r="S767" s="46">
        <f t="array" ref="S7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7" s="47">
        <v>0.005</v>
      </c>
      <c r="U767" s="34">
        <f>IF(Cobros[[#This Row],[Tipo]]="Credito",IF(60&gt;=Cobros[[#This Row],[Dias al pago]],1,0),IF(Cobros[[#This Row],[Dias al pago]]&lt;=3,1,0))</f>
        <v>1</v>
      </c>
      <c r="V767" s="46">
        <f>(Cobros[[#This Row],[% A pagar Vendedor]]/100)*Cobros[[#This Row],[Valor Pagado]]*Cobros[[#This Row],[Vencido]]*(Cobros[[#This Row],[% aplicar]]/100)*IF(Cobros[[#This Row],[% A pagar Vendedor]]&gt;0,1,0)</f>
        <v>2.8125</v>
      </c>
      <c r="W767" s="46">
        <f>0.5%*Cobros[[#This Row],[Valor Pagado]]</f>
        <v>1.125</v>
      </c>
      <c r="X767" s="34"/>
    </row>
    <row r="768" spans="1:24">
      <c r="A768" s="49" t="s">
        <v>3875</v>
      </c>
      <c r="B768" s="49" t="s">
        <v>4713</v>
      </c>
      <c r="C768" s="49" t="s">
        <v>1220</v>
      </c>
      <c r="D768" s="49" t="s">
        <v>1221</v>
      </c>
      <c r="E768" s="49" t="s">
        <v>4802</v>
      </c>
      <c r="F768" s="51">
        <v>46220</v>
      </c>
      <c r="G768" s="49">
        <v>0.95</v>
      </c>
      <c r="H768" s="49" t="s">
        <v>20</v>
      </c>
      <c r="I768" s="51">
        <v>46219</v>
      </c>
      <c r="J768" s="54">
        <f>INT(Cobros[[#This Row],[Fecha Cargo]])</f>
        <v>46220</v>
      </c>
      <c r="K768" s="54">
        <f>INT(Cobros[[#This Row],[Fecha Aplicacion]])</f>
        <v>46219</v>
      </c>
      <c r="L768" s="55">
        <f>INDEX(Clientes[Días Plazo],MATCH(Cobros[[#This Row],[Cod. Cliente]],Clientes[Codigo],0),1)</f>
        <v>0</v>
      </c>
      <c r="M768" s="45" t="str">
        <f>IF(Cobros[[#This Row],[Dias de Credito]]&lt;=0,"Contado","Credito")</f>
        <v>Contado</v>
      </c>
      <c r="N768" s="45">
        <f>Cobros[[#This Row],[Fecha Aplicación S]]-Cobros[[#This Row],[Fecha Cargo S]]</f>
        <v>-1</v>
      </c>
      <c r="O768" s="45">
        <f>Cobros[[#This Row],[Dias al pago]]-Cobros[[#This Row],[Dias de Credito]]</f>
        <v>-1</v>
      </c>
      <c r="P768" s="45">
        <f>SUMIFS(TablaDias[Porcentaje],TablaDias[Tipo],Cobros[[#This Row],[Tipo]],TablaDias[Desde ],"&lt;="&amp;MAX(0,Cobros[[#This Row],[Dias pasado]]),TablaDias[Hasta ],"&gt;="&amp;Cobros[[#This Row],[Dias pasado]])</f>
        <v>100</v>
      </c>
      <c r="Q76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8" s="34">
        <f>IF(COUNTIF(PAPEL[Numero],Cobros[[#This Row],[Doc. Cargo]])&gt;0,1,0)</f>
        <v>0</v>
      </c>
      <c r="S768" s="46">
        <f t="array" ref="S7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8" s="46">
        <f t="array" ref="T768">INDEX(Ventas[[Unidades]:[2]],MATCH("Gerente de Venta",Ventas[Vendedor %],0),6+Cobros[[#This Row],[Mes]])</f>
        <v>0.005</v>
      </c>
      <c r="U768" s="34">
        <f>IF(Cobros[[#This Row],[Tipo]]="Credito",IF(60&gt;=Cobros[[#This Row],[Dias al pago]],1,0),IF(Cobros[[#This Row],[Dias al pago]]&lt;=3,1,0))</f>
        <v>1</v>
      </c>
      <c r="V768" s="46">
        <f>(Cobros[[#This Row],[% A pagar Vendedor]]/100)*Cobros[[#This Row],[Valor Pagado]]*Cobros[[#This Row],[Vencido]]*(Cobros[[#This Row],[% aplicar]]/100)*IF(Cobros[[#This Row],[% A pagar Vendedor]]&gt;0,1,0)</f>
        <v>0.011875</v>
      </c>
      <c r="W768" s="46">
        <f>0.5%*Cobros[[#This Row],[Valor Pagado]]</f>
        <v>0.00475</v>
      </c>
      <c r="X768" s="34"/>
    </row>
    <row r="769" spans="1:24">
      <c r="A769" s="49" t="s">
        <v>3860</v>
      </c>
      <c r="B769" s="49" t="s">
        <v>5037</v>
      </c>
      <c r="C769" s="49" t="s">
        <v>2511</v>
      </c>
      <c r="D769" s="49" t="s">
        <v>2512</v>
      </c>
      <c r="E769" s="49" t="s">
        <v>5038</v>
      </c>
      <c r="F769" s="51">
        <v>46213</v>
      </c>
      <c r="G769" s="49">
        <v>1165.5</v>
      </c>
      <c r="H769" s="49" t="s">
        <v>16</v>
      </c>
      <c r="I769" s="51">
        <v>46226</v>
      </c>
      <c r="J769" s="54">
        <f>INT(Cobros[[#This Row],[Fecha Cargo]])</f>
        <v>46213</v>
      </c>
      <c r="K769" s="54">
        <f>INT(Cobros[[#This Row],[Fecha Aplicacion]])</f>
        <v>46226</v>
      </c>
      <c r="L769" s="55">
        <v>30</v>
      </c>
      <c r="M769" s="45" t="str">
        <f>IF(Cobros[[#This Row],[Dias de Credito]]&lt;=0,"Contado","Credito")</f>
        <v>Credito</v>
      </c>
      <c r="N769" s="45">
        <f>Cobros[[#This Row],[Fecha Aplicación S]]-Cobros[[#This Row],[Fecha Cargo S]]</f>
        <v>13</v>
      </c>
      <c r="O769" s="45">
        <f>Cobros[[#This Row],[Dias al pago]]-Cobros[[#This Row],[Dias de Credito]]</f>
        <v>-17</v>
      </c>
      <c r="P769" s="45">
        <f>SUMIFS(TablaDias[Porcentaje],TablaDias[Tipo],Cobros[[#This Row],[Tipo]],TablaDias[Desde ],"&lt;="&amp;MAX(0,Cobros[[#This Row],[Dias pasado]]),TablaDias[Hasta ],"&gt;="&amp;Cobros[[#This Row],[Dias pasado]])</f>
        <v>100</v>
      </c>
      <c r="Q76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69" s="34">
        <f>IF(COUNTIF(PAPEL[Numero],Cobros[[#This Row],[Doc. Cargo]])&gt;0,1,0)</f>
        <v>0</v>
      </c>
      <c r="S769" s="46">
        <f t="array" ref="S7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69" s="47">
        <v>0.005</v>
      </c>
      <c r="U769" s="34">
        <f>IF(Cobros[[#This Row],[Tipo]]="Credito",IF(60&gt;=Cobros[[#This Row],[Dias al pago]],1,0),IF(Cobros[[#This Row],[Dias al pago]]&lt;=3,1,0))</f>
        <v>1</v>
      </c>
      <c r="V769" s="46">
        <f>(Cobros[[#This Row],[% A pagar Vendedor]]/100)*Cobros[[#This Row],[Valor Pagado]]*Cobros[[#This Row],[Vencido]]*(Cobros[[#This Row],[% aplicar]]/100)*IF(Cobros[[#This Row],[% A pagar Vendedor]]&gt;0,1,0)</f>
        <v>14.56875</v>
      </c>
      <c r="W769" s="46">
        <f>0.5%*Cobros[[#This Row],[Valor Pagado]]</f>
        <v>5.8275</v>
      </c>
      <c r="X769" s="34"/>
    </row>
    <row r="770" spans="1:24">
      <c r="A770" s="49" t="s">
        <v>3884</v>
      </c>
      <c r="B770" s="49" t="s">
        <v>5039</v>
      </c>
      <c r="C770" s="49" t="s">
        <v>1362</v>
      </c>
      <c r="D770" s="49" t="s">
        <v>1363</v>
      </c>
      <c r="E770" s="49" t="s">
        <v>4562</v>
      </c>
      <c r="F770" s="51">
        <v>46164</v>
      </c>
      <c r="G770" s="49">
        <v>0.97</v>
      </c>
      <c r="H770" s="49" t="s">
        <v>18</v>
      </c>
      <c r="I770" s="51">
        <v>46226</v>
      </c>
      <c r="J770" s="54">
        <f>INT(Cobros[[#This Row],[Fecha Cargo]])</f>
        <v>46164</v>
      </c>
      <c r="K770" s="54">
        <f>INT(Cobros[[#This Row],[Fecha Aplicacion]])</f>
        <v>46226</v>
      </c>
      <c r="L770" s="55">
        <v>30</v>
      </c>
      <c r="M770" s="45" t="str">
        <f>IF(Cobros[[#This Row],[Dias de Credito]]&lt;=0,"Contado","Credito")</f>
        <v>Credito</v>
      </c>
      <c r="N770" s="45">
        <f>Cobros[[#This Row],[Fecha Aplicación S]]-Cobros[[#This Row],[Fecha Cargo S]]</f>
        <v>62</v>
      </c>
      <c r="O770" s="45">
        <f>Cobros[[#This Row],[Dias al pago]]-Cobros[[#This Row],[Dias de Credito]]</f>
        <v>32</v>
      </c>
      <c r="P770" s="45">
        <f>SUMIFS(TablaDias[Porcentaje],TablaDias[Tipo],Cobros[[#This Row],[Tipo]],TablaDias[Desde ],"&lt;="&amp;MAX(0,Cobros[[#This Row],[Dias pasado]]),TablaDias[Hasta ],"&gt;="&amp;Cobros[[#This Row],[Dias pasado]])</f>
        <v>30</v>
      </c>
      <c r="Q77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70" s="34">
        <f>IF(COUNTIF(PAPEL[Numero],Cobros[[#This Row],[Doc. Cargo]])&gt;0,1,0)</f>
        <v>0</v>
      </c>
      <c r="S770" s="46">
        <f t="array" ref="S7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0</v>
      </c>
      <c r="T770" s="46">
        <f t="array" ref="T770">INDEX(Ventas[[Unidades]:[2]],MATCH("Gerente de Venta",Ventas[Vendedor %],0),6+Cobros[[#This Row],[Mes]])</f>
        <v>0.005</v>
      </c>
      <c r="U770" s="34">
        <f>IF(Cobros[[#This Row],[Tipo]]="Credito",IF(60&gt;=Cobros[[#This Row],[Dias al pago]],1,0),IF(Cobros[[#This Row],[Dias al pago]]&lt;=3,1,0))</f>
        <v>0</v>
      </c>
      <c r="V770" s="46">
        <f>(Cobros[[#This Row],[% A pagar Vendedor]]/100)*Cobros[[#This Row],[Valor Pagado]]*Cobros[[#This Row],[Vencido]]*(Cobros[[#This Row],[% aplicar]]/100)*IF(Cobros[[#This Row],[% A pagar Vendedor]]&gt;0,1,0)</f>
        <v>0</v>
      </c>
      <c r="W770" s="46">
        <f>0.5%*Cobros[[#This Row],[Valor Pagado]]</f>
        <v>0.00485</v>
      </c>
      <c r="X770" s="34"/>
    </row>
    <row r="771" spans="1:24">
      <c r="A771" s="49" t="s">
        <v>3875</v>
      </c>
      <c r="B771" s="49" t="s">
        <v>5040</v>
      </c>
      <c r="C771" s="49" t="s">
        <v>1220</v>
      </c>
      <c r="D771" s="49" t="s">
        <v>1221</v>
      </c>
      <c r="E771" s="49" t="s">
        <v>5041</v>
      </c>
      <c r="F771" s="51">
        <v>46226</v>
      </c>
      <c r="G771" s="49">
        <v>100</v>
      </c>
      <c r="H771" s="49" t="s">
        <v>20</v>
      </c>
      <c r="I771" s="51">
        <v>46226</v>
      </c>
      <c r="J771" s="54">
        <f>INT(Cobros[[#This Row],[Fecha Cargo]])</f>
        <v>46226</v>
      </c>
      <c r="K771" s="54">
        <f>INT(Cobros[[#This Row],[Fecha Aplicacion]])</f>
        <v>46226</v>
      </c>
      <c r="L771" s="55">
        <f>INDEX(Clientes[Días Plazo],MATCH(Cobros[[#This Row],[Cod. Cliente]],Clientes[Codigo],0),1)</f>
        <v>0</v>
      </c>
      <c r="M771" s="45" t="str">
        <f>IF(Cobros[[#This Row],[Dias de Credito]]&lt;=0,"Contado","Credito")</f>
        <v>Contado</v>
      </c>
      <c r="N771" s="45">
        <f>Cobros[[#This Row],[Fecha Aplicación S]]-Cobros[[#This Row],[Fecha Cargo S]]</f>
        <v>0</v>
      </c>
      <c r="O771" s="45">
        <f>Cobros[[#This Row],[Dias al pago]]-Cobros[[#This Row],[Dias de Credito]]</f>
        <v>0</v>
      </c>
      <c r="P771" s="45">
        <f>SUMIFS(TablaDias[Porcentaje],TablaDias[Tipo],Cobros[[#This Row],[Tipo]],TablaDias[Desde ],"&lt;="&amp;MAX(0,Cobros[[#This Row],[Dias pasado]]),TablaDias[Hasta ],"&gt;="&amp;Cobros[[#This Row],[Dias pasado]])</f>
        <v>100</v>
      </c>
      <c r="Q77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1" s="34">
        <f>IF(COUNTIF(PAPEL[Numero],Cobros[[#This Row],[Doc. Cargo]])&gt;0,1,0)</f>
        <v>0</v>
      </c>
      <c r="S771" s="46">
        <f t="array" ref="S7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1" s="46">
        <f t="array" ref="T771">INDEX(Ventas[[Unidades]:[2]],MATCH("Gerente de Venta",Ventas[Vendedor %],0),6+Cobros[[#This Row],[Mes]])</f>
        <v>0.005</v>
      </c>
      <c r="U771" s="34">
        <f>IF(Cobros[[#This Row],[Tipo]]="Credito",IF(60&gt;=Cobros[[#This Row],[Dias al pago]],1,0),IF(Cobros[[#This Row],[Dias al pago]]&lt;=3,1,0))</f>
        <v>1</v>
      </c>
      <c r="V771" s="46">
        <f>(Cobros[[#This Row],[% A pagar Vendedor]]/100)*Cobros[[#This Row],[Valor Pagado]]*Cobros[[#This Row],[Vencido]]*(Cobros[[#This Row],[% aplicar]]/100)*IF(Cobros[[#This Row],[% A pagar Vendedor]]&gt;0,1,0)</f>
        <v>1.25</v>
      </c>
      <c r="W771" s="46">
        <f>0.5%*Cobros[[#This Row],[Valor Pagado]]</f>
        <v>0.5</v>
      </c>
      <c r="X771" s="34"/>
    </row>
    <row r="772" spans="1:24">
      <c r="A772" s="49" t="s">
        <v>3875</v>
      </c>
      <c r="B772" s="49" t="s">
        <v>4713</v>
      </c>
      <c r="C772" s="49" t="s">
        <v>1220</v>
      </c>
      <c r="D772" s="49" t="s">
        <v>1221</v>
      </c>
      <c r="E772" s="49" t="s">
        <v>5041</v>
      </c>
      <c r="F772" s="51">
        <v>46226</v>
      </c>
      <c r="G772" s="49">
        <v>0.05</v>
      </c>
      <c r="H772" s="49" t="s">
        <v>20</v>
      </c>
      <c r="I772" s="51">
        <v>46219</v>
      </c>
      <c r="J772" s="54">
        <f>INT(Cobros[[#This Row],[Fecha Cargo]])</f>
        <v>46226</v>
      </c>
      <c r="K772" s="54">
        <f>INT(Cobros[[#This Row],[Fecha Aplicacion]])</f>
        <v>46219</v>
      </c>
      <c r="L772" s="55">
        <f>INDEX(Clientes[Días Plazo],MATCH(Cobros[[#This Row],[Cod. Cliente]],Clientes[Codigo],0),1)</f>
        <v>0</v>
      </c>
      <c r="M772" s="45" t="str">
        <f>IF(Cobros[[#This Row],[Dias de Credito]]&lt;=0,"Contado","Credito")</f>
        <v>Contado</v>
      </c>
      <c r="N772" s="45">
        <f>Cobros[[#This Row],[Fecha Aplicación S]]-Cobros[[#This Row],[Fecha Cargo S]]</f>
        <v>-7</v>
      </c>
      <c r="O772" s="45">
        <f>Cobros[[#This Row],[Dias al pago]]-Cobros[[#This Row],[Dias de Credito]]</f>
        <v>-7</v>
      </c>
      <c r="P772" s="45">
        <f>SUMIFS(TablaDias[Porcentaje],TablaDias[Tipo],Cobros[[#This Row],[Tipo]],TablaDias[Desde ],"&lt;="&amp;MAX(0,Cobros[[#This Row],[Dias pasado]]),TablaDias[Hasta ],"&gt;="&amp;Cobros[[#This Row],[Dias pasado]])</f>
        <v>100</v>
      </c>
      <c r="Q77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2" s="34">
        <f>IF(COUNTIF(PAPEL[Numero],Cobros[[#This Row],[Doc. Cargo]])&gt;0,1,0)</f>
        <v>0</v>
      </c>
      <c r="S772" s="46">
        <f t="array" ref="S7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2" s="46">
        <f t="array" ref="T772">INDEX(Ventas[[Unidades]:[2]],MATCH("Gerente de Venta",Ventas[Vendedor %],0),6+Cobros[[#This Row],[Mes]])</f>
        <v>0.005</v>
      </c>
      <c r="U772" s="34">
        <f>IF(Cobros[[#This Row],[Tipo]]="Credito",IF(60&gt;=Cobros[[#This Row],[Dias al pago]],1,0),IF(Cobros[[#This Row],[Dias al pago]]&lt;=3,1,0))</f>
        <v>1</v>
      </c>
      <c r="V772" s="46">
        <f>(Cobros[[#This Row],[% A pagar Vendedor]]/100)*Cobros[[#This Row],[Valor Pagado]]*Cobros[[#This Row],[Vencido]]*(Cobros[[#This Row],[% aplicar]]/100)*IF(Cobros[[#This Row],[% A pagar Vendedor]]&gt;0,1,0)</f>
        <v>0.000625</v>
      </c>
      <c r="W772" s="46">
        <f>0.5%*Cobros[[#This Row],[Valor Pagado]]</f>
        <v>0.00025</v>
      </c>
      <c r="X772" s="34"/>
    </row>
    <row r="773" spans="1:24">
      <c r="A773" s="49" t="s">
        <v>3875</v>
      </c>
      <c r="B773" s="49" t="s">
        <v>4646</v>
      </c>
      <c r="C773" s="49" t="s">
        <v>1220</v>
      </c>
      <c r="D773" s="49" t="s">
        <v>1221</v>
      </c>
      <c r="E773" s="49" t="s">
        <v>5041</v>
      </c>
      <c r="F773" s="51">
        <v>46226</v>
      </c>
      <c r="G773" s="49">
        <v>6.95</v>
      </c>
      <c r="H773" s="49" t="s">
        <v>20</v>
      </c>
      <c r="I773" s="51">
        <v>46218</v>
      </c>
      <c r="J773" s="54">
        <f>INT(Cobros[[#This Row],[Fecha Cargo]])</f>
        <v>46226</v>
      </c>
      <c r="K773" s="54">
        <f>INT(Cobros[[#This Row],[Fecha Aplicacion]])</f>
        <v>46218</v>
      </c>
      <c r="L773" s="55">
        <f>INDEX(Clientes[Días Plazo],MATCH(Cobros[[#This Row],[Cod. Cliente]],Clientes[Codigo],0),1)</f>
        <v>0</v>
      </c>
      <c r="M773" s="45" t="str">
        <f>IF(Cobros[[#This Row],[Dias de Credito]]&lt;=0,"Contado","Credito")</f>
        <v>Contado</v>
      </c>
      <c r="N773" s="45">
        <f>Cobros[[#This Row],[Fecha Aplicación S]]-Cobros[[#This Row],[Fecha Cargo S]]</f>
        <v>-8</v>
      </c>
      <c r="O773" s="45">
        <f>Cobros[[#This Row],[Dias al pago]]-Cobros[[#This Row],[Dias de Credito]]</f>
        <v>-8</v>
      </c>
      <c r="P773" s="45">
        <f>SUMIFS(TablaDias[Porcentaje],TablaDias[Tipo],Cobros[[#This Row],[Tipo]],TablaDias[Desde ],"&lt;="&amp;MAX(0,Cobros[[#This Row],[Dias pasado]]),TablaDias[Hasta ],"&gt;="&amp;Cobros[[#This Row],[Dias pasado]])</f>
        <v>100</v>
      </c>
      <c r="Q77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3" s="34">
        <f>IF(COUNTIF(PAPEL[Numero],Cobros[[#This Row],[Doc. Cargo]])&gt;0,1,0)</f>
        <v>0</v>
      </c>
      <c r="S773" s="46">
        <f t="array" ref="S7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3" s="46">
        <f t="array" ref="T773">INDEX(Ventas[[Unidades]:[2]],MATCH("Gerente de Venta",Ventas[Vendedor %],0),6+Cobros[[#This Row],[Mes]])</f>
        <v>0.005</v>
      </c>
      <c r="U773" s="34">
        <f>IF(Cobros[[#This Row],[Tipo]]="Credito",IF(60&gt;=Cobros[[#This Row],[Dias al pago]],1,0),IF(Cobros[[#This Row],[Dias al pago]]&lt;=3,1,0))</f>
        <v>1</v>
      </c>
      <c r="V773" s="46">
        <f>(Cobros[[#This Row],[% A pagar Vendedor]]/100)*Cobros[[#This Row],[Valor Pagado]]*Cobros[[#This Row],[Vencido]]*(Cobros[[#This Row],[% aplicar]]/100)*IF(Cobros[[#This Row],[% A pagar Vendedor]]&gt;0,1,0)</f>
        <v>0.086875</v>
      </c>
      <c r="W773" s="46">
        <f>0.5%*Cobros[[#This Row],[Valor Pagado]]</f>
        <v>0.03475</v>
      </c>
      <c r="X773" s="34"/>
    </row>
    <row r="774" spans="1:24">
      <c r="A774" s="49" t="s">
        <v>3884</v>
      </c>
      <c r="B774" s="49" t="s">
        <v>5042</v>
      </c>
      <c r="C774" s="49" t="s">
        <v>1222</v>
      </c>
      <c r="D774" s="49" t="s">
        <v>1223</v>
      </c>
      <c r="E774" s="49" t="s">
        <v>5023</v>
      </c>
      <c r="F774" s="51">
        <v>46224</v>
      </c>
      <c r="G774" s="49">
        <v>7.71</v>
      </c>
      <c r="H774" s="49" t="s">
        <v>20</v>
      </c>
      <c r="I774" s="51">
        <v>46226</v>
      </c>
      <c r="J774" s="54">
        <f>INT(Cobros[[#This Row],[Fecha Cargo]])</f>
        <v>46224</v>
      </c>
      <c r="K774" s="54">
        <f>INT(Cobros[[#This Row],[Fecha Aplicacion]])</f>
        <v>46226</v>
      </c>
      <c r="L774" s="55">
        <v>30</v>
      </c>
      <c r="M774" s="45" t="str">
        <f>IF(Cobros[[#This Row],[Dias de Credito]]&lt;=0,"Contado","Credito")</f>
        <v>Credito</v>
      </c>
      <c r="N774" s="45">
        <f>Cobros[[#This Row],[Fecha Aplicación S]]-Cobros[[#This Row],[Fecha Cargo S]]</f>
        <v>2</v>
      </c>
      <c r="O774" s="45">
        <f>Cobros[[#This Row],[Dias al pago]]-Cobros[[#This Row],[Dias de Credito]]</f>
        <v>-28</v>
      </c>
      <c r="P774" s="45">
        <f>SUMIFS(TablaDias[Porcentaje],TablaDias[Tipo],Cobros[[#This Row],[Tipo]],TablaDias[Desde ],"&lt;="&amp;MAX(0,Cobros[[#This Row],[Dias pasado]]),TablaDias[Hasta ],"&gt;="&amp;Cobros[[#This Row],[Dias pasado]])</f>
        <v>100</v>
      </c>
      <c r="Q774" s="34">
        <v>0</v>
      </c>
      <c r="R774" s="34">
        <f>IF(COUNTIF(PAPEL[Numero],Cobros[[#This Row],[Doc. Cargo]])&gt;0,1,0)</f>
        <v>0</v>
      </c>
      <c r="S774" s="46">
        <f t="array" ref="S7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4" s="46">
        <f t="array" ref="T774">INDEX(Ventas[[Unidades]:[2]],MATCH("Gerente de Venta",Ventas[Vendedor %],0),6+Cobros[[#This Row],[Mes]])</f>
        <v>0.005</v>
      </c>
      <c r="U774" s="34">
        <f>IF(Cobros[[#This Row],[Tipo]]="Credito",IF(60&gt;=Cobros[[#This Row],[Dias al pago]],1,0),IF(Cobros[[#This Row],[Dias al pago]]&lt;=3,1,0))</f>
        <v>1</v>
      </c>
      <c r="V774" s="46">
        <f>(Cobros[[#This Row],[% A pagar Vendedor]]/100)*Cobros[[#This Row],[Valor Pagado]]*Cobros[[#This Row],[Vencido]]*(Cobros[[#This Row],[% aplicar]]/100)*IF(Cobros[[#This Row],[% A pagar Vendedor]]&gt;0,1,0)</f>
        <v>0.096375</v>
      </c>
      <c r="W774" s="46">
        <f>0.5%*Cobros[[#This Row],[Valor Pagado]]</f>
        <v>0.03855</v>
      </c>
      <c r="X774" s="34"/>
    </row>
    <row r="775" spans="1:24">
      <c r="A775" s="49" t="s">
        <v>3860</v>
      </c>
      <c r="B775" s="49" t="s">
        <v>5043</v>
      </c>
      <c r="C775" s="49" t="s">
        <v>538</v>
      </c>
      <c r="D775" s="49" t="s">
        <v>539</v>
      </c>
      <c r="E775" s="49" t="s">
        <v>5044</v>
      </c>
      <c r="F775" s="51">
        <v>46226</v>
      </c>
      <c r="G775" s="49">
        <v>17929.25</v>
      </c>
      <c r="H775" s="49" t="s">
        <v>16</v>
      </c>
      <c r="I775" s="51">
        <v>46226</v>
      </c>
      <c r="J775" s="54">
        <f>INT(Cobros[[#This Row],[Fecha Cargo]])</f>
        <v>46226</v>
      </c>
      <c r="K775" s="54">
        <f>INT(Cobros[[#This Row],[Fecha Aplicacion]])</f>
        <v>46226</v>
      </c>
      <c r="L775" s="55">
        <f>INDEX(Clientes[Días Plazo],MATCH(Cobros[[#This Row],[Cod. Cliente]],Clientes[Codigo],0),1)</f>
        <v>0</v>
      </c>
      <c r="M775" s="45" t="str">
        <f>IF(Cobros[[#This Row],[Dias de Credito]]&lt;=0,"Contado","Credito")</f>
        <v>Contado</v>
      </c>
      <c r="N775" s="45">
        <f>Cobros[[#This Row],[Fecha Aplicación S]]-Cobros[[#This Row],[Fecha Cargo S]]</f>
        <v>0</v>
      </c>
      <c r="O775" s="45">
        <f>Cobros[[#This Row],[Dias al pago]]-Cobros[[#This Row],[Dias de Credito]]</f>
        <v>0</v>
      </c>
      <c r="P775" s="45">
        <f>SUMIFS(TablaDias[Porcentaje],TablaDias[Tipo],Cobros[[#This Row],[Tipo]],TablaDias[Desde ],"&lt;="&amp;MAX(0,Cobros[[#This Row],[Dias pasado]]),TablaDias[Hasta ],"&gt;="&amp;Cobros[[#This Row],[Dias pasado]])</f>
        <v>100</v>
      </c>
      <c r="Q77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5" s="34">
        <f>IF(COUNTIF(PAPEL[Numero],Cobros[[#This Row],[Doc. Cargo]])&gt;0,1,0)</f>
        <v>0</v>
      </c>
      <c r="S775" s="46">
        <f t="array" ref="S7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75" s="47">
        <v>0.005</v>
      </c>
      <c r="U775" s="34">
        <f>IF(Cobros[[#This Row],[Tipo]]="Credito",IF(60&gt;=Cobros[[#This Row],[Dias al pago]],1,0),IF(Cobros[[#This Row],[Dias al pago]]&lt;=3,1,0))</f>
        <v>1</v>
      </c>
      <c r="V775" s="46">
        <f>(Cobros[[#This Row],[% A pagar Vendedor]]/100)*Cobros[[#This Row],[Valor Pagado]]*Cobros[[#This Row],[Vencido]]*(Cobros[[#This Row],[% aplicar]]/100)*IF(Cobros[[#This Row],[% A pagar Vendedor]]&gt;0,1,0)</f>
        <v>224.115625</v>
      </c>
      <c r="W775" s="46">
        <f>0.5%*Cobros[[#This Row],[Valor Pagado]]</f>
        <v>89.64625</v>
      </c>
      <c r="X775" s="34"/>
    </row>
    <row r="776" ht="30" spans="1:24">
      <c r="A776" s="49" t="s">
        <v>3931</v>
      </c>
      <c r="B776" s="49" t="s">
        <v>5045</v>
      </c>
      <c r="C776" s="49" t="s">
        <v>1534</v>
      </c>
      <c r="D776" s="49" t="s">
        <v>1535</v>
      </c>
      <c r="E776" s="49" t="s">
        <v>5046</v>
      </c>
      <c r="F776" s="51">
        <v>46225</v>
      </c>
      <c r="G776" s="49">
        <v>625</v>
      </c>
      <c r="H776" s="49" t="s">
        <v>22</v>
      </c>
      <c r="I776" s="51">
        <v>46226</v>
      </c>
      <c r="J776" s="54">
        <f>INT(Cobros[[#This Row],[Fecha Cargo]])</f>
        <v>46225</v>
      </c>
      <c r="K776" s="54">
        <f>INT(Cobros[[#This Row],[Fecha Aplicacion]])</f>
        <v>46226</v>
      </c>
      <c r="L776" s="55" t="str">
        <f>INDEX(Clientes[Días Plazo],MATCH(Cobros[[#This Row],[Cod. Cliente]],Clientes[Codigo],0),1)</f>
        <v>3</v>
      </c>
      <c r="M776" s="45" t="str">
        <f>IF(Cobros[[#This Row],[Dias de Credito]]&lt;=0,"Contado","Credito")</f>
        <v>Credito</v>
      </c>
      <c r="N776" s="45">
        <f>Cobros[[#This Row],[Fecha Aplicación S]]-Cobros[[#This Row],[Fecha Cargo S]]</f>
        <v>1</v>
      </c>
      <c r="O776" s="45">
        <f>Cobros[[#This Row],[Dias al pago]]-Cobros[[#This Row],[Dias de Credito]]</f>
        <v>-2</v>
      </c>
      <c r="P776" s="45">
        <f>SUMIFS(TablaDias[Porcentaje],TablaDias[Tipo],Cobros[[#This Row],[Tipo]],TablaDias[Desde ],"&lt;="&amp;MAX(0,Cobros[[#This Row],[Dias pasado]]),TablaDias[Hasta ],"&gt;="&amp;Cobros[[#This Row],[Dias pasado]])</f>
        <v>100</v>
      </c>
      <c r="Q77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6" s="34">
        <f>IF(COUNTIF(PAPEL[Numero],Cobros[[#This Row],[Doc. Cargo]])&gt;0,1,0)</f>
        <v>0</v>
      </c>
      <c r="S776" s="46">
        <f t="array" ref="S7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76" s="46">
        <f t="array" ref="T776">INDEX(Ventas[[Unidades]:[2]],MATCH("Gerente de Venta",Ventas[Vendedor %],0),6+Cobros[[#This Row],[Mes]])</f>
        <v>0.005</v>
      </c>
      <c r="U776" s="34">
        <f>IF(Cobros[[#This Row],[Tipo]]="Credito",IF(60&gt;=Cobros[[#This Row],[Dias al pago]],1,0),IF(Cobros[[#This Row],[Dias al pago]]&lt;=3,1,0))</f>
        <v>1</v>
      </c>
      <c r="V776" s="46">
        <f>(Cobros[[#This Row],[% A pagar Vendedor]]/100)*Cobros[[#This Row],[Valor Pagado]]*Cobros[[#This Row],[Vencido]]*(Cobros[[#This Row],[% aplicar]]/100)*IF(Cobros[[#This Row],[% A pagar Vendedor]]&gt;0,1,0)</f>
        <v>6.25</v>
      </c>
      <c r="W776" s="46">
        <f>0.5%*Cobros[[#This Row],[Valor Pagado]]</f>
        <v>3.125</v>
      </c>
      <c r="X776" s="34"/>
    </row>
    <row r="777" ht="30" spans="1:24">
      <c r="A777" s="49" t="s">
        <v>3860</v>
      </c>
      <c r="B777" s="49" t="s">
        <v>5047</v>
      </c>
      <c r="C777" s="49" t="s">
        <v>1921</v>
      </c>
      <c r="D777" s="49" t="s">
        <v>1922</v>
      </c>
      <c r="E777" s="49" t="s">
        <v>4201</v>
      </c>
      <c r="F777" s="51">
        <v>46196</v>
      </c>
      <c r="G777" s="49">
        <v>22.49</v>
      </c>
      <c r="H777" s="49" t="s">
        <v>3865</v>
      </c>
      <c r="I777" s="51">
        <v>46226</v>
      </c>
      <c r="J777" s="54">
        <f>INT(Cobros[[#This Row],[Fecha Cargo]])</f>
        <v>46196</v>
      </c>
      <c r="K777" s="54">
        <f>INT(Cobros[[#This Row],[Fecha Aplicacion]])</f>
        <v>46226</v>
      </c>
      <c r="L777" s="55" t="str">
        <f>INDEX(Clientes[Días Plazo],MATCH(Cobros[[#This Row],[Cod. Cliente]],Clientes[Codigo],0),1)</f>
        <v>21</v>
      </c>
      <c r="M777" s="45" t="str">
        <f>IF(Cobros[[#This Row],[Dias de Credito]]&lt;=0,"Contado","Credito")</f>
        <v>Credito</v>
      </c>
      <c r="N777" s="45">
        <f>Cobros[[#This Row],[Fecha Aplicación S]]-Cobros[[#This Row],[Fecha Cargo S]]</f>
        <v>30</v>
      </c>
      <c r="O777" s="45">
        <f>Cobros[[#This Row],[Dias al pago]]-Cobros[[#This Row],[Dias de Credito]]</f>
        <v>9</v>
      </c>
      <c r="P777" s="45">
        <f>SUMIFS(TablaDias[Porcentaje],TablaDias[Tipo],Cobros[[#This Row],[Tipo]],TablaDias[Desde ],"&lt;="&amp;MAX(0,Cobros[[#This Row],[Dias pasado]]),TablaDias[Hasta ],"&gt;="&amp;Cobros[[#This Row],[Dias pasado]])</f>
        <v>100</v>
      </c>
      <c r="Q77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77" s="34">
        <f>IF(COUNTIF(PAPEL[Numero],Cobros[[#This Row],[Doc. Cargo]])&gt;0,1,0)</f>
        <v>0</v>
      </c>
      <c r="S777" s="46">
        <v>1</v>
      </c>
      <c r="T777" s="46">
        <f t="array" ref="T777">INDEX(Ventas[[Unidades]:[2]],MATCH("Gerente de Venta",Ventas[Vendedor %],0),6+Cobros[[#This Row],[Mes]])</f>
        <v>0.005</v>
      </c>
      <c r="U777" s="34">
        <f>IF(Cobros[[#This Row],[Tipo]]="Credito",IF(60&gt;=Cobros[[#This Row],[Dias al pago]],1,0),IF(Cobros[[#This Row],[Dias al pago]]&lt;=3,1,0))</f>
        <v>1</v>
      </c>
      <c r="V777" s="46">
        <f>(Cobros[[#This Row],[% A pagar Vendedor]]/100)*Cobros[[#This Row],[Valor Pagado]]*Cobros[[#This Row],[Vencido]]*(Cobros[[#This Row],[% aplicar]]/100)*IF(Cobros[[#This Row],[% A pagar Vendedor]]&gt;0,1,0)</f>
        <v>0.2249</v>
      </c>
      <c r="W777" s="46">
        <f>0.5%*Cobros[[#This Row],[Valor Pagado]]</f>
        <v>0.11245</v>
      </c>
      <c r="X777" s="34"/>
    </row>
    <row r="778" ht="30" spans="1:24">
      <c r="A778" s="49" t="s">
        <v>3860</v>
      </c>
      <c r="B778" s="49" t="s">
        <v>5047</v>
      </c>
      <c r="C778" s="49" t="s">
        <v>1921</v>
      </c>
      <c r="D778" s="49" t="s">
        <v>1922</v>
      </c>
      <c r="E778" s="49" t="s">
        <v>5048</v>
      </c>
      <c r="F778" s="51">
        <v>46211</v>
      </c>
      <c r="G778" s="49">
        <v>64.8</v>
      </c>
      <c r="H778" s="49" t="s">
        <v>3865</v>
      </c>
      <c r="I778" s="51">
        <v>46226</v>
      </c>
      <c r="J778" s="54">
        <f>INT(Cobros[[#This Row],[Fecha Cargo]])</f>
        <v>46211</v>
      </c>
      <c r="K778" s="54">
        <f>INT(Cobros[[#This Row],[Fecha Aplicacion]])</f>
        <v>46226</v>
      </c>
      <c r="L778" s="55" t="str">
        <f>INDEX(Clientes[Días Plazo],MATCH(Cobros[[#This Row],[Cod. Cliente]],Clientes[Codigo],0),1)</f>
        <v>21</v>
      </c>
      <c r="M778" s="45" t="str">
        <f>IF(Cobros[[#This Row],[Dias de Credito]]&lt;=0,"Contado","Credito")</f>
        <v>Credito</v>
      </c>
      <c r="N778" s="45">
        <f>Cobros[[#This Row],[Fecha Aplicación S]]-Cobros[[#This Row],[Fecha Cargo S]]</f>
        <v>15</v>
      </c>
      <c r="O778" s="45">
        <f>Cobros[[#This Row],[Dias al pago]]-Cobros[[#This Row],[Dias de Credito]]</f>
        <v>-6</v>
      </c>
      <c r="P778" s="45">
        <f>SUMIFS(TablaDias[Porcentaje],TablaDias[Tipo],Cobros[[#This Row],[Tipo]],TablaDias[Desde ],"&lt;="&amp;MAX(0,Cobros[[#This Row],[Dias pasado]]),TablaDias[Hasta ],"&gt;="&amp;Cobros[[#This Row],[Dias pasado]])</f>
        <v>100</v>
      </c>
      <c r="Q77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8" s="34">
        <f>IF(COUNTIF(PAPEL[Numero],Cobros[[#This Row],[Doc. Cargo]])&gt;0,1,0)</f>
        <v>0</v>
      </c>
      <c r="S778" s="46">
        <v>1</v>
      </c>
      <c r="T778" s="46">
        <f t="array" ref="T778">INDEX(Ventas[[Unidades]:[2]],MATCH("Gerente de Venta",Ventas[Vendedor %],0),6+Cobros[[#This Row],[Mes]])</f>
        <v>0.005</v>
      </c>
      <c r="U778" s="34">
        <f>IF(Cobros[[#This Row],[Tipo]]="Credito",IF(60&gt;=Cobros[[#This Row],[Dias al pago]],1,0),IF(Cobros[[#This Row],[Dias al pago]]&lt;=3,1,0))</f>
        <v>1</v>
      </c>
      <c r="V778" s="46">
        <f>(Cobros[[#This Row],[% A pagar Vendedor]]/100)*Cobros[[#This Row],[Valor Pagado]]*Cobros[[#This Row],[Vencido]]*(Cobros[[#This Row],[% aplicar]]/100)*IF(Cobros[[#This Row],[% A pagar Vendedor]]&gt;0,1,0)</f>
        <v>0.648</v>
      </c>
      <c r="W778" s="46">
        <f>0.5%*Cobros[[#This Row],[Valor Pagado]]</f>
        <v>0.324</v>
      </c>
      <c r="X778" s="34"/>
    </row>
    <row r="779" ht="30" spans="1:24">
      <c r="A779" s="49" t="s">
        <v>3860</v>
      </c>
      <c r="B779" s="49" t="s">
        <v>5047</v>
      </c>
      <c r="C779" s="49" t="s">
        <v>1921</v>
      </c>
      <c r="D779" s="49" t="s">
        <v>1922</v>
      </c>
      <c r="E779" s="49" t="s">
        <v>5049</v>
      </c>
      <c r="F779" s="51">
        <v>46212</v>
      </c>
      <c r="G779" s="49">
        <v>77.71</v>
      </c>
      <c r="H779" s="49" t="s">
        <v>3865</v>
      </c>
      <c r="I779" s="51">
        <v>46226</v>
      </c>
      <c r="J779" s="54">
        <f>INT(Cobros[[#This Row],[Fecha Cargo]])</f>
        <v>46212</v>
      </c>
      <c r="K779" s="54">
        <f>INT(Cobros[[#This Row],[Fecha Aplicacion]])</f>
        <v>46226</v>
      </c>
      <c r="L779" s="55" t="str">
        <f>INDEX(Clientes[Días Plazo],MATCH(Cobros[[#This Row],[Cod. Cliente]],Clientes[Codigo],0),1)</f>
        <v>21</v>
      </c>
      <c r="M779" s="45" t="str">
        <f>IF(Cobros[[#This Row],[Dias de Credito]]&lt;=0,"Contado","Credito")</f>
        <v>Credito</v>
      </c>
      <c r="N779" s="45">
        <f>Cobros[[#This Row],[Fecha Aplicación S]]-Cobros[[#This Row],[Fecha Cargo S]]</f>
        <v>14</v>
      </c>
      <c r="O779" s="45">
        <f>Cobros[[#This Row],[Dias al pago]]-Cobros[[#This Row],[Dias de Credito]]</f>
        <v>-7</v>
      </c>
      <c r="P779" s="45">
        <f>SUMIFS(TablaDias[Porcentaje],TablaDias[Tipo],Cobros[[#This Row],[Tipo]],TablaDias[Desde ],"&lt;="&amp;MAX(0,Cobros[[#This Row],[Dias pasado]]),TablaDias[Hasta ],"&gt;="&amp;Cobros[[#This Row],[Dias pasado]])</f>
        <v>100</v>
      </c>
      <c r="Q77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79" s="34">
        <f>IF(COUNTIF(PAPEL[Numero],Cobros[[#This Row],[Doc. Cargo]])&gt;0,1,0)</f>
        <v>0</v>
      </c>
      <c r="S779" s="46">
        <v>1</v>
      </c>
      <c r="T779" s="46">
        <f t="array" ref="T779">INDEX(Ventas[[Unidades]:[2]],MATCH("Gerente de Venta",Ventas[Vendedor %],0),6+Cobros[[#This Row],[Mes]])</f>
        <v>0.005</v>
      </c>
      <c r="U779" s="34">
        <f>IF(Cobros[[#This Row],[Tipo]]="Credito",IF(60&gt;=Cobros[[#This Row],[Dias al pago]],1,0),IF(Cobros[[#This Row],[Dias al pago]]&lt;=3,1,0))</f>
        <v>1</v>
      </c>
      <c r="V779" s="46">
        <f>(Cobros[[#This Row],[% A pagar Vendedor]]/100)*Cobros[[#This Row],[Valor Pagado]]*Cobros[[#This Row],[Vencido]]*(Cobros[[#This Row],[% aplicar]]/100)*IF(Cobros[[#This Row],[% A pagar Vendedor]]&gt;0,1,0)</f>
        <v>0.7771</v>
      </c>
      <c r="W779" s="46">
        <f>0.5%*Cobros[[#This Row],[Valor Pagado]]</f>
        <v>0.38855</v>
      </c>
      <c r="X779" s="34"/>
    </row>
    <row r="780" ht="30" spans="1:24">
      <c r="A780" s="49" t="s">
        <v>3931</v>
      </c>
      <c r="B780" s="49" t="s">
        <v>5050</v>
      </c>
      <c r="C780" s="49" t="s">
        <v>1731</v>
      </c>
      <c r="D780" s="49" t="s">
        <v>1732</v>
      </c>
      <c r="E780" s="49" t="s">
        <v>5051</v>
      </c>
      <c r="F780" s="51">
        <v>46171</v>
      </c>
      <c r="G780" s="49">
        <v>495.32</v>
      </c>
      <c r="H780" s="49" t="s">
        <v>22</v>
      </c>
      <c r="I780" s="51">
        <v>46226</v>
      </c>
      <c r="J780" s="54">
        <f>INT(Cobros[[#This Row],[Fecha Cargo]])</f>
        <v>46171</v>
      </c>
      <c r="K780" s="54">
        <f>INT(Cobros[[#This Row],[Fecha Aplicacion]])</f>
        <v>46226</v>
      </c>
      <c r="L780" s="55" t="str">
        <f>INDEX(Clientes[Días Plazo],MATCH(Cobros[[#This Row],[Cod. Cliente]],Clientes[Codigo],0),1)</f>
        <v>30</v>
      </c>
      <c r="M780" s="45" t="str">
        <f>IF(Cobros[[#This Row],[Dias de Credito]]&lt;=0,"Contado","Credito")</f>
        <v>Credito</v>
      </c>
      <c r="N780" s="45">
        <f>Cobros[[#This Row],[Fecha Aplicación S]]-Cobros[[#This Row],[Fecha Cargo S]]</f>
        <v>55</v>
      </c>
      <c r="O780" s="45">
        <f>Cobros[[#This Row],[Dias al pago]]-Cobros[[#This Row],[Dias de Credito]]</f>
        <v>25</v>
      </c>
      <c r="P780" s="45">
        <f>SUMIFS(TablaDias[Porcentaje],TablaDias[Tipo],Cobros[[#This Row],[Tipo]],TablaDias[Desde ],"&lt;="&amp;MAX(0,Cobros[[#This Row],[Dias pasado]]),TablaDias[Hasta ],"&gt;="&amp;Cobros[[#This Row],[Dias pasado]])</f>
        <v>50</v>
      </c>
      <c r="Q78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80" s="34">
        <f>IF(COUNTIF(PAPEL[Numero],Cobros[[#This Row],[Doc. Cargo]])&gt;0,1,0)</f>
        <v>0</v>
      </c>
      <c r="S780" s="46">
        <f t="array" ref="S7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80" s="46">
        <f t="array" ref="T780">INDEX(Ventas[[Unidades]:[2]],MATCH("Gerente de Venta",Ventas[Vendedor %],0),6+Cobros[[#This Row],[Mes]])</f>
        <v>0.005</v>
      </c>
      <c r="U780" s="34">
        <f>IF(Cobros[[#This Row],[Tipo]]="Credito",IF(60&gt;=Cobros[[#This Row],[Dias al pago]],1,0),IF(Cobros[[#This Row],[Dias al pago]]&lt;=3,1,0))</f>
        <v>1</v>
      </c>
      <c r="V780" s="46">
        <f>(Cobros[[#This Row],[% A pagar Vendedor]]/100)*Cobros[[#This Row],[Valor Pagado]]*Cobros[[#This Row],[Vencido]]*(Cobros[[#This Row],[% aplicar]]/100)*IF(Cobros[[#This Row],[% A pagar Vendedor]]&gt;0,1,0)</f>
        <v>2.4766</v>
      </c>
      <c r="W780" s="46">
        <f>0.5%*Cobros[[#This Row],[Valor Pagado]]</f>
        <v>2.4766</v>
      </c>
      <c r="X780" s="34"/>
    </row>
    <row r="781" ht="30" spans="1:24">
      <c r="A781" s="49" t="s">
        <v>3931</v>
      </c>
      <c r="B781" s="49" t="s">
        <v>5050</v>
      </c>
      <c r="C781" s="49" t="s">
        <v>1731</v>
      </c>
      <c r="D781" s="49" t="s">
        <v>1732</v>
      </c>
      <c r="E781" s="49" t="s">
        <v>5052</v>
      </c>
      <c r="F781" s="51">
        <v>46178</v>
      </c>
      <c r="G781" s="49">
        <v>7770</v>
      </c>
      <c r="H781" s="49" t="s">
        <v>22</v>
      </c>
      <c r="I781" s="51">
        <v>46226</v>
      </c>
      <c r="J781" s="54">
        <f>INT(Cobros[[#This Row],[Fecha Cargo]])</f>
        <v>46178</v>
      </c>
      <c r="K781" s="54">
        <f>INT(Cobros[[#This Row],[Fecha Aplicacion]])</f>
        <v>46226</v>
      </c>
      <c r="L781" s="55" t="str">
        <f>INDEX(Clientes[Días Plazo],MATCH(Cobros[[#This Row],[Cod. Cliente]],Clientes[Codigo],0),1)</f>
        <v>30</v>
      </c>
      <c r="M781" s="45" t="str">
        <f>IF(Cobros[[#This Row],[Dias de Credito]]&lt;=0,"Contado","Credito")</f>
        <v>Credito</v>
      </c>
      <c r="N781" s="45">
        <f>Cobros[[#This Row],[Fecha Aplicación S]]-Cobros[[#This Row],[Fecha Cargo S]]</f>
        <v>48</v>
      </c>
      <c r="O781" s="45">
        <f>Cobros[[#This Row],[Dias al pago]]-Cobros[[#This Row],[Dias de Credito]]</f>
        <v>18</v>
      </c>
      <c r="P781" s="45">
        <f>SUMIFS(TablaDias[Porcentaje],TablaDias[Tipo],Cobros[[#This Row],[Tipo]],TablaDias[Desde ],"&lt;="&amp;MAX(0,Cobros[[#This Row],[Dias pasado]]),TablaDias[Hasta ],"&gt;="&amp;Cobros[[#This Row],[Dias pasado]])</f>
        <v>50</v>
      </c>
      <c r="Q78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81" s="34">
        <f>IF(COUNTIF(PAPEL[Numero],Cobros[[#This Row],[Doc. Cargo]])&gt;0,1,0)</f>
        <v>0</v>
      </c>
      <c r="S781" s="46">
        <f t="array" ref="S78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81" s="46">
        <f t="array" ref="T781">INDEX(Ventas[[Unidades]:[2]],MATCH("Gerente de Venta",Ventas[Vendedor %],0),6+Cobros[[#This Row],[Mes]])</f>
        <v>0.005</v>
      </c>
      <c r="U781" s="34">
        <f>IF(Cobros[[#This Row],[Tipo]]="Credito",IF(60&gt;=Cobros[[#This Row],[Dias al pago]],1,0),IF(Cobros[[#This Row],[Dias al pago]]&lt;=3,1,0))</f>
        <v>1</v>
      </c>
      <c r="V781" s="46">
        <f>(Cobros[[#This Row],[% A pagar Vendedor]]/100)*Cobros[[#This Row],[Valor Pagado]]*Cobros[[#This Row],[Vencido]]*(Cobros[[#This Row],[% aplicar]]/100)*IF(Cobros[[#This Row],[% A pagar Vendedor]]&gt;0,1,0)</f>
        <v>38.85</v>
      </c>
      <c r="W781" s="46">
        <f>0.5%*Cobros[[#This Row],[Valor Pagado]]</f>
        <v>38.85</v>
      </c>
      <c r="X781" s="34"/>
    </row>
    <row r="782" spans="1:24">
      <c r="A782" s="49" t="s">
        <v>3875</v>
      </c>
      <c r="B782" s="49" t="s">
        <v>5053</v>
      </c>
      <c r="C782" s="49" t="s">
        <v>1467</v>
      </c>
      <c r="D782" s="49" t="s">
        <v>1468</v>
      </c>
      <c r="E782" s="49" t="s">
        <v>5054</v>
      </c>
      <c r="F782" s="51">
        <v>46224</v>
      </c>
      <c r="G782" s="49">
        <v>640</v>
      </c>
      <c r="H782" s="49" t="s">
        <v>20</v>
      </c>
      <c r="I782" s="51">
        <v>46226</v>
      </c>
      <c r="J782" s="54">
        <f>INT(Cobros[[#This Row],[Fecha Cargo]])</f>
        <v>46224</v>
      </c>
      <c r="K782" s="54">
        <f>INT(Cobros[[#This Row],[Fecha Aplicacion]])</f>
        <v>46226</v>
      </c>
      <c r="L782" s="55">
        <f>INDEX(Clientes[Días Plazo],MATCH(Cobros[[#This Row],[Cod. Cliente]],Clientes[Codigo],0),1)</f>
        <v>0</v>
      </c>
      <c r="M782" s="45" t="str">
        <f>IF(Cobros[[#This Row],[Dias de Credito]]&lt;=0,"Contado","Credito")</f>
        <v>Contado</v>
      </c>
      <c r="N782" s="45">
        <f>Cobros[[#This Row],[Fecha Aplicación S]]-Cobros[[#This Row],[Fecha Cargo S]]</f>
        <v>2</v>
      </c>
      <c r="O782" s="45">
        <f>Cobros[[#This Row],[Dias al pago]]-Cobros[[#This Row],[Dias de Credito]]</f>
        <v>2</v>
      </c>
      <c r="P782" s="45">
        <f>SUMIFS(TablaDias[Porcentaje],TablaDias[Tipo],Cobros[[#This Row],[Tipo]],TablaDias[Desde ],"&lt;="&amp;MAX(0,Cobros[[#This Row],[Dias pasado]]),TablaDias[Hasta ],"&gt;="&amp;Cobros[[#This Row],[Dias pasado]])</f>
        <v>100</v>
      </c>
      <c r="Q78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2" s="34">
        <f>IF(COUNTIF(PAPEL[Numero],Cobros[[#This Row],[Doc. Cargo]])&gt;0,1,0)</f>
        <v>0</v>
      </c>
      <c r="S782" s="46">
        <f t="array" ref="S7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82" s="46">
        <f t="array" ref="T782">INDEX(Ventas[[Unidades]:[2]],MATCH("Gerente de Venta",Ventas[Vendedor %],0),6+Cobros[[#This Row],[Mes]])</f>
        <v>0.005</v>
      </c>
      <c r="U782" s="34">
        <f>IF(Cobros[[#This Row],[Tipo]]="Credito",IF(60&gt;=Cobros[[#This Row],[Dias al pago]],1,0),IF(Cobros[[#This Row],[Dias al pago]]&lt;=3,1,0))</f>
        <v>1</v>
      </c>
      <c r="V782" s="46">
        <f>(Cobros[[#This Row],[% A pagar Vendedor]]/100)*Cobros[[#This Row],[Valor Pagado]]*Cobros[[#This Row],[Vencido]]*(Cobros[[#This Row],[% aplicar]]/100)*IF(Cobros[[#This Row],[% A pagar Vendedor]]&gt;0,1,0)</f>
        <v>8</v>
      </c>
      <c r="W782" s="46">
        <f>0.5%*Cobros[[#This Row],[Valor Pagado]]</f>
        <v>3.2</v>
      </c>
      <c r="X782" s="34"/>
    </row>
    <row r="783" spans="1:24">
      <c r="A783" s="49" t="s">
        <v>3875</v>
      </c>
      <c r="B783" s="49" t="s">
        <v>5055</v>
      </c>
      <c r="C783" s="49" t="s">
        <v>3465</v>
      </c>
      <c r="D783" s="49" t="s">
        <v>3466</v>
      </c>
      <c r="E783" s="49" t="s">
        <v>5056</v>
      </c>
      <c r="F783" s="51">
        <v>46226</v>
      </c>
      <c r="G783" s="49">
        <v>2100</v>
      </c>
      <c r="H783" s="49" t="s">
        <v>19</v>
      </c>
      <c r="I783" s="51">
        <v>46226</v>
      </c>
      <c r="J783" s="54">
        <f>INT(Cobros[[#This Row],[Fecha Cargo]])</f>
        <v>46226</v>
      </c>
      <c r="K783" s="54">
        <f>INT(Cobros[[#This Row],[Fecha Aplicacion]])</f>
        <v>46226</v>
      </c>
      <c r="L783" s="55">
        <f>INDEX(Clientes[Días Plazo],MATCH(Cobros[[#This Row],[Cod. Cliente]],Clientes[Codigo],0),1)</f>
        <v>0</v>
      </c>
      <c r="M783" s="45" t="str">
        <f>IF(Cobros[[#This Row],[Dias de Credito]]&lt;=0,"Contado","Credito")</f>
        <v>Contado</v>
      </c>
      <c r="N783" s="45">
        <f>Cobros[[#This Row],[Fecha Aplicación S]]-Cobros[[#This Row],[Fecha Cargo S]]</f>
        <v>0</v>
      </c>
      <c r="O783" s="45">
        <f>Cobros[[#This Row],[Dias al pago]]-Cobros[[#This Row],[Dias de Credito]]</f>
        <v>0</v>
      </c>
      <c r="P783" s="45">
        <f>SUMIFS(TablaDias[Porcentaje],TablaDias[Tipo],Cobros[[#This Row],[Tipo]],TablaDias[Desde ],"&lt;="&amp;MAX(0,Cobros[[#This Row],[Dias pasado]]),TablaDias[Hasta ],"&gt;="&amp;Cobros[[#This Row],[Dias pasado]])</f>
        <v>100</v>
      </c>
      <c r="Q78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3" s="34">
        <f>IF(COUNTIF(PAPEL[Numero],Cobros[[#This Row],[Doc. Cargo]])&gt;0,1,0)</f>
        <v>0</v>
      </c>
      <c r="S783" s="46">
        <f t="array" ref="S7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83" s="46">
        <f t="array" ref="T783">INDEX(Ventas[[Unidades]:[2]],MATCH("Gerente de Venta",Ventas[Vendedor %],0),6+Cobros[[#This Row],[Mes]])</f>
        <v>0.005</v>
      </c>
      <c r="U783" s="34">
        <f>IF(Cobros[[#This Row],[Tipo]]="Credito",IF(60&gt;=Cobros[[#This Row],[Dias al pago]],1,0),IF(Cobros[[#This Row],[Dias al pago]]&lt;=3,1,0))</f>
        <v>1</v>
      </c>
      <c r="V783" s="46">
        <f>(Cobros[[#This Row],[% A pagar Vendedor]]/100)*Cobros[[#This Row],[Valor Pagado]]*Cobros[[#This Row],[Vencido]]*(Cobros[[#This Row],[% aplicar]]/100)*IF(Cobros[[#This Row],[% A pagar Vendedor]]&gt;0,1,0)</f>
        <v>26.25</v>
      </c>
      <c r="W783" s="46">
        <f>0.5%*Cobros[[#This Row],[Valor Pagado]]</f>
        <v>10.5</v>
      </c>
      <c r="X783" s="34"/>
    </row>
    <row r="784" spans="1:24">
      <c r="A784" s="49" t="s">
        <v>3875</v>
      </c>
      <c r="B784" s="49" t="s">
        <v>5057</v>
      </c>
      <c r="C784" s="49" t="s">
        <v>1218</v>
      </c>
      <c r="D784" s="49" t="s">
        <v>1219</v>
      </c>
      <c r="E784" s="49" t="s">
        <v>5058</v>
      </c>
      <c r="F784" s="51">
        <v>46226</v>
      </c>
      <c r="G784" s="49">
        <v>117</v>
      </c>
      <c r="H784" s="49" t="s">
        <v>20</v>
      </c>
      <c r="I784" s="51">
        <v>46226</v>
      </c>
      <c r="J784" s="54">
        <f>INT(Cobros[[#This Row],[Fecha Cargo]])</f>
        <v>46226</v>
      </c>
      <c r="K784" s="54">
        <f>INT(Cobros[[#This Row],[Fecha Aplicacion]])</f>
        <v>46226</v>
      </c>
      <c r="L784" s="55">
        <f>INDEX(Clientes[Días Plazo],MATCH(Cobros[[#This Row],[Cod. Cliente]],Clientes[Codigo],0),1)</f>
        <v>0</v>
      </c>
      <c r="M784" s="45" t="str">
        <f>IF(Cobros[[#This Row],[Dias de Credito]]&lt;=0,"Contado","Credito")</f>
        <v>Contado</v>
      </c>
      <c r="N784" s="45">
        <f>Cobros[[#This Row],[Fecha Aplicación S]]-Cobros[[#This Row],[Fecha Cargo S]]</f>
        <v>0</v>
      </c>
      <c r="O784" s="45">
        <f>Cobros[[#This Row],[Dias al pago]]-Cobros[[#This Row],[Dias de Credito]]</f>
        <v>0</v>
      </c>
      <c r="P784" s="45">
        <f>SUMIFS(TablaDias[Porcentaje],TablaDias[Tipo],Cobros[[#This Row],[Tipo]],TablaDias[Desde ],"&lt;="&amp;MAX(0,Cobros[[#This Row],[Dias pasado]]),TablaDias[Hasta ],"&gt;="&amp;Cobros[[#This Row],[Dias pasado]])</f>
        <v>100</v>
      </c>
      <c r="Q78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4" s="34">
        <f>IF(COUNTIF(PAPEL[Numero],Cobros[[#This Row],[Doc. Cargo]])&gt;0,1,0)</f>
        <v>0</v>
      </c>
      <c r="S784" s="46">
        <f t="array" ref="S7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84" s="46">
        <f t="array" ref="T784">INDEX(Ventas[[Unidades]:[2]],MATCH("Gerente de Venta",Ventas[Vendedor %],0),6+Cobros[[#This Row],[Mes]])</f>
        <v>0.005</v>
      </c>
      <c r="U784" s="34">
        <f>IF(Cobros[[#This Row],[Tipo]]="Credito",IF(60&gt;=Cobros[[#This Row],[Dias al pago]],1,0),IF(Cobros[[#This Row],[Dias al pago]]&lt;=3,1,0))</f>
        <v>1</v>
      </c>
      <c r="V784" s="46">
        <f>(Cobros[[#This Row],[% A pagar Vendedor]]/100)*Cobros[[#This Row],[Valor Pagado]]*Cobros[[#This Row],[Vencido]]*(Cobros[[#This Row],[% aplicar]]/100)*IF(Cobros[[#This Row],[% A pagar Vendedor]]&gt;0,1,0)</f>
        <v>1.4625</v>
      </c>
      <c r="W784" s="46">
        <v>0.585</v>
      </c>
      <c r="X784" s="34"/>
    </row>
    <row r="785" ht="30" spans="1:24">
      <c r="A785" s="49" t="s">
        <v>3875</v>
      </c>
      <c r="B785" s="49" t="s">
        <v>5059</v>
      </c>
      <c r="C785" s="49" t="s">
        <v>74</v>
      </c>
      <c r="D785" s="49" t="s">
        <v>75</v>
      </c>
      <c r="E785" s="49" t="s">
        <v>4097</v>
      </c>
      <c r="F785" s="51">
        <v>46171</v>
      </c>
      <c r="G785" s="49">
        <v>0.63</v>
      </c>
      <c r="H785" s="49" t="s">
        <v>22</v>
      </c>
      <c r="I785" s="51">
        <v>46223</v>
      </c>
      <c r="J785" s="54">
        <f>INT(Cobros[[#This Row],[Fecha Cargo]])</f>
        <v>46171</v>
      </c>
      <c r="K785" s="54">
        <f>INT(Cobros[[#This Row],[Fecha Aplicacion]])</f>
        <v>46223</v>
      </c>
      <c r="L785" s="55" t="str">
        <f>INDEX(Clientes[Días Plazo],MATCH(Cobros[[#This Row],[Cod. Cliente]],Clientes[Codigo],0),1)</f>
        <v>15</v>
      </c>
      <c r="M785" s="45" t="str">
        <f>IF(Cobros[[#This Row],[Dias de Credito]]&lt;=0,"Contado","Credito")</f>
        <v>Credito</v>
      </c>
      <c r="N785" s="45">
        <f>Cobros[[#This Row],[Fecha Aplicación S]]-Cobros[[#This Row],[Fecha Cargo S]]</f>
        <v>52</v>
      </c>
      <c r="O785" s="45">
        <f>Cobros[[#This Row],[Dias al pago]]-Cobros[[#This Row],[Dias de Credito]]</f>
        <v>37</v>
      </c>
      <c r="P785" s="45">
        <f>SUMIFS(TablaDias[Porcentaje],TablaDias[Tipo],Cobros[[#This Row],[Tipo]],TablaDias[Desde ],"&lt;="&amp;MAX(0,Cobros[[#This Row],[Dias pasado]]),TablaDias[Hasta ],"&gt;="&amp;Cobros[[#This Row],[Dias pasado]])</f>
        <v>30</v>
      </c>
      <c r="Q78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85" s="34">
        <f>IF(COUNTIF(PAPEL[Numero],Cobros[[#This Row],[Doc. Cargo]])&gt;0,1,0)</f>
        <v>0</v>
      </c>
      <c r="S785" s="46">
        <f t="array" ref="S7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85" s="46">
        <f t="array" ref="T785">0.005</f>
        <v>0.005</v>
      </c>
      <c r="U785" s="34">
        <f>IF(Cobros[[#This Row],[Tipo]]="Credito",IF(60&gt;=Cobros[[#This Row],[Dias al pago]],1,0),IF(Cobros[[#This Row],[Dias al pago]]&lt;=3,1,0))</f>
        <v>1</v>
      </c>
      <c r="V785" s="46">
        <f>(Cobros[[#This Row],[% A pagar Vendedor]]/100)*Cobros[[#This Row],[Valor Pagado]]*Cobros[[#This Row],[Vencido]]*(Cobros[[#This Row],[% aplicar]]/100)*IF(Cobros[[#This Row],[% A pagar Vendedor]]&gt;0,1,0)</f>
        <v>0.00189</v>
      </c>
      <c r="W785" s="46">
        <f>0.5%*Cobros[[#This Row],[Valor Pagado]]</f>
        <v>0.00315</v>
      </c>
      <c r="X785" s="34"/>
    </row>
    <row r="786" ht="30" spans="1:24">
      <c r="A786" s="49" t="s">
        <v>3875</v>
      </c>
      <c r="B786" s="49" t="s">
        <v>5059</v>
      </c>
      <c r="C786" s="49" t="s">
        <v>74</v>
      </c>
      <c r="D786" s="49" t="s">
        <v>75</v>
      </c>
      <c r="E786" s="49" t="s">
        <v>5060</v>
      </c>
      <c r="F786" s="51">
        <v>46213</v>
      </c>
      <c r="G786" s="49">
        <v>0.37</v>
      </c>
      <c r="H786" s="49" t="s">
        <v>22</v>
      </c>
      <c r="I786" s="51">
        <v>46223</v>
      </c>
      <c r="J786" s="54">
        <f>INT(Cobros[[#This Row],[Fecha Cargo]])</f>
        <v>46213</v>
      </c>
      <c r="K786" s="54">
        <f>INT(Cobros[[#This Row],[Fecha Aplicacion]])</f>
        <v>46223</v>
      </c>
      <c r="L786" s="55" t="str">
        <f>INDEX(Clientes[Días Plazo],MATCH(Cobros[[#This Row],[Cod. Cliente]],Clientes[Codigo],0),1)</f>
        <v>15</v>
      </c>
      <c r="M786" s="45" t="str">
        <f>IF(Cobros[[#This Row],[Dias de Credito]]&lt;=0,"Contado","Credito")</f>
        <v>Credito</v>
      </c>
      <c r="N786" s="45">
        <f>Cobros[[#This Row],[Fecha Aplicación S]]-Cobros[[#This Row],[Fecha Cargo S]]</f>
        <v>10</v>
      </c>
      <c r="O786" s="45">
        <f>Cobros[[#This Row],[Dias al pago]]-Cobros[[#This Row],[Dias de Credito]]</f>
        <v>-5</v>
      </c>
      <c r="P786" s="45">
        <f>SUMIFS(TablaDias[Porcentaje],TablaDias[Tipo],Cobros[[#This Row],[Tipo]],TablaDias[Desde ],"&lt;="&amp;MAX(0,Cobros[[#This Row],[Dias pasado]]),TablaDias[Hasta ],"&gt;="&amp;Cobros[[#This Row],[Dias pasado]])</f>
        <v>100</v>
      </c>
      <c r="Q78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6" s="34">
        <f>IF(COUNTIF(PAPEL[Numero],Cobros[[#This Row],[Doc. Cargo]])&gt;0,1,0)</f>
        <v>0</v>
      </c>
      <c r="S786" s="46">
        <f t="array" ref="S7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86" s="46">
        <f t="array" ref="T786">INDEX(Ventas[[Unidades]:[2]],MATCH("Gerente de Venta",Ventas[Vendedor %],0),6+Cobros[[#This Row],[Mes]])</f>
        <v>0.005</v>
      </c>
      <c r="U786" s="34">
        <f>IF(Cobros[[#This Row],[Tipo]]="Credito",IF(60&gt;=Cobros[[#This Row],[Dias al pago]],1,0),IF(Cobros[[#This Row],[Dias al pago]]&lt;=3,1,0))</f>
        <v>1</v>
      </c>
      <c r="V786" s="46">
        <f>(Cobros[[#This Row],[% A pagar Vendedor]]/100)*Cobros[[#This Row],[Valor Pagado]]*Cobros[[#This Row],[Vencido]]*(Cobros[[#This Row],[% aplicar]]/100)*IF(Cobros[[#This Row],[% A pagar Vendedor]]&gt;0,1,0)</f>
        <v>0.0037</v>
      </c>
      <c r="W786" s="46">
        <f>0.5%*Cobros[[#This Row],[Valor Pagado]]</f>
        <v>0.00185</v>
      </c>
      <c r="X786" s="34"/>
    </row>
    <row r="787" ht="30" spans="1:24">
      <c r="A787" s="49" t="s">
        <v>3860</v>
      </c>
      <c r="B787" s="49" t="s">
        <v>5061</v>
      </c>
      <c r="C787" s="49" t="s">
        <v>570</v>
      </c>
      <c r="D787" s="49" t="s">
        <v>571</v>
      </c>
      <c r="E787" s="49" t="s">
        <v>5062</v>
      </c>
      <c r="F787" s="51">
        <v>46226</v>
      </c>
      <c r="G787" s="49">
        <v>721.5</v>
      </c>
      <c r="H787" s="49" t="s">
        <v>1355</v>
      </c>
      <c r="I787" s="51">
        <v>46226</v>
      </c>
      <c r="J787" s="54">
        <f>INT(Cobros[[#This Row],[Fecha Cargo]])</f>
        <v>46226</v>
      </c>
      <c r="K787" s="54">
        <f>INT(Cobros[[#This Row],[Fecha Aplicacion]])</f>
        <v>46226</v>
      </c>
      <c r="L787" s="55">
        <f>INDEX(Clientes[Días Plazo],MATCH(Cobros[[#This Row],[Cod. Cliente]],Clientes[Codigo],0),1)</f>
        <v>0</v>
      </c>
      <c r="M787" s="45" t="str">
        <f>IF(Cobros[[#This Row],[Dias de Credito]]&lt;=0,"Contado","Credito")</f>
        <v>Contado</v>
      </c>
      <c r="N787" s="45">
        <f>Cobros[[#This Row],[Fecha Aplicación S]]-Cobros[[#This Row],[Fecha Cargo S]]</f>
        <v>0</v>
      </c>
      <c r="O787" s="45">
        <f>Cobros[[#This Row],[Dias al pago]]-Cobros[[#This Row],[Dias de Credito]]</f>
        <v>0</v>
      </c>
      <c r="P787" s="45">
        <f>SUMIFS(TablaDias[Porcentaje],TablaDias[Tipo],Cobros[[#This Row],[Tipo]],TablaDias[Desde ],"&lt;="&amp;MAX(0,Cobros[[#This Row],[Dias pasado]]),TablaDias[Hasta ],"&gt;="&amp;Cobros[[#This Row],[Dias pasado]])</f>
        <v>100</v>
      </c>
      <c r="Q78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7" s="34">
        <f>IF(COUNTIF(PAPEL[Numero],Cobros[[#This Row],[Doc. Cargo]])&gt;0,1,0)</f>
        <v>0</v>
      </c>
      <c r="S787" s="46">
        <v>1</v>
      </c>
      <c r="T787" s="46">
        <f t="array" ref="T787">INDEX(Ventas[[Unidades]:[2]],MATCH("Gerente de Venta",Ventas[Vendedor %],0),6+Cobros[[#This Row],[Mes]])</f>
        <v>0.005</v>
      </c>
      <c r="U787" s="34">
        <f>IF(Cobros[[#This Row],[Tipo]]="Credito",IF(60&gt;=Cobros[[#This Row],[Dias al pago]],1,0),IF(Cobros[[#This Row],[Dias al pago]]&lt;=3,1,0))</f>
        <v>1</v>
      </c>
      <c r="V787" s="46">
        <f>(Cobros[[#This Row],[% A pagar Vendedor]]/100)*Cobros[[#This Row],[Valor Pagado]]*Cobros[[#This Row],[Vencido]]*(Cobros[[#This Row],[% aplicar]]/100)*IF(Cobros[[#This Row],[% A pagar Vendedor]]&gt;0,1,0)</f>
        <v>7.215</v>
      </c>
      <c r="W787" s="46">
        <f>0.5%*Cobros[[#This Row],[Valor Pagado]]</f>
        <v>3.6075</v>
      </c>
      <c r="X787" s="34"/>
    </row>
    <row r="788" spans="1:24">
      <c r="A788" s="49" t="s">
        <v>3904</v>
      </c>
      <c r="B788" s="49" t="s">
        <v>5063</v>
      </c>
      <c r="C788" s="49" t="s">
        <v>2669</v>
      </c>
      <c r="D788" s="49" t="s">
        <v>2670</v>
      </c>
      <c r="E788" s="49" t="s">
        <v>5064</v>
      </c>
      <c r="F788" s="51">
        <v>46226</v>
      </c>
      <c r="G788" s="49">
        <v>1026</v>
      </c>
      <c r="H788" s="49" t="s">
        <v>16</v>
      </c>
      <c r="I788" s="51">
        <v>46226</v>
      </c>
      <c r="J788" s="54">
        <f>INT(Cobros[[#This Row],[Fecha Cargo]])</f>
        <v>46226</v>
      </c>
      <c r="K788" s="54">
        <f>INT(Cobros[[#This Row],[Fecha Aplicacion]])</f>
        <v>46226</v>
      </c>
      <c r="L788" s="55">
        <f>INDEX(Clientes[Días Plazo],MATCH(Cobros[[#This Row],[Cod. Cliente]],Clientes[Codigo],0),1)</f>
        <v>0</v>
      </c>
      <c r="M788" s="45" t="str">
        <f>IF(Cobros[[#This Row],[Dias de Credito]]&lt;=0,"Contado","Credito")</f>
        <v>Contado</v>
      </c>
      <c r="N788" s="45">
        <f>Cobros[[#This Row],[Fecha Aplicación S]]-Cobros[[#This Row],[Fecha Cargo S]]</f>
        <v>0</v>
      </c>
      <c r="O788" s="45">
        <f>Cobros[[#This Row],[Dias al pago]]-Cobros[[#This Row],[Dias de Credito]]</f>
        <v>0</v>
      </c>
      <c r="P788" s="45">
        <f>SUMIFS(TablaDias[Porcentaje],TablaDias[Tipo],Cobros[[#This Row],[Tipo]],TablaDias[Desde ],"&lt;="&amp;MAX(0,Cobros[[#This Row],[Dias pasado]]),TablaDias[Hasta ],"&gt;="&amp;Cobros[[#This Row],[Dias pasado]])</f>
        <v>100</v>
      </c>
      <c r="Q78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8" s="34">
        <f>IF(COUNTIF(PAPEL[Numero],Cobros[[#This Row],[Doc. Cargo]])&gt;0,1,0)</f>
        <v>0</v>
      </c>
      <c r="S788" s="46">
        <f t="array" ref="S7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88" s="47">
        <v>0.005</v>
      </c>
      <c r="U788" s="34">
        <f>IF(Cobros[[#This Row],[Tipo]]="Credito",IF(60&gt;=Cobros[[#This Row],[Dias al pago]],1,0),IF(Cobros[[#This Row],[Dias al pago]]&lt;=3,1,0))</f>
        <v>1</v>
      </c>
      <c r="V788" s="46">
        <f>(Cobros[[#This Row],[% A pagar Vendedor]]/100)*Cobros[[#This Row],[Valor Pagado]]*Cobros[[#This Row],[Vencido]]*(Cobros[[#This Row],[% aplicar]]/100)*IF(Cobros[[#This Row],[% A pagar Vendedor]]&gt;0,1,0)</f>
        <v>12.825</v>
      </c>
      <c r="W788" s="46">
        <f>0.5%*Cobros[[#This Row],[Valor Pagado]]</f>
        <v>5.13</v>
      </c>
      <c r="X788" s="34"/>
    </row>
    <row r="789" ht="30" spans="1:24">
      <c r="A789" s="49" t="s">
        <v>3875</v>
      </c>
      <c r="B789" s="49" t="s">
        <v>5065</v>
      </c>
      <c r="C789" s="49" t="s">
        <v>3319</v>
      </c>
      <c r="D789" s="49" t="s">
        <v>3320</v>
      </c>
      <c r="E789" s="49" t="s">
        <v>5066</v>
      </c>
      <c r="F789" s="51">
        <v>46226</v>
      </c>
      <c r="G789" s="49">
        <v>411</v>
      </c>
      <c r="H789" s="49" t="s">
        <v>3865</v>
      </c>
      <c r="I789" s="51">
        <v>46226</v>
      </c>
      <c r="J789" s="54">
        <f>INT(Cobros[[#This Row],[Fecha Cargo]])</f>
        <v>46226</v>
      </c>
      <c r="K789" s="54">
        <f>INT(Cobros[[#This Row],[Fecha Aplicacion]])</f>
        <v>46226</v>
      </c>
      <c r="L789" s="55">
        <f>INDEX(Clientes[Días Plazo],MATCH(Cobros[[#This Row],[Cod. Cliente]],Clientes[Codigo],0),1)</f>
        <v>0</v>
      </c>
      <c r="M789" s="45" t="str">
        <f>IF(Cobros[[#This Row],[Dias de Credito]]&lt;=0,"Contado","Credito")</f>
        <v>Contado</v>
      </c>
      <c r="N789" s="45">
        <f>Cobros[[#This Row],[Fecha Aplicación S]]-Cobros[[#This Row],[Fecha Cargo S]]</f>
        <v>0</v>
      </c>
      <c r="O789" s="45">
        <f>Cobros[[#This Row],[Dias al pago]]-Cobros[[#This Row],[Dias de Credito]]</f>
        <v>0</v>
      </c>
      <c r="P789" s="45">
        <f>SUMIFS(TablaDias[Porcentaje],TablaDias[Tipo],Cobros[[#This Row],[Tipo]],TablaDias[Desde ],"&lt;="&amp;MAX(0,Cobros[[#This Row],[Dias pasado]]),TablaDias[Hasta ],"&gt;="&amp;Cobros[[#This Row],[Dias pasado]])</f>
        <v>100</v>
      </c>
      <c r="Q78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89" s="34">
        <f>IF(COUNTIF(PAPEL[Numero],Cobros[[#This Row],[Doc. Cargo]])&gt;0,1,0)</f>
        <v>0</v>
      </c>
      <c r="S789" s="46">
        <v>1</v>
      </c>
      <c r="T789" s="46">
        <f t="array" ref="T789">INDEX(Ventas[[Unidades]:[2]],MATCH("Gerente de Venta",Ventas[Vendedor %],0),6+Cobros[[#This Row],[Mes]])</f>
        <v>0.005</v>
      </c>
      <c r="U789" s="34">
        <f>IF(Cobros[[#This Row],[Tipo]]="Credito",IF(60&gt;=Cobros[[#This Row],[Dias al pago]],1,0),IF(Cobros[[#This Row],[Dias al pago]]&lt;=3,1,0))</f>
        <v>1</v>
      </c>
      <c r="V789" s="46">
        <f>(Cobros[[#This Row],[% A pagar Vendedor]]/100)*Cobros[[#This Row],[Valor Pagado]]*Cobros[[#This Row],[Vencido]]*(Cobros[[#This Row],[% aplicar]]/100)*IF(Cobros[[#This Row],[% A pagar Vendedor]]&gt;0,1,0)</f>
        <v>4.11</v>
      </c>
      <c r="W789" s="46">
        <f>0.5%*Cobros[[#This Row],[Valor Pagado]]</f>
        <v>2.055</v>
      </c>
      <c r="X789" s="34"/>
    </row>
    <row r="790" spans="1:24">
      <c r="A790" s="49" t="s">
        <v>3860</v>
      </c>
      <c r="B790" s="49" t="s">
        <v>4820</v>
      </c>
      <c r="C790" s="49" t="s">
        <v>1478</v>
      </c>
      <c r="D790" s="49" t="s">
        <v>1479</v>
      </c>
      <c r="E790" s="49" t="s">
        <v>5067</v>
      </c>
      <c r="F790" s="51">
        <v>46220</v>
      </c>
      <c r="G790" s="49">
        <v>0.05</v>
      </c>
      <c r="H790" s="49" t="s">
        <v>18</v>
      </c>
      <c r="I790" s="51">
        <v>46220</v>
      </c>
      <c r="J790" s="54">
        <f>INT(Cobros[[#This Row],[Fecha Cargo]])</f>
        <v>46220</v>
      </c>
      <c r="K790" s="54">
        <f>INT(Cobros[[#This Row],[Fecha Aplicacion]])</f>
        <v>46220</v>
      </c>
      <c r="L790" s="55" t="str">
        <f>INDEX(Clientes[Días Plazo],MATCH(Cobros[[#This Row],[Cod. Cliente]],Clientes[Codigo],0),1)</f>
        <v>3</v>
      </c>
      <c r="M790" s="45" t="str">
        <f>IF(Cobros[[#This Row],[Dias de Credito]]&lt;=0,"Contado","Credito")</f>
        <v>Credito</v>
      </c>
      <c r="N790" s="45">
        <f>Cobros[[#This Row],[Fecha Aplicación S]]-Cobros[[#This Row],[Fecha Cargo S]]</f>
        <v>0</v>
      </c>
      <c r="O790" s="45">
        <f>Cobros[[#This Row],[Dias al pago]]-Cobros[[#This Row],[Dias de Credito]]</f>
        <v>-3</v>
      </c>
      <c r="P790" s="45">
        <f>SUMIFS(TablaDias[Porcentaje],TablaDias[Tipo],Cobros[[#This Row],[Tipo]],TablaDias[Desde ],"&lt;="&amp;MAX(0,Cobros[[#This Row],[Dias pasado]]),TablaDias[Hasta ],"&gt;="&amp;Cobros[[#This Row],[Dias pasado]])</f>
        <v>100</v>
      </c>
      <c r="Q79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0" s="34">
        <f>IF(COUNTIF(PAPEL[Numero],Cobros[[#This Row],[Doc. Cargo]])&gt;0,1,0)</f>
        <v>0</v>
      </c>
      <c r="S790" s="46">
        <f t="array" ref="S7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90" s="46">
        <f t="array" ref="T790">INDEX(Ventas[[Unidades]:[2]],MATCH("Gerente de Venta",Ventas[Vendedor %],0),6+Cobros[[#This Row],[Mes]])</f>
        <v>0.005</v>
      </c>
      <c r="U790" s="34">
        <f>IF(Cobros[[#This Row],[Tipo]]="Credito",IF(60&gt;=Cobros[[#This Row],[Dias al pago]],1,0),IF(Cobros[[#This Row],[Dias al pago]]&lt;=3,1,0))</f>
        <v>1</v>
      </c>
      <c r="V790" s="46">
        <f>(Cobros[[#This Row],[% A pagar Vendedor]]/100)*Cobros[[#This Row],[Valor Pagado]]*Cobros[[#This Row],[Vencido]]*(Cobros[[#This Row],[% aplicar]]/100)*IF(Cobros[[#This Row],[% A pagar Vendedor]]&gt;0,1,0)</f>
        <v>0.000625</v>
      </c>
      <c r="W790" s="46">
        <f>0.5%*Cobros[[#This Row],[Valor Pagado]]</f>
        <v>0.00025</v>
      </c>
      <c r="X790" s="34"/>
    </row>
    <row r="791" ht="30" spans="1:24">
      <c r="A791" s="49" t="s">
        <v>3875</v>
      </c>
      <c r="B791" s="49" t="s">
        <v>5068</v>
      </c>
      <c r="C791" s="49" t="s">
        <v>2829</v>
      </c>
      <c r="D791" s="49" t="s">
        <v>2830</v>
      </c>
      <c r="E791" s="49" t="s">
        <v>5069</v>
      </c>
      <c r="F791" s="51">
        <v>46217</v>
      </c>
      <c r="G791" s="49">
        <v>486.87</v>
      </c>
      <c r="H791" s="49" t="s">
        <v>3865</v>
      </c>
      <c r="I791" s="51">
        <v>46226</v>
      </c>
      <c r="J791" s="54">
        <f>INT(Cobros[[#This Row],[Fecha Cargo]])</f>
        <v>46217</v>
      </c>
      <c r="K791" s="54">
        <f>INT(Cobros[[#This Row],[Fecha Aplicacion]])</f>
        <v>46226</v>
      </c>
      <c r="L791" s="55" t="str">
        <f>INDEX(Clientes[Días Plazo],MATCH(Cobros[[#This Row],[Cod. Cliente]],Clientes[Codigo],0),1)</f>
        <v>10</v>
      </c>
      <c r="M791" s="45" t="str">
        <f>IF(Cobros[[#This Row],[Dias de Credito]]&lt;=0,"Contado","Credito")</f>
        <v>Credito</v>
      </c>
      <c r="N791" s="45">
        <f>Cobros[[#This Row],[Fecha Aplicación S]]-Cobros[[#This Row],[Fecha Cargo S]]</f>
        <v>9</v>
      </c>
      <c r="O791" s="45">
        <f>Cobros[[#This Row],[Dias al pago]]-Cobros[[#This Row],[Dias de Credito]]</f>
        <v>-1</v>
      </c>
      <c r="P791" s="45">
        <f>SUMIFS(TablaDias[Porcentaje],TablaDias[Tipo],Cobros[[#This Row],[Tipo]],TablaDias[Desde ],"&lt;="&amp;MAX(0,Cobros[[#This Row],[Dias pasado]]),TablaDias[Hasta ],"&gt;="&amp;Cobros[[#This Row],[Dias pasado]])</f>
        <v>100</v>
      </c>
      <c r="Q79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1" s="34">
        <f>IF(COUNTIF(PAPEL[Numero],Cobros[[#This Row],[Doc. Cargo]])&gt;0,1,0)</f>
        <v>0</v>
      </c>
      <c r="S791" s="46">
        <v>1</v>
      </c>
      <c r="T791" s="46">
        <f t="array" ref="T791">INDEX(Ventas[[Unidades]:[2]],MATCH("Gerente de Venta",Ventas[Vendedor %],0),6+Cobros[[#This Row],[Mes]])</f>
        <v>0.005</v>
      </c>
      <c r="U791" s="34">
        <f>IF(Cobros[[#This Row],[Tipo]]="Credito",IF(60&gt;=Cobros[[#This Row],[Dias al pago]],1,0),IF(Cobros[[#This Row],[Dias al pago]]&lt;=3,1,0))</f>
        <v>1</v>
      </c>
      <c r="V791" s="46">
        <f>(Cobros[[#This Row],[% A pagar Vendedor]]/100)*Cobros[[#This Row],[Valor Pagado]]*Cobros[[#This Row],[Vencido]]*(Cobros[[#This Row],[% aplicar]]/100)*IF(Cobros[[#This Row],[% A pagar Vendedor]]&gt;0,1,0)</f>
        <v>4.8687</v>
      </c>
      <c r="W791" s="46">
        <f>0.5%*Cobros[[#This Row],[Valor Pagado]]</f>
        <v>2.43435</v>
      </c>
      <c r="X791" s="34"/>
    </row>
    <row r="792" ht="30" spans="1:24">
      <c r="A792" s="49" t="s">
        <v>3884</v>
      </c>
      <c r="B792" s="49" t="s">
        <v>5070</v>
      </c>
      <c r="C792" s="49" t="s">
        <v>2505</v>
      </c>
      <c r="D792" s="49" t="s">
        <v>2506</v>
      </c>
      <c r="E792" s="49" t="s">
        <v>5071</v>
      </c>
      <c r="F792" s="51">
        <v>46226</v>
      </c>
      <c r="G792" s="49">
        <v>69.2</v>
      </c>
      <c r="H792" s="49" t="s">
        <v>22</v>
      </c>
      <c r="I792" s="51">
        <v>46226</v>
      </c>
      <c r="J792" s="54">
        <f>INT(Cobros[[#This Row],[Fecha Cargo]])</f>
        <v>46226</v>
      </c>
      <c r="K792" s="54">
        <f>INT(Cobros[[#This Row],[Fecha Aplicacion]])</f>
        <v>46226</v>
      </c>
      <c r="L792" s="55">
        <f>INDEX(Clientes[Días Plazo],MATCH(Cobros[[#This Row],[Cod. Cliente]],Clientes[Codigo],0),1)</f>
        <v>0</v>
      </c>
      <c r="M792" s="45" t="str">
        <f>IF(Cobros[[#This Row],[Dias de Credito]]&lt;=0,"Contado","Credito")</f>
        <v>Contado</v>
      </c>
      <c r="N792" s="45">
        <f>Cobros[[#This Row],[Fecha Aplicación S]]-Cobros[[#This Row],[Fecha Cargo S]]</f>
        <v>0</v>
      </c>
      <c r="O792" s="45">
        <f>Cobros[[#This Row],[Dias al pago]]-Cobros[[#This Row],[Dias de Credito]]</f>
        <v>0</v>
      </c>
      <c r="P792" s="45">
        <f>SUMIFS(TablaDias[Porcentaje],TablaDias[Tipo],Cobros[[#This Row],[Tipo]],TablaDias[Desde ],"&lt;="&amp;MAX(0,Cobros[[#This Row],[Dias pasado]]),TablaDias[Hasta ],"&gt;="&amp;Cobros[[#This Row],[Dias pasado]])</f>
        <v>100</v>
      </c>
      <c r="Q79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2" s="34">
        <f>IF(COUNTIF(PAPEL[Numero],Cobros[[#This Row],[Doc. Cargo]])&gt;0,1,0)</f>
        <v>0</v>
      </c>
      <c r="S792" s="46">
        <f t="array" ref="S7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2" s="46">
        <f t="array" ref="T792">INDEX(Ventas[[Unidades]:[2]],MATCH("Gerente de Venta",Ventas[Vendedor %],0),6+Cobros[[#This Row],[Mes]])</f>
        <v>0.005</v>
      </c>
      <c r="U792" s="34">
        <f>IF(Cobros[[#This Row],[Tipo]]="Credito",IF(60&gt;=Cobros[[#This Row],[Dias al pago]],1,0),IF(Cobros[[#This Row],[Dias al pago]]&lt;=3,1,0))</f>
        <v>1</v>
      </c>
      <c r="V792" s="46">
        <f>(Cobros[[#This Row],[% A pagar Vendedor]]/100)*Cobros[[#This Row],[Valor Pagado]]*Cobros[[#This Row],[Vencido]]*(Cobros[[#This Row],[% aplicar]]/100)*IF(Cobros[[#This Row],[% A pagar Vendedor]]&gt;0,1,0)</f>
        <v>0.692</v>
      </c>
      <c r="W792" s="46">
        <f>0.5%*Cobros[[#This Row],[Valor Pagado]]</f>
        <v>0.346</v>
      </c>
      <c r="X792" s="34"/>
    </row>
    <row r="793" spans="1:24">
      <c r="A793" s="49" t="s">
        <v>3860</v>
      </c>
      <c r="B793" s="49" t="s">
        <v>5072</v>
      </c>
      <c r="C793" s="49" t="s">
        <v>1220</v>
      </c>
      <c r="D793" s="49" t="s">
        <v>1221</v>
      </c>
      <c r="E793" s="49" t="s">
        <v>5073</v>
      </c>
      <c r="F793" s="51">
        <v>46226</v>
      </c>
      <c r="G793" s="49">
        <v>50.6</v>
      </c>
      <c r="H793" s="49" t="s">
        <v>20</v>
      </c>
      <c r="I793" s="51">
        <v>46226</v>
      </c>
      <c r="J793" s="54">
        <f>INT(Cobros[[#This Row],[Fecha Cargo]])</f>
        <v>46226</v>
      </c>
      <c r="K793" s="54">
        <f>INT(Cobros[[#This Row],[Fecha Aplicacion]])</f>
        <v>46226</v>
      </c>
      <c r="L793" s="55">
        <f>INDEX(Clientes[Días Plazo],MATCH(Cobros[[#This Row],[Cod. Cliente]],Clientes[Codigo],0),1)</f>
        <v>0</v>
      </c>
      <c r="M793" s="45" t="str">
        <f>IF(Cobros[[#This Row],[Dias de Credito]]&lt;=0,"Contado","Credito")</f>
        <v>Contado</v>
      </c>
      <c r="N793" s="45">
        <f>Cobros[[#This Row],[Fecha Aplicación S]]-Cobros[[#This Row],[Fecha Cargo S]]</f>
        <v>0</v>
      </c>
      <c r="O793" s="45">
        <f>Cobros[[#This Row],[Dias al pago]]-Cobros[[#This Row],[Dias de Credito]]</f>
        <v>0</v>
      </c>
      <c r="P793" s="45">
        <f>SUMIFS(TablaDias[Porcentaje],TablaDias[Tipo],Cobros[[#This Row],[Tipo]],TablaDias[Desde ],"&lt;="&amp;MAX(0,Cobros[[#This Row],[Dias pasado]]),TablaDias[Hasta ],"&gt;="&amp;Cobros[[#This Row],[Dias pasado]])</f>
        <v>100</v>
      </c>
      <c r="Q79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3" s="34">
        <f>IF(COUNTIF(PAPEL[Numero],Cobros[[#This Row],[Doc. Cargo]])&gt;0,1,0)</f>
        <v>0</v>
      </c>
      <c r="S793" s="46">
        <f t="array" ref="S7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93" s="46">
        <f t="array" ref="T793">INDEX(Ventas[[Unidades]:[2]],MATCH("Gerente de Venta",Ventas[Vendedor %],0),6+Cobros[[#This Row],[Mes]])</f>
        <v>0.005</v>
      </c>
      <c r="U793" s="34">
        <f>IF(Cobros[[#This Row],[Tipo]]="Credito",IF(60&gt;=Cobros[[#This Row],[Dias al pago]],1,0),IF(Cobros[[#This Row],[Dias al pago]]&lt;=3,1,0))</f>
        <v>1</v>
      </c>
      <c r="V793" s="46">
        <f>(Cobros[[#This Row],[% A pagar Vendedor]]/100)*Cobros[[#This Row],[Valor Pagado]]*Cobros[[#This Row],[Vencido]]*(Cobros[[#This Row],[% aplicar]]/100)*IF(Cobros[[#This Row],[% A pagar Vendedor]]&gt;0,1,0)</f>
        <v>0.6325</v>
      </c>
      <c r="W793" s="46">
        <f>0.5%*Cobros[[#This Row],[Valor Pagado]]</f>
        <v>0.253</v>
      </c>
      <c r="X793" s="34"/>
    </row>
    <row r="794" spans="1:24">
      <c r="A794" s="49" t="s">
        <v>3875</v>
      </c>
      <c r="B794" s="49" t="s">
        <v>5074</v>
      </c>
      <c r="C794" s="49" t="s">
        <v>576</v>
      </c>
      <c r="D794" s="49" t="s">
        <v>577</v>
      </c>
      <c r="E794" s="49" t="s">
        <v>5075</v>
      </c>
      <c r="F794" s="51">
        <v>46170</v>
      </c>
      <c r="G794" s="49">
        <v>1105</v>
      </c>
      <c r="H794" s="49" t="s">
        <v>19</v>
      </c>
      <c r="I794" s="51">
        <v>46226</v>
      </c>
      <c r="J794" s="54">
        <f>INT(Cobros[[#This Row],[Fecha Cargo]])</f>
        <v>46170</v>
      </c>
      <c r="K794" s="54">
        <f>INT(Cobros[[#This Row],[Fecha Aplicacion]])</f>
        <v>46226</v>
      </c>
      <c r="L794" s="55" t="str">
        <f>INDEX(Clientes[Días Plazo],MATCH(Cobros[[#This Row],[Cod. Cliente]],Clientes[Codigo],0),1)</f>
        <v>21</v>
      </c>
      <c r="M794" s="45" t="str">
        <f>IF(Cobros[[#This Row],[Dias de Credito]]&lt;=0,"Contado","Credito")</f>
        <v>Credito</v>
      </c>
      <c r="N794" s="45">
        <f>Cobros[[#This Row],[Fecha Aplicación S]]-Cobros[[#This Row],[Fecha Cargo S]]</f>
        <v>56</v>
      </c>
      <c r="O794" s="45">
        <f>Cobros[[#This Row],[Dias al pago]]-Cobros[[#This Row],[Dias de Credito]]</f>
        <v>35</v>
      </c>
      <c r="P794" s="45">
        <f>SUMIFS(TablaDias[Porcentaje],TablaDias[Tipo],Cobros[[#This Row],[Tipo]],TablaDias[Desde ],"&lt;="&amp;MAX(0,Cobros[[#This Row],[Dias pasado]]),TablaDias[Hasta ],"&gt;="&amp;Cobros[[#This Row],[Dias pasado]])</f>
        <v>30</v>
      </c>
      <c r="Q79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794" s="34">
        <f>IF(COUNTIF(PAPEL[Numero],Cobros[[#This Row],[Doc. Cargo]])&gt;0,1,0)</f>
        <v>0</v>
      </c>
      <c r="S794" s="46">
        <f t="array" ref="S7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4" s="46">
        <f t="array" ref="T794">INDEX(Ventas[[Unidades]:[2]],MATCH("Gerente de Venta",Ventas[Vendedor %],0),6+Cobros[[#This Row],[Mes]])</f>
        <v>0.005</v>
      </c>
      <c r="U794" s="34">
        <f>IF(Cobros[[#This Row],[Tipo]]="Credito",IF(60&gt;=Cobros[[#This Row],[Dias al pago]],1,0),IF(Cobros[[#This Row],[Dias al pago]]&lt;=3,1,0))</f>
        <v>1</v>
      </c>
      <c r="V794" s="46">
        <f>(Cobros[[#This Row],[% A pagar Vendedor]]/100)*Cobros[[#This Row],[Valor Pagado]]*Cobros[[#This Row],[Vencido]]*(Cobros[[#This Row],[% aplicar]]/100)*IF(Cobros[[#This Row],[% A pagar Vendedor]]&gt;0,1,0)</f>
        <v>3.315</v>
      </c>
      <c r="W794" s="46">
        <f>0.5%*Cobros[[#This Row],[Valor Pagado]]</f>
        <v>5.525</v>
      </c>
      <c r="X794" s="34"/>
    </row>
    <row r="795" spans="1:24">
      <c r="A795" s="49" t="s">
        <v>3860</v>
      </c>
      <c r="B795" s="49" t="s">
        <v>5076</v>
      </c>
      <c r="C795" s="49" t="s">
        <v>1220</v>
      </c>
      <c r="D795" s="49" t="s">
        <v>1221</v>
      </c>
      <c r="E795" s="49" t="s">
        <v>5077</v>
      </c>
      <c r="F795" s="51">
        <v>46226</v>
      </c>
      <c r="G795" s="49">
        <v>72.8</v>
      </c>
      <c r="H795" s="49" t="s">
        <v>20</v>
      </c>
      <c r="I795" s="51">
        <v>46226</v>
      </c>
      <c r="J795" s="54">
        <f>INT(Cobros[[#This Row],[Fecha Cargo]])</f>
        <v>46226</v>
      </c>
      <c r="K795" s="54">
        <f>INT(Cobros[[#This Row],[Fecha Aplicacion]])</f>
        <v>46226</v>
      </c>
      <c r="L795" s="55">
        <f>INDEX(Clientes[Días Plazo],MATCH(Cobros[[#This Row],[Cod. Cliente]],Clientes[Codigo],0),1)</f>
        <v>0</v>
      </c>
      <c r="M795" s="45" t="str">
        <f>IF(Cobros[[#This Row],[Dias de Credito]]&lt;=0,"Contado","Credito")</f>
        <v>Contado</v>
      </c>
      <c r="N795" s="45">
        <f>Cobros[[#This Row],[Fecha Aplicación S]]-Cobros[[#This Row],[Fecha Cargo S]]</f>
        <v>0</v>
      </c>
      <c r="O795" s="45">
        <f>Cobros[[#This Row],[Dias al pago]]-Cobros[[#This Row],[Dias de Credito]]</f>
        <v>0</v>
      </c>
      <c r="P795" s="45">
        <f>SUMIFS(TablaDias[Porcentaje],TablaDias[Tipo],Cobros[[#This Row],[Tipo]],TablaDias[Desde ],"&lt;="&amp;MAX(0,Cobros[[#This Row],[Dias pasado]]),TablaDias[Hasta ],"&gt;="&amp;Cobros[[#This Row],[Dias pasado]])</f>
        <v>100</v>
      </c>
      <c r="Q79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5" s="34">
        <f>IF(COUNTIF(PAPEL[Numero],Cobros[[#This Row],[Doc. Cargo]])&gt;0,1,0)</f>
        <v>0</v>
      </c>
      <c r="S795" s="46">
        <f t="array" ref="S79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795" s="46">
        <f t="array" ref="T795">INDEX(Ventas[[Unidades]:[2]],MATCH("Gerente de Venta",Ventas[Vendedor %],0),6+Cobros[[#This Row],[Mes]])</f>
        <v>0.005</v>
      </c>
      <c r="U795" s="34">
        <f>IF(Cobros[[#This Row],[Tipo]]="Credito",IF(60&gt;=Cobros[[#This Row],[Dias al pago]],1,0),IF(Cobros[[#This Row],[Dias al pago]]&lt;=3,1,0))</f>
        <v>1</v>
      </c>
      <c r="V795" s="46">
        <f>(Cobros[[#This Row],[% A pagar Vendedor]]/100)*Cobros[[#This Row],[Valor Pagado]]*Cobros[[#This Row],[Vencido]]*(Cobros[[#This Row],[% aplicar]]/100)*IF(Cobros[[#This Row],[% A pagar Vendedor]]&gt;0,1,0)</f>
        <v>0.91</v>
      </c>
      <c r="W795" s="46">
        <f>0.5%*Cobros[[#This Row],[Valor Pagado]]</f>
        <v>0.364</v>
      </c>
      <c r="X795" s="34"/>
    </row>
    <row r="796" spans="1:24">
      <c r="A796" s="49" t="s">
        <v>3922</v>
      </c>
      <c r="B796" s="49" t="s">
        <v>5078</v>
      </c>
      <c r="C796" s="49" t="s">
        <v>3040</v>
      </c>
      <c r="D796" s="49" t="s">
        <v>3041</v>
      </c>
      <c r="E796" s="49" t="s">
        <v>5079</v>
      </c>
      <c r="F796" s="51">
        <v>46183</v>
      </c>
      <c r="G796" s="49">
        <v>230</v>
      </c>
      <c r="H796" s="49" t="s">
        <v>18</v>
      </c>
      <c r="I796" s="51">
        <v>46226</v>
      </c>
      <c r="J796" s="54">
        <f>INT(Cobros[[#This Row],[Fecha Cargo]])</f>
        <v>46183</v>
      </c>
      <c r="K796" s="54">
        <f>INT(Cobros[[#This Row],[Fecha Aplicacion]])</f>
        <v>46226</v>
      </c>
      <c r="L796" s="55">
        <f>INDEX(Clientes[Días Plazo],MATCH(Cobros[[#This Row],[Cod. Cliente]],Clientes[Codigo],0),1)</f>
        <v>0</v>
      </c>
      <c r="M796" s="45" t="str">
        <f>IF(Cobros[[#This Row],[Dias de Credito]]&lt;=0,"Contado","Credito")</f>
        <v>Contado</v>
      </c>
      <c r="N796" s="45">
        <f>Cobros[[#This Row],[Fecha Aplicación S]]-Cobros[[#This Row],[Fecha Cargo S]]</f>
        <v>43</v>
      </c>
      <c r="O796" s="45">
        <f>Cobros[[#This Row],[Dias al pago]]-Cobros[[#This Row],[Dias de Credito]]</f>
        <v>43</v>
      </c>
      <c r="P796" s="45">
        <f>SUMIFS(TablaDias[Porcentaje],TablaDias[Tipo],Cobros[[#This Row],[Tipo]],TablaDias[Desde ],"&lt;="&amp;MAX(0,Cobros[[#This Row],[Dias pasado]]),TablaDias[Hasta ],"&gt;="&amp;Cobros[[#This Row],[Dias pasado]])</f>
        <v>0</v>
      </c>
      <c r="Q79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96" s="34">
        <f>IF(COUNTIF(PAPEL[Numero],Cobros[[#This Row],[Doc. Cargo]])&gt;0,1,0)</f>
        <v>0</v>
      </c>
      <c r="S796" s="46">
        <f t="array" ref="S7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6" s="46">
        <f t="array" ref="T796">INDEX(Ventas[[Unidades]:[2]],MATCH("Gerente de Venta",Ventas[Vendedor %],0),6+Cobros[[#This Row],[Mes]])</f>
        <v>0.005</v>
      </c>
      <c r="U796" s="34">
        <f>IF(Cobros[[#This Row],[Tipo]]="Credito",IF(60&gt;=Cobros[[#This Row],[Dias al pago]],1,0),IF(Cobros[[#This Row],[Dias al pago]]&lt;=3,1,0))</f>
        <v>0</v>
      </c>
      <c r="V796" s="46">
        <f>(Cobros[[#This Row],[% A pagar Vendedor]]/100)*Cobros[[#This Row],[Valor Pagado]]*Cobros[[#This Row],[Vencido]]*(Cobros[[#This Row],[% aplicar]]/100)*IF(Cobros[[#This Row],[% A pagar Vendedor]]&gt;0,1,0)</f>
        <v>0</v>
      </c>
      <c r="W796" s="46">
        <f>0.5%*Cobros[[#This Row],[Valor Pagado]]</f>
        <v>1.15</v>
      </c>
      <c r="X796" s="34"/>
    </row>
    <row r="797" ht="30" spans="1:24">
      <c r="A797" s="49" t="s">
        <v>3922</v>
      </c>
      <c r="B797" s="49" t="s">
        <v>5080</v>
      </c>
      <c r="C797" s="49" t="s">
        <v>3681</v>
      </c>
      <c r="D797" s="49" t="s">
        <v>3682</v>
      </c>
      <c r="E797" s="49" t="s">
        <v>5081</v>
      </c>
      <c r="F797" s="51">
        <v>46189</v>
      </c>
      <c r="G797" s="49">
        <v>514.76</v>
      </c>
      <c r="H797" s="49" t="s">
        <v>22</v>
      </c>
      <c r="I797" s="51">
        <v>46226</v>
      </c>
      <c r="J797" s="54">
        <f>INT(Cobros[[#This Row],[Fecha Cargo]])</f>
        <v>46189</v>
      </c>
      <c r="K797" s="54">
        <f>INT(Cobros[[#This Row],[Fecha Aplicacion]])</f>
        <v>46226</v>
      </c>
      <c r="L797" s="55">
        <f>INDEX(Clientes[Días Plazo],MATCH(Cobros[[#This Row],[Cod. Cliente]],Clientes[Codigo],0),1)</f>
        <v>0</v>
      </c>
      <c r="M797" s="45" t="str">
        <f>IF(Cobros[[#This Row],[Dias de Credito]]&lt;=0,"Contado","Credito")</f>
        <v>Contado</v>
      </c>
      <c r="N797" s="45">
        <f>Cobros[[#This Row],[Fecha Aplicación S]]-Cobros[[#This Row],[Fecha Cargo S]]</f>
        <v>37</v>
      </c>
      <c r="O797" s="45">
        <f>Cobros[[#This Row],[Dias al pago]]-Cobros[[#This Row],[Dias de Credito]]</f>
        <v>37</v>
      </c>
      <c r="P797" s="45">
        <f>SUMIFS(TablaDias[Porcentaje],TablaDias[Tipo],Cobros[[#This Row],[Tipo]],TablaDias[Desde ],"&lt;="&amp;MAX(0,Cobros[[#This Row],[Dias pasado]]),TablaDias[Hasta ],"&gt;="&amp;Cobros[[#This Row],[Dias pasado]])</f>
        <v>0</v>
      </c>
      <c r="Q79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797" s="34">
        <f>IF(COUNTIF(PAPEL[Numero],Cobros[[#This Row],[Doc. Cargo]])&gt;0,1,0)</f>
        <v>0</v>
      </c>
      <c r="S797" s="46">
        <f t="array" ref="S7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7" s="46">
        <f t="array" ref="T797">INDEX(Ventas[[Unidades]:[2]],MATCH("Gerente de Venta",Ventas[Vendedor %],0),6+Cobros[[#This Row],[Mes]])</f>
        <v>0.005</v>
      </c>
      <c r="U797" s="34">
        <f>IF(Cobros[[#This Row],[Tipo]]="Credito",IF(60&gt;=Cobros[[#This Row],[Dias al pago]],1,0),IF(Cobros[[#This Row],[Dias al pago]]&lt;=3,1,0))</f>
        <v>0</v>
      </c>
      <c r="V797" s="46">
        <f>(Cobros[[#This Row],[% A pagar Vendedor]]/100)*Cobros[[#This Row],[Valor Pagado]]*Cobros[[#This Row],[Vencido]]*(Cobros[[#This Row],[% aplicar]]/100)*IF(Cobros[[#This Row],[% A pagar Vendedor]]&gt;0,1,0)</f>
        <v>0</v>
      </c>
      <c r="W797" s="46">
        <f>0.5%*Cobros[[#This Row],[Valor Pagado]]</f>
        <v>2.5738</v>
      </c>
      <c r="X797" s="34"/>
    </row>
    <row r="798" ht="30" spans="1:24">
      <c r="A798" s="49" t="s">
        <v>3922</v>
      </c>
      <c r="B798" s="49" t="s">
        <v>5080</v>
      </c>
      <c r="C798" s="49" t="s">
        <v>3681</v>
      </c>
      <c r="D798" s="49" t="s">
        <v>3682</v>
      </c>
      <c r="E798" s="49" t="s">
        <v>5082</v>
      </c>
      <c r="F798" s="51">
        <v>46217</v>
      </c>
      <c r="G798" s="49">
        <v>0.24</v>
      </c>
      <c r="H798" s="49" t="s">
        <v>22</v>
      </c>
      <c r="I798" s="51">
        <v>46226</v>
      </c>
      <c r="J798" s="54">
        <f>INT(Cobros[[#This Row],[Fecha Cargo]])</f>
        <v>46217</v>
      </c>
      <c r="K798" s="54">
        <f>INT(Cobros[[#This Row],[Fecha Aplicacion]])</f>
        <v>46226</v>
      </c>
      <c r="L798" s="55">
        <f>INDEX(Clientes[Días Plazo],MATCH(Cobros[[#This Row],[Cod. Cliente]],Clientes[Codigo],0),1)</f>
        <v>0</v>
      </c>
      <c r="M798" s="45" t="str">
        <f>IF(Cobros[[#This Row],[Dias de Credito]]&lt;=0,"Contado","Credito")</f>
        <v>Contado</v>
      </c>
      <c r="N798" s="45">
        <f>Cobros[[#This Row],[Fecha Aplicación S]]-Cobros[[#This Row],[Fecha Cargo S]]</f>
        <v>9</v>
      </c>
      <c r="O798" s="45">
        <f>Cobros[[#This Row],[Dias al pago]]-Cobros[[#This Row],[Dias de Credito]]</f>
        <v>9</v>
      </c>
      <c r="P798" s="45">
        <f>SUMIFS(TablaDias[Porcentaje],TablaDias[Tipo],Cobros[[#This Row],[Tipo]],TablaDias[Desde ],"&lt;="&amp;MAX(0,Cobros[[#This Row],[Dias pasado]]),TablaDias[Hasta ],"&gt;="&amp;Cobros[[#This Row],[Dias pasado]])</f>
        <v>0</v>
      </c>
      <c r="Q79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8" s="34">
        <f>IF(COUNTIF(PAPEL[Numero],Cobros[[#This Row],[Doc. Cargo]])&gt;0,1,0)</f>
        <v>0</v>
      </c>
      <c r="S798" s="46">
        <f t="array" ref="S7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8" s="46">
        <f t="array" ref="T798">INDEX(Ventas[[Unidades]:[2]],MATCH("Gerente de Venta",Ventas[Vendedor %],0),6+Cobros[[#This Row],[Mes]])</f>
        <v>0.005</v>
      </c>
      <c r="U798" s="34">
        <f>IF(Cobros[[#This Row],[Tipo]]="Credito",IF(60&gt;=Cobros[[#This Row],[Dias al pago]],1,0),IF(Cobros[[#This Row],[Dias al pago]]&lt;=3,1,0))</f>
        <v>0</v>
      </c>
      <c r="V798" s="46">
        <f>(Cobros[[#This Row],[% A pagar Vendedor]]/100)*Cobros[[#This Row],[Valor Pagado]]*Cobros[[#This Row],[Vencido]]*(Cobros[[#This Row],[% aplicar]]/100)*IF(Cobros[[#This Row],[% A pagar Vendedor]]&gt;0,1,0)</f>
        <v>0</v>
      </c>
      <c r="W798" s="46">
        <f>0.5%*Cobros[[#This Row],[Valor Pagado]]</f>
        <v>0.0012</v>
      </c>
      <c r="X798" s="34"/>
    </row>
    <row r="799" ht="30" spans="1:24">
      <c r="A799" s="49" t="s">
        <v>3922</v>
      </c>
      <c r="B799" s="49" t="s">
        <v>5083</v>
      </c>
      <c r="C799" s="49" t="s">
        <v>3681</v>
      </c>
      <c r="D799" s="49" t="s">
        <v>3682</v>
      </c>
      <c r="E799" s="49" t="s">
        <v>5082</v>
      </c>
      <c r="F799" s="51">
        <v>46217</v>
      </c>
      <c r="G799" s="49">
        <v>131.76</v>
      </c>
      <c r="H799" s="49" t="s">
        <v>22</v>
      </c>
      <c r="I799" s="51">
        <v>46217</v>
      </c>
      <c r="J799" s="54">
        <f>INT(Cobros[[#This Row],[Fecha Cargo]])</f>
        <v>46217</v>
      </c>
      <c r="K799" s="54">
        <f>INT(Cobros[[#This Row],[Fecha Aplicacion]])</f>
        <v>46217</v>
      </c>
      <c r="L799" s="55">
        <f>INDEX(Clientes[Días Plazo],MATCH(Cobros[[#This Row],[Cod. Cliente]],Clientes[Codigo],0),1)</f>
        <v>0</v>
      </c>
      <c r="M799" s="45" t="str">
        <f>IF(Cobros[[#This Row],[Dias de Credito]]&lt;=0,"Contado","Credito")</f>
        <v>Contado</v>
      </c>
      <c r="N799" s="45">
        <f>Cobros[[#This Row],[Fecha Aplicación S]]-Cobros[[#This Row],[Fecha Cargo S]]</f>
        <v>0</v>
      </c>
      <c r="O799" s="45">
        <f>Cobros[[#This Row],[Dias al pago]]-Cobros[[#This Row],[Dias de Credito]]</f>
        <v>0</v>
      </c>
      <c r="P799" s="45">
        <f>SUMIFS(TablaDias[Porcentaje],TablaDias[Tipo],Cobros[[#This Row],[Tipo]],TablaDias[Desde ],"&lt;="&amp;MAX(0,Cobros[[#This Row],[Dias pasado]]),TablaDias[Hasta ],"&gt;="&amp;Cobros[[#This Row],[Dias pasado]])</f>
        <v>100</v>
      </c>
      <c r="Q79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799" s="34">
        <f>IF(COUNTIF(PAPEL[Numero],Cobros[[#This Row],[Doc. Cargo]])&gt;0,1,0)</f>
        <v>0</v>
      </c>
      <c r="S799" s="46">
        <f t="array" ref="S7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799" s="46">
        <f t="array" ref="T799">INDEX(Ventas[[Unidades]:[2]],MATCH("Gerente de Venta",Ventas[Vendedor %],0),6+Cobros[[#This Row],[Mes]])</f>
        <v>0.005</v>
      </c>
      <c r="U799" s="34">
        <f>IF(Cobros[[#This Row],[Tipo]]="Credito",IF(60&gt;=Cobros[[#This Row],[Dias al pago]],1,0),IF(Cobros[[#This Row],[Dias al pago]]&lt;=3,1,0))</f>
        <v>1</v>
      </c>
      <c r="V799" s="46">
        <f>(Cobros[[#This Row],[% A pagar Vendedor]]/100)*Cobros[[#This Row],[Valor Pagado]]*Cobros[[#This Row],[Vencido]]*(Cobros[[#This Row],[% aplicar]]/100)*IF(Cobros[[#This Row],[% A pagar Vendedor]]&gt;0,1,0)</f>
        <v>1.3176</v>
      </c>
      <c r="W799" s="46">
        <f>0.5%*Cobros[[#This Row],[Valor Pagado]]</f>
        <v>0.6588</v>
      </c>
      <c r="X799" s="34"/>
    </row>
    <row r="800" spans="1:24">
      <c r="A800" s="49" t="s">
        <v>3860</v>
      </c>
      <c r="B800" s="49" t="s">
        <v>5084</v>
      </c>
      <c r="C800" s="49" t="s">
        <v>2536</v>
      </c>
      <c r="D800" s="49" t="s">
        <v>2537</v>
      </c>
      <c r="E800" s="49" t="s">
        <v>5085</v>
      </c>
      <c r="F800" s="51">
        <v>46226</v>
      </c>
      <c r="G800" s="49">
        <v>603.4</v>
      </c>
      <c r="H800" s="49" t="s">
        <v>20</v>
      </c>
      <c r="I800" s="51">
        <v>46226</v>
      </c>
      <c r="J800" s="54">
        <f>INT(Cobros[[#This Row],[Fecha Cargo]])</f>
        <v>46226</v>
      </c>
      <c r="K800" s="54">
        <f>INT(Cobros[[#This Row],[Fecha Aplicacion]])</f>
        <v>46226</v>
      </c>
      <c r="L800" s="55">
        <f>INDEX(Clientes[Días Plazo],MATCH(Cobros[[#This Row],[Cod. Cliente]],Clientes[Codigo],0),1)</f>
        <v>0</v>
      </c>
      <c r="M800" s="45" t="str">
        <f>IF(Cobros[[#This Row],[Dias de Credito]]&lt;=0,"Contado","Credito")</f>
        <v>Contado</v>
      </c>
      <c r="N800" s="45">
        <f>Cobros[[#This Row],[Fecha Aplicación S]]-Cobros[[#This Row],[Fecha Cargo S]]</f>
        <v>0</v>
      </c>
      <c r="O800" s="45">
        <f>Cobros[[#This Row],[Dias al pago]]-Cobros[[#This Row],[Dias de Credito]]</f>
        <v>0</v>
      </c>
      <c r="P800" s="45">
        <f>SUMIFS(TablaDias[Porcentaje],TablaDias[Tipo],Cobros[[#This Row],[Tipo]],TablaDias[Desde ],"&lt;="&amp;MAX(0,Cobros[[#This Row],[Dias pasado]]),TablaDias[Hasta ],"&gt;="&amp;Cobros[[#This Row],[Dias pasado]])</f>
        <v>100</v>
      </c>
      <c r="Q80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0" s="34">
        <f>IF(COUNTIF(PAPEL[Numero],Cobros[[#This Row],[Doc. Cargo]])&gt;0,1,0)</f>
        <v>0</v>
      </c>
      <c r="S800" s="46">
        <f t="array" ref="S8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0" s="46">
        <f t="array" ref="T800">INDEX(Ventas[[Unidades]:[2]],MATCH("Gerente de Venta",Ventas[Vendedor %],0),6+Cobros[[#This Row],[Mes]])</f>
        <v>0.005</v>
      </c>
      <c r="U800" s="34">
        <f>IF(Cobros[[#This Row],[Tipo]]="Credito",IF(60&gt;=Cobros[[#This Row],[Dias al pago]],1,0),IF(Cobros[[#This Row],[Dias al pago]]&lt;=3,1,0))</f>
        <v>1</v>
      </c>
      <c r="V800" s="46">
        <f>(Cobros[[#This Row],[% A pagar Vendedor]]/100)*Cobros[[#This Row],[Valor Pagado]]*Cobros[[#This Row],[Vencido]]*(Cobros[[#This Row],[% aplicar]]/100)*IF(Cobros[[#This Row],[% A pagar Vendedor]]&gt;0,1,0)</f>
        <v>7.5425</v>
      </c>
      <c r="W800" s="46">
        <v>3.017</v>
      </c>
      <c r="X800" s="34"/>
    </row>
    <row r="801" ht="30" spans="1:24">
      <c r="A801" s="49" t="s">
        <v>3860</v>
      </c>
      <c r="B801" s="49" t="s">
        <v>5086</v>
      </c>
      <c r="C801" s="49" t="s">
        <v>2853</v>
      </c>
      <c r="D801" s="49" t="s">
        <v>2854</v>
      </c>
      <c r="E801" s="49" t="s">
        <v>5087</v>
      </c>
      <c r="F801" s="51">
        <v>46226</v>
      </c>
      <c r="G801" s="49">
        <v>2750</v>
      </c>
      <c r="H801" s="49" t="s">
        <v>20</v>
      </c>
      <c r="I801" s="51">
        <v>46226</v>
      </c>
      <c r="J801" s="54">
        <f>INT(Cobros[[#This Row],[Fecha Cargo]])</f>
        <v>46226</v>
      </c>
      <c r="K801" s="54">
        <f>INT(Cobros[[#This Row],[Fecha Aplicacion]])</f>
        <v>46226</v>
      </c>
      <c r="L801" s="55">
        <v>7</v>
      </c>
      <c r="M801" s="45" t="str">
        <f>IF(Cobros[[#This Row],[Dias de Credito]]&lt;=0,"Contado","Credito")</f>
        <v>Credito</v>
      </c>
      <c r="N801" s="45">
        <f>Cobros[[#This Row],[Fecha Aplicación S]]-Cobros[[#This Row],[Fecha Cargo S]]</f>
        <v>0</v>
      </c>
      <c r="O801" s="45">
        <f>Cobros[[#This Row],[Dias al pago]]-Cobros[[#This Row],[Dias de Credito]]</f>
        <v>-7</v>
      </c>
      <c r="P801" s="45">
        <f>SUMIFS(TablaDias[Porcentaje],TablaDias[Tipo],Cobros[[#This Row],[Tipo]],TablaDias[Desde ],"&lt;="&amp;MAX(0,Cobros[[#This Row],[Dias pasado]]),TablaDias[Hasta ],"&gt;="&amp;Cobros[[#This Row],[Dias pasado]])</f>
        <v>100</v>
      </c>
      <c r="Q80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1" s="34">
        <f>IF(COUNTIF(PAPEL[Numero],Cobros[[#This Row],[Doc. Cargo]])&gt;0,1,0)</f>
        <v>0</v>
      </c>
      <c r="S801" s="46">
        <f t="array" ref="S8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1" s="46">
        <f t="array" ref="T801">INDEX(Ventas[[Unidades]:[2]],MATCH("Gerente de Venta",Ventas[Vendedor %],0),6+Cobros[[#This Row],[Mes]])</f>
        <v>0.005</v>
      </c>
      <c r="U801" s="34">
        <f>IF(Cobros[[#This Row],[Tipo]]="Credito",IF(60&gt;=Cobros[[#This Row],[Dias al pago]],1,0),IF(Cobros[[#This Row],[Dias al pago]]&lt;=3,1,0))</f>
        <v>1</v>
      </c>
      <c r="V801" s="46">
        <f>(Cobros[[#This Row],[% A pagar Vendedor]]/100)*Cobros[[#This Row],[Valor Pagado]]*Cobros[[#This Row],[Vencido]]*(Cobros[[#This Row],[% aplicar]]/100)*IF(Cobros[[#This Row],[% A pagar Vendedor]]&gt;0,1,0)</f>
        <v>34.375</v>
      </c>
      <c r="W801" s="46">
        <f>0.5%*Cobros[[#This Row],[Valor Pagado]]</f>
        <v>13.75</v>
      </c>
      <c r="X801" s="34"/>
    </row>
    <row r="802" spans="1:24">
      <c r="A802" s="49" t="s">
        <v>3860</v>
      </c>
      <c r="B802" s="49" t="s">
        <v>5088</v>
      </c>
      <c r="C802" s="49" t="s">
        <v>1478</v>
      </c>
      <c r="D802" s="49" t="s">
        <v>1479</v>
      </c>
      <c r="E802" s="49" t="s">
        <v>5089</v>
      </c>
      <c r="F802" s="51">
        <v>46190</v>
      </c>
      <c r="G802" s="49">
        <v>18.35</v>
      </c>
      <c r="H802" s="49" t="s">
        <v>18</v>
      </c>
      <c r="I802" s="51">
        <v>46226</v>
      </c>
      <c r="J802" s="54">
        <f>INT(Cobros[[#This Row],[Fecha Cargo]])</f>
        <v>46190</v>
      </c>
      <c r="K802" s="54">
        <f>INT(Cobros[[#This Row],[Fecha Aplicacion]])</f>
        <v>46226</v>
      </c>
      <c r="L802" s="55" t="str">
        <f>INDEX(Clientes[Días Plazo],MATCH(Cobros[[#This Row],[Cod. Cliente]],Clientes[Codigo],0),1)</f>
        <v>3</v>
      </c>
      <c r="M802" s="45" t="str">
        <f>IF(Cobros[[#This Row],[Dias de Credito]]&lt;=0,"Contado","Credito")</f>
        <v>Credito</v>
      </c>
      <c r="N802" s="45">
        <f>Cobros[[#This Row],[Fecha Aplicación S]]-Cobros[[#This Row],[Fecha Cargo S]]</f>
        <v>36</v>
      </c>
      <c r="O802" s="45">
        <f>Cobros[[#This Row],[Dias al pago]]-Cobros[[#This Row],[Dias de Credito]]</f>
        <v>33</v>
      </c>
      <c r="P802" s="45">
        <f>SUMIFS(TablaDias[Porcentaje],TablaDias[Tipo],Cobros[[#This Row],[Tipo]],TablaDias[Desde ],"&lt;="&amp;MAX(0,Cobros[[#This Row],[Dias pasado]]),TablaDias[Hasta ],"&gt;="&amp;Cobros[[#This Row],[Dias pasado]])</f>
        <v>30</v>
      </c>
      <c r="Q80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02" s="34">
        <f>IF(COUNTIF(PAPEL[Numero],Cobros[[#This Row],[Doc. Cargo]])&gt;0,1,0)</f>
        <v>0</v>
      </c>
      <c r="S802" s="46">
        <f t="array" ref="S80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02" s="46">
        <f t="array" ref="T802">INDEX(Ventas[[Unidades]:[2]],MATCH("Gerente de Venta",Ventas[Vendedor %],0),6+Cobros[[#This Row],[Mes]])</f>
        <v>0.005</v>
      </c>
      <c r="U802" s="34">
        <f>IF(Cobros[[#This Row],[Tipo]]="Credito",IF(60&gt;=Cobros[[#This Row],[Dias al pago]],1,0),IF(Cobros[[#This Row],[Dias al pago]]&lt;=3,1,0))</f>
        <v>1</v>
      </c>
      <c r="V802" s="46">
        <f>(Cobros[[#This Row],[% A pagar Vendedor]]/100)*Cobros[[#This Row],[Valor Pagado]]*Cobros[[#This Row],[Vencido]]*(Cobros[[#This Row],[% aplicar]]/100)*IF(Cobros[[#This Row],[% A pagar Vendedor]]&gt;0,1,0)</f>
        <v>0.05505</v>
      </c>
      <c r="W802" s="46">
        <v>0.09175</v>
      </c>
      <c r="X802" s="34"/>
    </row>
    <row r="803" ht="30" spans="1:24">
      <c r="A803" s="49" t="s">
        <v>3860</v>
      </c>
      <c r="B803" s="49" t="s">
        <v>5090</v>
      </c>
      <c r="C803" s="49" t="s">
        <v>1093</v>
      </c>
      <c r="D803" s="49" t="s">
        <v>1094</v>
      </c>
      <c r="E803" s="49" t="s">
        <v>5091</v>
      </c>
      <c r="F803" s="51">
        <v>46226</v>
      </c>
      <c r="G803" s="49">
        <v>732.6</v>
      </c>
      <c r="H803" s="49" t="s">
        <v>3865</v>
      </c>
      <c r="I803" s="51">
        <v>46226</v>
      </c>
      <c r="J803" s="54">
        <f>INT(Cobros[[#This Row],[Fecha Cargo]])</f>
        <v>46226</v>
      </c>
      <c r="K803" s="54">
        <f>INT(Cobros[[#This Row],[Fecha Aplicacion]])</f>
        <v>46226</v>
      </c>
      <c r="L803" s="55">
        <f>INDEX(Clientes[Días Plazo],MATCH(Cobros[[#This Row],[Cod. Cliente]],Clientes[Codigo],0),1)</f>
        <v>0</v>
      </c>
      <c r="M803" s="45" t="str">
        <f>IF(Cobros[[#This Row],[Dias de Credito]]&lt;=0,"Contado","Credito")</f>
        <v>Contado</v>
      </c>
      <c r="N803" s="45">
        <f>Cobros[[#This Row],[Fecha Aplicación S]]-Cobros[[#This Row],[Fecha Cargo S]]</f>
        <v>0</v>
      </c>
      <c r="O803" s="45">
        <f>Cobros[[#This Row],[Dias al pago]]-Cobros[[#This Row],[Dias de Credito]]</f>
        <v>0</v>
      </c>
      <c r="P803" s="45">
        <f>SUMIFS(TablaDias[Porcentaje],TablaDias[Tipo],Cobros[[#This Row],[Tipo]],TablaDias[Desde ],"&lt;="&amp;MAX(0,Cobros[[#This Row],[Dias pasado]]),TablaDias[Hasta ],"&gt;="&amp;Cobros[[#This Row],[Dias pasado]])</f>
        <v>100</v>
      </c>
      <c r="Q80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3" s="34">
        <f>IF(COUNTIF(PAPEL[Numero],Cobros[[#This Row],[Doc. Cargo]])&gt;0,1,0)</f>
        <v>0</v>
      </c>
      <c r="S803" s="46">
        <v>1</v>
      </c>
      <c r="T803" s="46">
        <f t="array" ref="T803">INDEX(Ventas[[Unidades]:[2]],MATCH("Gerente de Venta",Ventas[Vendedor %],0),6+Cobros[[#This Row],[Mes]])</f>
        <v>0.005</v>
      </c>
      <c r="U803" s="34">
        <f>IF(Cobros[[#This Row],[Tipo]]="Credito",IF(60&gt;=Cobros[[#This Row],[Dias al pago]],1,0),IF(Cobros[[#This Row],[Dias al pago]]&lt;=3,1,0))</f>
        <v>1</v>
      </c>
      <c r="V803" s="46">
        <f>(Cobros[[#This Row],[% A pagar Vendedor]]/100)*Cobros[[#This Row],[Valor Pagado]]*Cobros[[#This Row],[Vencido]]*(Cobros[[#This Row],[% aplicar]]/100)*IF(Cobros[[#This Row],[% A pagar Vendedor]]&gt;0,1,0)</f>
        <v>7.326</v>
      </c>
      <c r="W803" s="46">
        <v>3.663</v>
      </c>
      <c r="X803" s="34"/>
    </row>
    <row r="804" spans="1:24">
      <c r="A804" s="49" t="s">
        <v>3875</v>
      </c>
      <c r="B804" s="49" t="s">
        <v>5092</v>
      </c>
      <c r="C804" s="49" t="s">
        <v>2605</v>
      </c>
      <c r="D804" s="49" t="s">
        <v>2606</v>
      </c>
      <c r="E804" s="49" t="s">
        <v>5093</v>
      </c>
      <c r="F804" s="51">
        <v>46226</v>
      </c>
      <c r="G804" s="49">
        <v>1368</v>
      </c>
      <c r="H804" s="49" t="s">
        <v>16</v>
      </c>
      <c r="I804" s="51">
        <v>46226</v>
      </c>
      <c r="J804" s="54">
        <f>INT(Cobros[[#This Row],[Fecha Cargo]])</f>
        <v>46226</v>
      </c>
      <c r="K804" s="54">
        <f>INT(Cobros[[#This Row],[Fecha Aplicacion]])</f>
        <v>46226</v>
      </c>
      <c r="L804" s="55">
        <f>INDEX(Clientes[Días Plazo],MATCH(Cobros[[#This Row],[Cod. Cliente]],Clientes[Codigo],0),1)</f>
        <v>0</v>
      </c>
      <c r="M804" s="45" t="str">
        <f>IF(Cobros[[#This Row],[Dias de Credito]]&lt;=0,"Contado","Credito")</f>
        <v>Contado</v>
      </c>
      <c r="N804" s="45">
        <f>Cobros[[#This Row],[Fecha Aplicación S]]-Cobros[[#This Row],[Fecha Cargo S]]</f>
        <v>0</v>
      </c>
      <c r="O804" s="45">
        <f>Cobros[[#This Row],[Dias al pago]]-Cobros[[#This Row],[Dias de Credito]]</f>
        <v>0</v>
      </c>
      <c r="P804" s="45">
        <f>SUMIFS(TablaDias[Porcentaje],TablaDias[Tipo],Cobros[[#This Row],[Tipo]],TablaDias[Desde ],"&lt;="&amp;MAX(0,Cobros[[#This Row],[Dias pasado]]),TablaDias[Hasta ],"&gt;="&amp;Cobros[[#This Row],[Dias pasado]])</f>
        <v>100</v>
      </c>
      <c r="Q80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4" s="34">
        <f>IF(COUNTIF(PAPEL[Numero],Cobros[[#This Row],[Doc. Cargo]])&gt;0,1,0)</f>
        <v>0</v>
      </c>
      <c r="S804" s="46">
        <f t="array" ref="S8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4" s="47">
        <v>0.005</v>
      </c>
      <c r="U804" s="34">
        <f>IF(Cobros[[#This Row],[Tipo]]="Credito",IF(60&gt;=Cobros[[#This Row],[Dias al pago]],1,0),IF(Cobros[[#This Row],[Dias al pago]]&lt;=3,1,0))</f>
        <v>1</v>
      </c>
      <c r="V804" s="46">
        <f>(Cobros[[#This Row],[% A pagar Vendedor]]/100)*Cobros[[#This Row],[Valor Pagado]]*Cobros[[#This Row],[Vencido]]*(Cobros[[#This Row],[% aplicar]]/100)*IF(Cobros[[#This Row],[% A pagar Vendedor]]&gt;0,1,0)</f>
        <v>17.1</v>
      </c>
      <c r="W804" s="46">
        <f>0.5%*Cobros[[#This Row],[Valor Pagado]]</f>
        <v>6.84</v>
      </c>
      <c r="X804" s="34"/>
    </row>
    <row r="805" spans="1:24">
      <c r="A805" s="49" t="s">
        <v>3931</v>
      </c>
      <c r="B805" s="49" t="s">
        <v>5094</v>
      </c>
      <c r="C805" s="49" t="s">
        <v>1587</v>
      </c>
      <c r="D805" s="49" t="s">
        <v>1588</v>
      </c>
      <c r="E805" s="49" t="s">
        <v>5095</v>
      </c>
      <c r="F805" s="51">
        <v>46209</v>
      </c>
      <c r="G805" s="49">
        <v>252.08</v>
      </c>
      <c r="H805" s="49" t="s">
        <v>18</v>
      </c>
      <c r="I805" s="51">
        <v>46230</v>
      </c>
      <c r="J805" s="54">
        <f>INT(Cobros[[#This Row],[Fecha Cargo]])</f>
        <v>46209</v>
      </c>
      <c r="K805" s="54">
        <f>INT(Cobros[[#This Row],[Fecha Aplicacion]])</f>
        <v>46230</v>
      </c>
      <c r="L805" s="55" t="str">
        <f>INDEX(Clientes[Días Plazo],MATCH(Cobros[[#This Row],[Cod. Cliente]],Clientes[Codigo],0),1)</f>
        <v>7</v>
      </c>
      <c r="M805" s="45" t="str">
        <f>IF(Cobros[[#This Row],[Dias de Credito]]&lt;=0,"Contado","Credito")</f>
        <v>Credito</v>
      </c>
      <c r="N805" s="45">
        <f>Cobros[[#This Row],[Fecha Aplicación S]]-Cobros[[#This Row],[Fecha Cargo S]]</f>
        <v>21</v>
      </c>
      <c r="O805" s="45">
        <f>Cobros[[#This Row],[Dias al pago]]-Cobros[[#This Row],[Dias de Credito]]</f>
        <v>14</v>
      </c>
      <c r="P805" s="45">
        <f>SUMIFS(TablaDias[Porcentaje],TablaDias[Tipo],Cobros[[#This Row],[Tipo]],TablaDias[Desde ],"&lt;="&amp;MAX(0,Cobros[[#This Row],[Dias pasado]]),TablaDias[Hasta ],"&gt;="&amp;Cobros[[#This Row],[Dias pasado]])</f>
        <v>100</v>
      </c>
      <c r="Q80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5" s="34">
        <f>IF(COUNTIF(PAPEL[Numero],Cobros[[#This Row],[Doc. Cargo]])&gt;0,1,0)</f>
        <v>0</v>
      </c>
      <c r="S805" s="46">
        <f t="array" ref="S80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5" s="46">
        <f t="array" ref="T805">INDEX(Ventas[[Unidades]:[2]],MATCH("Gerente de Venta",Ventas[Vendedor %],0),6+Cobros[[#This Row],[Mes]])</f>
        <v>0.005</v>
      </c>
      <c r="U805" s="34">
        <f>IF(Cobros[[#This Row],[Tipo]]="Credito",IF(60&gt;=Cobros[[#This Row],[Dias al pago]],1,0),IF(Cobros[[#This Row],[Dias al pago]]&lt;=3,1,0))</f>
        <v>1</v>
      </c>
      <c r="V805" s="46">
        <f>(Cobros[[#This Row],[% A pagar Vendedor]]/100)*Cobros[[#This Row],[Valor Pagado]]*Cobros[[#This Row],[Vencido]]*(Cobros[[#This Row],[% aplicar]]/100)*IF(Cobros[[#This Row],[% A pagar Vendedor]]&gt;0,1,0)</f>
        <v>3.151</v>
      </c>
      <c r="W805" s="46">
        <f>0.5%*Cobros[[#This Row],[Valor Pagado]]</f>
        <v>1.2604</v>
      </c>
      <c r="X805" s="34"/>
    </row>
    <row r="806" spans="1:24">
      <c r="A806" s="49" t="s">
        <v>3931</v>
      </c>
      <c r="B806" s="49" t="s">
        <v>5094</v>
      </c>
      <c r="C806" s="49" t="s">
        <v>1587</v>
      </c>
      <c r="D806" s="49" t="s">
        <v>1588</v>
      </c>
      <c r="E806" s="49" t="s">
        <v>5096</v>
      </c>
      <c r="F806" s="51">
        <v>46210</v>
      </c>
      <c r="G806" s="49">
        <v>1016.5</v>
      </c>
      <c r="H806" s="49" t="s">
        <v>18</v>
      </c>
      <c r="I806" s="51">
        <v>46230</v>
      </c>
      <c r="J806" s="54">
        <f>INT(Cobros[[#This Row],[Fecha Cargo]])</f>
        <v>46210</v>
      </c>
      <c r="K806" s="54">
        <f>INT(Cobros[[#This Row],[Fecha Aplicacion]])</f>
        <v>46230</v>
      </c>
      <c r="L806" s="55" t="str">
        <f>INDEX(Clientes[Días Plazo],MATCH(Cobros[[#This Row],[Cod. Cliente]],Clientes[Codigo],0),1)</f>
        <v>7</v>
      </c>
      <c r="M806" s="45" t="str">
        <f>IF(Cobros[[#This Row],[Dias de Credito]]&lt;=0,"Contado","Credito")</f>
        <v>Credito</v>
      </c>
      <c r="N806" s="45">
        <f>Cobros[[#This Row],[Fecha Aplicación S]]-Cobros[[#This Row],[Fecha Cargo S]]</f>
        <v>20</v>
      </c>
      <c r="O806" s="45">
        <f>Cobros[[#This Row],[Dias al pago]]-Cobros[[#This Row],[Dias de Credito]]</f>
        <v>13</v>
      </c>
      <c r="P806" s="45">
        <f>SUMIFS(TablaDias[Porcentaje],TablaDias[Tipo],Cobros[[#This Row],[Tipo]],TablaDias[Desde ],"&lt;="&amp;MAX(0,Cobros[[#This Row],[Dias pasado]]),TablaDias[Hasta ],"&gt;="&amp;Cobros[[#This Row],[Dias pasado]])</f>
        <v>100</v>
      </c>
      <c r="Q80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6" s="34">
        <f>IF(COUNTIF(PAPEL[Numero],Cobros[[#This Row],[Doc. Cargo]])&gt;0,1,0)</f>
        <v>0</v>
      </c>
      <c r="S806" s="46">
        <f t="array" ref="S80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6" s="46">
        <f t="array" ref="T806">INDEX(Ventas[[Unidades]:[2]],MATCH("Gerente de Venta",Ventas[Vendedor %],0),6+Cobros[[#This Row],[Mes]])</f>
        <v>0.005</v>
      </c>
      <c r="U806" s="34">
        <f>IF(Cobros[[#This Row],[Tipo]]="Credito",IF(60&gt;=Cobros[[#This Row],[Dias al pago]],1,0),IF(Cobros[[#This Row],[Dias al pago]]&lt;=3,1,0))</f>
        <v>1</v>
      </c>
      <c r="V806" s="46">
        <f>(Cobros[[#This Row],[% A pagar Vendedor]]/100)*Cobros[[#This Row],[Valor Pagado]]*Cobros[[#This Row],[Vencido]]*(Cobros[[#This Row],[% aplicar]]/100)*IF(Cobros[[#This Row],[% A pagar Vendedor]]&gt;0,1,0)</f>
        <v>12.70625</v>
      </c>
      <c r="W806" s="46">
        <f>0.5%*Cobros[[#This Row],[Valor Pagado]]</f>
        <v>5.0825</v>
      </c>
      <c r="X806" s="34"/>
    </row>
    <row r="807" spans="1:24">
      <c r="A807" s="49" t="s">
        <v>3931</v>
      </c>
      <c r="B807" s="49" t="s">
        <v>5094</v>
      </c>
      <c r="C807" s="49" t="s">
        <v>1587</v>
      </c>
      <c r="D807" s="49" t="s">
        <v>1588</v>
      </c>
      <c r="E807" s="49" t="s">
        <v>5097</v>
      </c>
      <c r="F807" s="51">
        <v>46213</v>
      </c>
      <c r="G807" s="49">
        <v>420</v>
      </c>
      <c r="H807" s="49" t="s">
        <v>18</v>
      </c>
      <c r="I807" s="51">
        <v>46230</v>
      </c>
      <c r="J807" s="54">
        <f>INT(Cobros[[#This Row],[Fecha Cargo]])</f>
        <v>46213</v>
      </c>
      <c r="K807" s="54">
        <f>INT(Cobros[[#This Row],[Fecha Aplicacion]])</f>
        <v>46230</v>
      </c>
      <c r="L807" s="55" t="str">
        <f>INDEX(Clientes[Días Plazo],MATCH(Cobros[[#This Row],[Cod. Cliente]],Clientes[Codigo],0),1)</f>
        <v>7</v>
      </c>
      <c r="M807" s="45" t="str">
        <f>IF(Cobros[[#This Row],[Dias de Credito]]&lt;=0,"Contado","Credito")</f>
        <v>Credito</v>
      </c>
      <c r="N807" s="45">
        <f>Cobros[[#This Row],[Fecha Aplicación S]]-Cobros[[#This Row],[Fecha Cargo S]]</f>
        <v>17</v>
      </c>
      <c r="O807" s="45">
        <f>Cobros[[#This Row],[Dias al pago]]-Cobros[[#This Row],[Dias de Credito]]</f>
        <v>10</v>
      </c>
      <c r="P807" s="45">
        <f>SUMIFS(TablaDias[Porcentaje],TablaDias[Tipo],Cobros[[#This Row],[Tipo]],TablaDias[Desde ],"&lt;="&amp;MAX(0,Cobros[[#This Row],[Dias pasado]]),TablaDias[Hasta ],"&gt;="&amp;Cobros[[#This Row],[Dias pasado]])</f>
        <v>100</v>
      </c>
      <c r="Q80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7" s="34">
        <f>IF(COUNTIF(PAPEL[Numero],Cobros[[#This Row],[Doc. Cargo]])&gt;0,1,0)</f>
        <v>0</v>
      </c>
      <c r="S807" s="46">
        <f t="array" ref="S8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7" s="46">
        <f t="array" ref="T807">INDEX(Ventas[[Unidades]:[2]],MATCH("Gerente de Venta",Ventas[Vendedor %],0),6+Cobros[[#This Row],[Mes]])</f>
        <v>0.005</v>
      </c>
      <c r="U807" s="34">
        <f>IF(Cobros[[#This Row],[Tipo]]="Credito",IF(60&gt;=Cobros[[#This Row],[Dias al pago]],1,0),IF(Cobros[[#This Row],[Dias al pago]]&lt;=3,1,0))</f>
        <v>1</v>
      </c>
      <c r="V807" s="46">
        <v>5.25</v>
      </c>
      <c r="W807" s="46">
        <f>0.5%*Cobros[[#This Row],[Valor Pagado]]</f>
        <v>2.1</v>
      </c>
      <c r="X807" s="34"/>
    </row>
    <row r="808" spans="1:24">
      <c r="A808" s="49" t="s">
        <v>3931</v>
      </c>
      <c r="B808" s="49" t="s">
        <v>5098</v>
      </c>
      <c r="C808" s="49" t="s">
        <v>2377</v>
      </c>
      <c r="D808" s="49" t="s">
        <v>2378</v>
      </c>
      <c r="E808" s="49" t="s">
        <v>5099</v>
      </c>
      <c r="F808" s="51">
        <v>46213</v>
      </c>
      <c r="G808" s="49">
        <v>168.23</v>
      </c>
      <c r="H808" s="49" t="s">
        <v>16</v>
      </c>
      <c r="I808" s="51">
        <v>46230</v>
      </c>
      <c r="J808" s="54">
        <f>INT(Cobros[[#This Row],[Fecha Cargo]])</f>
        <v>46213</v>
      </c>
      <c r="K808" s="54">
        <f>INT(Cobros[[#This Row],[Fecha Aplicacion]])</f>
        <v>46230</v>
      </c>
      <c r="L808" s="55" t="str">
        <f>INDEX(Clientes[Días Plazo],MATCH(Cobros[[#This Row],[Cod. Cliente]],Clientes[Codigo],0),1)</f>
        <v>10</v>
      </c>
      <c r="M808" s="45" t="str">
        <f>IF(Cobros[[#This Row],[Dias de Credito]]&lt;=0,"Contado","Credito")</f>
        <v>Credito</v>
      </c>
      <c r="N808" s="45">
        <f>Cobros[[#This Row],[Fecha Aplicación S]]-Cobros[[#This Row],[Fecha Cargo S]]</f>
        <v>17</v>
      </c>
      <c r="O808" s="45">
        <f>Cobros[[#This Row],[Dias al pago]]-Cobros[[#This Row],[Dias de Credito]]</f>
        <v>7</v>
      </c>
      <c r="P808" s="45">
        <f>SUMIFS(TablaDias[Porcentaje],TablaDias[Tipo],Cobros[[#This Row],[Tipo]],TablaDias[Desde ],"&lt;="&amp;MAX(0,Cobros[[#This Row],[Dias pasado]]),TablaDias[Hasta ],"&gt;="&amp;Cobros[[#This Row],[Dias pasado]])</f>
        <v>100</v>
      </c>
      <c r="Q80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8" s="34">
        <f>IF(COUNTIF(PAPEL[Numero],Cobros[[#This Row],[Doc. Cargo]])&gt;0,1,0)</f>
        <v>0</v>
      </c>
      <c r="S808" s="46">
        <f t="array" ref="S8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8" s="47">
        <v>0.005</v>
      </c>
      <c r="U808" s="34">
        <f>IF(Cobros[[#This Row],[Tipo]]="Credito",IF(60&gt;=Cobros[[#This Row],[Dias al pago]],1,0),IF(Cobros[[#This Row],[Dias al pago]]&lt;=3,1,0))</f>
        <v>1</v>
      </c>
      <c r="V808" s="46">
        <f>(Cobros[[#This Row],[% A pagar Vendedor]]/100)*Cobros[[#This Row],[Valor Pagado]]*Cobros[[#This Row],[Vencido]]*(Cobros[[#This Row],[% aplicar]]/100)*IF(Cobros[[#This Row],[% A pagar Vendedor]]&gt;0,1,0)</f>
        <v>2.102875</v>
      </c>
      <c r="W808" s="46">
        <f>0.5%*Cobros[[#This Row],[Valor Pagado]]</f>
        <v>0.84115</v>
      </c>
      <c r="X808" s="34"/>
    </row>
    <row r="809" spans="1:24">
      <c r="A809" s="49" t="s">
        <v>3931</v>
      </c>
      <c r="B809" s="49" t="s">
        <v>5100</v>
      </c>
      <c r="C809" s="49" t="s">
        <v>530</v>
      </c>
      <c r="D809" s="49" t="s">
        <v>531</v>
      </c>
      <c r="E809" s="49" t="s">
        <v>4733</v>
      </c>
      <c r="F809" s="51">
        <v>46211</v>
      </c>
      <c r="G809" s="49">
        <v>892.35</v>
      </c>
      <c r="H809" s="49" t="s">
        <v>18</v>
      </c>
      <c r="I809" s="51">
        <v>46230</v>
      </c>
      <c r="J809" s="54">
        <f>INT(Cobros[[#This Row],[Fecha Cargo]])</f>
        <v>46211</v>
      </c>
      <c r="K809" s="54">
        <f>INT(Cobros[[#This Row],[Fecha Aplicacion]])</f>
        <v>46230</v>
      </c>
      <c r="L809" s="55" t="str">
        <f>INDEX(Clientes[Días Plazo],MATCH(Cobros[[#This Row],[Cod. Cliente]],Clientes[Codigo],0),1)</f>
        <v>15</v>
      </c>
      <c r="M809" s="45" t="str">
        <f>IF(Cobros[[#This Row],[Dias de Credito]]&lt;=0,"Contado","Credito")</f>
        <v>Credito</v>
      </c>
      <c r="N809" s="45">
        <f>Cobros[[#This Row],[Fecha Aplicación S]]-Cobros[[#This Row],[Fecha Cargo S]]</f>
        <v>19</v>
      </c>
      <c r="O809" s="45">
        <f>Cobros[[#This Row],[Dias al pago]]-Cobros[[#This Row],[Dias de Credito]]</f>
        <v>4</v>
      </c>
      <c r="P809" s="45">
        <f>SUMIFS(TablaDias[Porcentaje],TablaDias[Tipo],Cobros[[#This Row],[Tipo]],TablaDias[Desde ],"&lt;="&amp;MAX(0,Cobros[[#This Row],[Dias pasado]]),TablaDias[Hasta ],"&gt;="&amp;Cobros[[#This Row],[Dias pasado]])</f>
        <v>100</v>
      </c>
      <c r="Q80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09" s="34">
        <f>IF(COUNTIF(PAPEL[Numero],Cobros[[#This Row],[Doc. Cargo]])&gt;0,1,0)</f>
        <v>0</v>
      </c>
      <c r="S809" s="46">
        <f t="array" ref="S8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09" s="46">
        <f t="array" ref="T809">INDEX(Ventas[[Unidades]:[2]],MATCH("Gerente de Venta",Ventas[Vendedor %],0),6+Cobros[[#This Row],[Mes]])</f>
        <v>0.005</v>
      </c>
      <c r="U809" s="34">
        <f>IF(Cobros[[#This Row],[Tipo]]="Credito",IF(60&gt;=Cobros[[#This Row],[Dias al pago]],1,0),IF(Cobros[[#This Row],[Dias al pago]]&lt;=3,1,0))</f>
        <v>1</v>
      </c>
      <c r="V809" s="46">
        <f>(Cobros[[#This Row],[% A pagar Vendedor]]/100)*Cobros[[#This Row],[Valor Pagado]]*Cobros[[#This Row],[Vencido]]*(Cobros[[#This Row],[% aplicar]]/100)*IF(Cobros[[#This Row],[% A pagar Vendedor]]&gt;0,1,0)</f>
        <v>11.154375</v>
      </c>
      <c r="W809" s="46">
        <v>4.46175</v>
      </c>
      <c r="X809" s="34"/>
    </row>
    <row r="810" spans="1:24">
      <c r="A810" s="49" t="s">
        <v>3931</v>
      </c>
      <c r="B810" s="49" t="s">
        <v>5100</v>
      </c>
      <c r="C810" s="49" t="s">
        <v>530</v>
      </c>
      <c r="D810" s="49" t="s">
        <v>531</v>
      </c>
      <c r="E810" s="49" t="s">
        <v>5101</v>
      </c>
      <c r="F810" s="51">
        <v>46212</v>
      </c>
      <c r="G810" s="49">
        <v>312.6</v>
      </c>
      <c r="H810" s="49" t="s">
        <v>18</v>
      </c>
      <c r="I810" s="51">
        <v>46230</v>
      </c>
      <c r="J810" s="54">
        <f>INT(Cobros[[#This Row],[Fecha Cargo]])</f>
        <v>46212</v>
      </c>
      <c r="K810" s="54">
        <f>INT(Cobros[[#This Row],[Fecha Aplicacion]])</f>
        <v>46230</v>
      </c>
      <c r="L810" s="55" t="str">
        <f>INDEX(Clientes[Días Plazo],MATCH(Cobros[[#This Row],[Cod. Cliente]],Clientes[Codigo],0),1)</f>
        <v>15</v>
      </c>
      <c r="M810" s="45" t="str">
        <f>IF(Cobros[[#This Row],[Dias de Credito]]&lt;=0,"Contado","Credito")</f>
        <v>Credito</v>
      </c>
      <c r="N810" s="45">
        <f>Cobros[[#This Row],[Fecha Aplicación S]]-Cobros[[#This Row],[Fecha Cargo S]]</f>
        <v>18</v>
      </c>
      <c r="O810" s="45">
        <f>Cobros[[#This Row],[Dias al pago]]-Cobros[[#This Row],[Dias de Credito]]</f>
        <v>3</v>
      </c>
      <c r="P810" s="45">
        <f>SUMIFS(TablaDias[Porcentaje],TablaDias[Tipo],Cobros[[#This Row],[Tipo]],TablaDias[Desde ],"&lt;="&amp;MAX(0,Cobros[[#This Row],[Dias pasado]]),TablaDias[Hasta ],"&gt;="&amp;Cobros[[#This Row],[Dias pasado]])</f>
        <v>100</v>
      </c>
      <c r="Q81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10" s="34">
        <f>IF(COUNTIF(PAPEL[Numero],Cobros[[#This Row],[Doc. Cargo]])&gt;0,1,0)</f>
        <v>0</v>
      </c>
      <c r="S810" s="46">
        <f t="array" ref="S8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0" s="46">
        <f t="array" ref="T810">INDEX(Ventas[[Unidades]:[2]],MATCH("Gerente de Venta",Ventas[Vendedor %],0),6+Cobros[[#This Row],[Mes]])</f>
        <v>0.005</v>
      </c>
      <c r="U810" s="34">
        <f>IF(Cobros[[#This Row],[Tipo]]="Credito",IF(60&gt;=Cobros[[#This Row],[Dias al pago]],1,0),IF(Cobros[[#This Row],[Dias al pago]]&lt;=3,1,0))</f>
        <v>1</v>
      </c>
      <c r="V810" s="46">
        <f>(Cobros[[#This Row],[% A pagar Vendedor]]/100)*Cobros[[#This Row],[Valor Pagado]]*Cobros[[#This Row],[Vencido]]*(Cobros[[#This Row],[% aplicar]]/100)*IF(Cobros[[#This Row],[% A pagar Vendedor]]&gt;0,1,0)</f>
        <v>3.9075</v>
      </c>
      <c r="W810" s="46">
        <f>0.5%*Cobros[[#This Row],[Valor Pagado]]</f>
        <v>1.563</v>
      </c>
      <c r="X810" s="34"/>
    </row>
    <row r="811" spans="1:24">
      <c r="A811" s="49" t="s">
        <v>3931</v>
      </c>
      <c r="B811" s="49" t="s">
        <v>5100</v>
      </c>
      <c r="C811" s="49" t="s">
        <v>530</v>
      </c>
      <c r="D811" s="49" t="s">
        <v>531</v>
      </c>
      <c r="E811" s="49" t="s">
        <v>5102</v>
      </c>
      <c r="F811" s="51">
        <v>46220</v>
      </c>
      <c r="G811" s="49">
        <v>0.05</v>
      </c>
      <c r="H811" s="49" t="s">
        <v>18</v>
      </c>
      <c r="I811" s="51">
        <v>46230</v>
      </c>
      <c r="J811" s="54">
        <f>INT(Cobros[[#This Row],[Fecha Cargo]])</f>
        <v>46220</v>
      </c>
      <c r="K811" s="54">
        <f>INT(Cobros[[#This Row],[Fecha Aplicacion]])</f>
        <v>46230</v>
      </c>
      <c r="L811" s="55" t="str">
        <f>INDEX(Clientes[Días Plazo],MATCH(Cobros[[#This Row],[Cod. Cliente]],Clientes[Codigo],0),1)</f>
        <v>15</v>
      </c>
      <c r="M811" s="45" t="str">
        <f>IF(Cobros[[#This Row],[Dias de Credito]]&lt;=0,"Contado","Credito")</f>
        <v>Credito</v>
      </c>
      <c r="N811" s="45">
        <f>Cobros[[#This Row],[Fecha Aplicación S]]-Cobros[[#This Row],[Fecha Cargo S]]</f>
        <v>10</v>
      </c>
      <c r="O811" s="45">
        <f>Cobros[[#This Row],[Dias al pago]]-Cobros[[#This Row],[Dias de Credito]]</f>
        <v>-5</v>
      </c>
      <c r="P811" s="45">
        <f>SUMIFS(TablaDias[Porcentaje],TablaDias[Tipo],Cobros[[#This Row],[Tipo]],TablaDias[Desde ],"&lt;="&amp;MAX(0,Cobros[[#This Row],[Dias pasado]]),TablaDias[Hasta ],"&gt;="&amp;Cobros[[#This Row],[Dias pasado]])</f>
        <v>100</v>
      </c>
      <c r="Q81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11" s="34">
        <f>IF(COUNTIF(PAPEL[Numero],Cobros[[#This Row],[Doc. Cargo]])&gt;0,1,0)</f>
        <v>0</v>
      </c>
      <c r="S811" s="46">
        <f t="array" ref="S8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1" s="46">
        <f t="array" ref="T811">INDEX(Ventas[[Unidades]:[2]],MATCH("Gerente de Venta",Ventas[Vendedor %],0),6+Cobros[[#This Row],[Mes]])</f>
        <v>0.005</v>
      </c>
      <c r="U811" s="34">
        <f>IF(Cobros[[#This Row],[Tipo]]="Credito",IF(60&gt;=Cobros[[#This Row],[Dias al pago]],1,0),IF(Cobros[[#This Row],[Dias al pago]]&lt;=3,1,0))</f>
        <v>1</v>
      </c>
      <c r="V811" s="46">
        <f>(Cobros[[#This Row],[% A pagar Vendedor]]/100)*Cobros[[#This Row],[Valor Pagado]]*Cobros[[#This Row],[Vencido]]*(Cobros[[#This Row],[% aplicar]]/100)*IF(Cobros[[#This Row],[% A pagar Vendedor]]&gt;0,1,0)</f>
        <v>0.000625</v>
      </c>
      <c r="W811" s="46">
        <f>0.5%*Cobros[[#This Row],[Valor Pagado]]</f>
        <v>0.00025</v>
      </c>
      <c r="X811" s="34"/>
    </row>
    <row r="812" spans="1:24">
      <c r="A812" s="49" t="s">
        <v>3860</v>
      </c>
      <c r="B812" s="49" t="s">
        <v>5103</v>
      </c>
      <c r="C812" s="49" t="s">
        <v>3824</v>
      </c>
      <c r="D812" s="49" t="s">
        <v>3825</v>
      </c>
      <c r="E812" s="49" t="s">
        <v>5104</v>
      </c>
      <c r="F812" s="51">
        <v>46226</v>
      </c>
      <c r="G812" s="49">
        <v>102.5</v>
      </c>
      <c r="H812" s="49" t="s">
        <v>16</v>
      </c>
      <c r="I812" s="51">
        <v>46230</v>
      </c>
      <c r="J812" s="54">
        <f>INT(Cobros[[#This Row],[Fecha Cargo]])</f>
        <v>46226</v>
      </c>
      <c r="K812" s="54">
        <f>INT(Cobros[[#This Row],[Fecha Aplicacion]])</f>
        <v>46230</v>
      </c>
      <c r="L812" s="55" t="str">
        <f>INDEX(Clientes[Días Plazo],MATCH(Cobros[[#This Row],[Cod. Cliente]],Clientes[Codigo],0),1)</f>
        <v>7</v>
      </c>
      <c r="M812" s="45" t="str">
        <f>IF(Cobros[[#This Row],[Dias de Credito]]&lt;=0,"Contado","Credito")</f>
        <v>Credito</v>
      </c>
      <c r="N812" s="45">
        <f>Cobros[[#This Row],[Fecha Aplicación S]]-Cobros[[#This Row],[Fecha Cargo S]]</f>
        <v>4</v>
      </c>
      <c r="O812" s="45">
        <f>Cobros[[#This Row],[Dias al pago]]-Cobros[[#This Row],[Dias de Credito]]</f>
        <v>-3</v>
      </c>
      <c r="P812" s="45">
        <f>SUMIFS(TablaDias[Porcentaje],TablaDias[Tipo],Cobros[[#This Row],[Tipo]],TablaDias[Desde ],"&lt;="&amp;MAX(0,Cobros[[#This Row],[Dias pasado]]),TablaDias[Hasta ],"&gt;="&amp;Cobros[[#This Row],[Dias pasado]])</f>
        <v>100</v>
      </c>
      <c r="Q81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12" s="34">
        <f>IF(COUNTIF(PAPEL[Numero],Cobros[[#This Row],[Doc. Cargo]])&gt;0,1,0)</f>
        <v>0</v>
      </c>
      <c r="S812" s="46">
        <f t="array" ref="S8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2" s="47">
        <v>0.005</v>
      </c>
      <c r="U812" s="34">
        <f>IF(Cobros[[#This Row],[Tipo]]="Credito",IF(60&gt;=Cobros[[#This Row],[Dias al pago]],1,0),IF(Cobros[[#This Row],[Dias al pago]]&lt;=3,1,0))</f>
        <v>1</v>
      </c>
      <c r="V812" s="46">
        <f>(Cobros[[#This Row],[% A pagar Vendedor]]/100)*Cobros[[#This Row],[Valor Pagado]]*Cobros[[#This Row],[Vencido]]*(Cobros[[#This Row],[% aplicar]]/100)*IF(Cobros[[#This Row],[% A pagar Vendedor]]&gt;0,1,0)</f>
        <v>1.28125</v>
      </c>
      <c r="W812" s="46">
        <f>0.5%*Cobros[[#This Row],[Valor Pagado]]</f>
        <v>0.5125</v>
      </c>
      <c r="X812" s="34"/>
    </row>
    <row r="813" ht="30" spans="1:24">
      <c r="A813" s="49" t="s">
        <v>3860</v>
      </c>
      <c r="B813" s="49" t="s">
        <v>5105</v>
      </c>
      <c r="C813" s="49" t="s">
        <v>853</v>
      </c>
      <c r="D813" s="49" t="s">
        <v>854</v>
      </c>
      <c r="E813" s="49" t="s">
        <v>5106</v>
      </c>
      <c r="F813" s="51">
        <v>46185</v>
      </c>
      <c r="G813" s="49">
        <v>3917.1</v>
      </c>
      <c r="H813" s="49" t="s">
        <v>1355</v>
      </c>
      <c r="I813" s="51">
        <v>46230</v>
      </c>
      <c r="J813" s="54">
        <f>INT(Cobros[[#This Row],[Fecha Cargo]])</f>
        <v>46185</v>
      </c>
      <c r="K813" s="54">
        <f>INT(Cobros[[#This Row],[Fecha Aplicacion]])</f>
        <v>46230</v>
      </c>
      <c r="L813" s="55" t="str">
        <f>INDEX(Clientes[Días Plazo],MATCH(Cobros[[#This Row],[Cod. Cliente]],Clientes[Codigo],0),1)</f>
        <v>30</v>
      </c>
      <c r="M813" s="45" t="str">
        <f>IF(Cobros[[#This Row],[Dias de Credito]]&lt;=0,"Contado","Credito")</f>
        <v>Credito</v>
      </c>
      <c r="N813" s="45">
        <f>Cobros[[#This Row],[Fecha Aplicación S]]-Cobros[[#This Row],[Fecha Cargo S]]</f>
        <v>45</v>
      </c>
      <c r="O813" s="45">
        <f>Cobros[[#This Row],[Dias al pago]]-Cobros[[#This Row],[Dias de Credito]]</f>
        <v>15</v>
      </c>
      <c r="P813" s="45">
        <f>SUMIFS(TablaDias[Porcentaje],TablaDias[Tipo],Cobros[[#This Row],[Tipo]],TablaDias[Desde ],"&lt;="&amp;MAX(0,Cobros[[#This Row],[Dias pasado]]),TablaDias[Hasta ],"&gt;="&amp;Cobros[[#This Row],[Dias pasado]])</f>
        <v>100</v>
      </c>
      <c r="Q81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3" s="34">
        <f>IF(COUNTIF(PAPEL[Numero],Cobros[[#This Row],[Doc. Cargo]])&gt;0,1,0)</f>
        <v>0</v>
      </c>
      <c r="S813" s="46">
        <v>1</v>
      </c>
      <c r="T813" s="46">
        <f t="array" ref="T813">INDEX(Ventas[[Unidades]:[2]],MATCH("Gerente de Venta",Ventas[Vendedor %],0),6+Cobros[[#This Row],[Mes]])</f>
        <v>0.005</v>
      </c>
      <c r="U813" s="34">
        <f>IF(Cobros[[#This Row],[Tipo]]="Credito",IF(60&gt;=Cobros[[#This Row],[Dias al pago]],1,0),IF(Cobros[[#This Row],[Dias al pago]]&lt;=3,1,0))</f>
        <v>1</v>
      </c>
      <c r="V813" s="46">
        <f>(Cobros[[#This Row],[% A pagar Vendedor]]/100)*Cobros[[#This Row],[Valor Pagado]]*Cobros[[#This Row],[Vencido]]*(Cobros[[#This Row],[% aplicar]]/100)*IF(Cobros[[#This Row],[% A pagar Vendedor]]&gt;0,1,0)</f>
        <v>39.171</v>
      </c>
      <c r="W813" s="46">
        <f>0.5%*Cobros[[#This Row],[Valor Pagado]]</f>
        <v>19.5855</v>
      </c>
      <c r="X813" s="34"/>
    </row>
    <row r="814" spans="1:24">
      <c r="A814" s="49" t="s">
        <v>3860</v>
      </c>
      <c r="B814" s="49" t="s">
        <v>5107</v>
      </c>
      <c r="C814" s="49" t="s">
        <v>3123</v>
      </c>
      <c r="D814" s="49" t="s">
        <v>3124</v>
      </c>
      <c r="E814" s="49" t="s">
        <v>4666</v>
      </c>
      <c r="F814" s="51">
        <v>46183</v>
      </c>
      <c r="G814" s="49">
        <v>0.18</v>
      </c>
      <c r="H814" s="49" t="s">
        <v>16</v>
      </c>
      <c r="I814" s="51">
        <v>46230</v>
      </c>
      <c r="J814" s="54">
        <f>INT(Cobros[[#This Row],[Fecha Cargo]])</f>
        <v>46183</v>
      </c>
      <c r="K814" s="54">
        <f>INT(Cobros[[#This Row],[Fecha Aplicacion]])</f>
        <v>46230</v>
      </c>
      <c r="L814" s="55" t="str">
        <f>INDEX(Clientes[Días Plazo],MATCH(Cobros[[#This Row],[Cod. Cliente]],Clientes[Codigo],0),1)</f>
        <v>15</v>
      </c>
      <c r="M814" s="45" t="str">
        <f>IF(Cobros[[#This Row],[Dias de Credito]]&lt;=0,"Contado","Credito")</f>
        <v>Credito</v>
      </c>
      <c r="N814" s="45">
        <f>Cobros[[#This Row],[Fecha Aplicación S]]-Cobros[[#This Row],[Fecha Cargo S]]</f>
        <v>47</v>
      </c>
      <c r="O814" s="45">
        <f>Cobros[[#This Row],[Dias al pago]]-Cobros[[#This Row],[Dias de Credito]]</f>
        <v>32</v>
      </c>
      <c r="P814" s="45">
        <f>SUMIFS(TablaDias[Porcentaje],TablaDias[Tipo],Cobros[[#This Row],[Tipo]],TablaDias[Desde ],"&lt;="&amp;MAX(0,Cobros[[#This Row],[Dias pasado]]),TablaDias[Hasta ],"&gt;="&amp;Cobros[[#This Row],[Dias pasado]])</f>
        <v>30</v>
      </c>
      <c r="Q81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4" s="34">
        <f>IF(COUNTIF(PAPEL[Numero],Cobros[[#This Row],[Doc. Cargo]])&gt;0,1,0)</f>
        <v>0</v>
      </c>
      <c r="S814" s="46">
        <f t="array" ref="S8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14" s="47">
        <v>0.005</v>
      </c>
      <c r="U814" s="34">
        <f>IF(Cobros[[#This Row],[Tipo]]="Credito",IF(60&gt;=Cobros[[#This Row],[Dias al pago]],1,0),IF(Cobros[[#This Row],[Dias al pago]]&lt;=3,1,0))</f>
        <v>1</v>
      </c>
      <c r="V814" s="46">
        <f>(Cobros[[#This Row],[% A pagar Vendedor]]/100)*Cobros[[#This Row],[Valor Pagado]]*Cobros[[#This Row],[Vencido]]*(Cobros[[#This Row],[% aplicar]]/100)*IF(Cobros[[#This Row],[% A pagar Vendedor]]&gt;0,1,0)</f>
        <v>0.00054</v>
      </c>
      <c r="W814" s="46">
        <f>0.5%*Cobros[[#This Row],[Valor Pagado]]</f>
        <v>0.0009</v>
      </c>
      <c r="X814" s="34"/>
    </row>
    <row r="815" spans="1:24">
      <c r="A815" s="49" t="s">
        <v>3860</v>
      </c>
      <c r="B815" s="49" t="s">
        <v>5107</v>
      </c>
      <c r="C815" s="49" t="s">
        <v>3123</v>
      </c>
      <c r="D815" s="49" t="s">
        <v>3124</v>
      </c>
      <c r="E815" s="49" t="s">
        <v>5108</v>
      </c>
      <c r="F815" s="51">
        <v>46189</v>
      </c>
      <c r="G815" s="49">
        <v>7020</v>
      </c>
      <c r="H815" s="49" t="s">
        <v>16</v>
      </c>
      <c r="I815" s="51">
        <v>46230</v>
      </c>
      <c r="J815" s="54">
        <f>INT(Cobros[[#This Row],[Fecha Cargo]])</f>
        <v>46189</v>
      </c>
      <c r="K815" s="54">
        <f>INT(Cobros[[#This Row],[Fecha Aplicacion]])</f>
        <v>46230</v>
      </c>
      <c r="L815" s="55" t="str">
        <f>INDEX(Clientes[Días Plazo],MATCH(Cobros[[#This Row],[Cod. Cliente]],Clientes[Codigo],0),1)</f>
        <v>15</v>
      </c>
      <c r="M815" s="45" t="str">
        <f>IF(Cobros[[#This Row],[Dias de Credito]]&lt;=0,"Contado","Credito")</f>
        <v>Credito</v>
      </c>
      <c r="N815" s="45">
        <f>Cobros[[#This Row],[Fecha Aplicación S]]-Cobros[[#This Row],[Fecha Cargo S]]</f>
        <v>41</v>
      </c>
      <c r="O815" s="45">
        <f>Cobros[[#This Row],[Dias al pago]]-Cobros[[#This Row],[Dias de Credito]]</f>
        <v>26</v>
      </c>
      <c r="P815" s="45">
        <f>SUMIFS(TablaDias[Porcentaje],TablaDias[Tipo],Cobros[[#This Row],[Tipo]],TablaDias[Desde ],"&lt;="&amp;MAX(0,Cobros[[#This Row],[Dias pasado]]),TablaDias[Hasta ],"&gt;="&amp;Cobros[[#This Row],[Dias pasado]])</f>
        <v>50</v>
      </c>
      <c r="Q81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5" s="34">
        <f>IF(COUNTIF(PAPEL[Numero],Cobros[[#This Row],[Doc. Cargo]])&gt;0,1,0)</f>
        <v>0</v>
      </c>
      <c r="S815" s="46">
        <f t="array" ref="S8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15" s="47">
        <v>0.005</v>
      </c>
      <c r="U815" s="34">
        <f>IF(Cobros[[#This Row],[Tipo]]="Credito",IF(60&gt;=Cobros[[#This Row],[Dias al pago]],1,0),IF(Cobros[[#This Row],[Dias al pago]]&lt;=3,1,0))</f>
        <v>1</v>
      </c>
      <c r="V815" s="46">
        <f>(Cobros[[#This Row],[% A pagar Vendedor]]/100)*Cobros[[#This Row],[Valor Pagado]]*Cobros[[#This Row],[Vencido]]*(Cobros[[#This Row],[% aplicar]]/100)*IF(Cobros[[#This Row],[% A pagar Vendedor]]&gt;0,1,0)</f>
        <v>35.1</v>
      </c>
      <c r="W815" s="46">
        <f>0.5%*Cobros[[#This Row],[Valor Pagado]]</f>
        <v>35.1</v>
      </c>
      <c r="X815" s="34"/>
    </row>
    <row r="816" spans="1:24">
      <c r="A816" s="49" t="s">
        <v>3860</v>
      </c>
      <c r="B816" s="49" t="s">
        <v>5107</v>
      </c>
      <c r="C816" s="49" t="s">
        <v>3123</v>
      </c>
      <c r="D816" s="49" t="s">
        <v>3124</v>
      </c>
      <c r="E816" s="49" t="s">
        <v>5109</v>
      </c>
      <c r="F816" s="51">
        <v>46195</v>
      </c>
      <c r="G816" s="49">
        <v>3082</v>
      </c>
      <c r="H816" s="49" t="s">
        <v>16</v>
      </c>
      <c r="I816" s="51">
        <v>46230</v>
      </c>
      <c r="J816" s="54">
        <f>INT(Cobros[[#This Row],[Fecha Cargo]])</f>
        <v>46195</v>
      </c>
      <c r="K816" s="54">
        <f>INT(Cobros[[#This Row],[Fecha Aplicacion]])</f>
        <v>46230</v>
      </c>
      <c r="L816" s="55" t="str">
        <f>INDEX(Clientes[Días Plazo],MATCH(Cobros[[#This Row],[Cod. Cliente]],Clientes[Codigo],0),1)</f>
        <v>15</v>
      </c>
      <c r="M816" s="45" t="str">
        <f>IF(Cobros[[#This Row],[Dias de Credito]]&lt;=0,"Contado","Credito")</f>
        <v>Credito</v>
      </c>
      <c r="N816" s="45">
        <f>Cobros[[#This Row],[Fecha Aplicación S]]-Cobros[[#This Row],[Fecha Cargo S]]</f>
        <v>35</v>
      </c>
      <c r="O816" s="45">
        <f>Cobros[[#This Row],[Dias al pago]]-Cobros[[#This Row],[Dias de Credito]]</f>
        <v>20</v>
      </c>
      <c r="P816" s="45">
        <f>SUMIFS(TablaDias[Porcentaje],TablaDias[Tipo],Cobros[[#This Row],[Tipo]],TablaDias[Desde ],"&lt;="&amp;MAX(0,Cobros[[#This Row],[Dias pasado]]),TablaDias[Hasta ],"&gt;="&amp;Cobros[[#This Row],[Dias pasado]])</f>
        <v>50</v>
      </c>
      <c r="Q81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6" s="34">
        <f>IF(COUNTIF(PAPEL[Numero],Cobros[[#This Row],[Doc. Cargo]])&gt;0,1,0)</f>
        <v>0</v>
      </c>
      <c r="S816" s="46">
        <f t="array" ref="S81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16" s="47">
        <v>0.005</v>
      </c>
      <c r="U816" s="34">
        <f>IF(Cobros[[#This Row],[Tipo]]="Credito",IF(60&gt;=Cobros[[#This Row],[Dias al pago]],1,0),IF(Cobros[[#This Row],[Dias al pago]]&lt;=3,1,0))</f>
        <v>1</v>
      </c>
      <c r="V816" s="46">
        <f>(Cobros[[#This Row],[% A pagar Vendedor]]/100)*Cobros[[#This Row],[Valor Pagado]]*Cobros[[#This Row],[Vencido]]*(Cobros[[#This Row],[% aplicar]]/100)*IF(Cobros[[#This Row],[% A pagar Vendedor]]&gt;0,1,0)</f>
        <v>15.41</v>
      </c>
      <c r="W816" s="46">
        <f>0.5%*Cobros[[#This Row],[Valor Pagado]]</f>
        <v>15.41</v>
      </c>
      <c r="X816" s="34"/>
    </row>
    <row r="817" spans="1:24">
      <c r="A817" s="49" t="s">
        <v>3860</v>
      </c>
      <c r="B817" s="49" t="s">
        <v>5107</v>
      </c>
      <c r="C817" s="49" t="s">
        <v>3123</v>
      </c>
      <c r="D817" s="49" t="s">
        <v>3124</v>
      </c>
      <c r="E817" s="49" t="s">
        <v>5110</v>
      </c>
      <c r="F817" s="51">
        <v>46195</v>
      </c>
      <c r="G817" s="49">
        <v>11789</v>
      </c>
      <c r="H817" s="49" t="s">
        <v>16</v>
      </c>
      <c r="I817" s="51">
        <v>46230</v>
      </c>
      <c r="J817" s="54">
        <f>INT(Cobros[[#This Row],[Fecha Cargo]])</f>
        <v>46195</v>
      </c>
      <c r="K817" s="54">
        <f>INT(Cobros[[#This Row],[Fecha Aplicacion]])</f>
        <v>46230</v>
      </c>
      <c r="L817" s="55" t="str">
        <f>INDEX(Clientes[Días Plazo],MATCH(Cobros[[#This Row],[Cod. Cliente]],Clientes[Codigo],0),1)</f>
        <v>15</v>
      </c>
      <c r="M817" s="45" t="str">
        <f>IF(Cobros[[#This Row],[Dias de Credito]]&lt;=0,"Contado","Credito")</f>
        <v>Credito</v>
      </c>
      <c r="N817" s="45">
        <f>Cobros[[#This Row],[Fecha Aplicación S]]-Cobros[[#This Row],[Fecha Cargo S]]</f>
        <v>35</v>
      </c>
      <c r="O817" s="45">
        <f>Cobros[[#This Row],[Dias al pago]]-Cobros[[#This Row],[Dias de Credito]]</f>
        <v>20</v>
      </c>
      <c r="P817" s="45">
        <f>SUMIFS(TablaDias[Porcentaje],TablaDias[Tipo],Cobros[[#This Row],[Tipo]],TablaDias[Desde ],"&lt;="&amp;MAX(0,Cobros[[#This Row],[Dias pasado]]),TablaDias[Hasta ],"&gt;="&amp;Cobros[[#This Row],[Dias pasado]])</f>
        <v>50</v>
      </c>
      <c r="Q81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17" s="34">
        <f>IF(COUNTIF(PAPEL[Numero],Cobros[[#This Row],[Doc. Cargo]])&gt;0,1,0)</f>
        <v>0</v>
      </c>
      <c r="S817" s="46">
        <f t="array" ref="S8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17" s="47">
        <v>0.005</v>
      </c>
      <c r="U817" s="34">
        <f>IF(Cobros[[#This Row],[Tipo]]="Credito",IF(60&gt;=Cobros[[#This Row],[Dias al pago]],1,0),IF(Cobros[[#This Row],[Dias al pago]]&lt;=3,1,0))</f>
        <v>1</v>
      </c>
      <c r="V817" s="46">
        <f>(Cobros[[#This Row],[% A pagar Vendedor]]/100)*Cobros[[#This Row],[Valor Pagado]]*Cobros[[#This Row],[Vencido]]*(Cobros[[#This Row],[% aplicar]]/100)*IF(Cobros[[#This Row],[% A pagar Vendedor]]&gt;0,1,0)</f>
        <v>58.945</v>
      </c>
      <c r="W817" s="46">
        <f>0.5%*Cobros[[#This Row],[Valor Pagado]]</f>
        <v>58.945</v>
      </c>
      <c r="X817" s="34"/>
    </row>
    <row r="818" spans="1:24">
      <c r="A818" s="49" t="s">
        <v>3860</v>
      </c>
      <c r="B818" s="49" t="s">
        <v>5111</v>
      </c>
      <c r="C818" s="49" t="s">
        <v>1222</v>
      </c>
      <c r="D818" s="49" t="s">
        <v>1223</v>
      </c>
      <c r="E818" s="49" t="s">
        <v>5023</v>
      </c>
      <c r="F818" s="51">
        <v>46224</v>
      </c>
      <c r="G818" s="49">
        <v>318.94</v>
      </c>
      <c r="H818" s="49" t="s">
        <v>20</v>
      </c>
      <c r="I818" s="51">
        <v>46230</v>
      </c>
      <c r="J818" s="54">
        <f>INT(Cobros[[#This Row],[Fecha Cargo]])</f>
        <v>46224</v>
      </c>
      <c r="K818" s="54">
        <f>INT(Cobros[[#This Row],[Fecha Aplicacion]])</f>
        <v>46230</v>
      </c>
      <c r="L818" s="55">
        <v>0</v>
      </c>
      <c r="M818" s="45" t="str">
        <f>IF(Cobros[[#This Row],[Dias de Credito]]&lt;=0,"Contado","Credito")</f>
        <v>Contado</v>
      </c>
      <c r="N818" s="45">
        <f>Cobros[[#This Row],[Fecha Aplicación S]]-Cobros[[#This Row],[Fecha Cargo S]]</f>
        <v>6</v>
      </c>
      <c r="O818" s="45">
        <f>Cobros[[#This Row],[Dias al pago]]-Cobros[[#This Row],[Dias de Credito]]</f>
        <v>6</v>
      </c>
      <c r="P818" s="45">
        <f>SUMIFS(TablaDias[Porcentaje],TablaDias[Tipo],Cobros[[#This Row],[Tipo]],TablaDias[Desde ],"&lt;="&amp;MAX(0,Cobros[[#This Row],[Dias pasado]]),TablaDias[Hasta ],"&gt;="&amp;Cobros[[#This Row],[Dias pasado]])</f>
        <v>0</v>
      </c>
      <c r="Q81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18" s="34">
        <f>IF(COUNTIF(PAPEL[Numero],Cobros[[#This Row],[Doc. Cargo]])&gt;0,1,0)</f>
        <v>0</v>
      </c>
      <c r="S818" s="46">
        <f t="array" ref="S8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8" s="46">
        <f t="array" ref="T818">INDEX(Ventas[[Unidades]:[2]],MATCH("Gerente de Venta",Ventas[Vendedor %],0),6+Cobros[[#This Row],[Mes]])</f>
        <v>0.005</v>
      </c>
      <c r="U818" s="34">
        <f>IF(Cobros[[#This Row],[Tipo]]="Credito",IF(60&gt;=Cobros[[#This Row],[Dias al pago]],1,0),IF(Cobros[[#This Row],[Dias al pago]]&lt;=3,1,0))</f>
        <v>0</v>
      </c>
      <c r="V818" s="46">
        <f>(Cobros[[#This Row],[% A pagar Vendedor]]/100)*Cobros[[#This Row],[Valor Pagado]]*Cobros[[#This Row],[Vencido]]*(Cobros[[#This Row],[% aplicar]]/100)*IF(Cobros[[#This Row],[% A pagar Vendedor]]&gt;0,1,0)</f>
        <v>0</v>
      </c>
      <c r="W818" s="46">
        <f>0.5%*Cobros[[#This Row],[Valor Pagado]]</f>
        <v>1.5947</v>
      </c>
      <c r="X818" s="34"/>
    </row>
    <row r="819" spans="1:24">
      <c r="A819" s="49" t="s">
        <v>3860</v>
      </c>
      <c r="B819" s="49" t="s">
        <v>5111</v>
      </c>
      <c r="C819" s="49" t="s">
        <v>1222</v>
      </c>
      <c r="D819" s="49" t="s">
        <v>1223</v>
      </c>
      <c r="E819" s="49" t="s">
        <v>5112</v>
      </c>
      <c r="F819" s="51">
        <v>46225</v>
      </c>
      <c r="G819" s="49">
        <v>60.65</v>
      </c>
      <c r="H819" s="49" t="s">
        <v>20</v>
      </c>
      <c r="I819" s="51">
        <v>46230</v>
      </c>
      <c r="J819" s="54">
        <f>INT(Cobros[[#This Row],[Fecha Cargo]])</f>
        <v>46225</v>
      </c>
      <c r="K819" s="54">
        <f>INT(Cobros[[#This Row],[Fecha Aplicacion]])</f>
        <v>46230</v>
      </c>
      <c r="L819" s="55" t="str">
        <f>INDEX(Clientes[Días Plazo],MATCH(Cobros[[#This Row],[Cod. Cliente]],Clientes[Codigo],0),1)</f>
        <v>7</v>
      </c>
      <c r="M819" s="45" t="str">
        <f>IF(Cobros[[#This Row],[Dias de Credito]]&lt;=0,"Contado","Credito")</f>
        <v>Credito</v>
      </c>
      <c r="N819" s="45">
        <f>Cobros[[#This Row],[Fecha Aplicación S]]-Cobros[[#This Row],[Fecha Cargo S]]</f>
        <v>5</v>
      </c>
      <c r="O819" s="45">
        <f>Cobros[[#This Row],[Dias al pago]]-Cobros[[#This Row],[Dias de Credito]]</f>
        <v>-2</v>
      </c>
      <c r="P819" s="45">
        <f>SUMIFS(TablaDias[Porcentaje],TablaDias[Tipo],Cobros[[#This Row],[Tipo]],TablaDias[Desde ],"&lt;="&amp;MAX(0,Cobros[[#This Row],[Dias pasado]]),TablaDias[Hasta ],"&gt;="&amp;Cobros[[#This Row],[Dias pasado]])</f>
        <v>100</v>
      </c>
      <c r="Q81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19" s="34">
        <f>IF(COUNTIF(PAPEL[Numero],Cobros[[#This Row],[Doc. Cargo]])&gt;0,1,0)</f>
        <v>0</v>
      </c>
      <c r="S819" s="46">
        <f t="array" ref="S8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19" s="46">
        <f t="array" ref="T819">INDEX(Ventas[[Unidades]:[2]],MATCH("Gerente de Venta",Ventas[Vendedor %],0),6+Cobros[[#This Row],[Mes]])</f>
        <v>0.005</v>
      </c>
      <c r="U819" s="34">
        <f>IF(Cobros[[#This Row],[Tipo]]="Credito",IF(60&gt;=Cobros[[#This Row],[Dias al pago]],1,0),IF(Cobros[[#This Row],[Dias al pago]]&lt;=3,1,0))</f>
        <v>1</v>
      </c>
      <c r="V819" s="46">
        <f>(Cobros[[#This Row],[% A pagar Vendedor]]/100)*Cobros[[#This Row],[Valor Pagado]]*Cobros[[#This Row],[Vencido]]*(Cobros[[#This Row],[% aplicar]]/100)*IF(Cobros[[#This Row],[% A pagar Vendedor]]&gt;0,1,0)</f>
        <v>0.758125</v>
      </c>
      <c r="W819" s="46">
        <f>0.5%*Cobros[[#This Row],[Valor Pagado]]</f>
        <v>0.30325</v>
      </c>
      <c r="X819" s="34"/>
    </row>
    <row r="820" spans="1:24">
      <c r="A820" s="49" t="s">
        <v>3860</v>
      </c>
      <c r="B820" s="49" t="s">
        <v>5111</v>
      </c>
      <c r="C820" s="49" t="s">
        <v>1222</v>
      </c>
      <c r="D820" s="49" t="s">
        <v>1223</v>
      </c>
      <c r="E820" s="49" t="s">
        <v>5113</v>
      </c>
      <c r="F820" s="51">
        <v>46226</v>
      </c>
      <c r="G820" s="49">
        <v>1120.41</v>
      </c>
      <c r="H820" s="49" t="s">
        <v>20</v>
      </c>
      <c r="I820" s="51">
        <v>46230</v>
      </c>
      <c r="J820" s="54">
        <f>INT(Cobros[[#This Row],[Fecha Cargo]])</f>
        <v>46226</v>
      </c>
      <c r="K820" s="54">
        <f>INT(Cobros[[#This Row],[Fecha Aplicacion]])</f>
        <v>46230</v>
      </c>
      <c r="L820" s="55" t="str">
        <f>INDEX(Clientes[Días Plazo],MATCH(Cobros[[#This Row],[Cod. Cliente]],Clientes[Codigo],0),1)</f>
        <v>7</v>
      </c>
      <c r="M820" s="45" t="str">
        <f>IF(Cobros[[#This Row],[Dias de Credito]]&lt;=0,"Contado","Credito")</f>
        <v>Credito</v>
      </c>
      <c r="N820" s="45">
        <f>Cobros[[#This Row],[Fecha Aplicación S]]-Cobros[[#This Row],[Fecha Cargo S]]</f>
        <v>4</v>
      </c>
      <c r="O820" s="45">
        <f>Cobros[[#This Row],[Dias al pago]]-Cobros[[#This Row],[Dias de Credito]]</f>
        <v>-3</v>
      </c>
      <c r="P820" s="45">
        <f>SUMIFS(TablaDias[Porcentaje],TablaDias[Tipo],Cobros[[#This Row],[Tipo]],TablaDias[Desde ],"&lt;="&amp;MAX(0,Cobros[[#This Row],[Dias pasado]]),TablaDias[Hasta ],"&gt;="&amp;Cobros[[#This Row],[Dias pasado]])</f>
        <v>100</v>
      </c>
      <c r="Q82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0" s="34">
        <f>IF(COUNTIF(PAPEL[Numero],Cobros[[#This Row],[Doc. Cargo]])&gt;0,1,0)</f>
        <v>0</v>
      </c>
      <c r="S820" s="46">
        <f t="array" ref="S8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20" s="46">
        <f t="array" ref="T820">INDEX(Ventas[[Unidades]:[2]],MATCH("Gerente de Venta",Ventas[Vendedor %],0),6+Cobros[[#This Row],[Mes]])</f>
        <v>0.005</v>
      </c>
      <c r="U820" s="34">
        <f>IF(Cobros[[#This Row],[Tipo]]="Credito",IF(60&gt;=Cobros[[#This Row],[Dias al pago]],1,0),IF(Cobros[[#This Row],[Dias al pago]]&lt;=3,1,0))</f>
        <v>1</v>
      </c>
      <c r="V820" s="46">
        <f>(Cobros[[#This Row],[% A pagar Vendedor]]/100)*Cobros[[#This Row],[Valor Pagado]]*Cobros[[#This Row],[Vencido]]*(Cobros[[#This Row],[% aplicar]]/100)*IF(Cobros[[#This Row],[% A pagar Vendedor]]&gt;0,1,0)</f>
        <v>14.005125</v>
      </c>
      <c r="W820" s="46">
        <f>0.5%*Cobros[[#This Row],[Valor Pagado]]</f>
        <v>5.60205</v>
      </c>
      <c r="X820" s="34"/>
    </row>
    <row r="821" ht="30" spans="1:24">
      <c r="A821" s="49" t="s">
        <v>3860</v>
      </c>
      <c r="B821" s="49" t="s">
        <v>5114</v>
      </c>
      <c r="C821" s="49" t="s">
        <v>2318</v>
      </c>
      <c r="D821" s="49" t="s">
        <v>2319</v>
      </c>
      <c r="E821" s="49" t="s">
        <v>5115</v>
      </c>
      <c r="F821" s="51">
        <v>46218</v>
      </c>
      <c r="G821" s="49">
        <v>2549.45</v>
      </c>
      <c r="H821" s="49" t="s">
        <v>3865</v>
      </c>
      <c r="I821" s="51">
        <v>46230</v>
      </c>
      <c r="J821" s="54">
        <f>INT(Cobros[[#This Row],[Fecha Cargo]])</f>
        <v>46218</v>
      </c>
      <c r="K821" s="54">
        <f>INT(Cobros[[#This Row],[Fecha Aplicacion]])</f>
        <v>46230</v>
      </c>
      <c r="L821" s="55" t="str">
        <f>INDEX(Clientes[Días Plazo],MATCH(Cobros[[#This Row],[Cod. Cliente]],Clientes[Codigo],0),1)</f>
        <v>15</v>
      </c>
      <c r="M821" s="45" t="str">
        <f>IF(Cobros[[#This Row],[Dias de Credito]]&lt;=0,"Contado","Credito")</f>
        <v>Credito</v>
      </c>
      <c r="N821" s="45">
        <f>Cobros[[#This Row],[Fecha Aplicación S]]-Cobros[[#This Row],[Fecha Cargo S]]</f>
        <v>12</v>
      </c>
      <c r="O821" s="45">
        <f>Cobros[[#This Row],[Dias al pago]]-Cobros[[#This Row],[Dias de Credito]]</f>
        <v>-3</v>
      </c>
      <c r="P821" s="45">
        <f>SUMIFS(TablaDias[Porcentaje],TablaDias[Tipo],Cobros[[#This Row],[Tipo]],TablaDias[Desde ],"&lt;="&amp;MAX(0,Cobros[[#This Row],[Dias pasado]]),TablaDias[Hasta ],"&gt;="&amp;Cobros[[#This Row],[Dias pasado]])</f>
        <v>100</v>
      </c>
      <c r="Q82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1" s="34">
        <f>IF(COUNTIF(PAPEL[Numero],Cobros[[#This Row],[Doc. Cargo]])&gt;0,1,0)</f>
        <v>0</v>
      </c>
      <c r="S821" s="46">
        <v>1</v>
      </c>
      <c r="T821" s="46">
        <f t="array" ref="T821">INDEX(Ventas[[Unidades]:[2]],MATCH("Gerente de Venta",Ventas[Vendedor %],0),6+Cobros[[#This Row],[Mes]])</f>
        <v>0.005</v>
      </c>
      <c r="U821" s="34">
        <f>IF(Cobros[[#This Row],[Tipo]]="Credito",IF(60&gt;=Cobros[[#This Row],[Dias al pago]],1,0),IF(Cobros[[#This Row],[Dias al pago]]&lt;=3,1,0))</f>
        <v>1</v>
      </c>
      <c r="V821" s="46">
        <f>(Cobros[[#This Row],[% A pagar Vendedor]]/100)*Cobros[[#This Row],[Valor Pagado]]*Cobros[[#This Row],[Vencido]]*(Cobros[[#This Row],[% aplicar]]/100)*IF(Cobros[[#This Row],[% A pagar Vendedor]]&gt;0,1,0)</f>
        <v>25.4945</v>
      </c>
      <c r="W821" s="46">
        <f>0.5%*Cobros[[#This Row],[Valor Pagado]]</f>
        <v>12.74725</v>
      </c>
      <c r="X821" s="34"/>
    </row>
    <row r="822" ht="30" spans="1:24">
      <c r="A822" s="49" t="s">
        <v>3860</v>
      </c>
      <c r="B822" s="49" t="s">
        <v>5114</v>
      </c>
      <c r="C822" s="49" t="s">
        <v>2318</v>
      </c>
      <c r="D822" s="49" t="s">
        <v>2319</v>
      </c>
      <c r="E822" s="49" t="s">
        <v>5116</v>
      </c>
      <c r="F822" s="51">
        <v>46218</v>
      </c>
      <c r="G822" s="49">
        <v>7450.55</v>
      </c>
      <c r="H822" s="49" t="s">
        <v>3865</v>
      </c>
      <c r="I822" s="51">
        <v>46230</v>
      </c>
      <c r="J822" s="54">
        <f>INT(Cobros[[#This Row],[Fecha Cargo]])</f>
        <v>46218</v>
      </c>
      <c r="K822" s="54">
        <f>INT(Cobros[[#This Row],[Fecha Aplicacion]])</f>
        <v>46230</v>
      </c>
      <c r="L822" s="55" t="str">
        <f>INDEX(Clientes[Días Plazo],MATCH(Cobros[[#This Row],[Cod. Cliente]],Clientes[Codigo],0),1)</f>
        <v>15</v>
      </c>
      <c r="M822" s="45" t="str">
        <f>IF(Cobros[[#This Row],[Dias de Credito]]&lt;=0,"Contado","Credito")</f>
        <v>Credito</v>
      </c>
      <c r="N822" s="45">
        <f>Cobros[[#This Row],[Fecha Aplicación S]]-Cobros[[#This Row],[Fecha Cargo S]]</f>
        <v>12</v>
      </c>
      <c r="O822" s="45">
        <f>Cobros[[#This Row],[Dias al pago]]-Cobros[[#This Row],[Dias de Credito]]</f>
        <v>-3</v>
      </c>
      <c r="P822" s="45">
        <f>SUMIFS(TablaDias[Porcentaje],TablaDias[Tipo],Cobros[[#This Row],[Tipo]],TablaDias[Desde ],"&lt;="&amp;MAX(0,Cobros[[#This Row],[Dias pasado]]),TablaDias[Hasta ],"&gt;="&amp;Cobros[[#This Row],[Dias pasado]])</f>
        <v>100</v>
      </c>
      <c r="Q82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2" s="34">
        <f>IF(COUNTIF(PAPEL[Numero],Cobros[[#This Row],[Doc. Cargo]])&gt;0,1,0)</f>
        <v>0</v>
      </c>
      <c r="S822" s="46">
        <v>1</v>
      </c>
      <c r="T822" s="46">
        <f t="array" ref="T822">INDEX(Ventas[[Unidades]:[2]],MATCH("Gerente de Venta",Ventas[Vendedor %],0),6+Cobros[[#This Row],[Mes]])</f>
        <v>0.005</v>
      </c>
      <c r="U822" s="34">
        <f>IF(Cobros[[#This Row],[Tipo]]="Credito",IF(60&gt;=Cobros[[#This Row],[Dias al pago]],1,0),IF(Cobros[[#This Row],[Dias al pago]]&lt;=3,1,0))</f>
        <v>1</v>
      </c>
      <c r="V822" s="46">
        <f>(Cobros[[#This Row],[% A pagar Vendedor]]/100)*Cobros[[#This Row],[Valor Pagado]]*Cobros[[#This Row],[Vencido]]*(Cobros[[#This Row],[% aplicar]]/100)*IF(Cobros[[#This Row],[% A pagar Vendedor]]&gt;0,1,0)</f>
        <v>74.5055</v>
      </c>
      <c r="W822" s="46">
        <f>0.5%*Cobros[[#This Row],[Valor Pagado]]</f>
        <v>37.25275</v>
      </c>
      <c r="X822" s="34"/>
    </row>
    <row r="823" ht="30" spans="1:24">
      <c r="A823" s="49" t="s">
        <v>3904</v>
      </c>
      <c r="B823" s="49" t="s">
        <v>5117</v>
      </c>
      <c r="C823" s="49" t="s">
        <v>395</v>
      </c>
      <c r="D823" s="49" t="s">
        <v>396</v>
      </c>
      <c r="E823" s="49" t="s">
        <v>5118</v>
      </c>
      <c r="F823" s="51">
        <v>46225</v>
      </c>
      <c r="G823" s="49">
        <v>332.21</v>
      </c>
      <c r="H823" s="49" t="s">
        <v>1355</v>
      </c>
      <c r="I823" s="51">
        <v>46225</v>
      </c>
      <c r="J823" s="54">
        <f>INT(Cobros[[#This Row],[Fecha Cargo]])</f>
        <v>46225</v>
      </c>
      <c r="K823" s="54">
        <f>INT(Cobros[[#This Row],[Fecha Aplicacion]])</f>
        <v>46225</v>
      </c>
      <c r="L823" s="55">
        <f>INDEX(Clientes[Días Plazo],MATCH(Cobros[[#This Row],[Cod. Cliente]],Clientes[Codigo],0),1)</f>
        <v>0</v>
      </c>
      <c r="M823" s="45" t="str">
        <f>IF(Cobros[[#This Row],[Dias de Credito]]&lt;=0,"Contado","Credito")</f>
        <v>Contado</v>
      </c>
      <c r="N823" s="45">
        <f>Cobros[[#This Row],[Fecha Aplicación S]]-Cobros[[#This Row],[Fecha Cargo S]]</f>
        <v>0</v>
      </c>
      <c r="O823" s="45">
        <f>Cobros[[#This Row],[Dias al pago]]-Cobros[[#This Row],[Dias de Credito]]</f>
        <v>0</v>
      </c>
      <c r="P823" s="45">
        <f>SUMIFS(TablaDias[Porcentaje],TablaDias[Tipo],Cobros[[#This Row],[Tipo]],TablaDias[Desde ],"&lt;="&amp;MAX(0,Cobros[[#This Row],[Dias pasado]]),TablaDias[Hasta ],"&gt;="&amp;Cobros[[#This Row],[Dias pasado]])</f>
        <v>100</v>
      </c>
      <c r="Q82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3" s="34">
        <f>IF(COUNTIF(PAPEL[Numero],Cobros[[#This Row],[Doc. Cargo]])&gt;0,1,0)</f>
        <v>0</v>
      </c>
      <c r="S823" s="46">
        <v>1</v>
      </c>
      <c r="T823" s="46">
        <f t="array" ref="T823">INDEX(Ventas[[Unidades]:[2]],MATCH("Gerente de Venta",Ventas[Vendedor %],0),6+Cobros[[#This Row],[Mes]])</f>
        <v>0.005</v>
      </c>
      <c r="U823" s="34">
        <f>IF(Cobros[[#This Row],[Tipo]]="Credito",IF(60&gt;=Cobros[[#This Row],[Dias al pago]],1,0),IF(Cobros[[#This Row],[Dias al pago]]&lt;=3,1,0))</f>
        <v>1</v>
      </c>
      <c r="V823" s="46">
        <f>(Cobros[[#This Row],[% A pagar Vendedor]]/100)*Cobros[[#This Row],[Valor Pagado]]*Cobros[[#This Row],[Vencido]]*(Cobros[[#This Row],[% aplicar]]/100)*IF(Cobros[[#This Row],[% A pagar Vendedor]]&gt;0,1,0)</f>
        <v>3.3221</v>
      </c>
      <c r="W823" s="46">
        <f>0.5%*Cobros[[#This Row],[Valor Pagado]]</f>
        <v>1.66105</v>
      </c>
      <c r="X823" s="34"/>
    </row>
    <row r="824" ht="30" spans="1:24">
      <c r="A824" s="49" t="s">
        <v>3904</v>
      </c>
      <c r="B824" s="49" t="s">
        <v>5119</v>
      </c>
      <c r="C824" s="49" t="s">
        <v>395</v>
      </c>
      <c r="D824" s="49" t="s">
        <v>396</v>
      </c>
      <c r="E824" s="49" t="s">
        <v>5120</v>
      </c>
      <c r="F824" s="51">
        <v>46225</v>
      </c>
      <c r="G824" s="49">
        <v>150.9</v>
      </c>
      <c r="H824" s="49" t="s">
        <v>1355</v>
      </c>
      <c r="I824" s="51">
        <v>46225</v>
      </c>
      <c r="J824" s="54">
        <f>INT(Cobros[[#This Row],[Fecha Cargo]])</f>
        <v>46225</v>
      </c>
      <c r="K824" s="54">
        <f>INT(Cobros[[#This Row],[Fecha Aplicacion]])</f>
        <v>46225</v>
      </c>
      <c r="L824" s="55">
        <f>INDEX(Clientes[Días Plazo],MATCH(Cobros[[#This Row],[Cod. Cliente]],Clientes[Codigo],0),1)</f>
        <v>0</v>
      </c>
      <c r="M824" s="45" t="str">
        <f>IF(Cobros[[#This Row],[Dias de Credito]]&lt;=0,"Contado","Credito")</f>
        <v>Contado</v>
      </c>
      <c r="N824" s="45">
        <f>Cobros[[#This Row],[Fecha Aplicación S]]-Cobros[[#This Row],[Fecha Cargo S]]</f>
        <v>0</v>
      </c>
      <c r="O824" s="45">
        <f>Cobros[[#This Row],[Dias al pago]]-Cobros[[#This Row],[Dias de Credito]]</f>
        <v>0</v>
      </c>
      <c r="P824" s="45">
        <f>SUMIFS(TablaDias[Porcentaje],TablaDias[Tipo],Cobros[[#This Row],[Tipo]],TablaDias[Desde ],"&lt;="&amp;MAX(0,Cobros[[#This Row],[Dias pasado]]),TablaDias[Hasta ],"&gt;="&amp;Cobros[[#This Row],[Dias pasado]])</f>
        <v>100</v>
      </c>
      <c r="Q82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4" s="34">
        <f>IF(COUNTIF(PAPEL[Numero],Cobros[[#This Row],[Doc. Cargo]])&gt;0,1,0)</f>
        <v>0</v>
      </c>
      <c r="S824" s="46">
        <v>1</v>
      </c>
      <c r="T824" s="46">
        <f t="array" ref="T824">INDEX(Ventas[[Unidades]:[2]],MATCH("Gerente de Venta",Ventas[Vendedor %],0),6+Cobros[[#This Row],[Mes]])</f>
        <v>0.005</v>
      </c>
      <c r="U824" s="34">
        <f>IF(Cobros[[#This Row],[Tipo]]="Credito",IF(60&gt;=Cobros[[#This Row],[Dias al pago]],1,0),IF(Cobros[[#This Row],[Dias al pago]]&lt;=3,1,0))</f>
        <v>1</v>
      </c>
      <c r="V824" s="46">
        <f>(Cobros[[#This Row],[% A pagar Vendedor]]/100)*Cobros[[#This Row],[Valor Pagado]]*Cobros[[#This Row],[Vencido]]*(Cobros[[#This Row],[% aplicar]]/100)*IF(Cobros[[#This Row],[% A pagar Vendedor]]&gt;0,1,0)</f>
        <v>1.509</v>
      </c>
      <c r="W824" s="46">
        <f>0.5%*Cobros[[#This Row],[Valor Pagado]]</f>
        <v>0.7545</v>
      </c>
      <c r="X824" s="34"/>
    </row>
    <row r="825" ht="30" spans="1:24">
      <c r="A825" s="49" t="s">
        <v>3904</v>
      </c>
      <c r="B825" s="49" t="s">
        <v>5121</v>
      </c>
      <c r="C825" s="49" t="s">
        <v>395</v>
      </c>
      <c r="D825" s="49" t="s">
        <v>396</v>
      </c>
      <c r="E825" s="49" t="s">
        <v>5122</v>
      </c>
      <c r="F825" s="51">
        <v>46225</v>
      </c>
      <c r="G825" s="49">
        <v>316.64</v>
      </c>
      <c r="H825" s="49" t="s">
        <v>1355</v>
      </c>
      <c r="I825" s="51">
        <v>46225</v>
      </c>
      <c r="J825" s="54">
        <f>INT(Cobros[[#This Row],[Fecha Cargo]])</f>
        <v>46225</v>
      </c>
      <c r="K825" s="54">
        <f>INT(Cobros[[#This Row],[Fecha Aplicacion]])</f>
        <v>46225</v>
      </c>
      <c r="L825" s="55">
        <f>INDEX(Clientes[Días Plazo],MATCH(Cobros[[#This Row],[Cod. Cliente]],Clientes[Codigo],0),1)</f>
        <v>0</v>
      </c>
      <c r="M825" s="45" t="str">
        <f>IF(Cobros[[#This Row],[Dias de Credito]]&lt;=0,"Contado","Credito")</f>
        <v>Contado</v>
      </c>
      <c r="N825" s="45">
        <f>Cobros[[#This Row],[Fecha Aplicación S]]-Cobros[[#This Row],[Fecha Cargo S]]</f>
        <v>0</v>
      </c>
      <c r="O825" s="45">
        <f>Cobros[[#This Row],[Dias al pago]]-Cobros[[#This Row],[Dias de Credito]]</f>
        <v>0</v>
      </c>
      <c r="P825" s="45">
        <f>SUMIFS(TablaDias[Porcentaje],TablaDias[Tipo],Cobros[[#This Row],[Tipo]],TablaDias[Desde ],"&lt;="&amp;MAX(0,Cobros[[#This Row],[Dias pasado]]),TablaDias[Hasta ],"&gt;="&amp;Cobros[[#This Row],[Dias pasado]])</f>
        <v>100</v>
      </c>
      <c r="Q82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5" s="34">
        <f>IF(COUNTIF(PAPEL[Numero],Cobros[[#This Row],[Doc. Cargo]])&gt;0,1,0)</f>
        <v>0</v>
      </c>
      <c r="S825" s="46">
        <v>1</v>
      </c>
      <c r="T825" s="46">
        <f t="array" ref="T825">INDEX(Ventas[[Unidades]:[2]],MATCH("Gerente de Venta",Ventas[Vendedor %],0),6+Cobros[[#This Row],[Mes]])</f>
        <v>0.005</v>
      </c>
      <c r="U825" s="34">
        <f>IF(Cobros[[#This Row],[Tipo]]="Credito",IF(60&gt;=Cobros[[#This Row],[Dias al pago]],1,0),IF(Cobros[[#This Row],[Dias al pago]]&lt;=3,1,0))</f>
        <v>1</v>
      </c>
      <c r="V825" s="46">
        <f>(Cobros[[#This Row],[% A pagar Vendedor]]/100)*Cobros[[#This Row],[Valor Pagado]]*Cobros[[#This Row],[Vencido]]*(Cobros[[#This Row],[% aplicar]]/100)*IF(Cobros[[#This Row],[% A pagar Vendedor]]&gt;0,1,0)</f>
        <v>3.1664</v>
      </c>
      <c r="W825" s="46">
        <f>0.5%*Cobros[[#This Row],[Valor Pagado]]</f>
        <v>1.5832</v>
      </c>
      <c r="X825" s="34"/>
    </row>
    <row r="826" spans="1:24">
      <c r="A826" s="49" t="s">
        <v>3860</v>
      </c>
      <c r="B826" s="49" t="s">
        <v>5123</v>
      </c>
      <c r="C826" s="49" t="s">
        <v>3826</v>
      </c>
      <c r="D826" s="49" t="s">
        <v>3827</v>
      </c>
      <c r="E826" s="49" t="s">
        <v>4800</v>
      </c>
      <c r="F826" s="51">
        <v>46170</v>
      </c>
      <c r="G826" s="49">
        <v>13220</v>
      </c>
      <c r="H826" s="49" t="s">
        <v>16</v>
      </c>
      <c r="I826" s="51">
        <v>46230</v>
      </c>
      <c r="J826" s="54">
        <f>INT(Cobros[[#This Row],[Fecha Cargo]])</f>
        <v>46170</v>
      </c>
      <c r="K826" s="54">
        <f>INT(Cobros[[#This Row],[Fecha Aplicacion]])</f>
        <v>46230</v>
      </c>
      <c r="L826" s="55" t="str">
        <f>INDEX(Clientes[Días Plazo],MATCH(Cobros[[#This Row],[Cod. Cliente]],Clientes[Codigo],0),1)</f>
        <v>30</v>
      </c>
      <c r="M826" s="45" t="str">
        <f>IF(Cobros[[#This Row],[Dias de Credito]]&lt;=0,"Contado","Credito")</f>
        <v>Credito</v>
      </c>
      <c r="N826" s="45">
        <f>Cobros[[#This Row],[Fecha Aplicación S]]-Cobros[[#This Row],[Fecha Cargo S]]</f>
        <v>60</v>
      </c>
      <c r="O826" s="45">
        <f>Cobros[[#This Row],[Dias al pago]]-Cobros[[#This Row],[Dias de Credito]]</f>
        <v>30</v>
      </c>
      <c r="P826" s="45">
        <f>SUMIFS(TablaDias[Porcentaje],TablaDias[Tipo],Cobros[[#This Row],[Tipo]],TablaDias[Desde ],"&lt;="&amp;MAX(0,Cobros[[#This Row],[Dias pasado]]),TablaDias[Hasta ],"&gt;="&amp;Cobros[[#This Row],[Dias pasado]])</f>
        <v>50</v>
      </c>
      <c r="Q82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826" s="34">
        <f>IF(COUNTIF(PAPEL[Numero],Cobros[[#This Row],[Doc. Cargo]])&gt;0,1,0)</f>
        <v>0</v>
      </c>
      <c r="S826" s="46">
        <f t="array" ref="S8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26" s="47">
        <v>0.005</v>
      </c>
      <c r="U826" s="34">
        <f>IF(Cobros[[#This Row],[Tipo]]="Credito",IF(60&gt;=Cobros[[#This Row],[Dias al pago]],1,0),IF(Cobros[[#This Row],[Dias al pago]]&lt;=3,1,0))</f>
        <v>1</v>
      </c>
      <c r="V826" s="46">
        <f>(Cobros[[#This Row],[% A pagar Vendedor]]/100)*Cobros[[#This Row],[Valor Pagado]]*Cobros[[#This Row],[Vencido]]*(Cobros[[#This Row],[% aplicar]]/100)*IF(Cobros[[#This Row],[% A pagar Vendedor]]&gt;0,1,0)</f>
        <v>66.1</v>
      </c>
      <c r="W826" s="46">
        <f>0.5%*Cobros[[#This Row],[Valor Pagado]]</f>
        <v>66.1</v>
      </c>
      <c r="X826" s="34"/>
    </row>
    <row r="827" ht="30" spans="1:24">
      <c r="A827" s="49" t="s">
        <v>3860</v>
      </c>
      <c r="B827" s="49" t="s">
        <v>5124</v>
      </c>
      <c r="C827" s="49" t="s">
        <v>372</v>
      </c>
      <c r="D827" s="49" t="s">
        <v>373</v>
      </c>
      <c r="E827" s="49" t="s">
        <v>5125</v>
      </c>
      <c r="F827" s="51">
        <v>46230</v>
      </c>
      <c r="G827" s="49">
        <v>1287.65</v>
      </c>
      <c r="H827" s="49" t="s">
        <v>22</v>
      </c>
      <c r="I827" s="51">
        <v>46230</v>
      </c>
      <c r="J827" s="54">
        <f>INT(Cobros[[#This Row],[Fecha Cargo]])</f>
        <v>46230</v>
      </c>
      <c r="K827" s="54">
        <f>INT(Cobros[[#This Row],[Fecha Aplicacion]])</f>
        <v>46230</v>
      </c>
      <c r="L827" s="55">
        <f>INDEX(Clientes[Días Plazo],MATCH(Cobros[[#This Row],[Cod. Cliente]],Clientes[Codigo],0),1)</f>
        <v>0</v>
      </c>
      <c r="M827" s="45" t="str">
        <f>IF(Cobros[[#This Row],[Dias de Credito]]&lt;=0,"Contado","Credito")</f>
        <v>Contado</v>
      </c>
      <c r="N827" s="45">
        <f>Cobros[[#This Row],[Fecha Aplicación S]]-Cobros[[#This Row],[Fecha Cargo S]]</f>
        <v>0</v>
      </c>
      <c r="O827" s="45">
        <f>Cobros[[#This Row],[Dias al pago]]-Cobros[[#This Row],[Dias de Credito]]</f>
        <v>0</v>
      </c>
      <c r="P827" s="45">
        <f>SUMIFS(TablaDias[Porcentaje],TablaDias[Tipo],Cobros[[#This Row],[Tipo]],TablaDias[Desde ],"&lt;="&amp;MAX(0,Cobros[[#This Row],[Dias pasado]]),TablaDias[Hasta ],"&gt;="&amp;Cobros[[#This Row],[Dias pasado]])</f>
        <v>100</v>
      </c>
      <c r="Q82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7" s="34">
        <f>IF(COUNTIF(PAPEL[Numero],Cobros[[#This Row],[Doc. Cargo]])&gt;0,1,0)</f>
        <v>0</v>
      </c>
      <c r="S827" s="46">
        <f t="array" ref="S8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27" s="46">
        <f t="array" ref="T827">INDEX(Ventas[[Unidades]:[2]],MATCH("Gerente de Venta",Ventas[Vendedor %],0),6+Cobros[[#This Row],[Mes]])</f>
        <v>0.005</v>
      </c>
      <c r="U827" s="34">
        <f>IF(Cobros[[#This Row],[Tipo]]="Credito",IF(60&gt;=Cobros[[#This Row],[Dias al pago]],1,0),IF(Cobros[[#This Row],[Dias al pago]]&lt;=3,1,0))</f>
        <v>1</v>
      </c>
      <c r="V827" s="46">
        <f>(Cobros[[#This Row],[% A pagar Vendedor]]/100)*Cobros[[#This Row],[Valor Pagado]]*Cobros[[#This Row],[Vencido]]*(Cobros[[#This Row],[% aplicar]]/100)*IF(Cobros[[#This Row],[% A pagar Vendedor]]&gt;0,1,0)</f>
        <v>12.8765</v>
      </c>
      <c r="W827" s="46">
        <v>6.43825</v>
      </c>
      <c r="X827" s="34"/>
    </row>
    <row r="828" ht="30" spans="1:24">
      <c r="A828" s="49" t="s">
        <v>3860</v>
      </c>
      <c r="B828" s="49" t="s">
        <v>5126</v>
      </c>
      <c r="C828" s="49" t="s">
        <v>372</v>
      </c>
      <c r="D828" s="49" t="s">
        <v>373</v>
      </c>
      <c r="E828" s="49" t="s">
        <v>5125</v>
      </c>
      <c r="F828" s="51">
        <v>46230</v>
      </c>
      <c r="G828" s="49">
        <v>22.35</v>
      </c>
      <c r="H828" s="49" t="s">
        <v>22</v>
      </c>
      <c r="I828" s="51">
        <v>46230</v>
      </c>
      <c r="J828" s="54">
        <f>INT(Cobros[[#This Row],[Fecha Cargo]])</f>
        <v>46230</v>
      </c>
      <c r="K828" s="54">
        <f>INT(Cobros[[#This Row],[Fecha Aplicacion]])</f>
        <v>46230</v>
      </c>
      <c r="L828" s="55">
        <f>INDEX(Clientes[Días Plazo],MATCH(Cobros[[#This Row],[Cod. Cliente]],Clientes[Codigo],0),1)</f>
        <v>0</v>
      </c>
      <c r="M828" s="45" t="str">
        <f>IF(Cobros[[#This Row],[Dias de Credito]]&lt;=0,"Contado","Credito")</f>
        <v>Contado</v>
      </c>
      <c r="N828" s="45">
        <f>Cobros[[#This Row],[Fecha Aplicación S]]-Cobros[[#This Row],[Fecha Cargo S]]</f>
        <v>0</v>
      </c>
      <c r="O828" s="45">
        <f>Cobros[[#This Row],[Dias al pago]]-Cobros[[#This Row],[Dias de Credito]]</f>
        <v>0</v>
      </c>
      <c r="P828" s="45">
        <f>SUMIFS(TablaDias[Porcentaje],TablaDias[Tipo],Cobros[[#This Row],[Tipo]],TablaDias[Desde ],"&lt;="&amp;MAX(0,Cobros[[#This Row],[Dias pasado]]),TablaDias[Hasta ],"&gt;="&amp;Cobros[[#This Row],[Dias pasado]])</f>
        <v>100</v>
      </c>
      <c r="Q82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28" s="34">
        <f>IF(COUNTIF(PAPEL[Numero],Cobros[[#This Row],[Doc. Cargo]])&gt;0,1,0)</f>
        <v>0</v>
      </c>
      <c r="S828" s="46">
        <f t="array" ref="S8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28" s="46">
        <f t="array" ref="T828">INDEX(Ventas[[Unidades]:[2]],MATCH("Gerente de Venta",Ventas[Vendedor %],0),6+Cobros[[#This Row],[Mes]])</f>
        <v>0.005</v>
      </c>
      <c r="U828" s="34">
        <f>IF(Cobros[[#This Row],[Tipo]]="Credito",IF(60&gt;=Cobros[[#This Row],[Dias al pago]],1,0),IF(Cobros[[#This Row],[Dias al pago]]&lt;=3,1,0))</f>
        <v>1</v>
      </c>
      <c r="V828" s="46">
        <f>(Cobros[[#This Row],[% A pagar Vendedor]]/100)*Cobros[[#This Row],[Valor Pagado]]*Cobros[[#This Row],[Vencido]]*(Cobros[[#This Row],[% aplicar]]/100)*IF(Cobros[[#This Row],[% A pagar Vendedor]]&gt;0,1,0)</f>
        <v>0.2235</v>
      </c>
      <c r="W828" s="46">
        <f>0.5%*Cobros[[#This Row],[Valor Pagado]]</f>
        <v>0.11175</v>
      </c>
      <c r="X828" s="34"/>
    </row>
    <row r="829" spans="1:24">
      <c r="A829" s="49" t="s">
        <v>3954</v>
      </c>
      <c r="B829" s="49" t="s">
        <v>5127</v>
      </c>
      <c r="C829" s="49" t="s">
        <v>829</v>
      </c>
      <c r="D829" s="49" t="s">
        <v>830</v>
      </c>
      <c r="E829" s="49" t="s">
        <v>3939</v>
      </c>
      <c r="F829" s="51">
        <v>46164</v>
      </c>
      <c r="G829" s="49">
        <v>54853.4</v>
      </c>
      <c r="H829" s="49" t="s">
        <v>16</v>
      </c>
      <c r="I829" s="51">
        <v>46230</v>
      </c>
      <c r="J829" s="54">
        <f>INT(Cobros[[#This Row],[Fecha Cargo]])</f>
        <v>46164</v>
      </c>
      <c r="K829" s="54">
        <f>INT(Cobros[[#This Row],[Fecha Aplicacion]])</f>
        <v>46230</v>
      </c>
      <c r="L829" s="55" t="str">
        <f>INDEX(Clientes[Días Plazo],MATCH(Cobros[[#This Row],[Cod. Cliente]],Clientes[Codigo],0),1)</f>
        <v>60</v>
      </c>
      <c r="M829" s="45" t="str">
        <f>IF(Cobros[[#This Row],[Dias de Credito]]&lt;=0,"Contado","Credito")</f>
        <v>Credito</v>
      </c>
      <c r="N829" s="45">
        <f>Cobros[[#This Row],[Fecha Aplicación S]]-Cobros[[#This Row],[Fecha Cargo S]]</f>
        <v>66</v>
      </c>
      <c r="O829" s="45">
        <f>Cobros[[#This Row],[Dias al pago]]-Cobros[[#This Row],[Dias de Credito]]</f>
        <v>6</v>
      </c>
      <c r="P829" s="45">
        <f>SUMIFS(TablaDias[Porcentaje],TablaDias[Tipo],Cobros[[#This Row],[Tipo]],TablaDias[Desde ],"&lt;="&amp;MAX(0,Cobros[[#This Row],[Dias pasado]]),TablaDias[Hasta ],"&gt;="&amp;Cobros[[#This Row],[Dias pasado]])</f>
        <v>100</v>
      </c>
      <c r="Q82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829" s="34">
        <f>IF(COUNTIF(PAPEL[Numero],Cobros[[#This Row],[Doc. Cargo]])&gt;0,1,0)</f>
        <v>0</v>
      </c>
      <c r="S829" s="46">
        <f t="array" ref="S8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29" s="47">
        <v>0.005</v>
      </c>
      <c r="U829" s="34">
        <v>1</v>
      </c>
      <c r="V829" s="46">
        <f>(Cobros[[#This Row],[% A pagar Vendedor]]/100)*Cobros[[#This Row],[Valor Pagado]]*Cobros[[#This Row],[Vencido]]*(Cobros[[#This Row],[% aplicar]]/100)*IF(Cobros[[#This Row],[% A pagar Vendedor]]&gt;0,1,0)</f>
        <v>548.534</v>
      </c>
      <c r="W829" s="46">
        <f>0.5%*Cobros[[#This Row],[Valor Pagado]]</f>
        <v>274.267</v>
      </c>
      <c r="X829" s="34"/>
    </row>
    <row r="830" spans="1:24">
      <c r="A830" s="49" t="s">
        <v>3954</v>
      </c>
      <c r="B830" s="49" t="s">
        <v>5127</v>
      </c>
      <c r="C830" s="49" t="s">
        <v>829</v>
      </c>
      <c r="D830" s="49" t="s">
        <v>830</v>
      </c>
      <c r="E830" s="49" t="s">
        <v>5128</v>
      </c>
      <c r="F830" s="51">
        <v>46176</v>
      </c>
      <c r="G830" s="49">
        <v>8868.3</v>
      </c>
      <c r="H830" s="49" t="s">
        <v>16</v>
      </c>
      <c r="I830" s="51">
        <v>46230</v>
      </c>
      <c r="J830" s="54">
        <f>INT(Cobros[[#This Row],[Fecha Cargo]])</f>
        <v>46176</v>
      </c>
      <c r="K830" s="54">
        <f>INT(Cobros[[#This Row],[Fecha Aplicacion]])</f>
        <v>46230</v>
      </c>
      <c r="L830" s="55" t="str">
        <f>INDEX(Clientes[Días Plazo],MATCH(Cobros[[#This Row],[Cod. Cliente]],Clientes[Codigo],0),1)</f>
        <v>60</v>
      </c>
      <c r="M830" s="45" t="str">
        <f>IF(Cobros[[#This Row],[Dias de Credito]]&lt;=0,"Contado","Credito")</f>
        <v>Credito</v>
      </c>
      <c r="N830" s="45">
        <f>Cobros[[#This Row],[Fecha Aplicación S]]-Cobros[[#This Row],[Fecha Cargo S]]</f>
        <v>54</v>
      </c>
      <c r="O830" s="45">
        <f>Cobros[[#This Row],[Dias al pago]]-Cobros[[#This Row],[Dias de Credito]]</f>
        <v>-6</v>
      </c>
      <c r="P830" s="45">
        <f>SUMIFS(TablaDias[Porcentaje],TablaDias[Tipo],Cobros[[#This Row],[Tipo]],TablaDias[Desde ],"&lt;="&amp;MAX(0,Cobros[[#This Row],[Dias pasado]]),TablaDias[Hasta ],"&gt;="&amp;Cobros[[#This Row],[Dias pasado]])</f>
        <v>100</v>
      </c>
      <c r="Q83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30" s="34">
        <f>IF(COUNTIF(PAPEL[Numero],Cobros[[#This Row],[Doc. Cargo]])&gt;0,1,0)</f>
        <v>0</v>
      </c>
      <c r="S830" s="46">
        <f t="array" ref="S8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30" s="47">
        <v>0.005</v>
      </c>
      <c r="U830" s="34">
        <f>IF(Cobros[[#This Row],[Tipo]]="Credito",IF(60&gt;=Cobros[[#This Row],[Dias al pago]],1,0),IF(Cobros[[#This Row],[Dias al pago]]&lt;=3,1,0))</f>
        <v>1</v>
      </c>
      <c r="V830" s="46">
        <f>(Cobros[[#This Row],[% A pagar Vendedor]]/100)*Cobros[[#This Row],[Valor Pagado]]*Cobros[[#This Row],[Vencido]]*(Cobros[[#This Row],[% aplicar]]/100)*IF(Cobros[[#This Row],[% A pagar Vendedor]]&gt;0,1,0)</f>
        <v>88.683</v>
      </c>
      <c r="W830" s="46">
        <f>0.5%*Cobros[[#This Row],[Valor Pagado]]</f>
        <v>44.3415</v>
      </c>
      <c r="X830" s="34"/>
    </row>
    <row r="831" spans="1:24">
      <c r="A831" s="49" t="s">
        <v>3954</v>
      </c>
      <c r="B831" s="49" t="s">
        <v>5129</v>
      </c>
      <c r="C831" s="49" t="s">
        <v>128</v>
      </c>
      <c r="D831" s="49" t="s">
        <v>129</v>
      </c>
      <c r="E831" s="49" t="s">
        <v>5130</v>
      </c>
      <c r="F831" s="51">
        <v>46230</v>
      </c>
      <c r="G831" s="49">
        <v>615</v>
      </c>
      <c r="H831" s="49" t="s">
        <v>16</v>
      </c>
      <c r="I831" s="51">
        <v>46230</v>
      </c>
      <c r="J831" s="54">
        <f>INT(Cobros[[#This Row],[Fecha Cargo]])</f>
        <v>46230</v>
      </c>
      <c r="K831" s="54">
        <f>INT(Cobros[[#This Row],[Fecha Aplicacion]])</f>
        <v>46230</v>
      </c>
      <c r="L831" s="55">
        <v>0</v>
      </c>
      <c r="M831" s="45" t="str">
        <f>IF(Cobros[[#This Row],[Dias de Credito]]&lt;=0,"Contado","Credito")</f>
        <v>Contado</v>
      </c>
      <c r="N831" s="45">
        <f>Cobros[[#This Row],[Fecha Aplicación S]]-Cobros[[#This Row],[Fecha Cargo S]]</f>
        <v>0</v>
      </c>
      <c r="O831" s="45">
        <f>Cobros[[#This Row],[Dias al pago]]-Cobros[[#This Row],[Dias de Credito]]</f>
        <v>0</v>
      </c>
      <c r="P831" s="45">
        <f>SUMIFS(TablaDias[Porcentaje],TablaDias[Tipo],Cobros[[#This Row],[Tipo]],TablaDias[Desde ],"&lt;="&amp;MAX(0,Cobros[[#This Row],[Dias pasado]]),TablaDias[Hasta ],"&gt;="&amp;Cobros[[#This Row],[Dias pasado]])</f>
        <v>100</v>
      </c>
      <c r="Q83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1" s="34">
        <f>IF(COUNTIF(PAPEL[Numero],Cobros[[#This Row],[Doc. Cargo]])&gt;0,1,0)</f>
        <v>0</v>
      </c>
      <c r="S831" s="46">
        <f t="array" ref="S8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1" s="47">
        <v>0.005</v>
      </c>
      <c r="U831" s="34">
        <f>IF(Cobros[[#This Row],[Tipo]]="Credito",IF(60&gt;=Cobros[[#This Row],[Dias al pago]],1,0),IF(Cobros[[#This Row],[Dias al pago]]&lt;=3,1,0))</f>
        <v>1</v>
      </c>
      <c r="V831" s="46">
        <f>(Cobros[[#This Row],[% A pagar Vendedor]]/100)*Cobros[[#This Row],[Valor Pagado]]*Cobros[[#This Row],[Vencido]]*(Cobros[[#This Row],[% aplicar]]/100)*IF(Cobros[[#This Row],[% A pagar Vendedor]]&gt;0,1,0)</f>
        <v>7.6875</v>
      </c>
      <c r="W831" s="46">
        <f>0.5%*Cobros[[#This Row],[Valor Pagado]]</f>
        <v>3.075</v>
      </c>
      <c r="X831" s="34"/>
    </row>
    <row r="832" spans="1:24">
      <c r="A832" s="49" t="s">
        <v>3860</v>
      </c>
      <c r="B832" s="49" t="s">
        <v>5131</v>
      </c>
      <c r="C832" s="49" t="s">
        <v>128</v>
      </c>
      <c r="D832" s="49" t="s">
        <v>129</v>
      </c>
      <c r="E832" s="49" t="s">
        <v>5130</v>
      </c>
      <c r="F832" s="51">
        <v>46230</v>
      </c>
      <c r="G832" s="49">
        <v>15</v>
      </c>
      <c r="H832" s="49" t="s">
        <v>16</v>
      </c>
      <c r="I832" s="51">
        <v>46230</v>
      </c>
      <c r="J832" s="54">
        <f>INT(Cobros[[#This Row],[Fecha Cargo]])</f>
        <v>46230</v>
      </c>
      <c r="K832" s="54">
        <f>INT(Cobros[[#This Row],[Fecha Aplicacion]])</f>
        <v>46230</v>
      </c>
      <c r="L832" s="55">
        <f>INDEX(Clientes[Días Plazo],MATCH(Cobros[[#This Row],[Cod. Cliente]],Clientes[Codigo],0),1)</f>
        <v>0</v>
      </c>
      <c r="M832" s="45" t="str">
        <f>IF(Cobros[[#This Row],[Dias de Credito]]&lt;=0,"Contado","Credito")</f>
        <v>Contado</v>
      </c>
      <c r="N832" s="45">
        <f>Cobros[[#This Row],[Fecha Aplicación S]]-Cobros[[#This Row],[Fecha Cargo S]]</f>
        <v>0</v>
      </c>
      <c r="O832" s="45">
        <f>Cobros[[#This Row],[Dias al pago]]-Cobros[[#This Row],[Dias de Credito]]</f>
        <v>0</v>
      </c>
      <c r="P832" s="45">
        <f>SUMIFS(TablaDias[Porcentaje],TablaDias[Tipo],Cobros[[#This Row],[Tipo]],TablaDias[Desde ],"&lt;="&amp;MAX(0,Cobros[[#This Row],[Dias pasado]]),TablaDias[Hasta ],"&gt;="&amp;Cobros[[#This Row],[Dias pasado]])</f>
        <v>100</v>
      </c>
      <c r="Q83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2" s="34">
        <f>IF(COUNTIF(PAPEL[Numero],Cobros[[#This Row],[Doc. Cargo]])&gt;0,1,0)</f>
        <v>0</v>
      </c>
      <c r="S832" s="46">
        <f t="array" ref="S8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2" s="47">
        <v>0.005</v>
      </c>
      <c r="U832" s="34">
        <f>IF(Cobros[[#This Row],[Tipo]]="Credito",IF(60&gt;=Cobros[[#This Row],[Dias al pago]],1,0),IF(Cobros[[#This Row],[Dias al pago]]&lt;=3,1,0))</f>
        <v>1</v>
      </c>
      <c r="V832" s="46">
        <f>(Cobros[[#This Row],[% A pagar Vendedor]]/100)*Cobros[[#This Row],[Valor Pagado]]*Cobros[[#This Row],[Vencido]]*(Cobros[[#This Row],[% aplicar]]/100)*IF(Cobros[[#This Row],[% A pagar Vendedor]]&gt;0,1,0)</f>
        <v>0.1875</v>
      </c>
      <c r="W832" s="46">
        <f>0.5%*Cobros[[#This Row],[Valor Pagado]]</f>
        <v>0.075</v>
      </c>
      <c r="X832" s="34"/>
    </row>
    <row r="833" ht="30" spans="1:24">
      <c r="A833" s="49" t="s">
        <v>3860</v>
      </c>
      <c r="B833" s="49" t="s">
        <v>5132</v>
      </c>
      <c r="C833" s="49" t="s">
        <v>635</v>
      </c>
      <c r="D833" s="49" t="s">
        <v>636</v>
      </c>
      <c r="E833" s="49" t="s">
        <v>5133</v>
      </c>
      <c r="F833" s="51">
        <v>46217</v>
      </c>
      <c r="G833" s="49">
        <v>329</v>
      </c>
      <c r="H833" s="49" t="s">
        <v>3865</v>
      </c>
      <c r="I833" s="51">
        <v>46217</v>
      </c>
      <c r="J833" s="54">
        <f>INT(Cobros[[#This Row],[Fecha Cargo]])</f>
        <v>46217</v>
      </c>
      <c r="K833" s="54">
        <f>INT(Cobros[[#This Row],[Fecha Aplicacion]])</f>
        <v>46217</v>
      </c>
      <c r="L833" s="55" t="str">
        <f>INDEX(Clientes[Días Plazo],MATCH(Cobros[[#This Row],[Cod. Cliente]],Clientes[Codigo],0),1)</f>
        <v>15</v>
      </c>
      <c r="M833" s="45" t="str">
        <f>IF(Cobros[[#This Row],[Dias de Credito]]&lt;=0,"Contado","Credito")</f>
        <v>Credito</v>
      </c>
      <c r="N833" s="45">
        <f>Cobros[[#This Row],[Fecha Aplicación S]]-Cobros[[#This Row],[Fecha Cargo S]]</f>
        <v>0</v>
      </c>
      <c r="O833" s="45">
        <f>Cobros[[#This Row],[Dias al pago]]-Cobros[[#This Row],[Dias de Credito]]</f>
        <v>-15</v>
      </c>
      <c r="P833" s="45">
        <f>SUMIFS(TablaDias[Porcentaje],TablaDias[Tipo],Cobros[[#This Row],[Tipo]],TablaDias[Desde ],"&lt;="&amp;MAX(0,Cobros[[#This Row],[Dias pasado]]),TablaDias[Hasta ],"&gt;="&amp;Cobros[[#This Row],[Dias pasado]])</f>
        <v>100</v>
      </c>
      <c r="Q83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3" s="34">
        <f>IF(COUNTIF(PAPEL[Numero],Cobros[[#This Row],[Doc. Cargo]])&gt;0,1,0)</f>
        <v>0</v>
      </c>
      <c r="S833" s="46">
        <v>1</v>
      </c>
      <c r="T833" s="46">
        <f t="array" ref="T833">INDEX(Ventas[[Unidades]:[2]],MATCH("Gerente de Venta",Ventas[Vendedor %],0),6+Cobros[[#This Row],[Mes]])</f>
        <v>0.005</v>
      </c>
      <c r="U833" s="34">
        <f>IF(Cobros[[#This Row],[Tipo]]="Credito",IF(60&gt;=Cobros[[#This Row],[Dias al pago]],1,0),IF(Cobros[[#This Row],[Dias al pago]]&lt;=3,1,0))</f>
        <v>1</v>
      </c>
      <c r="V833" s="46">
        <f>(Cobros[[#This Row],[% A pagar Vendedor]]/100)*Cobros[[#This Row],[Valor Pagado]]*Cobros[[#This Row],[Vencido]]*(Cobros[[#This Row],[% aplicar]]/100)*IF(Cobros[[#This Row],[% A pagar Vendedor]]&gt;0,1,0)</f>
        <v>3.29</v>
      </c>
      <c r="W833" s="46">
        <f>0.5%*Cobros[[#This Row],[Valor Pagado]]</f>
        <v>1.645</v>
      </c>
      <c r="X833" s="34"/>
    </row>
    <row r="834" ht="30" spans="1:24">
      <c r="A834" s="49" t="s">
        <v>3931</v>
      </c>
      <c r="B834" s="49" t="s">
        <v>5000</v>
      </c>
      <c r="C834" s="49" t="s">
        <v>1790</v>
      </c>
      <c r="D834" s="49" t="s">
        <v>1791</v>
      </c>
      <c r="E834" s="49" t="s">
        <v>5134</v>
      </c>
      <c r="F834" s="51">
        <v>46212</v>
      </c>
      <c r="G834" s="49">
        <v>5</v>
      </c>
      <c r="H834" s="49" t="s">
        <v>22</v>
      </c>
      <c r="I834" s="51">
        <v>46225</v>
      </c>
      <c r="J834" s="54">
        <f>INT(Cobros[[#This Row],[Fecha Cargo]])</f>
        <v>46212</v>
      </c>
      <c r="K834" s="54">
        <f>INT(Cobros[[#This Row],[Fecha Aplicacion]])</f>
        <v>46225</v>
      </c>
      <c r="L834" s="55" t="str">
        <f>INDEX(Clientes[Días Plazo],MATCH(Cobros[[#This Row],[Cod. Cliente]],Clientes[Codigo],0),1)</f>
        <v>15</v>
      </c>
      <c r="M834" s="45" t="str">
        <f>IF(Cobros[[#This Row],[Dias de Credito]]&lt;=0,"Contado","Credito")</f>
        <v>Credito</v>
      </c>
      <c r="N834" s="45">
        <f>Cobros[[#This Row],[Fecha Aplicación S]]-Cobros[[#This Row],[Fecha Cargo S]]</f>
        <v>13</v>
      </c>
      <c r="O834" s="45">
        <f>Cobros[[#This Row],[Dias al pago]]-Cobros[[#This Row],[Dias de Credito]]</f>
        <v>-2</v>
      </c>
      <c r="P834" s="45">
        <f>SUMIFS(TablaDias[Porcentaje],TablaDias[Tipo],Cobros[[#This Row],[Tipo]],TablaDias[Desde ],"&lt;="&amp;MAX(0,Cobros[[#This Row],[Dias pasado]]),TablaDias[Hasta ],"&gt;="&amp;Cobros[[#This Row],[Dias pasado]])</f>
        <v>100</v>
      </c>
      <c r="Q8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4" s="34">
        <f>IF(COUNTIF(PAPEL[Numero],Cobros[[#This Row],[Doc. Cargo]])&gt;0,1,0)</f>
        <v>0</v>
      </c>
      <c r="S834" s="46">
        <f t="array" ref="S8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34" s="46">
        <f t="array" ref="T834">INDEX(Ventas[[Unidades]:[2]],MATCH("Gerente de Venta",Ventas[Vendedor %],0),6+Cobros[[#This Row],[Mes]])</f>
        <v>0.005</v>
      </c>
      <c r="U834" s="34">
        <f>IF(Cobros[[#This Row],[Tipo]]="Credito",IF(60&gt;=Cobros[[#This Row],[Dias al pago]],1,0),IF(Cobros[[#This Row],[Dias al pago]]&lt;=3,1,0))</f>
        <v>1</v>
      </c>
      <c r="V834" s="46">
        <f>(Cobros[[#This Row],[% A pagar Vendedor]]/100)*Cobros[[#This Row],[Valor Pagado]]*Cobros[[#This Row],[Vencido]]*(Cobros[[#This Row],[% aplicar]]/100)*IF(Cobros[[#This Row],[% A pagar Vendedor]]&gt;0,1,0)</f>
        <v>0.05</v>
      </c>
      <c r="W834" s="46">
        <f>0.5%*Cobros[[#This Row],[Valor Pagado]]</f>
        <v>0.025</v>
      </c>
      <c r="X834" s="34"/>
    </row>
    <row r="835" ht="30" spans="1:24">
      <c r="A835" s="49" t="s">
        <v>3860</v>
      </c>
      <c r="B835" s="49" t="s">
        <v>5135</v>
      </c>
      <c r="C835" s="49" t="s">
        <v>635</v>
      </c>
      <c r="D835" s="49" t="s">
        <v>636</v>
      </c>
      <c r="E835" s="49" t="s">
        <v>5136</v>
      </c>
      <c r="F835" s="51">
        <v>46220</v>
      </c>
      <c r="G835" s="49">
        <v>500</v>
      </c>
      <c r="H835" s="49" t="s">
        <v>3865</v>
      </c>
      <c r="I835" s="51">
        <v>46230</v>
      </c>
      <c r="J835" s="54">
        <f>INT(Cobros[[#This Row],[Fecha Cargo]])</f>
        <v>46220</v>
      </c>
      <c r="K835" s="54">
        <f>INT(Cobros[[#This Row],[Fecha Aplicacion]])</f>
        <v>46230</v>
      </c>
      <c r="L835" s="55" t="str">
        <f>INDEX(Clientes[Días Plazo],MATCH(Cobros[[#This Row],[Cod. Cliente]],Clientes[Codigo],0),1)</f>
        <v>15</v>
      </c>
      <c r="M835" s="45" t="str">
        <f>IF(Cobros[[#This Row],[Dias de Credito]]&lt;=0,"Contado","Credito")</f>
        <v>Credito</v>
      </c>
      <c r="N835" s="45">
        <f>Cobros[[#This Row],[Fecha Aplicación S]]-Cobros[[#This Row],[Fecha Cargo S]]</f>
        <v>10</v>
      </c>
      <c r="O835" s="45">
        <f>Cobros[[#This Row],[Dias al pago]]-Cobros[[#This Row],[Dias de Credito]]</f>
        <v>-5</v>
      </c>
      <c r="P835" s="45">
        <f>SUMIFS(TablaDias[Porcentaje],TablaDias[Tipo],Cobros[[#This Row],[Tipo]],TablaDias[Desde ],"&lt;="&amp;MAX(0,Cobros[[#This Row],[Dias pasado]]),TablaDias[Hasta ],"&gt;="&amp;Cobros[[#This Row],[Dias pasado]])</f>
        <v>100</v>
      </c>
      <c r="Q83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5" s="34">
        <f>IF(COUNTIF(PAPEL[Numero],Cobros[[#This Row],[Doc. Cargo]])&gt;0,1,0)</f>
        <v>0</v>
      </c>
      <c r="S835" s="46">
        <v>1</v>
      </c>
      <c r="T835" s="46">
        <f t="array" ref="T835">INDEX(Ventas[[Unidades]:[2]],MATCH("Gerente de Venta",Ventas[Vendedor %],0),6+Cobros[[#This Row],[Mes]])</f>
        <v>0.005</v>
      </c>
      <c r="U835" s="34">
        <f>IF(Cobros[[#This Row],[Tipo]]="Credito",IF(60&gt;=Cobros[[#This Row],[Dias al pago]],1,0),IF(Cobros[[#This Row],[Dias al pago]]&lt;=3,1,0))</f>
        <v>1</v>
      </c>
      <c r="V835" s="46">
        <f>(Cobros[[#This Row],[% A pagar Vendedor]]/100)*Cobros[[#This Row],[Valor Pagado]]*Cobros[[#This Row],[Vencido]]*(Cobros[[#This Row],[% aplicar]]/100)*IF(Cobros[[#This Row],[% A pagar Vendedor]]&gt;0,1,0)</f>
        <v>5</v>
      </c>
      <c r="W835" s="46">
        <f>0.5%*Cobros[[#This Row],[Valor Pagado]]</f>
        <v>2.5</v>
      </c>
      <c r="X835" s="34"/>
    </row>
    <row r="836" spans="1:24">
      <c r="A836" s="49" t="s">
        <v>3875</v>
      </c>
      <c r="B836" s="49" t="s">
        <v>5137</v>
      </c>
      <c r="C836" s="49" t="s">
        <v>1061</v>
      </c>
      <c r="D836" s="49" t="s">
        <v>1062</v>
      </c>
      <c r="E836" s="49" t="s">
        <v>5138</v>
      </c>
      <c r="F836" s="51">
        <v>46230</v>
      </c>
      <c r="G836" s="49">
        <v>50</v>
      </c>
      <c r="H836" s="49" t="s">
        <v>16</v>
      </c>
      <c r="I836" s="51">
        <v>46230</v>
      </c>
      <c r="J836" s="54">
        <f>INT(Cobros[[#This Row],[Fecha Cargo]])</f>
        <v>46230</v>
      </c>
      <c r="K836" s="54">
        <f>INT(Cobros[[#This Row],[Fecha Aplicacion]])</f>
        <v>46230</v>
      </c>
      <c r="L836" s="55">
        <f>INDEX(Clientes[Días Plazo],MATCH(Cobros[[#This Row],[Cod. Cliente]],Clientes[Codigo],0),1)</f>
        <v>0</v>
      </c>
      <c r="M836" s="45" t="str">
        <f>IF(Cobros[[#This Row],[Dias de Credito]]&lt;=0,"Contado","Credito")</f>
        <v>Contado</v>
      </c>
      <c r="N836" s="45">
        <f>Cobros[[#This Row],[Fecha Aplicación S]]-Cobros[[#This Row],[Fecha Cargo S]]</f>
        <v>0</v>
      </c>
      <c r="O836" s="45">
        <f>Cobros[[#This Row],[Dias al pago]]-Cobros[[#This Row],[Dias de Credito]]</f>
        <v>0</v>
      </c>
      <c r="P836" s="45">
        <f>SUMIFS(TablaDias[Porcentaje],TablaDias[Tipo],Cobros[[#This Row],[Tipo]],TablaDias[Desde ],"&lt;="&amp;MAX(0,Cobros[[#This Row],[Dias pasado]]),TablaDias[Hasta ],"&gt;="&amp;Cobros[[#This Row],[Dias pasado]])</f>
        <v>100</v>
      </c>
      <c r="Q83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6" s="34">
        <f>IF(COUNTIF(PAPEL[Numero],Cobros[[#This Row],[Doc. Cargo]])&gt;0,1,0)</f>
        <v>0</v>
      </c>
      <c r="S836" s="46">
        <f t="array" ref="S83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6" s="47">
        <v>0.005</v>
      </c>
      <c r="U836" s="34">
        <f>IF(Cobros[[#This Row],[Tipo]]="Credito",IF(60&gt;=Cobros[[#This Row],[Dias al pago]],1,0),IF(Cobros[[#This Row],[Dias al pago]]&lt;=3,1,0))</f>
        <v>1</v>
      </c>
      <c r="V836" s="46">
        <f>(Cobros[[#This Row],[% A pagar Vendedor]]/100)*Cobros[[#This Row],[Valor Pagado]]*Cobros[[#This Row],[Vencido]]*(Cobros[[#This Row],[% aplicar]]/100)*IF(Cobros[[#This Row],[% A pagar Vendedor]]&gt;0,1,0)</f>
        <v>0.625</v>
      </c>
      <c r="W836" s="46">
        <f>0.5%*Cobros[[#This Row],[Valor Pagado]]</f>
        <v>0.25</v>
      </c>
      <c r="X836" s="34"/>
    </row>
    <row r="837" spans="1:24">
      <c r="A837" s="49" t="s">
        <v>3860</v>
      </c>
      <c r="B837" s="49" t="s">
        <v>5139</v>
      </c>
      <c r="C837" s="49" t="s">
        <v>1199</v>
      </c>
      <c r="D837" s="49" t="s">
        <v>1200</v>
      </c>
      <c r="E837" s="49" t="s">
        <v>5140</v>
      </c>
      <c r="F837" s="51">
        <v>46230</v>
      </c>
      <c r="G837" s="49">
        <v>493.55</v>
      </c>
      <c r="H837" s="49" t="s">
        <v>16</v>
      </c>
      <c r="I837" s="51">
        <v>46226</v>
      </c>
      <c r="J837" s="54">
        <f>INT(Cobros[[#This Row],[Fecha Cargo]])</f>
        <v>46230</v>
      </c>
      <c r="K837" s="54">
        <f>INT(Cobros[[#This Row],[Fecha Aplicacion]])</f>
        <v>46226</v>
      </c>
      <c r="L837" s="55">
        <f>INDEX(Clientes[Días Plazo],MATCH(Cobros[[#This Row],[Cod. Cliente]],Clientes[Codigo],0),1)</f>
        <v>0</v>
      </c>
      <c r="M837" s="45" t="str">
        <f>IF(Cobros[[#This Row],[Dias de Credito]]&lt;=0,"Contado","Credito")</f>
        <v>Contado</v>
      </c>
      <c r="N837" s="45">
        <f>Cobros[[#This Row],[Fecha Aplicación S]]-Cobros[[#This Row],[Fecha Cargo S]]</f>
        <v>-4</v>
      </c>
      <c r="O837" s="45">
        <f>Cobros[[#This Row],[Dias al pago]]-Cobros[[#This Row],[Dias de Credito]]</f>
        <v>-4</v>
      </c>
      <c r="P837" s="45">
        <f>SUMIFS(TablaDias[Porcentaje],TablaDias[Tipo],Cobros[[#This Row],[Tipo]],TablaDias[Desde ],"&lt;="&amp;MAX(0,Cobros[[#This Row],[Dias pasado]]),TablaDias[Hasta ],"&gt;="&amp;Cobros[[#This Row],[Dias pasado]])</f>
        <v>100</v>
      </c>
      <c r="Q83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7" s="34">
        <f>IF(COUNTIF(PAPEL[Numero],Cobros[[#This Row],[Doc. Cargo]])&gt;0,1,0)</f>
        <v>0</v>
      </c>
      <c r="S837" s="46">
        <f t="array" ref="S83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7" s="47">
        <v>0.005</v>
      </c>
      <c r="U837" s="34">
        <f>IF(Cobros[[#This Row],[Tipo]]="Credito",IF(60&gt;=Cobros[[#This Row],[Dias al pago]],1,0),IF(Cobros[[#This Row],[Dias al pago]]&lt;=3,1,0))</f>
        <v>1</v>
      </c>
      <c r="V837" s="46">
        <f>(Cobros[[#This Row],[% A pagar Vendedor]]/100)*Cobros[[#This Row],[Valor Pagado]]*Cobros[[#This Row],[Vencido]]*(Cobros[[#This Row],[% aplicar]]/100)*IF(Cobros[[#This Row],[% A pagar Vendedor]]&gt;0,1,0)</f>
        <v>6.169375</v>
      </c>
      <c r="W837" s="46">
        <f>0.5%*Cobros[[#This Row],[Valor Pagado]]</f>
        <v>2.46775</v>
      </c>
      <c r="X837" s="34"/>
    </row>
    <row r="838" spans="1:24">
      <c r="A838" s="49" t="s">
        <v>3860</v>
      </c>
      <c r="B838" s="49" t="s">
        <v>5141</v>
      </c>
      <c r="C838" s="49" t="s">
        <v>1199</v>
      </c>
      <c r="D838" s="49" t="s">
        <v>1200</v>
      </c>
      <c r="E838" s="49" t="s">
        <v>5142</v>
      </c>
      <c r="F838" s="51">
        <v>46230</v>
      </c>
      <c r="G838" s="49">
        <v>311.15</v>
      </c>
      <c r="H838" s="49" t="s">
        <v>16</v>
      </c>
      <c r="I838" s="51">
        <v>46230</v>
      </c>
      <c r="J838" s="54">
        <f>INT(Cobros[[#This Row],[Fecha Cargo]])</f>
        <v>46230</v>
      </c>
      <c r="K838" s="54">
        <f>INT(Cobros[[#This Row],[Fecha Aplicacion]])</f>
        <v>46230</v>
      </c>
      <c r="L838" s="55">
        <f>INDEX(Clientes[Días Plazo],MATCH(Cobros[[#This Row],[Cod. Cliente]],Clientes[Codigo],0),1)</f>
        <v>0</v>
      </c>
      <c r="M838" s="45" t="str">
        <f>IF(Cobros[[#This Row],[Dias de Credito]]&lt;=0,"Contado","Credito")</f>
        <v>Contado</v>
      </c>
      <c r="N838" s="45">
        <f>Cobros[[#This Row],[Fecha Aplicación S]]-Cobros[[#This Row],[Fecha Cargo S]]</f>
        <v>0</v>
      </c>
      <c r="O838" s="45">
        <f>Cobros[[#This Row],[Dias al pago]]-Cobros[[#This Row],[Dias de Credito]]</f>
        <v>0</v>
      </c>
      <c r="P838" s="45">
        <f>SUMIFS(TablaDias[Porcentaje],TablaDias[Tipo],Cobros[[#This Row],[Tipo]],TablaDias[Desde ],"&lt;="&amp;MAX(0,Cobros[[#This Row],[Dias pasado]]),TablaDias[Hasta ],"&gt;="&amp;Cobros[[#This Row],[Dias pasado]])</f>
        <v>100</v>
      </c>
      <c r="Q83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8" s="34">
        <f>IF(COUNTIF(PAPEL[Numero],Cobros[[#This Row],[Doc. Cargo]])&gt;0,1,0)</f>
        <v>0</v>
      </c>
      <c r="S838" s="46">
        <f t="array" ref="S8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8" s="47">
        <v>1.005</v>
      </c>
      <c r="U838" s="34">
        <f>IF(Cobros[[#This Row],[Tipo]]="Credito",IF(60&gt;=Cobros[[#This Row],[Dias al pago]],1,0),IF(Cobros[[#This Row],[Dias al pago]]&lt;=3,1,0))</f>
        <v>1</v>
      </c>
      <c r="V838" s="46">
        <f>(Cobros[[#This Row],[% A pagar Vendedor]]/100)*Cobros[[#This Row],[Valor Pagado]]*Cobros[[#This Row],[Vencido]]*(Cobros[[#This Row],[% aplicar]]/100)*IF(Cobros[[#This Row],[% A pagar Vendedor]]&gt;0,1,0)</f>
        <v>3.889375</v>
      </c>
      <c r="W838" s="46">
        <f>0.5%*Cobros[[#This Row],[Valor Pagado]]</f>
        <v>1.55575</v>
      </c>
      <c r="X838" s="34"/>
    </row>
    <row r="839" spans="1:24">
      <c r="A839" s="49" t="s">
        <v>3875</v>
      </c>
      <c r="B839" s="49" t="s">
        <v>5143</v>
      </c>
      <c r="C839" s="49" t="s">
        <v>2421</v>
      </c>
      <c r="D839" s="49" t="s">
        <v>2422</v>
      </c>
      <c r="E839" s="49" t="s">
        <v>5144</v>
      </c>
      <c r="F839" s="51">
        <v>46230</v>
      </c>
      <c r="G839" s="49">
        <v>109.15</v>
      </c>
      <c r="H839" s="49" t="s">
        <v>16</v>
      </c>
      <c r="I839" s="51">
        <v>46230</v>
      </c>
      <c r="J839" s="54">
        <f>INT(Cobros[[#This Row],[Fecha Cargo]])</f>
        <v>46230</v>
      </c>
      <c r="K839" s="54">
        <f>INT(Cobros[[#This Row],[Fecha Aplicacion]])</f>
        <v>46230</v>
      </c>
      <c r="L839" s="55">
        <f>INDEX(Clientes[Días Plazo],MATCH(Cobros[[#This Row],[Cod. Cliente]],Clientes[Codigo],0),1)</f>
        <v>0</v>
      </c>
      <c r="M839" s="45" t="str">
        <f>IF(Cobros[[#This Row],[Dias de Credito]]&lt;=0,"Contado","Credito")</f>
        <v>Contado</v>
      </c>
      <c r="N839" s="45">
        <f>Cobros[[#This Row],[Fecha Aplicación S]]-Cobros[[#This Row],[Fecha Cargo S]]</f>
        <v>0</v>
      </c>
      <c r="O839" s="45">
        <f>Cobros[[#This Row],[Dias al pago]]-Cobros[[#This Row],[Dias de Credito]]</f>
        <v>0</v>
      </c>
      <c r="P839" s="45">
        <f>SUMIFS(TablaDias[Porcentaje],TablaDias[Tipo],Cobros[[#This Row],[Tipo]],TablaDias[Desde ],"&lt;="&amp;MAX(0,Cobros[[#This Row],[Dias pasado]]),TablaDias[Hasta ],"&gt;="&amp;Cobros[[#This Row],[Dias pasado]])</f>
        <v>100</v>
      </c>
      <c r="Q83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39" s="34">
        <f>IF(COUNTIF(PAPEL[Numero],Cobros[[#This Row],[Doc. Cargo]])&gt;0,1,0)</f>
        <v>0</v>
      </c>
      <c r="S839" s="46">
        <f t="array" ref="S8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39" s="47">
        <v>2.005</v>
      </c>
      <c r="U839" s="34">
        <f>IF(Cobros[[#This Row],[Tipo]]="Credito",IF(60&gt;=Cobros[[#This Row],[Dias al pago]],1,0),IF(Cobros[[#This Row],[Dias al pago]]&lt;=3,1,0))</f>
        <v>1</v>
      </c>
      <c r="V839" s="46">
        <f>(Cobros[[#This Row],[% A pagar Vendedor]]/100)*Cobros[[#This Row],[Valor Pagado]]*Cobros[[#This Row],[Vencido]]*(Cobros[[#This Row],[% aplicar]]/100)*IF(Cobros[[#This Row],[% A pagar Vendedor]]&gt;0,1,0)</f>
        <v>1.364375</v>
      </c>
      <c r="W839" s="46">
        <f>0.5%*Cobros[[#This Row],[Valor Pagado]]</f>
        <v>0.54575</v>
      </c>
      <c r="X839" s="62"/>
    </row>
    <row r="840" spans="1:24">
      <c r="A840" s="49" t="s">
        <v>3860</v>
      </c>
      <c r="B840" s="49" t="s">
        <v>5145</v>
      </c>
      <c r="C840" s="49" t="s">
        <v>128</v>
      </c>
      <c r="D840" s="49" t="s">
        <v>129</v>
      </c>
      <c r="E840" s="49" t="s">
        <v>5146</v>
      </c>
      <c r="F840" s="51">
        <v>46230</v>
      </c>
      <c r="G840" s="49">
        <v>230</v>
      </c>
      <c r="H840" s="49" t="s">
        <v>16</v>
      </c>
      <c r="I840" s="51">
        <v>46230</v>
      </c>
      <c r="J840" s="54">
        <f>INT(Cobros[[#This Row],[Fecha Cargo]])</f>
        <v>46230</v>
      </c>
      <c r="K840" s="54">
        <f>INT(Cobros[[#This Row],[Fecha Aplicacion]])</f>
        <v>46230</v>
      </c>
      <c r="L840" s="55">
        <f>INDEX(Clientes[Días Plazo],MATCH(Cobros[[#This Row],[Cod. Cliente]],Clientes[Codigo],0),1)</f>
        <v>0</v>
      </c>
      <c r="M840" s="45" t="str">
        <f>IF(Cobros[[#This Row],[Dias de Credito]]&lt;=0,"Contado","Credito")</f>
        <v>Contado</v>
      </c>
      <c r="N840" s="45">
        <f>Cobros[[#This Row],[Fecha Aplicación S]]-Cobros[[#This Row],[Fecha Cargo S]]</f>
        <v>0</v>
      </c>
      <c r="O840" s="45">
        <f>Cobros[[#This Row],[Dias al pago]]-Cobros[[#This Row],[Dias de Credito]]</f>
        <v>0</v>
      </c>
      <c r="P840" s="45">
        <f>SUMIFS(TablaDias[Porcentaje],TablaDias[Tipo],Cobros[[#This Row],[Tipo]],TablaDias[Desde ],"&lt;="&amp;MAX(0,Cobros[[#This Row],[Dias pasado]]),TablaDias[Hasta ],"&gt;="&amp;Cobros[[#This Row],[Dias pasado]])</f>
        <v>100</v>
      </c>
      <c r="Q8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0" s="34">
        <f>IF(COUNTIF(PAPEL[Numero],Cobros[[#This Row],[Doc. Cargo]])&gt;0,1,0)</f>
        <v>0</v>
      </c>
      <c r="S840" s="46">
        <f t="array" ref="S8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40" s="47">
        <v>3.005</v>
      </c>
      <c r="U840" s="34">
        <f>IF(Cobros[[#This Row],[Tipo]]="Credito",IF(60&gt;=Cobros[[#This Row],[Dias al pago]],1,0),IF(Cobros[[#This Row],[Dias al pago]]&lt;=3,1,0))</f>
        <v>1</v>
      </c>
      <c r="V840" s="46">
        <f>(Cobros[[#This Row],[% A pagar Vendedor]]/100)*Cobros[[#This Row],[Valor Pagado]]*Cobros[[#This Row],[Vencido]]*(Cobros[[#This Row],[% aplicar]]/100)*IF(Cobros[[#This Row],[% A pagar Vendedor]]&gt;0,1,0)</f>
        <v>2.875</v>
      </c>
      <c r="W840" s="46">
        <f>0.5%*Cobros[[#This Row],[Valor Pagado]]</f>
        <v>1.15</v>
      </c>
      <c r="X840" s="34"/>
    </row>
    <row r="841" spans="1:24">
      <c r="A841" s="49" t="s">
        <v>3860</v>
      </c>
      <c r="B841" s="49" t="s">
        <v>5147</v>
      </c>
      <c r="C841" s="49" t="s">
        <v>128</v>
      </c>
      <c r="D841" s="49" t="s">
        <v>129</v>
      </c>
      <c r="E841" s="49" t="s">
        <v>5148</v>
      </c>
      <c r="F841" s="51">
        <v>46230</v>
      </c>
      <c r="G841" s="49">
        <v>210</v>
      </c>
      <c r="H841" s="49" t="s">
        <v>16</v>
      </c>
      <c r="I841" s="51">
        <v>46230</v>
      </c>
      <c r="J841" s="54">
        <f>INT(Cobros[[#This Row],[Fecha Cargo]])</f>
        <v>46230</v>
      </c>
      <c r="K841" s="54">
        <f>INT(Cobros[[#This Row],[Fecha Aplicacion]])</f>
        <v>46230</v>
      </c>
      <c r="L841" s="55">
        <f>INDEX(Clientes[Días Plazo],MATCH(Cobros[[#This Row],[Cod. Cliente]],Clientes[Codigo],0),1)</f>
        <v>0</v>
      </c>
      <c r="M841" s="45" t="str">
        <f>IF(Cobros[[#This Row],[Dias de Credito]]&lt;=0,"Contado","Credito")</f>
        <v>Contado</v>
      </c>
      <c r="N841" s="45">
        <f>Cobros[[#This Row],[Fecha Aplicación S]]-Cobros[[#This Row],[Fecha Cargo S]]</f>
        <v>0</v>
      </c>
      <c r="O841" s="45">
        <f>Cobros[[#This Row],[Dias al pago]]-Cobros[[#This Row],[Dias de Credito]]</f>
        <v>0</v>
      </c>
      <c r="P841" s="45">
        <f>SUMIFS(TablaDias[Porcentaje],TablaDias[Tipo],Cobros[[#This Row],[Tipo]],TablaDias[Desde ],"&lt;="&amp;MAX(0,Cobros[[#This Row],[Dias pasado]]),TablaDias[Hasta ],"&gt;="&amp;Cobros[[#This Row],[Dias pasado]])</f>
        <v>100</v>
      </c>
      <c r="Q84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1" s="34">
        <f>IF(COUNTIF(PAPEL[Numero],Cobros[[#This Row],[Doc. Cargo]])&gt;0,1,0)</f>
        <v>0</v>
      </c>
      <c r="S841" s="46">
        <f t="array" ref="S8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41" s="47">
        <v>4.005</v>
      </c>
      <c r="U841" s="34">
        <f>IF(Cobros[[#This Row],[Tipo]]="Credito",IF(60&gt;=Cobros[[#This Row],[Dias al pago]],1,0),IF(Cobros[[#This Row],[Dias al pago]]&lt;=3,1,0))</f>
        <v>1</v>
      </c>
      <c r="V841" s="46">
        <f>(Cobros[[#This Row],[% A pagar Vendedor]]/100)*Cobros[[#This Row],[Valor Pagado]]*Cobros[[#This Row],[Vencido]]*(Cobros[[#This Row],[% aplicar]]/100)*IF(Cobros[[#This Row],[% A pagar Vendedor]]&gt;0,1,0)</f>
        <v>2.625</v>
      </c>
      <c r="W841" s="46">
        <f>0.5%*Cobros[[#This Row],[Valor Pagado]]</f>
        <v>1.05</v>
      </c>
      <c r="X841" s="34"/>
    </row>
    <row r="842" ht="30" spans="1:24">
      <c r="A842" s="49" t="s">
        <v>3860</v>
      </c>
      <c r="B842" s="49" t="s">
        <v>5149</v>
      </c>
      <c r="C842" s="49" t="s">
        <v>960</v>
      </c>
      <c r="D842" s="49" t="s">
        <v>961</v>
      </c>
      <c r="E842" s="49" t="s">
        <v>4853</v>
      </c>
      <c r="F842" s="51">
        <v>46219</v>
      </c>
      <c r="G842" s="49">
        <v>829.3</v>
      </c>
      <c r="H842" s="49" t="s">
        <v>22</v>
      </c>
      <c r="I842" s="51">
        <v>46230</v>
      </c>
      <c r="J842" s="54">
        <f>INT(Cobros[[#This Row],[Fecha Cargo]])</f>
        <v>46219</v>
      </c>
      <c r="K842" s="54">
        <f>INT(Cobros[[#This Row],[Fecha Aplicacion]])</f>
        <v>46230</v>
      </c>
      <c r="L842" s="55" t="str">
        <f>INDEX(Clientes[Días Plazo],MATCH(Cobros[[#This Row],[Cod. Cliente]],Clientes[Codigo],0),1)</f>
        <v>21</v>
      </c>
      <c r="M842" s="45" t="str">
        <f>IF(Cobros[[#This Row],[Dias de Credito]]&lt;=0,"Contado","Credito")</f>
        <v>Credito</v>
      </c>
      <c r="N842" s="45">
        <f>Cobros[[#This Row],[Fecha Aplicación S]]-Cobros[[#This Row],[Fecha Cargo S]]</f>
        <v>11</v>
      </c>
      <c r="O842" s="45">
        <f>Cobros[[#This Row],[Dias al pago]]-Cobros[[#This Row],[Dias de Credito]]</f>
        <v>-10</v>
      </c>
      <c r="P842" s="45">
        <f>SUMIFS(TablaDias[Porcentaje],TablaDias[Tipo],Cobros[[#This Row],[Tipo]],TablaDias[Desde ],"&lt;="&amp;MAX(0,Cobros[[#This Row],[Dias pasado]]),TablaDias[Hasta ],"&gt;="&amp;Cobros[[#This Row],[Dias pasado]])</f>
        <v>100</v>
      </c>
      <c r="Q84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2" s="34">
        <f>IF(COUNTIF(PAPEL[Numero],Cobros[[#This Row],[Doc. Cargo]])&gt;0,1,0)</f>
        <v>0</v>
      </c>
      <c r="S842" s="46">
        <f t="array" ref="S8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42" s="47">
        <v>5.005</v>
      </c>
      <c r="U842" s="34">
        <f>IF(Cobros[[#This Row],[Tipo]]="Credito",IF(60&gt;=Cobros[[#This Row],[Dias al pago]],1,0),IF(Cobros[[#This Row],[Dias al pago]]&lt;=3,1,0))</f>
        <v>1</v>
      </c>
      <c r="V842" s="46">
        <f>(Cobros[[#This Row],[% A pagar Vendedor]]/100)*Cobros[[#This Row],[Valor Pagado]]*Cobros[[#This Row],[Vencido]]*(Cobros[[#This Row],[% aplicar]]/100)*IF(Cobros[[#This Row],[% A pagar Vendedor]]&gt;0,1,0)</f>
        <v>8.293</v>
      </c>
      <c r="W842" s="46">
        <f>0.5%*Cobros[[#This Row],[Valor Pagado]]</f>
        <v>4.1465</v>
      </c>
      <c r="X842" s="62"/>
    </row>
    <row r="843" ht="30" spans="1:24">
      <c r="A843" s="49" t="s">
        <v>3860</v>
      </c>
      <c r="B843" s="49" t="s">
        <v>5149</v>
      </c>
      <c r="C843" s="49" t="s">
        <v>960</v>
      </c>
      <c r="D843" s="49" t="s">
        <v>961</v>
      </c>
      <c r="E843" s="49" t="s">
        <v>5150</v>
      </c>
      <c r="F843" s="51">
        <v>46220</v>
      </c>
      <c r="G843" s="49">
        <v>156.3</v>
      </c>
      <c r="H843" s="49" t="s">
        <v>22</v>
      </c>
      <c r="I843" s="51">
        <v>46230</v>
      </c>
      <c r="J843" s="54">
        <f>INT(Cobros[[#This Row],[Fecha Cargo]])</f>
        <v>46220</v>
      </c>
      <c r="K843" s="54">
        <f>INT(Cobros[[#This Row],[Fecha Aplicacion]])</f>
        <v>46230</v>
      </c>
      <c r="L843" s="55" t="str">
        <f>INDEX(Clientes[Días Plazo],MATCH(Cobros[[#This Row],[Cod. Cliente]],Clientes[Codigo],0),1)</f>
        <v>21</v>
      </c>
      <c r="M843" s="45" t="str">
        <f>IF(Cobros[[#This Row],[Dias de Credito]]&lt;=0,"Contado","Credito")</f>
        <v>Credito</v>
      </c>
      <c r="N843" s="45">
        <f>Cobros[[#This Row],[Fecha Aplicación S]]-Cobros[[#This Row],[Fecha Cargo S]]</f>
        <v>10</v>
      </c>
      <c r="O843" s="45">
        <f>Cobros[[#This Row],[Dias al pago]]-Cobros[[#This Row],[Dias de Credito]]</f>
        <v>-11</v>
      </c>
      <c r="P843" s="45">
        <f>SUMIFS(TablaDias[Porcentaje],TablaDias[Tipo],Cobros[[#This Row],[Tipo]],TablaDias[Desde ],"&lt;="&amp;MAX(0,Cobros[[#This Row],[Dias pasado]]),TablaDias[Hasta ],"&gt;="&amp;Cobros[[#This Row],[Dias pasado]])</f>
        <v>100</v>
      </c>
      <c r="Q84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3" s="34">
        <f>IF(COUNTIF(PAPEL[Numero],Cobros[[#This Row],[Doc. Cargo]])&gt;0,1,0)</f>
        <v>0</v>
      </c>
      <c r="S843" s="46">
        <f t="array" ref="S8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43" s="47">
        <v>6.005</v>
      </c>
      <c r="U843" s="34">
        <f>IF(Cobros[[#This Row],[Tipo]]="Credito",IF(60&gt;=Cobros[[#This Row],[Dias al pago]],1,0),IF(Cobros[[#This Row],[Dias al pago]]&lt;=3,1,0))</f>
        <v>1</v>
      </c>
      <c r="V843" s="46">
        <f>(Cobros[[#This Row],[% A pagar Vendedor]]/100)*Cobros[[#This Row],[Valor Pagado]]*Cobros[[#This Row],[Vencido]]*(Cobros[[#This Row],[% aplicar]]/100)*IF(Cobros[[#This Row],[% A pagar Vendedor]]&gt;0,1,0)</f>
        <v>1.563</v>
      </c>
      <c r="W843" s="46">
        <f>0.5%*Cobros[[#This Row],[Valor Pagado]]</f>
        <v>0.7815</v>
      </c>
      <c r="X843" s="62"/>
    </row>
    <row r="844" ht="30" spans="1:24">
      <c r="A844" s="49" t="s">
        <v>3860</v>
      </c>
      <c r="B844" s="49" t="s">
        <v>5149</v>
      </c>
      <c r="C844" s="49" t="s">
        <v>960</v>
      </c>
      <c r="D844" s="49" t="s">
        <v>961</v>
      </c>
      <c r="E844" s="49" t="s">
        <v>5151</v>
      </c>
      <c r="F844" s="51">
        <v>46220</v>
      </c>
      <c r="G844" s="49">
        <v>1014.4</v>
      </c>
      <c r="H844" s="49" t="s">
        <v>22</v>
      </c>
      <c r="I844" s="51">
        <v>46230</v>
      </c>
      <c r="J844" s="54">
        <f>INT(Cobros[[#This Row],[Fecha Cargo]])</f>
        <v>46220</v>
      </c>
      <c r="K844" s="54">
        <f>INT(Cobros[[#This Row],[Fecha Aplicacion]])</f>
        <v>46230</v>
      </c>
      <c r="L844" s="55" t="str">
        <f>INDEX(Clientes[Días Plazo],MATCH(Cobros[[#This Row],[Cod. Cliente]],Clientes[Codigo],0),1)</f>
        <v>21</v>
      </c>
      <c r="M844" s="45" t="str">
        <f>IF(Cobros[[#This Row],[Dias de Credito]]&lt;=0,"Contado","Credito")</f>
        <v>Credito</v>
      </c>
      <c r="N844" s="45">
        <f>Cobros[[#This Row],[Fecha Aplicación S]]-Cobros[[#This Row],[Fecha Cargo S]]</f>
        <v>10</v>
      </c>
      <c r="O844" s="45">
        <f>Cobros[[#This Row],[Dias al pago]]-Cobros[[#This Row],[Dias de Credito]]</f>
        <v>-11</v>
      </c>
      <c r="P844" s="45">
        <f>SUMIFS(TablaDias[Porcentaje],TablaDias[Tipo],Cobros[[#This Row],[Tipo]],TablaDias[Desde ],"&lt;="&amp;MAX(0,Cobros[[#This Row],[Dias pasado]]),TablaDias[Hasta ],"&gt;="&amp;Cobros[[#This Row],[Dias pasado]])</f>
        <v>100</v>
      </c>
      <c r="Q84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4" s="34">
        <f>IF(COUNTIF(PAPEL[Numero],Cobros[[#This Row],[Doc. Cargo]])&gt;0,1,0)</f>
        <v>0</v>
      </c>
      <c r="S844" s="46">
        <f t="array" ref="S8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44" s="47">
        <v>7.005</v>
      </c>
      <c r="U844" s="34">
        <f>IF(Cobros[[#This Row],[Tipo]]="Credito",IF(60&gt;=Cobros[[#This Row],[Dias al pago]],1,0),IF(Cobros[[#This Row],[Dias al pago]]&lt;=3,1,0))</f>
        <v>1</v>
      </c>
      <c r="V844" s="46">
        <f>(Cobros[[#This Row],[% A pagar Vendedor]]/100)*Cobros[[#This Row],[Valor Pagado]]*Cobros[[#This Row],[Vencido]]*(Cobros[[#This Row],[% aplicar]]/100)*IF(Cobros[[#This Row],[% A pagar Vendedor]]&gt;0,1,0)</f>
        <v>10.144</v>
      </c>
      <c r="W844" s="46">
        <v>5.072</v>
      </c>
      <c r="X844" s="62"/>
    </row>
    <row r="845" spans="1:24">
      <c r="A845" s="49" t="s">
        <v>3860</v>
      </c>
      <c r="B845" s="49" t="s">
        <v>5152</v>
      </c>
      <c r="C845" s="49" t="s">
        <v>1782</v>
      </c>
      <c r="D845" s="49" t="s">
        <v>1783</v>
      </c>
      <c r="E845" s="49" t="s">
        <v>5153</v>
      </c>
      <c r="F845" s="51">
        <v>46204</v>
      </c>
      <c r="G845" s="49">
        <v>1750</v>
      </c>
      <c r="H845" s="49" t="s">
        <v>16</v>
      </c>
      <c r="I845" s="51">
        <v>46230</v>
      </c>
      <c r="J845" s="54">
        <f>INT(Cobros[[#This Row],[Fecha Cargo]])</f>
        <v>46204</v>
      </c>
      <c r="K845" s="54">
        <f>INT(Cobros[[#This Row],[Fecha Aplicacion]])</f>
        <v>46230</v>
      </c>
      <c r="L845" s="55" t="str">
        <f>INDEX(Clientes[Días Plazo],MATCH(Cobros[[#This Row],[Cod. Cliente]],Clientes[Codigo],0),1)</f>
        <v>15</v>
      </c>
      <c r="M845" s="45" t="str">
        <f>IF(Cobros[[#This Row],[Dias de Credito]]&lt;=0,"Contado","Credito")</f>
        <v>Credito</v>
      </c>
      <c r="N845" s="45">
        <f>Cobros[[#This Row],[Fecha Aplicación S]]-Cobros[[#This Row],[Fecha Cargo S]]</f>
        <v>26</v>
      </c>
      <c r="O845" s="45">
        <f>Cobros[[#This Row],[Dias al pago]]-Cobros[[#This Row],[Dias de Credito]]</f>
        <v>11</v>
      </c>
      <c r="P845" s="45">
        <f>SUMIFS(TablaDias[Porcentaje],TablaDias[Tipo],Cobros[[#This Row],[Tipo]],TablaDias[Desde ],"&lt;="&amp;MAX(0,Cobros[[#This Row],[Dias pasado]]),TablaDias[Hasta ],"&gt;="&amp;Cobros[[#This Row],[Dias pasado]])</f>
        <v>100</v>
      </c>
      <c r="Q8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5" s="34">
        <f>IF(COUNTIF(PAPEL[Numero],Cobros[[#This Row],[Doc. Cargo]])&gt;0,1,0)</f>
        <v>0</v>
      </c>
      <c r="S845" s="46">
        <f t="array" ref="S8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45" s="47">
        <v>8.005</v>
      </c>
      <c r="U845" s="34">
        <f>IF(Cobros[[#This Row],[Tipo]]="Credito",IF(60&gt;=Cobros[[#This Row],[Dias al pago]],1,0),IF(Cobros[[#This Row],[Dias al pago]]&lt;=3,1,0))</f>
        <v>1</v>
      </c>
      <c r="V845" s="46">
        <f>(Cobros[[#This Row],[% A pagar Vendedor]]/100)*Cobros[[#This Row],[Valor Pagado]]*Cobros[[#This Row],[Vencido]]*(Cobros[[#This Row],[% aplicar]]/100)*IF(Cobros[[#This Row],[% A pagar Vendedor]]&gt;0,1,0)</f>
        <v>21.875</v>
      </c>
      <c r="W845" s="46">
        <f>0.5%*Cobros[[#This Row],[Valor Pagado]]</f>
        <v>8.75</v>
      </c>
      <c r="X845" s="34"/>
    </row>
    <row r="846" ht="30" spans="1:24">
      <c r="A846" s="49" t="s">
        <v>3884</v>
      </c>
      <c r="B846" s="49" t="s">
        <v>5154</v>
      </c>
      <c r="C846" s="49" t="s">
        <v>160</v>
      </c>
      <c r="D846" s="49" t="s">
        <v>161</v>
      </c>
      <c r="E846" s="49" t="s">
        <v>5155</v>
      </c>
      <c r="F846" s="51">
        <v>46230</v>
      </c>
      <c r="G846" s="49">
        <v>218.4</v>
      </c>
      <c r="H846" s="49" t="s">
        <v>22</v>
      </c>
      <c r="I846" s="51">
        <v>46230</v>
      </c>
      <c r="J846" s="54">
        <f>INT(Cobros[[#This Row],[Fecha Cargo]])</f>
        <v>46230</v>
      </c>
      <c r="K846" s="54">
        <f>INT(Cobros[[#This Row],[Fecha Aplicacion]])</f>
        <v>46230</v>
      </c>
      <c r="L846" s="55">
        <f>INDEX(Clientes[Días Plazo],MATCH(Cobros[[#This Row],[Cod. Cliente]],Clientes[Codigo],0),1)</f>
        <v>0</v>
      </c>
      <c r="M846" s="45" t="s">
        <v>34</v>
      </c>
      <c r="N846" s="45">
        <f>Cobros[[#This Row],[Fecha Aplicación S]]-Cobros[[#This Row],[Fecha Cargo S]]</f>
        <v>0</v>
      </c>
      <c r="O846" s="45">
        <f>Cobros[[#This Row],[Dias al pago]]-Cobros[[#This Row],[Dias de Credito]]</f>
        <v>0</v>
      </c>
      <c r="P846" s="45">
        <f>SUMIFS(TablaDias[Porcentaje],TablaDias[Tipo],Cobros[[#This Row],[Tipo]],TablaDias[Desde ],"&lt;="&amp;MAX(0,Cobros[[#This Row],[Dias pasado]]),TablaDias[Hasta ],"&gt;="&amp;Cobros[[#This Row],[Dias pasado]])</f>
        <v>100</v>
      </c>
      <c r="Q84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6" s="34">
        <f>IF(COUNTIF(PAPEL[Numero],Cobros[[#This Row],[Doc. Cargo]])&gt;0,1,0)</f>
        <v>0</v>
      </c>
      <c r="S846" s="46">
        <f t="array" ref="S8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46" s="47">
        <v>9.005</v>
      </c>
      <c r="U846" s="34">
        <f>IF(Cobros[[#This Row],[Tipo]]="Credito",IF(60&gt;=Cobros[[#This Row],[Dias al pago]],1,0),IF(Cobros[[#This Row],[Dias al pago]]&lt;=3,1,0))</f>
        <v>1</v>
      </c>
      <c r="V846" s="46">
        <f>(Cobros[[#This Row],[% A pagar Vendedor]]/100)*Cobros[[#This Row],[Valor Pagado]]*Cobros[[#This Row],[Vencido]]*(Cobros[[#This Row],[% aplicar]]/100)*IF(Cobros[[#This Row],[% A pagar Vendedor]]&gt;0,1,0)</f>
        <v>2.184</v>
      </c>
      <c r="W846" s="46">
        <f>0.5%*Cobros[[#This Row],[Valor Pagado]]</f>
        <v>1.092</v>
      </c>
      <c r="X846" s="34"/>
    </row>
    <row r="847" spans="1:24">
      <c r="A847" s="49" t="s">
        <v>3904</v>
      </c>
      <c r="B847" s="49" t="s">
        <v>5156</v>
      </c>
      <c r="C847" s="49" t="s">
        <v>197</v>
      </c>
      <c r="D847" s="49" t="s">
        <v>198</v>
      </c>
      <c r="E847" s="49" t="s">
        <v>5157</v>
      </c>
      <c r="F847" s="51">
        <v>46230</v>
      </c>
      <c r="G847" s="49">
        <v>105</v>
      </c>
      <c r="H847" s="49" t="s">
        <v>16</v>
      </c>
      <c r="I847" s="51">
        <v>46230</v>
      </c>
      <c r="J847" s="54">
        <f>INT(Cobros[[#This Row],[Fecha Cargo]])</f>
        <v>46230</v>
      </c>
      <c r="K847" s="54">
        <f>INT(Cobros[[#This Row],[Fecha Aplicacion]])</f>
        <v>46230</v>
      </c>
      <c r="L847" s="55">
        <f>INDEX(Clientes[Días Plazo],MATCH(Cobros[[#This Row],[Cod. Cliente]],Clientes[Codigo],0),1)</f>
        <v>0</v>
      </c>
      <c r="M847" s="45" t="str">
        <f>IF(Cobros[[#This Row],[Dias de Credito]]&lt;=0,"Contado","Credito")</f>
        <v>Contado</v>
      </c>
      <c r="N847" s="45">
        <f>Cobros[[#This Row],[Fecha Aplicación S]]-Cobros[[#This Row],[Fecha Cargo S]]</f>
        <v>0</v>
      </c>
      <c r="O847" s="45">
        <f>Cobros[[#This Row],[Dias al pago]]-Cobros[[#This Row],[Dias de Credito]]</f>
        <v>0</v>
      </c>
      <c r="P847" s="45">
        <f>SUMIFS(TablaDias[Porcentaje],TablaDias[Tipo],Cobros[[#This Row],[Tipo]],TablaDias[Desde ],"&lt;="&amp;MAX(0,Cobros[[#This Row],[Dias pasado]]),TablaDias[Hasta ],"&gt;="&amp;Cobros[[#This Row],[Dias pasado]])</f>
        <v>100</v>
      </c>
      <c r="Q84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7" s="34">
        <f>IF(COUNTIF(PAPEL[Numero],Cobros[[#This Row],[Doc. Cargo]])&gt;0,1,0)</f>
        <v>0</v>
      </c>
      <c r="S847" s="46">
        <f t="array" ref="S8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47" s="47">
        <v>10.005</v>
      </c>
      <c r="U847" s="34">
        <f>IF(Cobros[[#This Row],[Tipo]]="Credito",IF(60&gt;=Cobros[[#This Row],[Dias al pago]],1,0),IF(Cobros[[#This Row],[Dias al pago]]&lt;=3,1,0))</f>
        <v>1</v>
      </c>
      <c r="V847" s="46">
        <f>(Cobros[[#This Row],[% A pagar Vendedor]]/100)*Cobros[[#This Row],[Valor Pagado]]*Cobros[[#This Row],[Vencido]]*(Cobros[[#This Row],[% aplicar]]/100)*IF(Cobros[[#This Row],[% A pagar Vendedor]]&gt;0,1,0)</f>
        <v>1.3125</v>
      </c>
      <c r="W847" s="46">
        <f>0.5%*Cobros[[#This Row],[Valor Pagado]]</f>
        <v>0.525</v>
      </c>
      <c r="X847" s="62"/>
    </row>
    <row r="848" spans="1:24">
      <c r="A848" s="49" t="s">
        <v>3860</v>
      </c>
      <c r="B848" s="49" t="s">
        <v>5158</v>
      </c>
      <c r="C848" s="49" t="s">
        <v>2940</v>
      </c>
      <c r="D848" s="49" t="s">
        <v>2941</v>
      </c>
      <c r="E848" s="49" t="s">
        <v>5159</v>
      </c>
      <c r="F848" s="51">
        <v>46230</v>
      </c>
      <c r="G848" s="49">
        <v>455.25</v>
      </c>
      <c r="H848" s="49" t="s">
        <v>16</v>
      </c>
      <c r="I848" s="51">
        <v>46230</v>
      </c>
      <c r="J848" s="54">
        <f>INT(Cobros[[#This Row],[Fecha Cargo]])</f>
        <v>46230</v>
      </c>
      <c r="K848" s="54">
        <f>INT(Cobros[[#This Row],[Fecha Aplicacion]])</f>
        <v>46230</v>
      </c>
      <c r="L848" s="55">
        <f>INDEX(Clientes[Días Plazo],MATCH(Cobros[[#This Row],[Cod. Cliente]],Clientes[Codigo],0),1)</f>
        <v>0</v>
      </c>
      <c r="M848" s="45" t="str">
        <f>IF(Cobros[[#This Row],[Dias de Credito]]&lt;=0,"Contado","Credito")</f>
        <v>Contado</v>
      </c>
      <c r="N848" s="45">
        <f>Cobros[[#This Row],[Fecha Aplicación S]]-Cobros[[#This Row],[Fecha Cargo S]]</f>
        <v>0</v>
      </c>
      <c r="O848" s="45">
        <f>Cobros[[#This Row],[Dias al pago]]-Cobros[[#This Row],[Dias de Credito]]</f>
        <v>0</v>
      </c>
      <c r="P848" s="45">
        <f>SUMIFS(TablaDias[Porcentaje],TablaDias[Tipo],Cobros[[#This Row],[Tipo]],TablaDias[Desde ],"&lt;="&amp;MAX(0,Cobros[[#This Row],[Dias pasado]]),TablaDias[Hasta ],"&gt;="&amp;Cobros[[#This Row],[Dias pasado]])</f>
        <v>100</v>
      </c>
      <c r="Q8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8" s="34">
        <f>IF(COUNTIF(PAPEL[Numero],Cobros[[#This Row],[Doc. Cargo]])&gt;0,1,0)</f>
        <v>0</v>
      </c>
      <c r="S848" s="46">
        <f t="array" ref="S8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48" s="47">
        <v>11.005</v>
      </c>
      <c r="U848" s="34">
        <f>IF(Cobros[[#This Row],[Tipo]]="Credito",IF(60&gt;=Cobros[[#This Row],[Dias al pago]],1,0),IF(Cobros[[#This Row],[Dias al pago]]&lt;=3,1,0))</f>
        <v>1</v>
      </c>
      <c r="V848" s="46">
        <f>(Cobros[[#This Row],[% A pagar Vendedor]]/100)*Cobros[[#This Row],[Valor Pagado]]*Cobros[[#This Row],[Vencido]]*(Cobros[[#This Row],[% aplicar]]/100)*IF(Cobros[[#This Row],[% A pagar Vendedor]]&gt;0,1,0)</f>
        <v>5.690625</v>
      </c>
      <c r="W848" s="46">
        <f>0.5%*Cobros[[#This Row],[Valor Pagado]]</f>
        <v>2.27625</v>
      </c>
      <c r="X848" s="34"/>
    </row>
    <row r="849" ht="30" spans="1:24">
      <c r="A849" s="49" t="s">
        <v>3961</v>
      </c>
      <c r="B849" s="49" t="s">
        <v>5160</v>
      </c>
      <c r="C849" s="49" t="s">
        <v>74</v>
      </c>
      <c r="D849" s="49" t="s">
        <v>75</v>
      </c>
      <c r="E849" s="49" t="s">
        <v>5060</v>
      </c>
      <c r="F849" s="51">
        <v>46213</v>
      </c>
      <c r="G849" s="49">
        <v>2000</v>
      </c>
      <c r="H849" s="49" t="s">
        <v>22</v>
      </c>
      <c r="I849" s="51">
        <v>46230</v>
      </c>
      <c r="J849" s="54">
        <f>INT(Cobros[[#This Row],[Fecha Cargo]])</f>
        <v>46213</v>
      </c>
      <c r="K849" s="54">
        <f>INT(Cobros[[#This Row],[Fecha Aplicacion]])</f>
        <v>46230</v>
      </c>
      <c r="L849" s="55" t="str">
        <f>INDEX(Clientes[Días Plazo],MATCH(Cobros[[#This Row],[Cod. Cliente]],Clientes[Codigo],0),1)</f>
        <v>15</v>
      </c>
      <c r="M849" s="45" t="str">
        <f>IF(Cobros[[#This Row],[Dias de Credito]]&lt;=0,"Contado","Credito")</f>
        <v>Credito</v>
      </c>
      <c r="N849" s="45">
        <f>Cobros[[#This Row],[Fecha Aplicación S]]-Cobros[[#This Row],[Fecha Cargo S]]</f>
        <v>17</v>
      </c>
      <c r="O849" s="45">
        <f>Cobros[[#This Row],[Dias al pago]]-Cobros[[#This Row],[Dias de Credito]]</f>
        <v>2</v>
      </c>
      <c r="P849" s="45">
        <f>SUMIFS(TablaDias[Porcentaje],TablaDias[Tipo],Cobros[[#This Row],[Tipo]],TablaDias[Desde ],"&lt;="&amp;MAX(0,Cobros[[#This Row],[Dias pasado]]),TablaDias[Hasta ],"&gt;="&amp;Cobros[[#This Row],[Dias pasado]])</f>
        <v>100</v>
      </c>
      <c r="Q84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49" s="34">
        <f>IF(COUNTIF(PAPEL[Numero],Cobros[[#This Row],[Doc. Cargo]])&gt;0,1,0)</f>
        <v>0</v>
      </c>
      <c r="S849" s="46">
        <f t="array" ref="S8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49" s="47">
        <v>12.005</v>
      </c>
      <c r="U849" s="34">
        <f>IF(Cobros[[#This Row],[Tipo]]="Credito",IF(60&gt;=Cobros[[#This Row],[Dias al pago]],1,0),IF(Cobros[[#This Row],[Dias al pago]]&lt;=3,1,0))</f>
        <v>1</v>
      </c>
      <c r="V849" s="46">
        <f>(Cobros[[#This Row],[% A pagar Vendedor]]/100)*Cobros[[#This Row],[Valor Pagado]]*Cobros[[#This Row],[Vencido]]*(Cobros[[#This Row],[% aplicar]]/100)*IF(Cobros[[#This Row],[% A pagar Vendedor]]&gt;0,1,0)</f>
        <v>20</v>
      </c>
      <c r="W849" s="46">
        <f>0.5%*Cobros[[#This Row],[Valor Pagado]]</f>
        <v>10</v>
      </c>
      <c r="X849" s="34"/>
    </row>
    <row r="850" ht="30" spans="1:24">
      <c r="A850" s="49" t="s">
        <v>3875</v>
      </c>
      <c r="B850" s="49" t="s">
        <v>5161</v>
      </c>
      <c r="C850" s="49" t="s">
        <v>1106</v>
      </c>
      <c r="D850" s="49" t="s">
        <v>1107</v>
      </c>
      <c r="E850" s="49" t="s">
        <v>5162</v>
      </c>
      <c r="F850" s="51">
        <v>46230</v>
      </c>
      <c r="G850" s="49">
        <v>700</v>
      </c>
      <c r="H850" s="49" t="s">
        <v>3865</v>
      </c>
      <c r="I850" s="51">
        <v>46230</v>
      </c>
      <c r="J850" s="54">
        <f>INT(Cobros[[#This Row],[Fecha Cargo]])</f>
        <v>46230</v>
      </c>
      <c r="K850" s="54">
        <f>INT(Cobros[[#This Row],[Fecha Aplicacion]])</f>
        <v>46230</v>
      </c>
      <c r="L850" s="55">
        <f>INDEX(Clientes[Días Plazo],MATCH(Cobros[[#This Row],[Cod. Cliente]],Clientes[Codigo],0),1)</f>
        <v>0</v>
      </c>
      <c r="M850" s="45" t="str">
        <f>IF(Cobros[[#This Row],[Dias de Credito]]&lt;=0,"Contado","Credito")</f>
        <v>Contado</v>
      </c>
      <c r="N850" s="45">
        <f>Cobros[[#This Row],[Fecha Aplicación S]]-Cobros[[#This Row],[Fecha Cargo S]]</f>
        <v>0</v>
      </c>
      <c r="O850" s="45">
        <f>Cobros[[#This Row],[Dias al pago]]-Cobros[[#This Row],[Dias de Credito]]</f>
        <v>0</v>
      </c>
      <c r="P850" s="45">
        <f>SUMIFS(TablaDias[Porcentaje],TablaDias[Tipo],Cobros[[#This Row],[Tipo]],TablaDias[Desde ],"&lt;="&amp;MAX(0,Cobros[[#This Row],[Dias pasado]]),TablaDias[Hasta ],"&gt;="&amp;Cobros[[#This Row],[Dias pasado]])</f>
        <v>100</v>
      </c>
      <c r="Q85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0" s="34">
        <f>IF(COUNTIF(PAPEL[Numero],Cobros[[#This Row],[Doc. Cargo]])&gt;0,1,0)</f>
        <v>0</v>
      </c>
      <c r="S850" s="46">
        <v>1</v>
      </c>
      <c r="T850" s="47">
        <v>13.005</v>
      </c>
      <c r="U850" s="34">
        <f>IF(Cobros[[#This Row],[Tipo]]="Credito",IF(60&gt;=Cobros[[#This Row],[Dias al pago]],1,0),IF(Cobros[[#This Row],[Dias al pago]]&lt;=3,1,0))</f>
        <v>1</v>
      </c>
      <c r="V850" s="46">
        <f>(Cobros[[#This Row],[% A pagar Vendedor]]/100)*Cobros[[#This Row],[Valor Pagado]]*Cobros[[#This Row],[Vencido]]*(Cobros[[#This Row],[% aplicar]]/100)*IF(Cobros[[#This Row],[% A pagar Vendedor]]&gt;0,1,0)</f>
        <v>7</v>
      </c>
      <c r="W850" s="46">
        <f>0.5%*Cobros[[#This Row],[Valor Pagado]]</f>
        <v>3.5</v>
      </c>
      <c r="X850" s="34"/>
    </row>
    <row r="851" spans="1:24">
      <c r="A851" s="49" t="s">
        <v>3875</v>
      </c>
      <c r="B851" s="49" t="s">
        <v>5163</v>
      </c>
      <c r="C851" s="49" t="s">
        <v>2773</v>
      </c>
      <c r="D851" s="49" t="s">
        <v>2774</v>
      </c>
      <c r="E851" s="49" t="s">
        <v>5164</v>
      </c>
      <c r="F851" s="51">
        <v>46230</v>
      </c>
      <c r="G851" s="49">
        <v>519.47</v>
      </c>
      <c r="H851" s="49" t="s">
        <v>16</v>
      </c>
      <c r="I851" s="51">
        <v>46230</v>
      </c>
      <c r="J851" s="54">
        <f>INT(Cobros[[#This Row],[Fecha Cargo]])</f>
        <v>46230</v>
      </c>
      <c r="K851" s="54">
        <f>INT(Cobros[[#This Row],[Fecha Aplicacion]])</f>
        <v>46230</v>
      </c>
      <c r="L851" s="55">
        <f>INDEX(Clientes[Días Plazo],MATCH(Cobros[[#This Row],[Cod. Cliente]],Clientes[Codigo],0),1)</f>
        <v>0</v>
      </c>
      <c r="M851" s="45" t="str">
        <f>IF(Cobros[[#This Row],[Dias de Credito]]&lt;=0,"Contado","Credito")</f>
        <v>Contado</v>
      </c>
      <c r="N851" s="45">
        <f>Cobros[[#This Row],[Fecha Aplicación S]]-Cobros[[#This Row],[Fecha Cargo S]]</f>
        <v>0</v>
      </c>
      <c r="O851" s="45">
        <f>Cobros[[#This Row],[Dias al pago]]-Cobros[[#This Row],[Dias de Credito]]</f>
        <v>0</v>
      </c>
      <c r="P851" s="45">
        <f>SUMIFS(TablaDias[Porcentaje],TablaDias[Tipo],Cobros[[#This Row],[Tipo]],TablaDias[Desde ],"&lt;="&amp;MAX(0,Cobros[[#This Row],[Dias pasado]]),TablaDias[Hasta ],"&gt;="&amp;Cobros[[#This Row],[Dias pasado]])</f>
        <v>100</v>
      </c>
      <c r="Q85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1" s="34">
        <f>IF(COUNTIF(PAPEL[Numero],Cobros[[#This Row],[Doc. Cargo]])&gt;0,1,0)</f>
        <v>0</v>
      </c>
      <c r="S851" s="46">
        <f t="array" ref="S8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51" s="47">
        <v>14.005</v>
      </c>
      <c r="U851" s="34">
        <f>IF(Cobros[[#This Row],[Tipo]]="Credito",IF(60&gt;=Cobros[[#This Row],[Dias al pago]],1,0),IF(Cobros[[#This Row],[Dias al pago]]&lt;=3,1,0))</f>
        <v>1</v>
      </c>
      <c r="V851" s="46">
        <f>(Cobros[[#This Row],[% A pagar Vendedor]]/100)*Cobros[[#This Row],[Valor Pagado]]*Cobros[[#This Row],[Vencido]]*(Cobros[[#This Row],[% aplicar]]/100)*IF(Cobros[[#This Row],[% A pagar Vendedor]]&gt;0,1,0)</f>
        <v>6.493375</v>
      </c>
      <c r="W851" s="46">
        <f>0.5%*Cobros[[#This Row],[Valor Pagado]]</f>
        <v>2.59735</v>
      </c>
      <c r="X851" s="34"/>
    </row>
    <row r="852" spans="1:24">
      <c r="A852" s="49" t="s">
        <v>3875</v>
      </c>
      <c r="B852" s="49" t="s">
        <v>5163</v>
      </c>
      <c r="C852" s="49" t="s">
        <v>2773</v>
      </c>
      <c r="D852" s="49" t="s">
        <v>2774</v>
      </c>
      <c r="E852" s="49" t="s">
        <v>5165</v>
      </c>
      <c r="F852" s="51">
        <v>46230</v>
      </c>
      <c r="G852" s="49">
        <v>6.65</v>
      </c>
      <c r="H852" s="49" t="s">
        <v>16</v>
      </c>
      <c r="I852" s="51">
        <v>46230</v>
      </c>
      <c r="J852" s="54">
        <f>INT(Cobros[[#This Row],[Fecha Cargo]])</f>
        <v>46230</v>
      </c>
      <c r="K852" s="54">
        <f>INT(Cobros[[#This Row],[Fecha Aplicacion]])</f>
        <v>46230</v>
      </c>
      <c r="L852" s="55">
        <f>INDEX(Clientes[Días Plazo],MATCH(Cobros[[#This Row],[Cod. Cliente]],Clientes[Codigo],0),1)</f>
        <v>0</v>
      </c>
      <c r="M852" s="45" t="str">
        <f>IF(Cobros[[#This Row],[Dias de Credito]]&lt;=0,"Contado","Credito")</f>
        <v>Contado</v>
      </c>
      <c r="N852" s="45">
        <f>Cobros[[#This Row],[Fecha Aplicación S]]-Cobros[[#This Row],[Fecha Cargo S]]</f>
        <v>0</v>
      </c>
      <c r="O852" s="45">
        <f>Cobros[[#This Row],[Dias al pago]]-Cobros[[#This Row],[Dias de Credito]]</f>
        <v>0</v>
      </c>
      <c r="P852" s="45">
        <f>SUMIFS(TablaDias[Porcentaje],TablaDias[Tipo],Cobros[[#This Row],[Tipo]],TablaDias[Desde ],"&lt;="&amp;MAX(0,Cobros[[#This Row],[Dias pasado]]),TablaDias[Hasta ],"&gt;="&amp;Cobros[[#This Row],[Dias pasado]])</f>
        <v>100</v>
      </c>
      <c r="Q85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2" s="34">
        <f>IF(COUNTIF(PAPEL[Numero],Cobros[[#This Row],[Doc. Cargo]])&gt;0,1,0)</f>
        <v>0</v>
      </c>
      <c r="S852" s="46">
        <f t="array" ref="S8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52" s="47">
        <v>15.005</v>
      </c>
      <c r="U852" s="34">
        <f>IF(Cobros[[#This Row],[Tipo]]="Credito",IF(60&gt;=Cobros[[#This Row],[Dias al pago]],1,0),IF(Cobros[[#This Row],[Dias al pago]]&lt;=3,1,0))</f>
        <v>1</v>
      </c>
      <c r="V852" s="46">
        <f>(Cobros[[#This Row],[% A pagar Vendedor]]/100)*Cobros[[#This Row],[Valor Pagado]]*Cobros[[#This Row],[Vencido]]*(Cobros[[#This Row],[% aplicar]]/100)*IF(Cobros[[#This Row],[% A pagar Vendedor]]&gt;0,1,0)</f>
        <v>0.083125</v>
      </c>
      <c r="W852" s="46">
        <f>0.5%*Cobros[[#This Row],[Valor Pagado]]</f>
        <v>0.03325</v>
      </c>
      <c r="X852" s="34"/>
    </row>
    <row r="853" ht="30" spans="1:24">
      <c r="A853" s="49" t="s">
        <v>3860</v>
      </c>
      <c r="B853" s="49" t="s">
        <v>5166</v>
      </c>
      <c r="C853" s="49" t="s">
        <v>1384</v>
      </c>
      <c r="D853" s="49" t="s">
        <v>1385</v>
      </c>
      <c r="E853" s="49" t="s">
        <v>5167</v>
      </c>
      <c r="F853" s="51">
        <v>46196</v>
      </c>
      <c r="G853" s="49">
        <v>2394</v>
      </c>
      <c r="H853" s="49" t="s">
        <v>22</v>
      </c>
      <c r="I853" s="51">
        <v>46230</v>
      </c>
      <c r="J853" s="54">
        <f>INT(Cobros[[#This Row],[Fecha Cargo]])</f>
        <v>46196</v>
      </c>
      <c r="K853" s="54">
        <f>INT(Cobros[[#This Row],[Fecha Aplicacion]])</f>
        <v>46230</v>
      </c>
      <c r="L853" s="55" t="str">
        <f>INDEX(Clientes[Días Plazo],MATCH(Cobros[[#This Row],[Cod. Cliente]],Clientes[Codigo],0),1)</f>
        <v>21</v>
      </c>
      <c r="M853" s="45" t="str">
        <f>IF(Cobros[[#This Row],[Dias de Credito]]&lt;=0,"Contado","Credito")</f>
        <v>Credito</v>
      </c>
      <c r="N853" s="45">
        <f>Cobros[[#This Row],[Fecha Aplicación S]]-Cobros[[#This Row],[Fecha Cargo S]]</f>
        <v>34</v>
      </c>
      <c r="O853" s="45">
        <f>Cobros[[#This Row],[Dias al pago]]-Cobros[[#This Row],[Dias de Credito]]</f>
        <v>13</v>
      </c>
      <c r="P853" s="45">
        <f>SUMIFS(TablaDias[Porcentaje],TablaDias[Tipo],Cobros[[#This Row],[Tipo]],TablaDias[Desde ],"&lt;="&amp;MAX(0,Cobros[[#This Row],[Dias pasado]]),TablaDias[Hasta ],"&gt;="&amp;Cobros[[#This Row],[Dias pasado]])</f>
        <v>100</v>
      </c>
      <c r="Q85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53" s="34">
        <f>IF(COUNTIF(PAPEL[Numero],Cobros[[#This Row],[Doc. Cargo]])&gt;0,1,0)</f>
        <v>0</v>
      </c>
      <c r="S853" s="46">
        <f t="array" ref="S8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53" s="47">
        <v>16.005</v>
      </c>
      <c r="U853" s="34">
        <f>IF(Cobros[[#This Row],[Tipo]]="Credito",IF(60&gt;=Cobros[[#This Row],[Dias al pago]],1,0),IF(Cobros[[#This Row],[Dias al pago]]&lt;=3,1,0))</f>
        <v>1</v>
      </c>
      <c r="V853" s="46">
        <f>(Cobros[[#This Row],[% A pagar Vendedor]]/100)*Cobros[[#This Row],[Valor Pagado]]*Cobros[[#This Row],[Vencido]]*(Cobros[[#This Row],[% aplicar]]/100)*IF(Cobros[[#This Row],[% A pagar Vendedor]]&gt;0,1,0)</f>
        <v>23.94</v>
      </c>
      <c r="W853" s="46">
        <f>0.5%*Cobros[[#This Row],[Valor Pagado]]</f>
        <v>11.97</v>
      </c>
      <c r="X853" s="34"/>
    </row>
    <row r="854" ht="30" spans="1:24">
      <c r="A854" s="49" t="s">
        <v>3860</v>
      </c>
      <c r="B854" s="49" t="s">
        <v>5168</v>
      </c>
      <c r="C854" s="49" t="s">
        <v>1386</v>
      </c>
      <c r="D854" s="49" t="s">
        <v>1387</v>
      </c>
      <c r="E854" s="49" t="s">
        <v>5169</v>
      </c>
      <c r="F854" s="51">
        <v>46196</v>
      </c>
      <c r="G854" s="49">
        <v>3412.5</v>
      </c>
      <c r="H854" s="49" t="s">
        <v>22</v>
      </c>
      <c r="I854" s="51">
        <v>46230</v>
      </c>
      <c r="J854" s="54">
        <f>INT(Cobros[[#This Row],[Fecha Cargo]])</f>
        <v>46196</v>
      </c>
      <c r="K854" s="54">
        <f>INT(Cobros[[#This Row],[Fecha Aplicacion]])</f>
        <v>46230</v>
      </c>
      <c r="L854" s="55" t="str">
        <f>INDEX(Clientes[Días Plazo],MATCH(Cobros[[#This Row],[Cod. Cliente]],Clientes[Codigo],0),1)</f>
        <v>21</v>
      </c>
      <c r="M854" s="45" t="str">
        <f>IF(Cobros[[#This Row],[Dias de Credito]]&lt;=0,"Contado","Credito")</f>
        <v>Credito</v>
      </c>
      <c r="N854" s="45">
        <f>Cobros[[#This Row],[Fecha Aplicación S]]-Cobros[[#This Row],[Fecha Cargo S]]</f>
        <v>34</v>
      </c>
      <c r="O854" s="45">
        <f>Cobros[[#This Row],[Dias al pago]]-Cobros[[#This Row],[Dias de Credito]]</f>
        <v>13</v>
      </c>
      <c r="P854" s="45">
        <f>SUMIFS(TablaDias[Porcentaje],TablaDias[Tipo],Cobros[[#This Row],[Tipo]],TablaDias[Desde ],"&lt;="&amp;MAX(0,Cobros[[#This Row],[Dias pasado]]),TablaDias[Hasta ],"&gt;="&amp;Cobros[[#This Row],[Dias pasado]])</f>
        <v>100</v>
      </c>
      <c r="Q85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54" s="34">
        <f>IF(COUNTIF(PAPEL[Numero],Cobros[[#This Row],[Doc. Cargo]])&gt;0,1,0)</f>
        <v>0</v>
      </c>
      <c r="S854" s="46">
        <f t="array" ref="S8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54" s="47">
        <v>17.005</v>
      </c>
      <c r="U854" s="34">
        <f>IF(Cobros[[#This Row],[Tipo]]="Credito",IF(60&gt;=Cobros[[#This Row],[Dias al pago]],1,0),IF(Cobros[[#This Row],[Dias al pago]]&lt;=3,1,0))</f>
        <v>1</v>
      </c>
      <c r="V854" s="46">
        <f>(Cobros[[#This Row],[% A pagar Vendedor]]/100)*Cobros[[#This Row],[Valor Pagado]]*Cobros[[#This Row],[Vencido]]*(Cobros[[#This Row],[% aplicar]]/100)*IF(Cobros[[#This Row],[% A pagar Vendedor]]&gt;0,1,0)</f>
        <v>34.125</v>
      </c>
      <c r="W854" s="46">
        <f>0.5%*Cobros[[#This Row],[Valor Pagado]]</f>
        <v>17.0625</v>
      </c>
      <c r="X854" s="34"/>
    </row>
    <row r="855" ht="30" spans="1:24">
      <c r="A855" s="49" t="s">
        <v>3860</v>
      </c>
      <c r="B855" s="49" t="s">
        <v>5170</v>
      </c>
      <c r="C855" s="49" t="s">
        <v>1382</v>
      </c>
      <c r="D855" s="49" t="s">
        <v>1383</v>
      </c>
      <c r="E855" s="49" t="s">
        <v>5171</v>
      </c>
      <c r="F855" s="51">
        <v>46196</v>
      </c>
      <c r="G855" s="49">
        <v>3412.5</v>
      </c>
      <c r="H855" s="49" t="s">
        <v>22</v>
      </c>
      <c r="I855" s="51">
        <v>46230</v>
      </c>
      <c r="J855" s="54">
        <f>INT(Cobros[[#This Row],[Fecha Cargo]])</f>
        <v>46196</v>
      </c>
      <c r="K855" s="54">
        <f>INT(Cobros[[#This Row],[Fecha Aplicacion]])</f>
        <v>46230</v>
      </c>
      <c r="L855" s="55" t="str">
        <f>INDEX(Clientes[Días Plazo],MATCH(Cobros[[#This Row],[Cod. Cliente]],Clientes[Codigo],0),1)</f>
        <v>21</v>
      </c>
      <c r="M855" s="45" t="str">
        <f>IF(Cobros[[#This Row],[Dias de Credito]]&lt;=0,"Contado","Credito")</f>
        <v>Credito</v>
      </c>
      <c r="N855" s="45">
        <f>Cobros[[#This Row],[Fecha Aplicación S]]-Cobros[[#This Row],[Fecha Cargo S]]</f>
        <v>34</v>
      </c>
      <c r="O855" s="45">
        <f>Cobros[[#This Row],[Dias al pago]]-Cobros[[#This Row],[Dias de Credito]]</f>
        <v>13</v>
      </c>
      <c r="P855" s="45">
        <f>SUMIFS(TablaDias[Porcentaje],TablaDias[Tipo],Cobros[[#This Row],[Tipo]],TablaDias[Desde ],"&lt;="&amp;MAX(0,Cobros[[#This Row],[Dias pasado]]),TablaDias[Hasta ],"&gt;="&amp;Cobros[[#This Row],[Dias pasado]])</f>
        <v>100</v>
      </c>
      <c r="Q85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55" s="34">
        <f>IF(COUNTIF(PAPEL[Numero],Cobros[[#This Row],[Doc. Cargo]])&gt;0,1,0)</f>
        <v>0</v>
      </c>
      <c r="S855" s="46">
        <f t="array" ref="S8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55" s="47">
        <v>18.005</v>
      </c>
      <c r="U855" s="34">
        <f>IF(Cobros[[#This Row],[Tipo]]="Credito",IF(60&gt;=Cobros[[#This Row],[Dias al pago]],1,0),IF(Cobros[[#This Row],[Dias al pago]]&lt;=3,1,0))</f>
        <v>1</v>
      </c>
      <c r="V855" s="46">
        <f>(Cobros[[#This Row],[% A pagar Vendedor]]/100)*Cobros[[#This Row],[Valor Pagado]]*Cobros[[#This Row],[Vencido]]*(Cobros[[#This Row],[% aplicar]]/100)*IF(Cobros[[#This Row],[% A pagar Vendedor]]&gt;0,1,0)</f>
        <v>34.125</v>
      </c>
      <c r="W855" s="46">
        <f>0.5%*Cobros[[#This Row],[Valor Pagado]]</f>
        <v>17.0625</v>
      </c>
      <c r="X855" s="34"/>
    </row>
    <row r="856" ht="30" spans="1:24">
      <c r="A856" s="49" t="s">
        <v>3954</v>
      </c>
      <c r="B856" s="49" t="s">
        <v>5172</v>
      </c>
      <c r="C856" s="49" t="s">
        <v>444</v>
      </c>
      <c r="D856" s="49" t="s">
        <v>445</v>
      </c>
      <c r="E856" s="49" t="s">
        <v>5173</v>
      </c>
      <c r="F856" s="51">
        <v>46230</v>
      </c>
      <c r="G856" s="49">
        <v>49.95</v>
      </c>
      <c r="H856" s="49" t="s">
        <v>3865</v>
      </c>
      <c r="I856" s="51">
        <v>46230</v>
      </c>
      <c r="J856" s="54">
        <f>INT(Cobros[[#This Row],[Fecha Cargo]])</f>
        <v>46230</v>
      </c>
      <c r="K856" s="54">
        <f>INT(Cobros[[#This Row],[Fecha Aplicacion]])</f>
        <v>46230</v>
      </c>
      <c r="L856" s="55">
        <f>INDEX(Clientes[Días Plazo],MATCH(Cobros[[#This Row],[Cod. Cliente]],Clientes[Codigo],0),1)</f>
        <v>0</v>
      </c>
      <c r="M856" s="45" t="str">
        <f>IF(Cobros[[#This Row],[Dias de Credito]]&lt;=0,"Contado","Credito")</f>
        <v>Contado</v>
      </c>
      <c r="N856" s="45">
        <f>Cobros[[#This Row],[Fecha Aplicación S]]-Cobros[[#This Row],[Fecha Cargo S]]</f>
        <v>0</v>
      </c>
      <c r="O856" s="45">
        <f>Cobros[[#This Row],[Dias al pago]]-Cobros[[#This Row],[Dias de Credito]]</f>
        <v>0</v>
      </c>
      <c r="P856" s="45">
        <f>SUMIFS(TablaDias[Porcentaje],TablaDias[Tipo],Cobros[[#This Row],[Tipo]],TablaDias[Desde ],"&lt;="&amp;MAX(0,Cobros[[#This Row],[Dias pasado]]),TablaDias[Hasta ],"&gt;="&amp;Cobros[[#This Row],[Dias pasado]])</f>
        <v>100</v>
      </c>
      <c r="Q85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6" s="34">
        <f>IF(COUNTIF(PAPEL[Numero],Cobros[[#This Row],[Doc. Cargo]])&gt;0,1,0)</f>
        <v>0</v>
      </c>
      <c r="S856" s="46">
        <v>1</v>
      </c>
      <c r="T856" s="47">
        <v>19.005</v>
      </c>
      <c r="U856" s="34">
        <f>IF(Cobros[[#This Row],[Tipo]]="Credito",IF(60&gt;=Cobros[[#This Row],[Dias al pago]],1,0),IF(Cobros[[#This Row],[Dias al pago]]&lt;=3,1,0))</f>
        <v>1</v>
      </c>
      <c r="V856" s="46">
        <f>(Cobros[[#This Row],[% A pagar Vendedor]]/100)*Cobros[[#This Row],[Valor Pagado]]*Cobros[[#This Row],[Vencido]]*(Cobros[[#This Row],[% aplicar]]/100)*IF(Cobros[[#This Row],[% A pagar Vendedor]]&gt;0,1,0)</f>
        <v>0.4995</v>
      </c>
      <c r="W856" s="46">
        <f>0.5%*Cobros[[#This Row],[Valor Pagado]]</f>
        <v>0.24975</v>
      </c>
      <c r="X856" s="34"/>
    </row>
    <row r="857" spans="1:24">
      <c r="A857" s="49" t="s">
        <v>3860</v>
      </c>
      <c r="B857" s="49" t="s">
        <v>5174</v>
      </c>
      <c r="C857" s="49" t="s">
        <v>1222</v>
      </c>
      <c r="D857" s="49" t="s">
        <v>1223</v>
      </c>
      <c r="E857" s="49" t="s">
        <v>5113</v>
      </c>
      <c r="F857" s="51">
        <v>46226</v>
      </c>
      <c r="G857" s="49">
        <v>689.19</v>
      </c>
      <c r="H857" s="49" t="s">
        <v>20</v>
      </c>
      <c r="I857" s="51">
        <v>46230</v>
      </c>
      <c r="J857" s="54">
        <f>INT(Cobros[[#This Row],[Fecha Cargo]])</f>
        <v>46226</v>
      </c>
      <c r="K857" s="54">
        <f>INT(Cobros[[#This Row],[Fecha Aplicacion]])</f>
        <v>46230</v>
      </c>
      <c r="L857" s="55" t="str">
        <f>INDEX(Clientes[Días Plazo],MATCH(Cobros[[#This Row],[Cod. Cliente]],Clientes[Codigo],0),1)</f>
        <v>7</v>
      </c>
      <c r="M857" s="45" t="str">
        <f>IF(Cobros[[#This Row],[Dias de Credito]]&lt;=0,"Contado","Credito")</f>
        <v>Credito</v>
      </c>
      <c r="N857" s="45">
        <f>Cobros[[#This Row],[Fecha Aplicación S]]-Cobros[[#This Row],[Fecha Cargo S]]</f>
        <v>4</v>
      </c>
      <c r="O857" s="45">
        <f>Cobros[[#This Row],[Dias al pago]]-Cobros[[#This Row],[Dias de Credito]]</f>
        <v>-3</v>
      </c>
      <c r="P857" s="45">
        <f>SUMIFS(TablaDias[Porcentaje],TablaDias[Tipo],Cobros[[#This Row],[Tipo]],TablaDias[Desde ],"&lt;="&amp;MAX(0,Cobros[[#This Row],[Dias pasado]]),TablaDias[Hasta ],"&gt;="&amp;Cobros[[#This Row],[Dias pasado]])</f>
        <v>100</v>
      </c>
      <c r="Q85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7" s="34">
        <f>IF(COUNTIF(PAPEL[Numero],Cobros[[#This Row],[Doc. Cargo]])&gt;0,1,0)</f>
        <v>0</v>
      </c>
      <c r="S857" s="46">
        <f t="array" ref="S8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57" s="47">
        <v>20.005</v>
      </c>
      <c r="U857" s="34">
        <f>IF(Cobros[[#This Row],[Tipo]]="Credito",IF(60&gt;=Cobros[[#This Row],[Dias al pago]],1,0),IF(Cobros[[#This Row],[Dias al pago]]&lt;=3,1,0))</f>
        <v>1</v>
      </c>
      <c r="V857" s="46">
        <f>(Cobros[[#This Row],[% A pagar Vendedor]]/100)*Cobros[[#This Row],[Valor Pagado]]*Cobros[[#This Row],[Vencido]]*(Cobros[[#This Row],[% aplicar]]/100)*IF(Cobros[[#This Row],[% A pagar Vendedor]]&gt;0,1,0)</f>
        <v>8.614875</v>
      </c>
      <c r="W857" s="46">
        <f>0.5%*Cobros[[#This Row],[Valor Pagado]]</f>
        <v>3.44595</v>
      </c>
      <c r="X857" s="34"/>
    </row>
    <row r="858" spans="1:24">
      <c r="A858" s="49" t="s">
        <v>3931</v>
      </c>
      <c r="B858" s="49" t="s">
        <v>5175</v>
      </c>
      <c r="C858" s="49" t="s">
        <v>1530</v>
      </c>
      <c r="D858" s="49" t="s">
        <v>1531</v>
      </c>
      <c r="E858" s="49" t="s">
        <v>5176</v>
      </c>
      <c r="F858" s="51">
        <v>46211</v>
      </c>
      <c r="G858" s="49">
        <v>4801.45</v>
      </c>
      <c r="H858" s="49" t="s">
        <v>19</v>
      </c>
      <c r="I858" s="51">
        <v>46225</v>
      </c>
      <c r="J858" s="54">
        <f>INT(Cobros[[#This Row],[Fecha Cargo]])</f>
        <v>46211</v>
      </c>
      <c r="K858" s="54">
        <f>INT(Cobros[[#This Row],[Fecha Aplicacion]])</f>
        <v>46225</v>
      </c>
      <c r="L858" s="55" t="str">
        <f>INDEX(Clientes[Días Plazo],MATCH(Cobros[[#This Row],[Cod. Cliente]],Clientes[Codigo],0),1)</f>
        <v>7</v>
      </c>
      <c r="M858" s="45" t="str">
        <f>IF(Cobros[[#This Row],[Dias de Credito]]&lt;=0,"Contado","Credito")</f>
        <v>Credito</v>
      </c>
      <c r="N858" s="45">
        <f>Cobros[[#This Row],[Fecha Aplicación S]]-Cobros[[#This Row],[Fecha Cargo S]]</f>
        <v>14</v>
      </c>
      <c r="O858" s="45">
        <f>Cobros[[#This Row],[Dias al pago]]-Cobros[[#This Row],[Dias de Credito]]</f>
        <v>7</v>
      </c>
      <c r="P858" s="45">
        <f>SUMIFS(TablaDias[Porcentaje],TablaDias[Tipo],Cobros[[#This Row],[Tipo]],TablaDias[Desde ],"&lt;="&amp;MAX(0,Cobros[[#This Row],[Dias pasado]]),TablaDias[Hasta ],"&gt;="&amp;Cobros[[#This Row],[Dias pasado]])</f>
        <v>100</v>
      </c>
      <c r="Q85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8" s="34">
        <f>IF(COUNTIF(PAPEL[Numero],Cobros[[#This Row],[Doc. Cargo]])&gt;0,1,0)</f>
        <v>0</v>
      </c>
      <c r="S858" s="46">
        <f t="array" ref="S8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58" s="47">
        <v>21.005</v>
      </c>
      <c r="U858" s="34">
        <f>IF(Cobros[[#This Row],[Tipo]]="Credito",IF(60&gt;=Cobros[[#This Row],[Dias al pago]],1,0),IF(Cobros[[#This Row],[Dias al pago]]&lt;=3,1,0))</f>
        <v>1</v>
      </c>
      <c r="V858" s="46">
        <f>(Cobros[[#This Row],[% A pagar Vendedor]]/100)*Cobros[[#This Row],[Valor Pagado]]*Cobros[[#This Row],[Vencido]]*(Cobros[[#This Row],[% aplicar]]/100)*IF(Cobros[[#This Row],[% A pagar Vendedor]]&gt;0,1,0)</f>
        <v>60.018125</v>
      </c>
      <c r="W858" s="46">
        <f>0.5%*Cobros[[#This Row],[Valor Pagado]]</f>
        <v>24.00725</v>
      </c>
      <c r="X858" s="34"/>
    </row>
    <row r="859" ht="30" spans="1:24">
      <c r="A859" s="49" t="s">
        <v>3860</v>
      </c>
      <c r="B859" s="49" t="s">
        <v>5177</v>
      </c>
      <c r="C859" s="49" t="s">
        <v>1176</v>
      </c>
      <c r="D859" s="49" t="s">
        <v>1177</v>
      </c>
      <c r="E859" s="49" t="s">
        <v>5178</v>
      </c>
      <c r="F859" s="51">
        <v>46230</v>
      </c>
      <c r="G859" s="49">
        <v>2100</v>
      </c>
      <c r="H859" s="49" t="s">
        <v>3865</v>
      </c>
      <c r="I859" s="51">
        <v>46231</v>
      </c>
      <c r="J859" s="54">
        <f>INT(Cobros[[#This Row],[Fecha Cargo]])</f>
        <v>46230</v>
      </c>
      <c r="K859" s="54">
        <f>INT(Cobros[[#This Row],[Fecha Aplicacion]])</f>
        <v>46231</v>
      </c>
      <c r="L859" s="55">
        <f>INDEX(Clientes[Días Plazo],MATCH(Cobros[[#This Row],[Cod. Cliente]],Clientes[Codigo],0),1)</f>
        <v>0</v>
      </c>
      <c r="M859" s="45" t="str">
        <f>IF(Cobros[[#This Row],[Dias de Credito]]&lt;=0,"Contado","Credito")</f>
        <v>Contado</v>
      </c>
      <c r="N859" s="45">
        <f>Cobros[[#This Row],[Fecha Aplicación S]]-Cobros[[#This Row],[Fecha Cargo S]]</f>
        <v>1</v>
      </c>
      <c r="O859" s="45">
        <f>Cobros[[#This Row],[Dias al pago]]-Cobros[[#This Row],[Dias de Credito]]</f>
        <v>1</v>
      </c>
      <c r="P859" s="45">
        <f>SUMIFS(TablaDias[Porcentaje],TablaDias[Tipo],Cobros[[#This Row],[Tipo]],TablaDias[Desde ],"&lt;="&amp;MAX(0,Cobros[[#This Row],[Dias pasado]]),TablaDias[Hasta ],"&gt;="&amp;Cobros[[#This Row],[Dias pasado]])</f>
        <v>100</v>
      </c>
      <c r="Q85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59" s="34">
        <f>IF(COUNTIF(PAPEL[Numero],Cobros[[#This Row],[Doc. Cargo]])&gt;0,1,0)</f>
        <v>0</v>
      </c>
      <c r="S859" s="46">
        <v>1</v>
      </c>
      <c r="T859" s="47">
        <v>22.005</v>
      </c>
      <c r="U859" s="34">
        <f>IF(Cobros[[#This Row],[Tipo]]="Credito",IF(60&gt;=Cobros[[#This Row],[Dias al pago]],1,0),IF(Cobros[[#This Row],[Dias al pago]]&lt;=3,1,0))</f>
        <v>1</v>
      </c>
      <c r="V859" s="46">
        <f>(Cobros[[#This Row],[% A pagar Vendedor]]/100)*Cobros[[#This Row],[Valor Pagado]]*Cobros[[#This Row],[Vencido]]*(Cobros[[#This Row],[% aplicar]]/100)*IF(Cobros[[#This Row],[% A pagar Vendedor]]&gt;0,1,0)</f>
        <v>21</v>
      </c>
      <c r="W859" s="46">
        <f>0.5%*Cobros[[#This Row],[Valor Pagado]]</f>
        <v>10.5</v>
      </c>
      <c r="X859" s="34"/>
    </row>
    <row r="860" ht="30" spans="1:24">
      <c r="A860" s="49" t="s">
        <v>3860</v>
      </c>
      <c r="B860" s="49" t="s">
        <v>5179</v>
      </c>
      <c r="C860" s="49" t="s">
        <v>1106</v>
      </c>
      <c r="D860" s="49" t="s">
        <v>1107</v>
      </c>
      <c r="E860" s="49" t="s">
        <v>5162</v>
      </c>
      <c r="F860" s="51">
        <v>46230</v>
      </c>
      <c r="G860" s="49">
        <v>2.25</v>
      </c>
      <c r="H860" s="49" t="s">
        <v>3865</v>
      </c>
      <c r="I860" s="51">
        <v>46231</v>
      </c>
      <c r="J860" s="54">
        <f>INT(Cobros[[#This Row],[Fecha Cargo]])</f>
        <v>46230</v>
      </c>
      <c r="K860" s="54">
        <f>INT(Cobros[[#This Row],[Fecha Aplicacion]])</f>
        <v>46231</v>
      </c>
      <c r="L860" s="55">
        <f>INDEX(Clientes[Días Plazo],MATCH(Cobros[[#This Row],[Cod. Cliente]],Clientes[Codigo],0),1)</f>
        <v>0</v>
      </c>
      <c r="M860" s="45" t="str">
        <f>IF(Cobros[[#This Row],[Dias de Credito]]&lt;=0,"Contado","Credito")</f>
        <v>Contado</v>
      </c>
      <c r="N860" s="45">
        <f>Cobros[[#This Row],[Fecha Aplicación S]]-Cobros[[#This Row],[Fecha Cargo S]]</f>
        <v>1</v>
      </c>
      <c r="O860" s="45">
        <f>Cobros[[#This Row],[Dias al pago]]-Cobros[[#This Row],[Dias de Credito]]</f>
        <v>1</v>
      </c>
      <c r="P860" s="45">
        <f>SUMIFS(TablaDias[Porcentaje],TablaDias[Tipo],Cobros[[#This Row],[Tipo]],TablaDias[Desde ],"&lt;="&amp;MAX(0,Cobros[[#This Row],[Dias pasado]]),TablaDias[Hasta ],"&gt;="&amp;Cobros[[#This Row],[Dias pasado]])</f>
        <v>100</v>
      </c>
      <c r="Q86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0" s="34">
        <f>IF(COUNTIF(PAPEL[Numero],Cobros[[#This Row],[Doc. Cargo]])&gt;0,1,0)</f>
        <v>0</v>
      </c>
      <c r="S860" s="46">
        <v>1</v>
      </c>
      <c r="T860" s="47">
        <v>23.005</v>
      </c>
      <c r="U860" s="34">
        <f>IF(Cobros[[#This Row],[Tipo]]="Credito",IF(60&gt;=Cobros[[#This Row],[Dias al pago]],1,0),IF(Cobros[[#This Row],[Dias al pago]]&lt;=3,1,0))</f>
        <v>1</v>
      </c>
      <c r="V860" s="46">
        <f>(Cobros[[#This Row],[% A pagar Vendedor]]/100)*Cobros[[#This Row],[Valor Pagado]]*Cobros[[#This Row],[Vencido]]*(Cobros[[#This Row],[% aplicar]]/100)*IF(Cobros[[#This Row],[% A pagar Vendedor]]&gt;0,1,0)</f>
        <v>0.0225</v>
      </c>
      <c r="W860" s="46">
        <f>0.5%*Cobros[[#This Row],[Valor Pagado]]</f>
        <v>0.01125</v>
      </c>
      <c r="X860" s="34"/>
    </row>
    <row r="861" ht="30" spans="1:23">
      <c r="A861" s="49" t="s">
        <v>3860</v>
      </c>
      <c r="B861" s="49" t="s">
        <v>5180</v>
      </c>
      <c r="C861" s="49" t="s">
        <v>534</v>
      </c>
      <c r="D861" s="49" t="s">
        <v>535</v>
      </c>
      <c r="E861" s="49" t="s">
        <v>4266</v>
      </c>
      <c r="F861" s="51">
        <v>46176</v>
      </c>
      <c r="G861" s="49">
        <v>113.87</v>
      </c>
      <c r="H861" s="49" t="s">
        <v>3865</v>
      </c>
      <c r="I861" s="51">
        <v>46231</v>
      </c>
      <c r="J861" s="54">
        <f>INT(Cobros[[#This Row],[Fecha Cargo]])</f>
        <v>46176</v>
      </c>
      <c r="K861" s="54">
        <f>INT(Cobros[[#This Row],[Fecha Aplicacion]])</f>
        <v>46231</v>
      </c>
      <c r="L861" s="55" t="str">
        <f>INDEX(Clientes[Días Plazo],MATCH(Cobros[[#This Row],[Cod. Cliente]],Clientes[Codigo],0),1)</f>
        <v>21</v>
      </c>
      <c r="M861" s="45" t="str">
        <f>IF(Cobros[[#This Row],[Dias de Credito]]&lt;=0,"Contado","Credito")</f>
        <v>Credito</v>
      </c>
      <c r="N861" s="45">
        <f>Cobros[[#This Row],[Fecha Aplicación S]]-Cobros[[#This Row],[Fecha Cargo S]]</f>
        <v>55</v>
      </c>
      <c r="O861" s="45">
        <f>Cobros[[#This Row],[Dias al pago]]-Cobros[[#This Row],[Dias de Credito]]</f>
        <v>34</v>
      </c>
      <c r="P861" s="45">
        <f>SUMIFS(TablaDias[Porcentaje],TablaDias[Tipo],Cobros[[#This Row],[Tipo]],TablaDias[Desde ],"&lt;="&amp;MAX(0,Cobros[[#This Row],[Dias pasado]]),TablaDias[Hasta ],"&gt;="&amp;Cobros[[#This Row],[Dias pasado]])</f>
        <v>30</v>
      </c>
      <c r="Q86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61" s="34">
        <f>IF(COUNTIF(PAPEL[Numero],Cobros[[#This Row],[Doc. Cargo]])&gt;0,1,0)</f>
        <v>0</v>
      </c>
      <c r="S861" s="46">
        <v>1</v>
      </c>
      <c r="T861" s="47">
        <v>24.005</v>
      </c>
      <c r="U861" s="34">
        <f>IF(Cobros[[#This Row],[Tipo]]="Credito",IF(60&gt;=Cobros[[#This Row],[Dias al pago]],1,0),IF(Cobros[[#This Row],[Dias al pago]]&lt;=3,1,0))</f>
        <v>1</v>
      </c>
      <c r="V861" s="46">
        <f>(Cobros[[#This Row],[% A pagar Vendedor]]/100)*Cobros[[#This Row],[Valor Pagado]]*Cobros[[#This Row],[Vencido]]*(Cobros[[#This Row],[% aplicar]]/100)*IF(Cobros[[#This Row],[% A pagar Vendedor]]&gt;0,1,0)</f>
        <v>0.34161</v>
      </c>
      <c r="W861" s="46">
        <f>0.5%*Cobros[[#This Row],[Valor Pagado]]</f>
        <v>0.56935</v>
      </c>
    </row>
    <row r="862" ht="30" spans="1:24">
      <c r="A862" s="49" t="s">
        <v>3860</v>
      </c>
      <c r="B862" s="49" t="s">
        <v>5180</v>
      </c>
      <c r="C862" s="49" t="s">
        <v>534</v>
      </c>
      <c r="D862" s="49" t="s">
        <v>535</v>
      </c>
      <c r="E862" s="49" t="s">
        <v>5181</v>
      </c>
      <c r="F862" s="51">
        <v>46181</v>
      </c>
      <c r="G862" s="49">
        <v>886.13</v>
      </c>
      <c r="H862" s="49" t="s">
        <v>3865</v>
      </c>
      <c r="I862" s="51">
        <v>46231</v>
      </c>
      <c r="J862" s="54">
        <f>INT(Cobros[[#This Row],[Fecha Cargo]])</f>
        <v>46181</v>
      </c>
      <c r="K862" s="54">
        <f>INT(Cobros[[#This Row],[Fecha Aplicacion]])</f>
        <v>46231</v>
      </c>
      <c r="L862" s="55" t="str">
        <f>INDEX(Clientes[Días Plazo],MATCH(Cobros[[#This Row],[Cod. Cliente]],Clientes[Codigo],0),1)</f>
        <v>21</v>
      </c>
      <c r="M862" s="45" t="str">
        <f>IF(Cobros[[#This Row],[Dias de Credito]]&lt;=0,"Contado","Credito")</f>
        <v>Credito</v>
      </c>
      <c r="N862" s="45">
        <f>Cobros[[#This Row],[Fecha Aplicación S]]-Cobros[[#This Row],[Fecha Cargo S]]</f>
        <v>50</v>
      </c>
      <c r="O862" s="45">
        <f>Cobros[[#This Row],[Dias al pago]]-Cobros[[#This Row],[Dias de Credito]]</f>
        <v>29</v>
      </c>
      <c r="P862" s="45">
        <f>SUMIFS(TablaDias[Porcentaje],TablaDias[Tipo],Cobros[[#This Row],[Tipo]],TablaDias[Desde ],"&lt;="&amp;MAX(0,Cobros[[#This Row],[Dias pasado]]),TablaDias[Hasta ],"&gt;="&amp;Cobros[[#This Row],[Dias pasado]])</f>
        <v>50</v>
      </c>
      <c r="Q86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62" s="34">
        <f>IF(COUNTIF(PAPEL[Numero],Cobros[[#This Row],[Doc. Cargo]])&gt;0,1,0)</f>
        <v>0</v>
      </c>
      <c r="S862" s="46">
        <v>1</v>
      </c>
      <c r="T862" s="47">
        <v>25.005</v>
      </c>
      <c r="U862" s="34">
        <f>IF(Cobros[[#This Row],[Tipo]]="Credito",IF(60&gt;=Cobros[[#This Row],[Dias al pago]],1,0),IF(Cobros[[#This Row],[Dias al pago]]&lt;=3,1,0))</f>
        <v>1</v>
      </c>
      <c r="V862" s="46">
        <f>(Cobros[[#This Row],[% A pagar Vendedor]]/100)*Cobros[[#This Row],[Valor Pagado]]*Cobros[[#This Row],[Vencido]]*(Cobros[[#This Row],[% aplicar]]/100)*IF(Cobros[[#This Row],[% A pagar Vendedor]]&gt;0,1,0)</f>
        <v>4.43065</v>
      </c>
      <c r="W862" s="46">
        <f>0.5%*Cobros[[#This Row],[Valor Pagado]]</f>
        <v>4.43065</v>
      </c>
      <c r="X862" s="69"/>
    </row>
    <row r="863" spans="1:24">
      <c r="A863" s="49" t="s">
        <v>3860</v>
      </c>
      <c r="B863" s="49" t="s">
        <v>5182</v>
      </c>
      <c r="C863" s="49" t="s">
        <v>390</v>
      </c>
      <c r="D863" s="49" t="s">
        <v>391</v>
      </c>
      <c r="E863" s="49" t="s">
        <v>5183</v>
      </c>
      <c r="F863" s="51">
        <v>46224</v>
      </c>
      <c r="G863" s="49">
        <v>1103.35</v>
      </c>
      <c r="H863" s="49" t="s">
        <v>20</v>
      </c>
      <c r="I863" s="51">
        <v>46223</v>
      </c>
      <c r="J863" s="54">
        <f>INT(Cobros[[#This Row],[Fecha Cargo]])</f>
        <v>46224</v>
      </c>
      <c r="K863" s="54">
        <f>INT(Cobros[[#This Row],[Fecha Aplicacion]])</f>
        <v>46223</v>
      </c>
      <c r="L863" s="55">
        <f>INDEX(Clientes[Días Plazo],MATCH(Cobros[[#This Row],[Cod. Cliente]],Clientes[Codigo],0),1)</f>
        <v>0</v>
      </c>
      <c r="M863" s="45" t="str">
        <f>IF(Cobros[[#This Row],[Dias de Credito]]&lt;=0,"Contado","Credito")</f>
        <v>Contado</v>
      </c>
      <c r="N863" s="45">
        <f>Cobros[[#This Row],[Fecha Aplicación S]]-Cobros[[#This Row],[Fecha Cargo S]]</f>
        <v>-1</v>
      </c>
      <c r="O863" s="45">
        <f>Cobros[[#This Row],[Dias al pago]]-Cobros[[#This Row],[Dias de Credito]]</f>
        <v>-1</v>
      </c>
      <c r="P863" s="45">
        <f>SUMIFS(TablaDias[Porcentaje],TablaDias[Tipo],Cobros[[#This Row],[Tipo]],TablaDias[Desde ],"&lt;="&amp;MAX(0,Cobros[[#This Row],[Dias pasado]]),TablaDias[Hasta ],"&gt;="&amp;Cobros[[#This Row],[Dias pasado]])</f>
        <v>100</v>
      </c>
      <c r="Q86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3" s="34">
        <f>IF(COUNTIF(PAPEL[Numero],Cobros[[#This Row],[Doc. Cargo]])&gt;0,1,0)</f>
        <v>0</v>
      </c>
      <c r="S863" s="46">
        <f t="array" ref="S8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3" s="47">
        <v>26.005</v>
      </c>
      <c r="U863" s="34">
        <f>IF(Cobros[[#This Row],[Tipo]]="Credito",IF(60&gt;=Cobros[[#This Row],[Dias al pago]],1,0),IF(Cobros[[#This Row],[Dias al pago]]&lt;=3,1,0))</f>
        <v>1</v>
      </c>
      <c r="V863" s="46">
        <f>(Cobros[[#This Row],[% A pagar Vendedor]]/100)*Cobros[[#This Row],[Valor Pagado]]*Cobros[[#This Row],[Vencido]]*(Cobros[[#This Row],[% aplicar]]/100)*IF(Cobros[[#This Row],[% A pagar Vendedor]]&gt;0,1,0)</f>
        <v>13.791875</v>
      </c>
      <c r="W863" s="46">
        <f>0.5%*Cobros[[#This Row],[Valor Pagado]]</f>
        <v>5.51675</v>
      </c>
      <c r="X863" s="69"/>
    </row>
    <row r="864" spans="1:24">
      <c r="A864" s="49" t="s">
        <v>3860</v>
      </c>
      <c r="B864" s="49" t="s">
        <v>5182</v>
      </c>
      <c r="C864" s="49" t="s">
        <v>390</v>
      </c>
      <c r="D864" s="49" t="s">
        <v>391</v>
      </c>
      <c r="E864" s="49" t="s">
        <v>5184</v>
      </c>
      <c r="F864" s="51">
        <v>46230</v>
      </c>
      <c r="G864" s="49">
        <v>426</v>
      </c>
      <c r="H864" s="49" t="s">
        <v>20</v>
      </c>
      <c r="I864" s="51">
        <v>46223</v>
      </c>
      <c r="J864" s="54">
        <f>INT(Cobros[[#This Row],[Fecha Cargo]])</f>
        <v>46230</v>
      </c>
      <c r="K864" s="54">
        <f>INT(Cobros[[#This Row],[Fecha Aplicacion]])</f>
        <v>46223</v>
      </c>
      <c r="L864" s="55">
        <f>INDEX(Clientes[Días Plazo],MATCH(Cobros[[#This Row],[Cod. Cliente]],Clientes[Codigo],0),1)</f>
        <v>0</v>
      </c>
      <c r="M864" s="45" t="str">
        <f>IF(Cobros[[#This Row],[Dias de Credito]]&lt;=0,"Contado","Credito")</f>
        <v>Contado</v>
      </c>
      <c r="N864" s="45">
        <f>Cobros[[#This Row],[Fecha Aplicación S]]-Cobros[[#This Row],[Fecha Cargo S]]</f>
        <v>-7</v>
      </c>
      <c r="O864" s="45">
        <f>Cobros[[#This Row],[Dias al pago]]-Cobros[[#This Row],[Dias de Credito]]</f>
        <v>-7</v>
      </c>
      <c r="P864" s="45">
        <f>SUMIFS(TablaDias[Porcentaje],TablaDias[Tipo],Cobros[[#This Row],[Tipo]],TablaDias[Desde ],"&lt;="&amp;MAX(0,Cobros[[#This Row],[Dias pasado]]),TablaDias[Hasta ],"&gt;="&amp;Cobros[[#This Row],[Dias pasado]])</f>
        <v>100</v>
      </c>
      <c r="Q86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4" s="34">
        <f>IF(COUNTIF(PAPEL[Numero],Cobros[[#This Row],[Doc. Cargo]])&gt;0,1,0)</f>
        <v>0</v>
      </c>
      <c r="S864" s="46">
        <f t="array" ref="S8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4" s="47">
        <v>27.005</v>
      </c>
      <c r="U864" s="34">
        <f>IF(Cobros[[#This Row],[Tipo]]="Credito",IF(60&gt;=Cobros[[#This Row],[Dias al pago]],1,0),IF(Cobros[[#This Row],[Dias al pago]]&lt;=3,1,0))</f>
        <v>1</v>
      </c>
      <c r="V864" s="46">
        <f>(Cobros[[#This Row],[% A pagar Vendedor]]/100)*Cobros[[#This Row],[Valor Pagado]]*Cobros[[#This Row],[Vencido]]*(Cobros[[#This Row],[% aplicar]]/100)*IF(Cobros[[#This Row],[% A pagar Vendedor]]&gt;0,1,0)</f>
        <v>5.325</v>
      </c>
      <c r="W864" s="46">
        <f>0.5%*Cobros[[#This Row],[Valor Pagado]]</f>
        <v>2.13</v>
      </c>
      <c r="X864" s="69"/>
    </row>
    <row r="865" spans="1:24">
      <c r="A865" s="49" t="s">
        <v>3860</v>
      </c>
      <c r="B865" s="49" t="s">
        <v>5182</v>
      </c>
      <c r="C865" s="49" t="s">
        <v>390</v>
      </c>
      <c r="D865" s="49" t="s">
        <v>391</v>
      </c>
      <c r="E865" s="49" t="s">
        <v>5185</v>
      </c>
      <c r="F865" s="51">
        <v>46230</v>
      </c>
      <c r="G865" s="49">
        <v>54</v>
      </c>
      <c r="H865" s="49" t="s">
        <v>20</v>
      </c>
      <c r="I865" s="51">
        <v>46223</v>
      </c>
      <c r="J865" s="54">
        <f>INT(Cobros[[#This Row],[Fecha Cargo]])</f>
        <v>46230</v>
      </c>
      <c r="K865" s="54">
        <f>INT(Cobros[[#This Row],[Fecha Aplicacion]])</f>
        <v>46223</v>
      </c>
      <c r="L865" s="55">
        <f>INDEX(Clientes[Días Plazo],MATCH(Cobros[[#This Row],[Cod. Cliente]],Clientes[Codigo],0),1)</f>
        <v>0</v>
      </c>
      <c r="M865" s="45" t="str">
        <f>IF(Cobros[[#This Row],[Dias de Credito]]&lt;=0,"Contado","Credito")</f>
        <v>Contado</v>
      </c>
      <c r="N865" s="45">
        <f>Cobros[[#This Row],[Fecha Aplicación S]]-Cobros[[#This Row],[Fecha Cargo S]]</f>
        <v>-7</v>
      </c>
      <c r="O865" s="45">
        <f>Cobros[[#This Row],[Dias al pago]]-Cobros[[#This Row],[Dias de Credito]]</f>
        <v>-7</v>
      </c>
      <c r="P865" s="45">
        <f>SUMIFS(TablaDias[Porcentaje],TablaDias[Tipo],Cobros[[#This Row],[Tipo]],TablaDias[Desde ],"&lt;="&amp;MAX(0,Cobros[[#This Row],[Dias pasado]]),TablaDias[Hasta ],"&gt;="&amp;Cobros[[#This Row],[Dias pasado]])</f>
        <v>100</v>
      </c>
      <c r="Q86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5" s="34">
        <f>IF(COUNTIF(PAPEL[Numero],Cobros[[#This Row],[Doc. Cargo]])&gt;0,1,0)</f>
        <v>0</v>
      </c>
      <c r="S865" s="46">
        <f t="array" ref="S8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5" s="47">
        <v>28.005</v>
      </c>
      <c r="U865" s="34">
        <f>IF(Cobros[[#This Row],[Tipo]]="Credito",IF(60&gt;=Cobros[[#This Row],[Dias al pago]],1,0),IF(Cobros[[#This Row],[Dias al pago]]&lt;=3,1,0))</f>
        <v>1</v>
      </c>
      <c r="V865" s="46">
        <f>(Cobros[[#This Row],[% A pagar Vendedor]]/100)*Cobros[[#This Row],[Valor Pagado]]*Cobros[[#This Row],[Vencido]]*(Cobros[[#This Row],[% aplicar]]/100)*IF(Cobros[[#This Row],[% A pagar Vendedor]]&gt;0,1,0)</f>
        <v>0.675</v>
      </c>
      <c r="W865" s="46">
        <f>0.5%*Cobros[[#This Row],[Valor Pagado]]</f>
        <v>0.27</v>
      </c>
      <c r="X865" s="69"/>
    </row>
    <row r="866" spans="1:24">
      <c r="A866" s="49" t="s">
        <v>3860</v>
      </c>
      <c r="B866" s="49" t="s">
        <v>5186</v>
      </c>
      <c r="C866" s="49" t="s">
        <v>390</v>
      </c>
      <c r="D866" s="49" t="s">
        <v>391</v>
      </c>
      <c r="E866" s="49" t="s">
        <v>5185</v>
      </c>
      <c r="F866" s="51">
        <v>46230</v>
      </c>
      <c r="G866" s="49">
        <v>2502.3</v>
      </c>
      <c r="H866" s="49" t="s">
        <v>20</v>
      </c>
      <c r="I866" s="51">
        <v>46231</v>
      </c>
      <c r="J866" s="54">
        <f>INT(Cobros[[#This Row],[Fecha Cargo]])</f>
        <v>46230</v>
      </c>
      <c r="K866" s="54">
        <f>INT(Cobros[[#This Row],[Fecha Aplicacion]])</f>
        <v>46231</v>
      </c>
      <c r="L866" s="55">
        <f>INDEX(Clientes[Días Plazo],MATCH(Cobros[[#This Row],[Cod. Cliente]],Clientes[Codigo],0),1)</f>
        <v>0</v>
      </c>
      <c r="M866" s="45" t="str">
        <f>IF(Cobros[[#This Row],[Dias de Credito]]&lt;=0,"Contado","Credito")</f>
        <v>Contado</v>
      </c>
      <c r="N866" s="45">
        <f>Cobros[[#This Row],[Fecha Aplicación S]]-Cobros[[#This Row],[Fecha Cargo S]]</f>
        <v>1</v>
      </c>
      <c r="O866" s="45">
        <f>Cobros[[#This Row],[Dias al pago]]-Cobros[[#This Row],[Dias de Credito]]</f>
        <v>1</v>
      </c>
      <c r="P866" s="45">
        <f>SUMIFS(TablaDias[Porcentaje],TablaDias[Tipo],Cobros[[#This Row],[Tipo]],TablaDias[Desde ],"&lt;="&amp;MAX(0,Cobros[[#This Row],[Dias pasado]]),TablaDias[Hasta ],"&gt;="&amp;Cobros[[#This Row],[Dias pasado]])</f>
        <v>100</v>
      </c>
      <c r="Q86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6" s="34">
        <f>IF(COUNTIF(PAPEL[Numero],Cobros[[#This Row],[Doc. Cargo]])&gt;0,1,0)</f>
        <v>0</v>
      </c>
      <c r="S866" s="46">
        <f t="array" ref="S86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6" s="47">
        <v>29.005</v>
      </c>
      <c r="U866" s="34">
        <f>IF(Cobros[[#This Row],[Tipo]]="Credito",IF(60&gt;=Cobros[[#This Row],[Dias al pago]],1,0),IF(Cobros[[#This Row],[Dias al pago]]&lt;=3,1,0))</f>
        <v>1</v>
      </c>
      <c r="V866" s="46">
        <f>(Cobros[[#This Row],[% A pagar Vendedor]]/100)*Cobros[[#This Row],[Valor Pagado]]*Cobros[[#This Row],[Vencido]]*(Cobros[[#This Row],[% aplicar]]/100)*IF(Cobros[[#This Row],[% A pagar Vendedor]]&gt;0,1,0)</f>
        <v>31.27875</v>
      </c>
      <c r="W866" s="46">
        <f>0.5%*Cobros[[#This Row],[Valor Pagado]]</f>
        <v>12.5115</v>
      </c>
      <c r="X866" s="69"/>
    </row>
    <row r="867" spans="1:24">
      <c r="A867" s="49" t="s">
        <v>3904</v>
      </c>
      <c r="B867" s="49" t="s">
        <v>5187</v>
      </c>
      <c r="C867" s="49" t="s">
        <v>2227</v>
      </c>
      <c r="D867" s="49" t="s">
        <v>2228</v>
      </c>
      <c r="E867" s="49" t="s">
        <v>4041</v>
      </c>
      <c r="F867" s="51">
        <v>46209</v>
      </c>
      <c r="G867" s="49">
        <v>4.36</v>
      </c>
      <c r="H867" s="49" t="s">
        <v>16</v>
      </c>
      <c r="I867" s="51">
        <v>46209</v>
      </c>
      <c r="J867" s="54">
        <f>INT(Cobros[[#This Row],[Fecha Cargo]])</f>
        <v>46209</v>
      </c>
      <c r="K867" s="54">
        <f>INT(Cobros[[#This Row],[Fecha Aplicacion]])</f>
        <v>46209</v>
      </c>
      <c r="L867" s="55">
        <f>INDEX(Clientes[Días Plazo],MATCH(Cobros[[#This Row],[Cod. Cliente]],Clientes[Codigo],0),1)</f>
        <v>0</v>
      </c>
      <c r="M867" s="45" t="str">
        <f>IF(Cobros[[#This Row],[Dias de Credito]]&lt;=0,"Contado","Credito")</f>
        <v>Contado</v>
      </c>
      <c r="N867" s="45">
        <f>Cobros[[#This Row],[Fecha Aplicación S]]-Cobros[[#This Row],[Fecha Cargo S]]</f>
        <v>0</v>
      </c>
      <c r="O867" s="45">
        <f>Cobros[[#This Row],[Dias al pago]]-Cobros[[#This Row],[Dias de Credito]]</f>
        <v>0</v>
      </c>
      <c r="P867" s="45">
        <f>SUMIFS(TablaDias[Porcentaje],TablaDias[Tipo],Cobros[[#This Row],[Tipo]],TablaDias[Desde ],"&lt;="&amp;MAX(0,Cobros[[#This Row],[Dias pasado]]),TablaDias[Hasta ],"&gt;="&amp;Cobros[[#This Row],[Dias pasado]])</f>
        <v>100</v>
      </c>
      <c r="Q86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7" s="34">
        <f>IF(COUNTIF(PAPEL[Numero],Cobros[[#This Row],[Doc. Cargo]])&gt;0,1,0)</f>
        <v>0</v>
      </c>
      <c r="S867" s="46">
        <f t="array" ref="S86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7" s="47">
        <v>30.005</v>
      </c>
      <c r="U867" s="34">
        <f>IF(Cobros[[#This Row],[Tipo]]="Credito",IF(60&gt;=Cobros[[#This Row],[Dias al pago]],1,0),IF(Cobros[[#This Row],[Dias al pago]]&lt;=3,1,0))</f>
        <v>1</v>
      </c>
      <c r="V867" s="46">
        <f>(Cobros[[#This Row],[% A pagar Vendedor]]/100)*Cobros[[#This Row],[Valor Pagado]]*Cobros[[#This Row],[Vencido]]*(Cobros[[#This Row],[% aplicar]]/100)*IF(Cobros[[#This Row],[% A pagar Vendedor]]&gt;0,1,0)</f>
        <v>0.0545</v>
      </c>
      <c r="W867" s="46">
        <f>0.5%*Cobros[[#This Row],[Valor Pagado]]</f>
        <v>0.0218</v>
      </c>
      <c r="X867" s="69"/>
    </row>
    <row r="868" spans="1:24">
      <c r="A868" s="49" t="s">
        <v>3875</v>
      </c>
      <c r="B868" s="49" t="s">
        <v>5188</v>
      </c>
      <c r="C868" s="49" t="s">
        <v>2227</v>
      </c>
      <c r="D868" s="49" t="s">
        <v>2228</v>
      </c>
      <c r="E868" s="49" t="s">
        <v>5189</v>
      </c>
      <c r="F868" s="51">
        <v>46231</v>
      </c>
      <c r="G868" s="49">
        <v>859.5</v>
      </c>
      <c r="H868" s="49" t="s">
        <v>16</v>
      </c>
      <c r="I868" s="51">
        <v>46231</v>
      </c>
      <c r="J868" s="54">
        <f>INT(Cobros[[#This Row],[Fecha Cargo]])</f>
        <v>46231</v>
      </c>
      <c r="K868" s="54">
        <f>INT(Cobros[[#This Row],[Fecha Aplicacion]])</f>
        <v>46231</v>
      </c>
      <c r="L868" s="55">
        <f>INDEX(Clientes[Días Plazo],MATCH(Cobros[[#This Row],[Cod. Cliente]],Clientes[Codigo],0),1)</f>
        <v>0</v>
      </c>
      <c r="M868" s="45" t="str">
        <f>IF(Cobros[[#This Row],[Dias de Credito]]&lt;=0,"Contado","Credito")</f>
        <v>Contado</v>
      </c>
      <c r="N868" s="45">
        <f>Cobros[[#This Row],[Fecha Aplicación S]]-Cobros[[#This Row],[Fecha Cargo S]]</f>
        <v>0</v>
      </c>
      <c r="O868" s="45">
        <f>Cobros[[#This Row],[Dias al pago]]-Cobros[[#This Row],[Dias de Credito]]</f>
        <v>0</v>
      </c>
      <c r="P868" s="45">
        <f>SUMIFS(TablaDias[Porcentaje],TablaDias[Tipo],Cobros[[#This Row],[Tipo]],TablaDias[Desde ],"&lt;="&amp;MAX(0,Cobros[[#This Row],[Dias pasado]]),TablaDias[Hasta ],"&gt;="&amp;Cobros[[#This Row],[Dias pasado]])</f>
        <v>100</v>
      </c>
      <c r="Q86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8" s="34">
        <f>IF(COUNTIF(PAPEL[Numero],Cobros[[#This Row],[Doc. Cargo]])&gt;0,1,0)</f>
        <v>0</v>
      </c>
      <c r="S868" s="46">
        <f t="array" ref="S8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68" s="47">
        <v>31.005</v>
      </c>
      <c r="U868" s="34">
        <f>IF(Cobros[[#This Row],[Tipo]]="Credito",IF(60&gt;=Cobros[[#This Row],[Dias al pago]],1,0),IF(Cobros[[#This Row],[Dias al pago]]&lt;=3,1,0))</f>
        <v>1</v>
      </c>
      <c r="V868" s="46">
        <f>(Cobros[[#This Row],[% A pagar Vendedor]]/100)*Cobros[[#This Row],[Valor Pagado]]*Cobros[[#This Row],[Vencido]]*(Cobros[[#This Row],[% aplicar]]/100)*IF(Cobros[[#This Row],[% A pagar Vendedor]]&gt;0,1,0)</f>
        <v>10.74375</v>
      </c>
      <c r="W868" s="46">
        <f>0.5%*Cobros[[#This Row],[Valor Pagado]]</f>
        <v>4.2975</v>
      </c>
      <c r="X868" s="69"/>
    </row>
    <row r="869" ht="30" spans="1:24">
      <c r="A869" s="49" t="s">
        <v>3884</v>
      </c>
      <c r="B869" s="49" t="s">
        <v>5190</v>
      </c>
      <c r="C869" s="49" t="s">
        <v>1906</v>
      </c>
      <c r="D869" s="49" t="s">
        <v>1907</v>
      </c>
      <c r="E869" s="49" t="s">
        <v>5191</v>
      </c>
      <c r="F869" s="51">
        <v>46224</v>
      </c>
      <c r="G869" s="49">
        <v>14.75</v>
      </c>
      <c r="H869" s="49" t="s">
        <v>22</v>
      </c>
      <c r="I869" s="51">
        <v>46224</v>
      </c>
      <c r="J869" s="54">
        <f>INT(Cobros[[#This Row],[Fecha Cargo]])</f>
        <v>46224</v>
      </c>
      <c r="K869" s="54">
        <f>INT(Cobros[[#This Row],[Fecha Aplicacion]])</f>
        <v>46224</v>
      </c>
      <c r="L869" s="55">
        <f>INDEX(Clientes[Días Plazo],MATCH(Cobros[[#This Row],[Cod. Cliente]],Clientes[Codigo],0),1)</f>
        <v>0</v>
      </c>
      <c r="M869" s="45" t="str">
        <f>IF(Cobros[[#This Row],[Dias de Credito]]&lt;=0,"Contado","Credito")</f>
        <v>Contado</v>
      </c>
      <c r="N869" s="45">
        <f>Cobros[[#This Row],[Fecha Aplicación S]]-Cobros[[#This Row],[Fecha Cargo S]]</f>
        <v>0</v>
      </c>
      <c r="O869" s="45">
        <f>Cobros[[#This Row],[Dias al pago]]-Cobros[[#This Row],[Dias de Credito]]</f>
        <v>0</v>
      </c>
      <c r="P869" s="45">
        <f>SUMIFS(TablaDias[Porcentaje],TablaDias[Tipo],Cobros[[#This Row],[Tipo]],TablaDias[Desde ],"&lt;="&amp;MAX(0,Cobros[[#This Row],[Dias pasado]]),TablaDias[Hasta ],"&gt;="&amp;Cobros[[#This Row],[Dias pasado]])</f>
        <v>100</v>
      </c>
      <c r="Q86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69" s="34">
        <f>IF(COUNTIF(PAPEL[Numero],Cobros[[#This Row],[Doc. Cargo]])&gt;0,1,0)</f>
        <v>0</v>
      </c>
      <c r="S869" s="46">
        <f t="array" ref="S8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69" s="47">
        <v>32.005</v>
      </c>
      <c r="U869" s="34">
        <f>IF(Cobros[[#This Row],[Tipo]]="Credito",IF(60&gt;=Cobros[[#This Row],[Dias al pago]],1,0),IF(Cobros[[#This Row],[Dias al pago]]&lt;=3,1,0))</f>
        <v>1</v>
      </c>
      <c r="V869" s="46">
        <f>(Cobros[[#This Row],[% A pagar Vendedor]]/100)*Cobros[[#This Row],[Valor Pagado]]*Cobros[[#This Row],[Vencido]]*(Cobros[[#This Row],[% aplicar]]/100)*IF(Cobros[[#This Row],[% A pagar Vendedor]]&gt;0,1,0)</f>
        <v>0.1475</v>
      </c>
      <c r="W869" s="46">
        <f>0.5%*Cobros[[#This Row],[Valor Pagado]]</f>
        <v>0.07375</v>
      </c>
      <c r="X869" s="69"/>
    </row>
    <row r="870" spans="1:24">
      <c r="A870" s="49" t="s">
        <v>3860</v>
      </c>
      <c r="B870" s="49" t="s">
        <v>5192</v>
      </c>
      <c r="C870" s="49" t="s">
        <v>128</v>
      </c>
      <c r="D870" s="49" t="s">
        <v>129</v>
      </c>
      <c r="E870" s="49" t="s">
        <v>5193</v>
      </c>
      <c r="F870" s="51">
        <v>46231</v>
      </c>
      <c r="G870" s="49">
        <v>630</v>
      </c>
      <c r="H870" s="49" t="s">
        <v>16</v>
      </c>
      <c r="I870" s="51">
        <v>46231</v>
      </c>
      <c r="J870" s="54">
        <f>INT(Cobros[[#This Row],[Fecha Cargo]])</f>
        <v>46231</v>
      </c>
      <c r="K870" s="54">
        <f>INT(Cobros[[#This Row],[Fecha Aplicacion]])</f>
        <v>46231</v>
      </c>
      <c r="L870" s="55">
        <f>INDEX(Clientes[Días Plazo],MATCH(Cobros[[#This Row],[Cod. Cliente]],Clientes[Codigo],0),1)</f>
        <v>0</v>
      </c>
      <c r="M870" s="45" t="str">
        <f>IF(Cobros[[#This Row],[Dias de Credito]]&lt;=0,"Contado","Credito")</f>
        <v>Contado</v>
      </c>
      <c r="N870" s="45">
        <f>Cobros[[#This Row],[Fecha Aplicación S]]-Cobros[[#This Row],[Fecha Cargo S]]</f>
        <v>0</v>
      </c>
      <c r="O870" s="45">
        <f>Cobros[[#This Row],[Dias al pago]]-Cobros[[#This Row],[Dias de Credito]]</f>
        <v>0</v>
      </c>
      <c r="P870" s="45">
        <f>SUMIFS(TablaDias[Porcentaje],TablaDias[Tipo],Cobros[[#This Row],[Tipo]],TablaDias[Desde ],"&lt;="&amp;MAX(0,Cobros[[#This Row],[Dias pasado]]),TablaDias[Hasta ],"&gt;="&amp;Cobros[[#This Row],[Dias pasado]])</f>
        <v>100</v>
      </c>
      <c r="Q87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0" s="34">
        <f>IF(COUNTIF(PAPEL[Numero],Cobros[[#This Row],[Doc. Cargo]])&gt;0,1,0)</f>
        <v>0</v>
      </c>
      <c r="S870" s="46">
        <f t="array" ref="S87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0" s="47">
        <v>33.005</v>
      </c>
      <c r="U870" s="34">
        <f>IF(Cobros[[#This Row],[Tipo]]="Credito",IF(60&gt;=Cobros[[#This Row],[Dias al pago]],1,0),IF(Cobros[[#This Row],[Dias al pago]]&lt;=3,1,0))</f>
        <v>1</v>
      </c>
      <c r="V870" s="46">
        <f>(Cobros[[#This Row],[% A pagar Vendedor]]/100)*Cobros[[#This Row],[Valor Pagado]]*Cobros[[#This Row],[Vencido]]*(Cobros[[#This Row],[% aplicar]]/100)*IF(Cobros[[#This Row],[% A pagar Vendedor]]&gt;0,1,0)</f>
        <v>7.875</v>
      </c>
      <c r="W870" s="46">
        <f>0.5%*Cobros[[#This Row],[Valor Pagado]]</f>
        <v>3.15</v>
      </c>
      <c r="X870" s="69"/>
    </row>
    <row r="871" spans="1:24">
      <c r="A871" s="49" t="s">
        <v>3860</v>
      </c>
      <c r="B871" s="49" t="s">
        <v>5194</v>
      </c>
      <c r="C871" s="49" t="s">
        <v>2060</v>
      </c>
      <c r="D871" s="49" t="s">
        <v>2061</v>
      </c>
      <c r="E871" s="49" t="s">
        <v>3992</v>
      </c>
      <c r="F871" s="51">
        <v>46181</v>
      </c>
      <c r="G871" s="49">
        <v>0.76</v>
      </c>
      <c r="H871" s="49" t="s">
        <v>18</v>
      </c>
      <c r="I871" s="51">
        <v>46231</v>
      </c>
      <c r="J871" s="54">
        <f>INT(Cobros[[#This Row],[Fecha Cargo]])</f>
        <v>46181</v>
      </c>
      <c r="K871" s="54">
        <f>INT(Cobros[[#This Row],[Fecha Aplicacion]])</f>
        <v>46231</v>
      </c>
      <c r="L871" s="55" t="str">
        <f>INDEX(Clientes[Días Plazo],MATCH(Cobros[[#This Row],[Cod. Cliente]],Clientes[Codigo],0),1)</f>
        <v>15</v>
      </c>
      <c r="M871" s="45" t="str">
        <f>IF(Cobros[[#This Row],[Dias de Credito]]&lt;=0,"Contado","Credito")</f>
        <v>Credito</v>
      </c>
      <c r="N871" s="45">
        <f>Cobros[[#This Row],[Fecha Aplicación S]]-Cobros[[#This Row],[Fecha Cargo S]]</f>
        <v>50</v>
      </c>
      <c r="O871" s="45">
        <f>Cobros[[#This Row],[Dias al pago]]-Cobros[[#This Row],[Dias de Credito]]</f>
        <v>35</v>
      </c>
      <c r="P871" s="45">
        <f>SUMIFS(TablaDias[Porcentaje],TablaDias[Tipo],Cobros[[#This Row],[Tipo]],TablaDias[Desde ],"&lt;="&amp;MAX(0,Cobros[[#This Row],[Dias pasado]]),TablaDias[Hasta ],"&gt;="&amp;Cobros[[#This Row],[Dias pasado]])</f>
        <v>30</v>
      </c>
      <c r="Q87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71" s="34">
        <f>IF(COUNTIF(PAPEL[Numero],Cobros[[#This Row],[Doc. Cargo]])&gt;0,1,0)</f>
        <v>0</v>
      </c>
      <c r="S871" s="46">
        <f t="array" ref="S87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71" s="47">
        <v>34.005</v>
      </c>
      <c r="U871" s="34">
        <f>IF(Cobros[[#This Row],[Tipo]]="Credito",IF(60&gt;=Cobros[[#This Row],[Dias al pago]],1,0),IF(Cobros[[#This Row],[Dias al pago]]&lt;=3,1,0))</f>
        <v>1</v>
      </c>
      <c r="V871" s="46">
        <f>(Cobros[[#This Row],[% A pagar Vendedor]]/100)*Cobros[[#This Row],[Valor Pagado]]*Cobros[[#This Row],[Vencido]]*(Cobros[[#This Row],[% aplicar]]/100)*IF(Cobros[[#This Row],[% A pagar Vendedor]]&gt;0,1,0)</f>
        <v>0.00228</v>
      </c>
      <c r="W871" s="46">
        <f>0.5%*Cobros[[#This Row],[Valor Pagado]]</f>
        <v>0.0038</v>
      </c>
      <c r="X871" s="69"/>
    </row>
    <row r="872" spans="1:24">
      <c r="A872" s="49" t="s">
        <v>3860</v>
      </c>
      <c r="B872" s="49" t="s">
        <v>5194</v>
      </c>
      <c r="C872" s="49" t="s">
        <v>2060</v>
      </c>
      <c r="D872" s="49" t="s">
        <v>2061</v>
      </c>
      <c r="E872" s="49" t="s">
        <v>5195</v>
      </c>
      <c r="F872" s="51">
        <v>46205</v>
      </c>
      <c r="G872" s="49">
        <v>1799.24</v>
      </c>
      <c r="H872" s="49" t="s">
        <v>18</v>
      </c>
      <c r="I872" s="51">
        <v>46231</v>
      </c>
      <c r="J872" s="54">
        <f>INT(Cobros[[#This Row],[Fecha Cargo]])</f>
        <v>46205</v>
      </c>
      <c r="K872" s="54">
        <f>INT(Cobros[[#This Row],[Fecha Aplicacion]])</f>
        <v>46231</v>
      </c>
      <c r="L872" s="55" t="str">
        <f>INDEX(Clientes[Días Plazo],MATCH(Cobros[[#This Row],[Cod. Cliente]],Clientes[Codigo],0),1)</f>
        <v>15</v>
      </c>
      <c r="M872" s="45" t="str">
        <f>IF(Cobros[[#This Row],[Dias de Credito]]&lt;=0,"Contado","Credito")</f>
        <v>Credito</v>
      </c>
      <c r="N872" s="45">
        <f>Cobros[[#This Row],[Fecha Aplicación S]]-Cobros[[#This Row],[Fecha Cargo S]]</f>
        <v>26</v>
      </c>
      <c r="O872" s="45">
        <f>Cobros[[#This Row],[Dias al pago]]-Cobros[[#This Row],[Dias de Credito]]</f>
        <v>11</v>
      </c>
      <c r="P872" s="45">
        <f>SUMIFS(TablaDias[Porcentaje],TablaDias[Tipo],Cobros[[#This Row],[Tipo]],TablaDias[Desde ],"&lt;="&amp;MAX(0,Cobros[[#This Row],[Dias pasado]]),TablaDias[Hasta ],"&gt;="&amp;Cobros[[#This Row],[Dias pasado]])</f>
        <v>100</v>
      </c>
      <c r="Q87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2" s="34">
        <f>IF(COUNTIF(PAPEL[Numero],Cobros[[#This Row],[Doc. Cargo]])&gt;0,1,0)</f>
        <v>0</v>
      </c>
      <c r="S872" s="46">
        <f t="array" ref="S87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2" s="47">
        <v>35.005</v>
      </c>
      <c r="U872" s="34">
        <f>IF(Cobros[[#This Row],[Tipo]]="Credito",IF(60&gt;=Cobros[[#This Row],[Dias al pago]],1,0),IF(Cobros[[#This Row],[Dias al pago]]&lt;=3,1,0))</f>
        <v>1</v>
      </c>
      <c r="V872" s="46">
        <f>(Cobros[[#This Row],[% A pagar Vendedor]]/100)*Cobros[[#This Row],[Valor Pagado]]*Cobros[[#This Row],[Vencido]]*(Cobros[[#This Row],[% aplicar]]/100)*IF(Cobros[[#This Row],[% A pagar Vendedor]]&gt;0,1,0)</f>
        <v>22.4905</v>
      </c>
      <c r="W872" s="46">
        <f>0.5%*Cobros[[#This Row],[Valor Pagado]]</f>
        <v>8.9962</v>
      </c>
      <c r="X872" s="69"/>
    </row>
    <row r="873" spans="1:24">
      <c r="A873" s="49" t="s">
        <v>3860</v>
      </c>
      <c r="B873" s="49" t="s">
        <v>5196</v>
      </c>
      <c r="C873" s="49" t="s">
        <v>1467</v>
      </c>
      <c r="D873" s="49" t="s">
        <v>1468</v>
      </c>
      <c r="E873" s="49" t="s">
        <v>5197</v>
      </c>
      <c r="F873" s="51">
        <v>46230</v>
      </c>
      <c r="G873" s="49">
        <v>184.35</v>
      </c>
      <c r="H873" s="49" t="s">
        <v>20</v>
      </c>
      <c r="I873" s="51">
        <v>46231</v>
      </c>
      <c r="J873" s="54">
        <f>INT(Cobros[[#This Row],[Fecha Cargo]])</f>
        <v>46230</v>
      </c>
      <c r="K873" s="54">
        <f>INT(Cobros[[#This Row],[Fecha Aplicacion]])</f>
        <v>46231</v>
      </c>
      <c r="L873" s="55">
        <f>INDEX(Clientes[Días Plazo],MATCH(Cobros[[#This Row],[Cod. Cliente]],Clientes[Codigo],0),1)</f>
        <v>0</v>
      </c>
      <c r="M873" s="45" t="str">
        <f>IF(Cobros[[#This Row],[Dias de Credito]]&lt;=0,"Contado","Credito")</f>
        <v>Contado</v>
      </c>
      <c r="N873" s="45">
        <f>Cobros[[#This Row],[Fecha Aplicación S]]-Cobros[[#This Row],[Fecha Cargo S]]</f>
        <v>1</v>
      </c>
      <c r="O873" s="45">
        <f>Cobros[[#This Row],[Dias al pago]]-Cobros[[#This Row],[Dias de Credito]]</f>
        <v>1</v>
      </c>
      <c r="P873" s="45">
        <f>SUMIFS(TablaDias[Porcentaje],TablaDias[Tipo],Cobros[[#This Row],[Tipo]],TablaDias[Desde ],"&lt;="&amp;MAX(0,Cobros[[#This Row],[Dias pasado]]),TablaDias[Hasta ],"&gt;="&amp;Cobros[[#This Row],[Dias pasado]])</f>
        <v>100</v>
      </c>
      <c r="Q87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3" s="34">
        <f>IF(COUNTIF(PAPEL[Numero],Cobros[[#This Row],[Doc. Cargo]])&gt;0,1,0)</f>
        <v>0</v>
      </c>
      <c r="S873" s="46">
        <f t="array" ref="S87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3" s="47">
        <v>36.005</v>
      </c>
      <c r="U873" s="34">
        <f>IF(Cobros[[#This Row],[Tipo]]="Credito",IF(60&gt;=Cobros[[#This Row],[Dias al pago]],1,0),IF(Cobros[[#This Row],[Dias al pago]]&lt;=3,1,0))</f>
        <v>1</v>
      </c>
      <c r="V873" s="46">
        <f>(Cobros[[#This Row],[% A pagar Vendedor]]/100)*Cobros[[#This Row],[Valor Pagado]]*Cobros[[#This Row],[Vencido]]*(Cobros[[#This Row],[% aplicar]]/100)*IF(Cobros[[#This Row],[% A pagar Vendedor]]&gt;0,1,0)</f>
        <v>2.304375</v>
      </c>
      <c r="W873" s="46">
        <f>0.5%*Cobros[[#This Row],[Valor Pagado]]</f>
        <v>0.92175</v>
      </c>
      <c r="X873" s="69"/>
    </row>
    <row r="874" spans="1:24">
      <c r="A874" s="49" t="s">
        <v>3860</v>
      </c>
      <c r="B874" s="49" t="s">
        <v>5198</v>
      </c>
      <c r="C874" s="49" t="s">
        <v>2576</v>
      </c>
      <c r="D874" s="49" t="s">
        <v>2577</v>
      </c>
      <c r="E874" s="49" t="s">
        <v>4777</v>
      </c>
      <c r="F874" s="51">
        <v>46218</v>
      </c>
      <c r="G874" s="49">
        <v>4000</v>
      </c>
      <c r="H874" s="49" t="s">
        <v>20</v>
      </c>
      <c r="I874" s="51">
        <v>46231</v>
      </c>
      <c r="J874" s="54">
        <f>INT(Cobros[[#This Row],[Fecha Cargo]])</f>
        <v>46218</v>
      </c>
      <c r="K874" s="54">
        <f>INT(Cobros[[#This Row],[Fecha Aplicacion]])</f>
        <v>46231</v>
      </c>
      <c r="L874" s="55" t="str">
        <f>INDEX(Clientes[Días Plazo],MATCH(Cobros[[#This Row],[Cod. Cliente]],Clientes[Codigo],0),1)</f>
        <v>7</v>
      </c>
      <c r="M874" s="45" t="str">
        <f>IF(Cobros[[#This Row],[Dias de Credito]]&lt;=0,"Contado","Credito")</f>
        <v>Credito</v>
      </c>
      <c r="N874" s="45">
        <f>Cobros[[#This Row],[Fecha Aplicación S]]-Cobros[[#This Row],[Fecha Cargo S]]</f>
        <v>13</v>
      </c>
      <c r="O874" s="45">
        <f>Cobros[[#This Row],[Dias al pago]]-Cobros[[#This Row],[Dias de Credito]]</f>
        <v>6</v>
      </c>
      <c r="P874" s="45">
        <f>SUMIFS(TablaDias[Porcentaje],TablaDias[Tipo],Cobros[[#This Row],[Tipo]],TablaDias[Desde ],"&lt;="&amp;MAX(0,Cobros[[#This Row],[Dias pasado]]),TablaDias[Hasta ],"&gt;="&amp;Cobros[[#This Row],[Dias pasado]])</f>
        <v>100</v>
      </c>
      <c r="Q87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4" s="34">
        <f>IF(COUNTIF(PAPEL[Numero],Cobros[[#This Row],[Doc. Cargo]])&gt;0,1,0)</f>
        <v>0</v>
      </c>
      <c r="S874" s="46">
        <f t="array" ref="S8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4" s="47">
        <v>37.005</v>
      </c>
      <c r="U874" s="34">
        <f>IF(Cobros[[#This Row],[Tipo]]="Credito",IF(60&gt;=Cobros[[#This Row],[Dias al pago]],1,0),IF(Cobros[[#This Row],[Dias al pago]]&lt;=3,1,0))</f>
        <v>1</v>
      </c>
      <c r="V874" s="46">
        <f>(Cobros[[#This Row],[% A pagar Vendedor]]/100)*Cobros[[#This Row],[Valor Pagado]]*Cobros[[#This Row],[Vencido]]*(Cobros[[#This Row],[% aplicar]]/100)*IF(Cobros[[#This Row],[% A pagar Vendedor]]&gt;0,1,0)</f>
        <v>50</v>
      </c>
      <c r="W874" s="46">
        <f>0.5%*Cobros[[#This Row],[Valor Pagado]]</f>
        <v>20</v>
      </c>
      <c r="X874" s="69"/>
    </row>
    <row r="875" spans="1:24">
      <c r="A875" s="49" t="s">
        <v>3875</v>
      </c>
      <c r="B875" s="49" t="s">
        <v>5199</v>
      </c>
      <c r="C875" s="49" t="s">
        <v>1965</v>
      </c>
      <c r="D875" s="49" t="s">
        <v>1966</v>
      </c>
      <c r="E875" s="49" t="s">
        <v>5200</v>
      </c>
      <c r="F875" s="51">
        <v>46231</v>
      </c>
      <c r="G875" s="49">
        <v>159</v>
      </c>
      <c r="H875" s="49" t="s">
        <v>20</v>
      </c>
      <c r="I875" s="51">
        <v>46231</v>
      </c>
      <c r="J875" s="54">
        <f>INT(Cobros[[#This Row],[Fecha Cargo]])</f>
        <v>46231</v>
      </c>
      <c r="K875" s="54">
        <f>INT(Cobros[[#This Row],[Fecha Aplicacion]])</f>
        <v>46231</v>
      </c>
      <c r="L875" s="55">
        <f>INDEX(Clientes[Días Plazo],MATCH(Cobros[[#This Row],[Cod. Cliente]],Clientes[Codigo],0),1)</f>
        <v>0</v>
      </c>
      <c r="M875" s="45" t="str">
        <f>IF(Cobros[[#This Row],[Dias de Credito]]&lt;=0,"Contado","Credito")</f>
        <v>Contado</v>
      </c>
      <c r="N875" s="45">
        <f>Cobros[[#This Row],[Fecha Aplicación S]]-Cobros[[#This Row],[Fecha Cargo S]]</f>
        <v>0</v>
      </c>
      <c r="O875" s="45">
        <f>Cobros[[#This Row],[Dias al pago]]-Cobros[[#This Row],[Dias de Credito]]</f>
        <v>0</v>
      </c>
      <c r="P875" s="45">
        <f>SUMIFS(TablaDias[Porcentaje],TablaDias[Tipo],Cobros[[#This Row],[Tipo]],TablaDias[Desde ],"&lt;="&amp;MAX(0,Cobros[[#This Row],[Dias pasado]]),TablaDias[Hasta ],"&gt;="&amp;Cobros[[#This Row],[Dias pasado]])</f>
        <v>100</v>
      </c>
      <c r="Q87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5" s="34">
        <f>IF(COUNTIF(PAPEL[Numero],Cobros[[#This Row],[Doc. Cargo]])&gt;0,1,0)</f>
        <v>0</v>
      </c>
      <c r="S875" s="46">
        <f t="array" ref="S8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5" s="47">
        <v>38.005</v>
      </c>
      <c r="U875" s="34">
        <f>IF(Cobros[[#This Row],[Tipo]]="Credito",IF(60&gt;=Cobros[[#This Row],[Dias al pago]],1,0),IF(Cobros[[#This Row],[Dias al pago]]&lt;=3,1,0))</f>
        <v>1</v>
      </c>
      <c r="V875" s="46">
        <f>(Cobros[[#This Row],[% A pagar Vendedor]]/100)*Cobros[[#This Row],[Valor Pagado]]*Cobros[[#This Row],[Vencido]]*(Cobros[[#This Row],[% aplicar]]/100)*IF(Cobros[[#This Row],[% A pagar Vendedor]]&gt;0,1,0)</f>
        <v>1.9875</v>
      </c>
      <c r="W875" s="46">
        <f>0.5%*Cobros[[#This Row],[Valor Pagado]]</f>
        <v>0.795</v>
      </c>
      <c r="X875" s="69"/>
    </row>
    <row r="876" spans="1:24">
      <c r="A876" s="49" t="s">
        <v>3860</v>
      </c>
      <c r="B876" s="49" t="s">
        <v>5107</v>
      </c>
      <c r="C876" s="49" t="s">
        <v>3123</v>
      </c>
      <c r="D876" s="49" t="s">
        <v>3124</v>
      </c>
      <c r="E876" s="49" t="s">
        <v>5201</v>
      </c>
      <c r="F876" s="51">
        <v>46231</v>
      </c>
      <c r="G876" s="49">
        <v>0.02</v>
      </c>
      <c r="H876" s="49" t="s">
        <v>16</v>
      </c>
      <c r="I876" s="51">
        <v>46230</v>
      </c>
      <c r="J876" s="54">
        <f>INT(Cobros[[#This Row],[Fecha Cargo]])</f>
        <v>46231</v>
      </c>
      <c r="K876" s="54">
        <f>INT(Cobros[[#This Row],[Fecha Aplicacion]])</f>
        <v>46230</v>
      </c>
      <c r="L876" s="55" t="str">
        <f>INDEX(Clientes[Días Plazo],MATCH(Cobros[[#This Row],[Cod. Cliente]],Clientes[Codigo],0),1)</f>
        <v>15</v>
      </c>
      <c r="M876" s="45" t="str">
        <f>IF(Cobros[[#This Row],[Dias de Credito]]&lt;=0,"Contado","Credito")</f>
        <v>Credito</v>
      </c>
      <c r="N876" s="45">
        <f>Cobros[[#This Row],[Fecha Aplicación S]]-Cobros[[#This Row],[Fecha Cargo S]]</f>
        <v>-1</v>
      </c>
      <c r="O876" s="45">
        <f>Cobros[[#This Row],[Dias al pago]]-Cobros[[#This Row],[Dias de Credito]]</f>
        <v>-16</v>
      </c>
      <c r="P876" s="45">
        <f>SUMIFS(TablaDias[Porcentaje],TablaDias[Tipo],Cobros[[#This Row],[Tipo]],TablaDias[Desde ],"&lt;="&amp;MAX(0,Cobros[[#This Row],[Dias pasado]]),TablaDias[Hasta ],"&gt;="&amp;Cobros[[#This Row],[Dias pasado]])</f>
        <v>100</v>
      </c>
      <c r="Q87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6" s="34">
        <f>IF(COUNTIF(PAPEL[Numero],Cobros[[#This Row],[Doc. Cargo]])&gt;0,1,0)</f>
        <v>0</v>
      </c>
      <c r="S876" s="46">
        <f t="array" ref="S8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76" s="47">
        <v>39.005</v>
      </c>
      <c r="U876" s="34">
        <f>IF(Cobros[[#This Row],[Tipo]]="Credito",IF(60&gt;=Cobros[[#This Row],[Dias al pago]],1,0),IF(Cobros[[#This Row],[Dias al pago]]&lt;=3,1,0))</f>
        <v>1</v>
      </c>
      <c r="V876" s="46">
        <f>(Cobros[[#This Row],[% A pagar Vendedor]]/100)*Cobros[[#This Row],[Valor Pagado]]*Cobros[[#This Row],[Vencido]]*(Cobros[[#This Row],[% aplicar]]/100)*IF(Cobros[[#This Row],[% A pagar Vendedor]]&gt;0,1,0)</f>
        <v>0.00025</v>
      </c>
      <c r="W876" s="46">
        <f>0.5%*Cobros[[#This Row],[Valor Pagado]]</f>
        <v>0.0001</v>
      </c>
      <c r="X876" s="69"/>
    </row>
    <row r="877" ht="30" spans="1:24">
      <c r="A877" s="49" t="s">
        <v>3860</v>
      </c>
      <c r="B877" s="49" t="s">
        <v>5202</v>
      </c>
      <c r="C877" s="49" t="s">
        <v>2076</v>
      </c>
      <c r="D877" s="49" t="s">
        <v>2077</v>
      </c>
      <c r="E877" s="49" t="s">
        <v>5203</v>
      </c>
      <c r="F877" s="51">
        <v>46223</v>
      </c>
      <c r="G877" s="49">
        <v>630</v>
      </c>
      <c r="H877" s="49" t="s">
        <v>1355</v>
      </c>
      <c r="I877" s="51">
        <v>46223</v>
      </c>
      <c r="J877" s="54">
        <f>INT(Cobros[[#This Row],[Fecha Cargo]])</f>
        <v>46223</v>
      </c>
      <c r="K877" s="54">
        <f>INT(Cobros[[#This Row],[Fecha Aplicacion]])</f>
        <v>46223</v>
      </c>
      <c r="L877" s="55">
        <f>INDEX(Clientes[Días Plazo],MATCH(Cobros[[#This Row],[Cod. Cliente]],Clientes[Codigo],0),1)</f>
        <v>0</v>
      </c>
      <c r="M877" s="45" t="str">
        <f>IF(Cobros[[#This Row],[Dias de Credito]]&lt;=0,"Contado","Credito")</f>
        <v>Contado</v>
      </c>
      <c r="N877" s="45">
        <f>Cobros[[#This Row],[Fecha Aplicación S]]-Cobros[[#This Row],[Fecha Cargo S]]</f>
        <v>0</v>
      </c>
      <c r="O877" s="45">
        <f>Cobros[[#This Row],[Dias al pago]]-Cobros[[#This Row],[Dias de Credito]]</f>
        <v>0</v>
      </c>
      <c r="P877" s="45">
        <f>SUMIFS(TablaDias[Porcentaje],TablaDias[Tipo],Cobros[[#This Row],[Tipo]],TablaDias[Desde ],"&lt;="&amp;MAX(0,Cobros[[#This Row],[Dias pasado]]),TablaDias[Hasta ],"&gt;="&amp;Cobros[[#This Row],[Dias pasado]])</f>
        <v>100</v>
      </c>
      <c r="Q87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7" s="34">
        <f>IF(COUNTIF(PAPEL[Numero],Cobros[[#This Row],[Doc. Cargo]])&gt;0,1,0)</f>
        <v>0</v>
      </c>
      <c r="S877" s="46">
        <v>1</v>
      </c>
      <c r="T877" s="47">
        <v>40.005</v>
      </c>
      <c r="U877" s="34">
        <f>IF(Cobros[[#This Row],[Tipo]]="Credito",IF(60&gt;=Cobros[[#This Row],[Dias al pago]],1,0),IF(Cobros[[#This Row],[Dias al pago]]&lt;=3,1,0))</f>
        <v>1</v>
      </c>
      <c r="V877" s="46">
        <f>(Cobros[[#This Row],[% A pagar Vendedor]]/100)*Cobros[[#This Row],[Valor Pagado]]*Cobros[[#This Row],[Vencido]]*(Cobros[[#This Row],[% aplicar]]/100)*IF(Cobros[[#This Row],[% A pagar Vendedor]]&gt;0,1,0)</f>
        <v>6.3</v>
      </c>
      <c r="W877" s="46">
        <f>0.5%*Cobros[[#This Row],[Valor Pagado]]</f>
        <v>3.15</v>
      </c>
      <c r="X877" s="69"/>
    </row>
    <row r="878" ht="30" spans="1:24">
      <c r="A878" s="49" t="s">
        <v>3931</v>
      </c>
      <c r="B878" s="49" t="s">
        <v>5204</v>
      </c>
      <c r="C878" s="49" t="s">
        <v>1731</v>
      </c>
      <c r="D878" s="49" t="s">
        <v>1732</v>
      </c>
      <c r="E878" s="49" t="s">
        <v>5205</v>
      </c>
      <c r="F878" s="51">
        <v>46185</v>
      </c>
      <c r="G878" s="49">
        <v>11062.5</v>
      </c>
      <c r="H878" s="49" t="s">
        <v>22</v>
      </c>
      <c r="I878" s="51">
        <v>46231</v>
      </c>
      <c r="J878" s="54">
        <f>INT(Cobros[[#This Row],[Fecha Cargo]])</f>
        <v>46185</v>
      </c>
      <c r="K878" s="54">
        <f>INT(Cobros[[#This Row],[Fecha Aplicacion]])</f>
        <v>46231</v>
      </c>
      <c r="L878" s="55" t="str">
        <f>INDEX(Clientes[Días Plazo],MATCH(Cobros[[#This Row],[Cod. Cliente]],Clientes[Codigo],0),1)</f>
        <v>30</v>
      </c>
      <c r="M878" s="45" t="str">
        <f>IF(Cobros[[#This Row],[Dias de Credito]]&lt;=0,"Contado","Credito")</f>
        <v>Credito</v>
      </c>
      <c r="N878" s="45">
        <f>Cobros[[#This Row],[Fecha Aplicación S]]-Cobros[[#This Row],[Fecha Cargo S]]</f>
        <v>46</v>
      </c>
      <c r="O878" s="45">
        <f>Cobros[[#This Row],[Dias al pago]]-Cobros[[#This Row],[Dias de Credito]]</f>
        <v>16</v>
      </c>
      <c r="P878" s="45">
        <f>SUMIFS(TablaDias[Porcentaje],TablaDias[Tipo],Cobros[[#This Row],[Tipo]],TablaDias[Desde ],"&lt;="&amp;MAX(0,Cobros[[#This Row],[Dias pasado]]),TablaDias[Hasta ],"&gt;="&amp;Cobros[[#This Row],[Dias pasado]])</f>
        <v>50</v>
      </c>
      <c r="Q87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78" s="34">
        <f>IF(COUNTIF(PAPEL[Numero],Cobros[[#This Row],[Doc. Cargo]])&gt;0,1,0)</f>
        <v>0</v>
      </c>
      <c r="S878" s="46">
        <f t="array" ref="S8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78" s="47">
        <v>41.005</v>
      </c>
      <c r="U878" s="34">
        <f>IF(Cobros[[#This Row],[Tipo]]="Credito",IF(60&gt;=Cobros[[#This Row],[Dias al pago]],1,0),IF(Cobros[[#This Row],[Dias al pago]]&lt;=3,1,0))</f>
        <v>1</v>
      </c>
      <c r="V878" s="46">
        <f>(Cobros[[#This Row],[% A pagar Vendedor]]/100)*Cobros[[#This Row],[Valor Pagado]]*Cobros[[#This Row],[Vencido]]*(Cobros[[#This Row],[% aplicar]]/100)*IF(Cobros[[#This Row],[% A pagar Vendedor]]&gt;0,1,0)</f>
        <v>55.3125</v>
      </c>
      <c r="W878" s="46">
        <f>0.5%*Cobros[[#This Row],[Valor Pagado]]</f>
        <v>55.3125</v>
      </c>
      <c r="X878" s="69"/>
    </row>
    <row r="879" ht="30" spans="1:24">
      <c r="A879" s="49" t="s">
        <v>3931</v>
      </c>
      <c r="B879" s="49" t="s">
        <v>5206</v>
      </c>
      <c r="C879" s="49" t="s">
        <v>1790</v>
      </c>
      <c r="D879" s="49" t="s">
        <v>1791</v>
      </c>
      <c r="E879" s="49" t="s">
        <v>5134</v>
      </c>
      <c r="F879" s="51">
        <v>46212</v>
      </c>
      <c r="G879" s="49">
        <v>153.5</v>
      </c>
      <c r="H879" s="49" t="s">
        <v>22</v>
      </c>
      <c r="I879" s="51">
        <v>46231</v>
      </c>
      <c r="J879" s="54">
        <f>INT(Cobros[[#This Row],[Fecha Cargo]])</f>
        <v>46212</v>
      </c>
      <c r="K879" s="54">
        <f>INT(Cobros[[#This Row],[Fecha Aplicacion]])</f>
        <v>46231</v>
      </c>
      <c r="L879" s="55" t="str">
        <f>INDEX(Clientes[Días Plazo],MATCH(Cobros[[#This Row],[Cod. Cliente]],Clientes[Codigo],0),1)</f>
        <v>15</v>
      </c>
      <c r="M879" s="45" t="str">
        <f>IF(Cobros[[#This Row],[Dias de Credito]]&lt;=0,"Contado","Credito")</f>
        <v>Credito</v>
      </c>
      <c r="N879" s="45">
        <f>Cobros[[#This Row],[Fecha Aplicación S]]-Cobros[[#This Row],[Fecha Cargo S]]</f>
        <v>19</v>
      </c>
      <c r="O879" s="45">
        <f>Cobros[[#This Row],[Dias al pago]]-Cobros[[#This Row],[Dias de Credito]]</f>
        <v>4</v>
      </c>
      <c r="P879" s="45">
        <f>SUMIFS(TablaDias[Porcentaje],TablaDias[Tipo],Cobros[[#This Row],[Tipo]],TablaDias[Desde ],"&lt;="&amp;MAX(0,Cobros[[#This Row],[Dias pasado]]),TablaDias[Hasta ],"&gt;="&amp;Cobros[[#This Row],[Dias pasado]])</f>
        <v>100</v>
      </c>
      <c r="Q87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79" s="34">
        <f>IF(COUNTIF(PAPEL[Numero],Cobros[[#This Row],[Doc. Cargo]])&gt;0,1,0)</f>
        <v>0</v>
      </c>
      <c r="S879" s="46">
        <f t="array" ref="S8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79" s="47">
        <v>42.005</v>
      </c>
      <c r="U879" s="34">
        <f>IF(Cobros[[#This Row],[Tipo]]="Credito",IF(60&gt;=Cobros[[#This Row],[Dias al pago]],1,0),IF(Cobros[[#This Row],[Dias al pago]]&lt;=3,1,0))</f>
        <v>1</v>
      </c>
      <c r="V879" s="46">
        <f>(Cobros[[#This Row],[% A pagar Vendedor]]/100)*Cobros[[#This Row],[Valor Pagado]]*Cobros[[#This Row],[Vencido]]*(Cobros[[#This Row],[% aplicar]]/100)*IF(Cobros[[#This Row],[% A pagar Vendedor]]&gt;0,1,0)</f>
        <v>1.535</v>
      </c>
      <c r="W879" s="46">
        <f>0.5%*Cobros[[#This Row],[Valor Pagado]]</f>
        <v>0.7675</v>
      </c>
      <c r="X879" s="69"/>
    </row>
    <row r="880" spans="1:24">
      <c r="A880" s="49" t="s">
        <v>3931</v>
      </c>
      <c r="B880" s="49" t="s">
        <v>5207</v>
      </c>
      <c r="C880" s="49" t="s">
        <v>1055</v>
      </c>
      <c r="D880" s="49" t="s">
        <v>1056</v>
      </c>
      <c r="E880" s="49" t="s">
        <v>5208</v>
      </c>
      <c r="F880" s="51">
        <v>46230</v>
      </c>
      <c r="G880" s="49">
        <v>63.3</v>
      </c>
      <c r="H880" s="49" t="s">
        <v>20</v>
      </c>
      <c r="I880" s="51">
        <v>46231</v>
      </c>
      <c r="J880" s="54">
        <f>INT(Cobros[[#This Row],[Fecha Cargo]])</f>
        <v>46230</v>
      </c>
      <c r="K880" s="54">
        <f>INT(Cobros[[#This Row],[Fecha Aplicacion]])</f>
        <v>46231</v>
      </c>
      <c r="L880" s="55" t="str">
        <f>INDEX(Clientes[Días Plazo],MATCH(Cobros[[#This Row],[Cod. Cliente]],Clientes[Codigo],0),1)</f>
        <v>3</v>
      </c>
      <c r="M880" s="45" t="str">
        <f>IF(Cobros[[#This Row],[Dias de Credito]]&lt;=0,"Contado","Credito")</f>
        <v>Credito</v>
      </c>
      <c r="N880" s="45">
        <f>Cobros[[#This Row],[Fecha Aplicación S]]-Cobros[[#This Row],[Fecha Cargo S]]</f>
        <v>1</v>
      </c>
      <c r="O880" s="45">
        <f>Cobros[[#This Row],[Dias al pago]]-Cobros[[#This Row],[Dias de Credito]]</f>
        <v>-2</v>
      </c>
      <c r="P880" s="45">
        <f>SUMIFS(TablaDias[Porcentaje],TablaDias[Tipo],Cobros[[#This Row],[Tipo]],TablaDias[Desde ],"&lt;="&amp;MAX(0,Cobros[[#This Row],[Dias pasado]]),TablaDias[Hasta ],"&gt;="&amp;Cobros[[#This Row],[Dias pasado]])</f>
        <v>100</v>
      </c>
      <c r="Q88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80" s="34">
        <f>IF(COUNTIF(PAPEL[Numero],Cobros[[#This Row],[Doc. Cargo]])&gt;0,1,0)</f>
        <v>0</v>
      </c>
      <c r="S880" s="46">
        <f t="array" ref="S8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80" s="47">
        <v>43.005</v>
      </c>
      <c r="U880" s="34">
        <f>IF(Cobros[[#This Row],[Tipo]]="Credito",IF(60&gt;=Cobros[[#This Row],[Dias al pago]],1,0),IF(Cobros[[#This Row],[Dias al pago]]&lt;=3,1,0))</f>
        <v>1</v>
      </c>
      <c r="V880" s="46">
        <f>(Cobros[[#This Row],[% A pagar Vendedor]]/100)*Cobros[[#This Row],[Valor Pagado]]*Cobros[[#This Row],[Vencido]]*(Cobros[[#This Row],[% aplicar]]/100)*IF(Cobros[[#This Row],[% A pagar Vendedor]]&gt;0,1,0)</f>
        <v>0.79125</v>
      </c>
      <c r="W880" s="46">
        <f>0.5%*Cobros[[#This Row],[Valor Pagado]]</f>
        <v>0.3165</v>
      </c>
      <c r="X880" s="69"/>
    </row>
    <row r="881" ht="30" spans="1:24">
      <c r="A881" s="49" t="s">
        <v>3931</v>
      </c>
      <c r="B881" s="49" t="s">
        <v>5209</v>
      </c>
      <c r="C881" s="49" t="s">
        <v>442</v>
      </c>
      <c r="D881" s="49" t="s">
        <v>443</v>
      </c>
      <c r="E881" s="49" t="s">
        <v>4999</v>
      </c>
      <c r="F881" s="51">
        <v>46195</v>
      </c>
      <c r="G881" s="49">
        <v>1000</v>
      </c>
      <c r="H881" s="49" t="s">
        <v>1355</v>
      </c>
      <c r="I881" s="51">
        <v>46231</v>
      </c>
      <c r="J881" s="54">
        <f>INT(Cobros[[#This Row],[Fecha Cargo]])</f>
        <v>46195</v>
      </c>
      <c r="K881" s="54">
        <f>INT(Cobros[[#This Row],[Fecha Aplicacion]])</f>
        <v>46231</v>
      </c>
      <c r="L881" s="55" t="str">
        <f>INDEX(Clientes[Días Plazo],MATCH(Cobros[[#This Row],[Cod. Cliente]],Clientes[Codigo],0),1)</f>
        <v>15</v>
      </c>
      <c r="M881" s="45" t="str">
        <f>IF(Cobros[[#This Row],[Dias de Credito]]&lt;=0,"Contado","Credito")</f>
        <v>Credito</v>
      </c>
      <c r="N881" s="45">
        <f>Cobros[[#This Row],[Fecha Aplicación S]]-Cobros[[#This Row],[Fecha Cargo S]]</f>
        <v>36</v>
      </c>
      <c r="O881" s="45">
        <f>Cobros[[#This Row],[Dias al pago]]-Cobros[[#This Row],[Dias de Credito]]</f>
        <v>21</v>
      </c>
      <c r="P881" s="45">
        <f>SUMIFS(TablaDias[Porcentaje],TablaDias[Tipo],Cobros[[#This Row],[Tipo]],TablaDias[Desde ],"&lt;="&amp;MAX(0,Cobros[[#This Row],[Dias pasado]]),TablaDias[Hasta ],"&gt;="&amp;Cobros[[#This Row],[Dias pasado]])</f>
        <v>50</v>
      </c>
      <c r="Q88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1" s="34">
        <f>IF(COUNTIF(PAPEL[Numero],Cobros[[#This Row],[Doc. Cargo]])&gt;0,1,0)</f>
        <v>0</v>
      </c>
      <c r="S881" s="46">
        <v>1</v>
      </c>
      <c r="T881" s="47">
        <v>44.005</v>
      </c>
      <c r="U881" s="34">
        <f>IF(Cobros[[#This Row],[Tipo]]="Credito",IF(60&gt;=Cobros[[#This Row],[Dias al pago]],1,0),IF(Cobros[[#This Row],[Dias al pago]]&lt;=3,1,0))</f>
        <v>1</v>
      </c>
      <c r="V881" s="46">
        <f>(Cobros[[#This Row],[% A pagar Vendedor]]/100)*Cobros[[#This Row],[Valor Pagado]]*Cobros[[#This Row],[Vencido]]*(Cobros[[#This Row],[% aplicar]]/100)*IF(Cobros[[#This Row],[% A pagar Vendedor]]&gt;0,1,0)</f>
        <v>5</v>
      </c>
      <c r="W881" s="46">
        <f>0.5%*Cobros[[#This Row],[Valor Pagado]]</f>
        <v>5</v>
      </c>
      <c r="X881" s="69"/>
    </row>
    <row r="882" ht="30" spans="1:24">
      <c r="A882" s="49" t="s">
        <v>3931</v>
      </c>
      <c r="B882" s="49" t="s">
        <v>5210</v>
      </c>
      <c r="C882" s="49" t="s">
        <v>2934</v>
      </c>
      <c r="D882" s="49" t="s">
        <v>2935</v>
      </c>
      <c r="E882" s="49" t="s">
        <v>5211</v>
      </c>
      <c r="F882" s="51">
        <v>46195</v>
      </c>
      <c r="G882" s="49">
        <v>5547.6</v>
      </c>
      <c r="H882" s="49" t="s">
        <v>22</v>
      </c>
      <c r="I882" s="51">
        <v>46231</v>
      </c>
      <c r="J882" s="54">
        <f>INT(Cobros[[#This Row],[Fecha Cargo]])</f>
        <v>46195</v>
      </c>
      <c r="K882" s="54">
        <f>INT(Cobros[[#This Row],[Fecha Aplicacion]])</f>
        <v>46231</v>
      </c>
      <c r="L882" s="55" t="str">
        <f>INDEX(Clientes[Días Plazo],MATCH(Cobros[[#This Row],[Cod. Cliente]],Clientes[Codigo],0),1)</f>
        <v>21</v>
      </c>
      <c r="M882" s="45" t="str">
        <f>IF(Cobros[[#This Row],[Dias de Credito]]&lt;=0,"Contado","Credito")</f>
        <v>Credito</v>
      </c>
      <c r="N882" s="45">
        <f>Cobros[[#This Row],[Fecha Aplicación S]]-Cobros[[#This Row],[Fecha Cargo S]]</f>
        <v>36</v>
      </c>
      <c r="O882" s="45">
        <f>Cobros[[#This Row],[Dias al pago]]-Cobros[[#This Row],[Dias de Credito]]</f>
        <v>15</v>
      </c>
      <c r="P882" s="45">
        <f>SUMIFS(TablaDias[Porcentaje],TablaDias[Tipo],Cobros[[#This Row],[Tipo]],TablaDias[Desde ],"&lt;="&amp;MAX(0,Cobros[[#This Row],[Dias pasado]]),TablaDias[Hasta ],"&gt;="&amp;Cobros[[#This Row],[Dias pasado]])</f>
        <v>100</v>
      </c>
      <c r="Q88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2" s="34">
        <f>IF(COUNTIF(PAPEL[Numero],Cobros[[#This Row],[Doc. Cargo]])&gt;0,1,0)</f>
        <v>0</v>
      </c>
      <c r="S882" s="46">
        <f t="array" ref="S8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2" s="47">
        <v>45.005</v>
      </c>
      <c r="U882" s="34">
        <f>IF(Cobros[[#This Row],[Tipo]]="Credito",IF(60&gt;=Cobros[[#This Row],[Dias al pago]],1,0),IF(Cobros[[#This Row],[Dias al pago]]&lt;=3,1,0))</f>
        <v>1</v>
      </c>
      <c r="V882" s="46">
        <f>(Cobros[[#This Row],[% A pagar Vendedor]]/100)*Cobros[[#This Row],[Valor Pagado]]*Cobros[[#This Row],[Vencido]]*(Cobros[[#This Row],[% aplicar]]/100)*IF(Cobros[[#This Row],[% A pagar Vendedor]]&gt;0,1,0)</f>
        <v>55.476</v>
      </c>
      <c r="W882" s="46">
        <f>0.5%*Cobros[[#This Row],[Valor Pagado]]</f>
        <v>27.738</v>
      </c>
      <c r="X882" s="69"/>
    </row>
    <row r="883" ht="30" spans="1:24">
      <c r="A883" s="49" t="s">
        <v>3931</v>
      </c>
      <c r="B883" s="49" t="s">
        <v>5210</v>
      </c>
      <c r="C883" s="49" t="s">
        <v>2934</v>
      </c>
      <c r="D883" s="49" t="s">
        <v>2935</v>
      </c>
      <c r="E883" s="49" t="s">
        <v>5212</v>
      </c>
      <c r="F883" s="51">
        <v>46195</v>
      </c>
      <c r="G883" s="49">
        <v>411.29</v>
      </c>
      <c r="H883" s="49" t="s">
        <v>22</v>
      </c>
      <c r="I883" s="51">
        <v>46231</v>
      </c>
      <c r="J883" s="54">
        <f>INT(Cobros[[#This Row],[Fecha Cargo]])</f>
        <v>46195</v>
      </c>
      <c r="K883" s="54">
        <f>INT(Cobros[[#This Row],[Fecha Aplicacion]])</f>
        <v>46231</v>
      </c>
      <c r="L883" s="55" t="str">
        <f>INDEX(Clientes[Días Plazo],MATCH(Cobros[[#This Row],[Cod. Cliente]],Clientes[Codigo],0),1)</f>
        <v>21</v>
      </c>
      <c r="M883" s="45" t="str">
        <f>IF(Cobros[[#This Row],[Dias de Credito]]&lt;=0,"Contado","Credito")</f>
        <v>Credito</v>
      </c>
      <c r="N883" s="45">
        <f>Cobros[[#This Row],[Fecha Aplicación S]]-Cobros[[#This Row],[Fecha Cargo S]]</f>
        <v>36</v>
      </c>
      <c r="O883" s="45">
        <f>Cobros[[#This Row],[Dias al pago]]-Cobros[[#This Row],[Dias de Credito]]</f>
        <v>15</v>
      </c>
      <c r="P883" s="45">
        <f>SUMIFS(TablaDias[Porcentaje],TablaDias[Tipo],Cobros[[#This Row],[Tipo]],TablaDias[Desde ],"&lt;="&amp;MAX(0,Cobros[[#This Row],[Dias pasado]]),TablaDias[Hasta ],"&gt;="&amp;Cobros[[#This Row],[Dias pasado]])</f>
        <v>100</v>
      </c>
      <c r="Q88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3" s="34">
        <f>IF(COUNTIF(PAPEL[Numero],Cobros[[#This Row],[Doc. Cargo]])&gt;0,1,0)</f>
        <v>0</v>
      </c>
      <c r="S883" s="46">
        <f t="array" ref="S8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3" s="47">
        <v>46.005</v>
      </c>
      <c r="U883" s="34">
        <f>IF(Cobros[[#This Row],[Tipo]]="Credito",IF(60&gt;=Cobros[[#This Row],[Dias al pago]],1,0),IF(Cobros[[#This Row],[Dias al pago]]&lt;=3,1,0))</f>
        <v>1</v>
      </c>
      <c r="V883" s="46">
        <f>(Cobros[[#This Row],[% A pagar Vendedor]]/100)*Cobros[[#This Row],[Valor Pagado]]*Cobros[[#This Row],[Vencido]]*(Cobros[[#This Row],[% aplicar]]/100)*IF(Cobros[[#This Row],[% A pagar Vendedor]]&gt;0,1,0)</f>
        <v>4.1129</v>
      </c>
      <c r="W883" s="46">
        <f>0.5%*Cobros[[#This Row],[Valor Pagado]]</f>
        <v>2.05645</v>
      </c>
      <c r="X883" s="69"/>
    </row>
    <row r="884" ht="30" spans="1:24">
      <c r="A884" s="49" t="s">
        <v>3875</v>
      </c>
      <c r="B884" s="49" t="s">
        <v>4984</v>
      </c>
      <c r="C884" s="49" t="s">
        <v>1482</v>
      </c>
      <c r="D884" s="49" t="s">
        <v>1483</v>
      </c>
      <c r="E884" s="49" t="s">
        <v>5213</v>
      </c>
      <c r="F884" s="51">
        <v>46196</v>
      </c>
      <c r="G884" s="49">
        <v>0.18</v>
      </c>
      <c r="H884" s="49" t="s">
        <v>3865</v>
      </c>
      <c r="I884" s="51">
        <v>46225</v>
      </c>
      <c r="J884" s="54">
        <f>INT(Cobros[[#This Row],[Fecha Cargo]])</f>
        <v>46196</v>
      </c>
      <c r="K884" s="54">
        <f>INT(Cobros[[#This Row],[Fecha Aplicacion]])</f>
        <v>46225</v>
      </c>
      <c r="L884" s="55" t="str">
        <f>INDEX(Clientes[Días Plazo],MATCH(Cobros[[#This Row],[Cod. Cliente]],Clientes[Codigo],0),1)</f>
        <v>30</v>
      </c>
      <c r="M884" s="45" t="str">
        <f>IF(Cobros[[#This Row],[Dias de Credito]]&lt;=0,"Contado","Credito")</f>
        <v>Credito</v>
      </c>
      <c r="N884" s="45">
        <f>Cobros[[#This Row],[Fecha Aplicación S]]-Cobros[[#This Row],[Fecha Cargo S]]</f>
        <v>29</v>
      </c>
      <c r="O884" s="45">
        <f>Cobros[[#This Row],[Dias al pago]]-Cobros[[#This Row],[Dias de Credito]]</f>
        <v>-1</v>
      </c>
      <c r="P884" s="45">
        <f>SUMIFS(TablaDias[Porcentaje],TablaDias[Tipo],Cobros[[#This Row],[Tipo]],TablaDias[Desde ],"&lt;="&amp;MAX(0,Cobros[[#This Row],[Dias pasado]]),TablaDias[Hasta ],"&gt;="&amp;Cobros[[#This Row],[Dias pasado]])</f>
        <v>100</v>
      </c>
      <c r="Q88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4" s="34">
        <f>IF(COUNTIF(PAPEL[Numero],Cobros[[#This Row],[Doc. Cargo]])&gt;0,1,0)</f>
        <v>0</v>
      </c>
      <c r="S884" s="46">
        <v>1</v>
      </c>
      <c r="T884" s="47">
        <v>47.005</v>
      </c>
      <c r="U884" s="34">
        <f>IF(Cobros[[#This Row],[Tipo]]="Credito",IF(60&gt;=Cobros[[#This Row],[Dias al pago]],1,0),IF(Cobros[[#This Row],[Dias al pago]]&lt;=3,1,0))</f>
        <v>1</v>
      </c>
      <c r="V884" s="46">
        <f>(Cobros[[#This Row],[% A pagar Vendedor]]/100)*Cobros[[#This Row],[Valor Pagado]]*Cobros[[#This Row],[Vencido]]*(Cobros[[#This Row],[% aplicar]]/100)*IF(Cobros[[#This Row],[% A pagar Vendedor]]&gt;0,1,0)</f>
        <v>0.0018</v>
      </c>
      <c r="W884" s="46">
        <f>0.5%*Cobros[[#This Row],[Valor Pagado]]</f>
        <v>0.0009</v>
      </c>
      <c r="X884" s="69"/>
    </row>
    <row r="885" ht="30" spans="1:24">
      <c r="A885" s="49" t="s">
        <v>3884</v>
      </c>
      <c r="B885" s="49" t="s">
        <v>5214</v>
      </c>
      <c r="C885" s="49" t="s">
        <v>1006</v>
      </c>
      <c r="D885" s="49" t="s">
        <v>1007</v>
      </c>
      <c r="E885" s="49" t="s">
        <v>5215</v>
      </c>
      <c r="F885" s="51">
        <v>46231</v>
      </c>
      <c r="G885" s="49">
        <v>37.5</v>
      </c>
      <c r="H885" s="49" t="s">
        <v>22</v>
      </c>
      <c r="I885" s="51">
        <v>46231</v>
      </c>
      <c r="J885" s="54">
        <f>INT(Cobros[[#This Row],[Fecha Cargo]])</f>
        <v>46231</v>
      </c>
      <c r="K885" s="54">
        <f>INT(Cobros[[#This Row],[Fecha Aplicacion]])</f>
        <v>46231</v>
      </c>
      <c r="L885" s="55">
        <f>INDEX(Clientes[Días Plazo],MATCH(Cobros[[#This Row],[Cod. Cliente]],Clientes[Codigo],0),1)</f>
        <v>0</v>
      </c>
      <c r="M885" s="45" t="str">
        <f>IF(Cobros[[#This Row],[Dias de Credito]]&lt;=0,"Contado","Credito")</f>
        <v>Contado</v>
      </c>
      <c r="N885" s="45">
        <f>Cobros[[#This Row],[Fecha Aplicación S]]-Cobros[[#This Row],[Fecha Cargo S]]</f>
        <v>0</v>
      </c>
      <c r="O885" s="45">
        <f>Cobros[[#This Row],[Dias al pago]]-Cobros[[#This Row],[Dias de Credito]]</f>
        <v>0</v>
      </c>
      <c r="P885" s="45">
        <f>SUMIFS(TablaDias[Porcentaje],TablaDias[Tipo],Cobros[[#This Row],[Tipo]],TablaDias[Desde ],"&lt;="&amp;MAX(0,Cobros[[#This Row],[Dias pasado]]),TablaDias[Hasta ],"&gt;="&amp;Cobros[[#This Row],[Dias pasado]])</f>
        <v>100</v>
      </c>
      <c r="Q88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85" s="34">
        <f>IF(COUNTIF(PAPEL[Numero],Cobros[[#This Row],[Doc. Cargo]])&gt;0,1,0)</f>
        <v>0</v>
      </c>
      <c r="S885" s="46">
        <f t="array" ref="S8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5" s="47">
        <v>48.005</v>
      </c>
      <c r="U885" s="34">
        <f>IF(Cobros[[#This Row],[Tipo]]="Credito",IF(60&gt;=Cobros[[#This Row],[Dias al pago]],1,0),IF(Cobros[[#This Row],[Dias al pago]]&lt;=3,1,0))</f>
        <v>1</v>
      </c>
      <c r="V885" s="46">
        <f>(Cobros[[#This Row],[% A pagar Vendedor]]/100)*Cobros[[#This Row],[Valor Pagado]]*Cobros[[#This Row],[Vencido]]*(Cobros[[#This Row],[% aplicar]]/100)*IF(Cobros[[#This Row],[% A pagar Vendedor]]&gt;0,1,0)</f>
        <v>0.375</v>
      </c>
      <c r="W885" s="46">
        <f>0.5%*Cobros[[#This Row],[Valor Pagado]]</f>
        <v>0.1875</v>
      </c>
      <c r="X885" s="69"/>
    </row>
    <row r="886" ht="30" spans="1:24">
      <c r="A886" s="49" t="s">
        <v>3875</v>
      </c>
      <c r="B886" s="49" t="s">
        <v>5216</v>
      </c>
      <c r="C886" s="49" t="s">
        <v>3406</v>
      </c>
      <c r="D886" s="49" t="s">
        <v>3407</v>
      </c>
      <c r="E886" s="49" t="s">
        <v>5217</v>
      </c>
      <c r="F886" s="51">
        <v>46231</v>
      </c>
      <c r="G886" s="49">
        <v>129.6</v>
      </c>
      <c r="H886" s="49" t="s">
        <v>22</v>
      </c>
      <c r="I886" s="51">
        <v>46231</v>
      </c>
      <c r="J886" s="54">
        <f>INT(Cobros[[#This Row],[Fecha Cargo]])</f>
        <v>46231</v>
      </c>
      <c r="K886" s="54">
        <f>INT(Cobros[[#This Row],[Fecha Aplicacion]])</f>
        <v>46231</v>
      </c>
      <c r="L886" s="55">
        <f>INDEX(Clientes[Días Plazo],MATCH(Cobros[[#This Row],[Cod. Cliente]],Clientes[Codigo],0),1)</f>
        <v>0</v>
      </c>
      <c r="M886" s="45" t="str">
        <f>IF(Cobros[[#This Row],[Dias de Credito]]&lt;=0,"Contado","Credito")</f>
        <v>Contado</v>
      </c>
      <c r="N886" s="45">
        <f>Cobros[[#This Row],[Fecha Aplicación S]]-Cobros[[#This Row],[Fecha Cargo S]]</f>
        <v>0</v>
      </c>
      <c r="O886" s="45">
        <f>Cobros[[#This Row],[Dias al pago]]-Cobros[[#This Row],[Dias de Credito]]</f>
        <v>0</v>
      </c>
      <c r="P886" s="45">
        <f>SUMIFS(TablaDias[Porcentaje],TablaDias[Tipo],Cobros[[#This Row],[Tipo]],TablaDias[Desde ],"&lt;="&amp;MAX(0,Cobros[[#This Row],[Dias pasado]]),TablaDias[Hasta ],"&gt;="&amp;Cobros[[#This Row],[Dias pasado]])</f>
        <v>100</v>
      </c>
      <c r="Q88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86" s="34">
        <f>IF(COUNTIF(PAPEL[Numero],Cobros[[#This Row],[Doc. Cargo]])&gt;0,1,0)</f>
        <v>0</v>
      </c>
      <c r="S886" s="46">
        <f t="array" ref="S8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6" s="47">
        <v>49.005</v>
      </c>
      <c r="U886" s="34">
        <f>IF(Cobros[[#This Row],[Tipo]]="Credito",IF(60&gt;=Cobros[[#This Row],[Dias al pago]],1,0),IF(Cobros[[#This Row],[Dias al pago]]&lt;=3,1,0))</f>
        <v>1</v>
      </c>
      <c r="V886" s="46">
        <f>(Cobros[[#This Row],[% A pagar Vendedor]]/100)*Cobros[[#This Row],[Valor Pagado]]*Cobros[[#This Row],[Vencido]]*(Cobros[[#This Row],[% aplicar]]/100)*IF(Cobros[[#This Row],[% A pagar Vendedor]]&gt;0,1,0)</f>
        <v>1.296</v>
      </c>
      <c r="W886" s="46">
        <f>0.5%*Cobros[[#This Row],[Valor Pagado]]</f>
        <v>0.648</v>
      </c>
      <c r="X886" s="69"/>
    </row>
    <row r="887" ht="30" spans="1:24">
      <c r="A887" s="49" t="s">
        <v>3860</v>
      </c>
      <c r="B887" s="49" t="s">
        <v>5218</v>
      </c>
      <c r="C887" s="49" t="s">
        <v>1106</v>
      </c>
      <c r="D887" s="49" t="s">
        <v>1107</v>
      </c>
      <c r="E887" s="49" t="s">
        <v>5219</v>
      </c>
      <c r="F887" s="51">
        <v>46231</v>
      </c>
      <c r="G887" s="49">
        <v>210</v>
      </c>
      <c r="H887" s="49" t="s">
        <v>3865</v>
      </c>
      <c r="I887" s="51">
        <v>46231</v>
      </c>
      <c r="J887" s="54">
        <f>INT(Cobros[[#This Row],[Fecha Cargo]])</f>
        <v>46231</v>
      </c>
      <c r="K887" s="54">
        <f>INT(Cobros[[#This Row],[Fecha Aplicacion]])</f>
        <v>46231</v>
      </c>
      <c r="L887" s="55">
        <f>INDEX(Clientes[Días Plazo],MATCH(Cobros[[#This Row],[Cod. Cliente]],Clientes[Codigo],0),1)</f>
        <v>0</v>
      </c>
      <c r="M887" s="45" t="str">
        <f>IF(Cobros[[#This Row],[Dias de Credito]]&lt;=0,"Contado","Credito")</f>
        <v>Contado</v>
      </c>
      <c r="N887" s="45">
        <f>Cobros[[#This Row],[Fecha Aplicación S]]-Cobros[[#This Row],[Fecha Cargo S]]</f>
        <v>0</v>
      </c>
      <c r="O887" s="45">
        <f>Cobros[[#This Row],[Dias al pago]]-Cobros[[#This Row],[Dias de Credito]]</f>
        <v>0</v>
      </c>
      <c r="P887" s="45">
        <f>SUMIFS(TablaDias[Porcentaje],TablaDias[Tipo],Cobros[[#This Row],[Tipo]],TablaDias[Desde ],"&lt;="&amp;MAX(0,Cobros[[#This Row],[Dias pasado]]),TablaDias[Hasta ],"&gt;="&amp;Cobros[[#This Row],[Dias pasado]])</f>
        <v>100</v>
      </c>
      <c r="Q88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87" s="34">
        <f>IF(COUNTIF(PAPEL[Numero],Cobros[[#This Row],[Doc. Cargo]])&gt;0,1,0)</f>
        <v>0</v>
      </c>
      <c r="S887" s="46">
        <v>1</v>
      </c>
      <c r="T887" s="47">
        <v>50.005</v>
      </c>
      <c r="U887" s="34">
        <f>IF(Cobros[[#This Row],[Tipo]]="Credito",IF(60&gt;=Cobros[[#This Row],[Dias al pago]],1,0),IF(Cobros[[#This Row],[Dias al pago]]&lt;=3,1,0))</f>
        <v>1</v>
      </c>
      <c r="V887" s="46">
        <f>(Cobros[[#This Row],[% A pagar Vendedor]]/100)*Cobros[[#This Row],[Valor Pagado]]*Cobros[[#This Row],[Vencido]]*(Cobros[[#This Row],[% aplicar]]/100)*IF(Cobros[[#This Row],[% A pagar Vendedor]]&gt;0,1,0)</f>
        <v>2.1</v>
      </c>
      <c r="W887" s="46">
        <v>1.05</v>
      </c>
      <c r="X887" s="69"/>
    </row>
    <row r="888" spans="1:24">
      <c r="A888" s="49" t="s">
        <v>3860</v>
      </c>
      <c r="B888" s="49" t="s">
        <v>5220</v>
      </c>
      <c r="C888" s="49" t="s">
        <v>819</v>
      </c>
      <c r="D888" s="49" t="s">
        <v>820</v>
      </c>
      <c r="E888" s="49" t="s">
        <v>5221</v>
      </c>
      <c r="F888" s="51">
        <v>46184</v>
      </c>
      <c r="G888" s="49">
        <v>2338</v>
      </c>
      <c r="H888" s="49" t="s">
        <v>16</v>
      </c>
      <c r="I888" s="51">
        <v>46231</v>
      </c>
      <c r="J888" s="54">
        <f>INT(Cobros[[#This Row],[Fecha Cargo]])</f>
        <v>46184</v>
      </c>
      <c r="K888" s="54">
        <f>INT(Cobros[[#This Row],[Fecha Aplicacion]])</f>
        <v>46231</v>
      </c>
      <c r="L888" s="55" t="str">
        <f>INDEX(Clientes[Días Plazo],MATCH(Cobros[[#This Row],[Cod. Cliente]],Clientes[Codigo],0),1)</f>
        <v>45</v>
      </c>
      <c r="M888" s="45" t="str">
        <f>IF(Cobros[[#This Row],[Dias de Credito]]&lt;=0,"Contado","Credito")</f>
        <v>Credito</v>
      </c>
      <c r="N888" s="45">
        <f>Cobros[[#This Row],[Fecha Aplicación S]]-Cobros[[#This Row],[Fecha Cargo S]]</f>
        <v>47</v>
      </c>
      <c r="O888" s="45">
        <f>Cobros[[#This Row],[Dias al pago]]-Cobros[[#This Row],[Dias de Credito]]</f>
        <v>2</v>
      </c>
      <c r="P888" s="45">
        <f>SUMIFS(TablaDias[Porcentaje],TablaDias[Tipo],Cobros[[#This Row],[Tipo]],TablaDias[Desde ],"&lt;="&amp;MAX(0,Cobros[[#This Row],[Dias pasado]]),TablaDias[Hasta ],"&gt;="&amp;Cobros[[#This Row],[Dias pasado]])</f>
        <v>100</v>
      </c>
      <c r="Q88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88" s="34">
        <f>IF(COUNTIF(PAPEL[Numero],Cobros[[#This Row],[Doc. Cargo]])&gt;0,1,0)</f>
        <v>0</v>
      </c>
      <c r="S888" s="46">
        <f t="array" ref="S8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88" s="47">
        <v>51.005</v>
      </c>
      <c r="U888" s="34">
        <f>IF(Cobros[[#This Row],[Tipo]]="Credito",IF(60&gt;=Cobros[[#This Row],[Dias al pago]],1,0),IF(Cobros[[#This Row],[Dias al pago]]&lt;=3,1,0))</f>
        <v>1</v>
      </c>
      <c r="V888" s="46">
        <f>(Cobros[[#This Row],[% A pagar Vendedor]]/100)*Cobros[[#This Row],[Valor Pagado]]*Cobros[[#This Row],[Vencido]]*(Cobros[[#This Row],[% aplicar]]/100)*IF(Cobros[[#This Row],[% A pagar Vendedor]]&gt;0,1,0)</f>
        <v>23.38</v>
      </c>
      <c r="W888" s="46">
        <f>0.5%*Cobros[[#This Row],[Valor Pagado]]</f>
        <v>11.69</v>
      </c>
      <c r="X888" s="69"/>
    </row>
    <row r="889" spans="1:24">
      <c r="A889" s="49" t="s">
        <v>3860</v>
      </c>
      <c r="B889" s="49" t="s">
        <v>5222</v>
      </c>
      <c r="C889" s="49" t="s">
        <v>1222</v>
      </c>
      <c r="D889" s="49" t="s">
        <v>1223</v>
      </c>
      <c r="E889" s="49" t="s">
        <v>5223</v>
      </c>
      <c r="F889" s="51">
        <v>46230</v>
      </c>
      <c r="G889" s="49">
        <v>1000</v>
      </c>
      <c r="H889" s="49" t="s">
        <v>20</v>
      </c>
      <c r="I889" s="51">
        <v>46231</v>
      </c>
      <c r="J889" s="54">
        <f>INT(Cobros[[#This Row],[Fecha Cargo]])</f>
        <v>46230</v>
      </c>
      <c r="K889" s="54">
        <f>INT(Cobros[[#This Row],[Fecha Aplicacion]])</f>
        <v>46231</v>
      </c>
      <c r="L889" s="55" t="str">
        <f>INDEX(Clientes[Días Plazo],MATCH(Cobros[[#This Row],[Cod. Cliente]],Clientes[Codigo],0),1)</f>
        <v>7</v>
      </c>
      <c r="M889" s="45" t="str">
        <f>IF(Cobros[[#This Row],[Dias de Credito]]&lt;=0,"Contado","Credito")</f>
        <v>Credito</v>
      </c>
      <c r="N889" s="45">
        <f>Cobros[[#This Row],[Fecha Aplicación S]]-Cobros[[#This Row],[Fecha Cargo S]]</f>
        <v>1</v>
      </c>
      <c r="O889" s="45">
        <f>Cobros[[#This Row],[Dias al pago]]-Cobros[[#This Row],[Dias de Credito]]</f>
        <v>-6</v>
      </c>
      <c r="P889" s="45">
        <f>SUMIFS(TablaDias[Porcentaje],TablaDias[Tipo],Cobros[[#This Row],[Tipo]],TablaDias[Desde ],"&lt;="&amp;MAX(0,Cobros[[#This Row],[Dias pasado]]),TablaDias[Hasta ],"&gt;="&amp;Cobros[[#This Row],[Dias pasado]])</f>
        <v>100</v>
      </c>
      <c r="Q88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89" s="34">
        <f>IF(COUNTIF(PAPEL[Numero],Cobros[[#This Row],[Doc. Cargo]])&gt;0,1,0)</f>
        <v>0</v>
      </c>
      <c r="S889" s="46">
        <f t="array" ref="S8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89" s="47">
        <v>52.005</v>
      </c>
      <c r="U889" s="34">
        <f>IF(Cobros[[#This Row],[Tipo]]="Credito",IF(60&gt;=Cobros[[#This Row],[Dias al pago]],1,0),IF(Cobros[[#This Row],[Dias al pago]]&lt;=3,1,0))</f>
        <v>1</v>
      </c>
      <c r="V889" s="46">
        <f>(Cobros[[#This Row],[% A pagar Vendedor]]/100)*Cobros[[#This Row],[Valor Pagado]]*Cobros[[#This Row],[Vencido]]*(Cobros[[#This Row],[% aplicar]]/100)*IF(Cobros[[#This Row],[% A pagar Vendedor]]&gt;0,1,0)</f>
        <v>12.5</v>
      </c>
      <c r="W889" s="46">
        <f>0.5%*Cobros[[#This Row],[Valor Pagado]]</f>
        <v>5</v>
      </c>
      <c r="X889" s="69"/>
    </row>
    <row r="890" ht="30" spans="1:24">
      <c r="A890" s="49" t="s">
        <v>3860</v>
      </c>
      <c r="B890" s="49" t="s">
        <v>5224</v>
      </c>
      <c r="C890" s="49" t="s">
        <v>534</v>
      </c>
      <c r="D890" s="49" t="s">
        <v>535</v>
      </c>
      <c r="E890" s="49" t="s">
        <v>5181</v>
      </c>
      <c r="F890" s="51">
        <v>46181</v>
      </c>
      <c r="G890" s="49">
        <v>1063.87</v>
      </c>
      <c r="H890" s="49" t="s">
        <v>3865</v>
      </c>
      <c r="I890" s="51">
        <v>46231</v>
      </c>
      <c r="J890" s="54">
        <f>INT(Cobros[[#This Row],[Fecha Cargo]])</f>
        <v>46181</v>
      </c>
      <c r="K890" s="54">
        <f>INT(Cobros[[#This Row],[Fecha Aplicacion]])</f>
        <v>46231</v>
      </c>
      <c r="L890" s="55" t="str">
        <f>INDEX(Clientes[Días Plazo],MATCH(Cobros[[#This Row],[Cod. Cliente]],Clientes[Codigo],0),1)</f>
        <v>21</v>
      </c>
      <c r="M890" s="45" t="str">
        <f>IF(Cobros[[#This Row],[Dias de Credito]]&lt;=0,"Contado","Credito")</f>
        <v>Credito</v>
      </c>
      <c r="N890" s="45">
        <f>Cobros[[#This Row],[Fecha Aplicación S]]-Cobros[[#This Row],[Fecha Cargo S]]</f>
        <v>50</v>
      </c>
      <c r="O890" s="45">
        <f>Cobros[[#This Row],[Dias al pago]]-Cobros[[#This Row],[Dias de Credito]]</f>
        <v>29</v>
      </c>
      <c r="P890" s="45">
        <f>SUMIFS(TablaDias[Porcentaje],TablaDias[Tipo],Cobros[[#This Row],[Tipo]],TablaDias[Desde ],"&lt;="&amp;MAX(0,Cobros[[#This Row],[Dias pasado]]),TablaDias[Hasta ],"&gt;="&amp;Cobros[[#This Row],[Dias pasado]])</f>
        <v>50</v>
      </c>
      <c r="Q89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90" s="34">
        <f>IF(COUNTIF(PAPEL[Numero],Cobros[[#This Row],[Doc. Cargo]])&gt;0,1,0)</f>
        <v>0</v>
      </c>
      <c r="S890" s="46">
        <v>1</v>
      </c>
      <c r="T890" s="47">
        <v>53.005</v>
      </c>
      <c r="U890" s="34">
        <f>IF(Cobros[[#This Row],[Tipo]]="Credito",IF(60&gt;=Cobros[[#This Row],[Dias al pago]],1,0),IF(Cobros[[#This Row],[Dias al pago]]&lt;=3,1,0))</f>
        <v>1</v>
      </c>
      <c r="V890" s="46">
        <f>(Cobros[[#This Row],[% A pagar Vendedor]]/100)*Cobros[[#This Row],[Valor Pagado]]*Cobros[[#This Row],[Vencido]]*(Cobros[[#This Row],[% aplicar]]/100)*IF(Cobros[[#This Row],[% A pagar Vendedor]]&gt;0,1,0)</f>
        <v>5.31935</v>
      </c>
      <c r="W890" s="46">
        <f>0.5%*Cobros[[#This Row],[Valor Pagado]]</f>
        <v>5.31935</v>
      </c>
      <c r="X890" s="69"/>
    </row>
    <row r="891" ht="30" spans="1:24">
      <c r="A891" s="49" t="s">
        <v>3860</v>
      </c>
      <c r="B891" s="49" t="s">
        <v>5224</v>
      </c>
      <c r="C891" s="49" t="s">
        <v>534</v>
      </c>
      <c r="D891" s="49" t="s">
        <v>535</v>
      </c>
      <c r="E891" s="49" t="s">
        <v>5225</v>
      </c>
      <c r="F891" s="51">
        <v>46188</v>
      </c>
      <c r="G891" s="49">
        <v>936.13</v>
      </c>
      <c r="H891" s="49" t="s">
        <v>3865</v>
      </c>
      <c r="I891" s="51">
        <v>46231</v>
      </c>
      <c r="J891" s="54">
        <f>INT(Cobros[[#This Row],[Fecha Cargo]])</f>
        <v>46188</v>
      </c>
      <c r="K891" s="54">
        <f>INT(Cobros[[#This Row],[Fecha Aplicacion]])</f>
        <v>46231</v>
      </c>
      <c r="L891" s="55" t="str">
        <f>INDEX(Clientes[Días Plazo],MATCH(Cobros[[#This Row],[Cod. Cliente]],Clientes[Codigo],0),1)</f>
        <v>21</v>
      </c>
      <c r="M891" s="45" t="str">
        <f>IF(Cobros[[#This Row],[Dias de Credito]]&lt;=0,"Contado","Credito")</f>
        <v>Credito</v>
      </c>
      <c r="N891" s="45">
        <f>Cobros[[#This Row],[Fecha Aplicación S]]-Cobros[[#This Row],[Fecha Cargo S]]</f>
        <v>43</v>
      </c>
      <c r="O891" s="45">
        <f>Cobros[[#This Row],[Dias al pago]]-Cobros[[#This Row],[Dias de Credito]]</f>
        <v>22</v>
      </c>
      <c r="P891" s="45">
        <f>SUMIFS(TablaDias[Porcentaje],TablaDias[Tipo],Cobros[[#This Row],[Tipo]],TablaDias[Desde ],"&lt;="&amp;MAX(0,Cobros[[#This Row],[Dias pasado]]),TablaDias[Hasta ],"&gt;="&amp;Cobros[[#This Row],[Dias pasado]])</f>
        <v>50</v>
      </c>
      <c r="Q89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91" s="34">
        <f>IF(COUNTIF(PAPEL[Numero],Cobros[[#This Row],[Doc. Cargo]])&gt;0,1,0)</f>
        <v>0</v>
      </c>
      <c r="S891" s="46">
        <v>1</v>
      </c>
      <c r="T891" s="47">
        <v>54.005</v>
      </c>
      <c r="U891" s="34">
        <f>IF(Cobros[[#This Row],[Tipo]]="Credito",IF(60&gt;=Cobros[[#This Row],[Dias al pago]],1,0),IF(Cobros[[#This Row],[Dias al pago]]&lt;=3,1,0))</f>
        <v>1</v>
      </c>
      <c r="V891" s="46">
        <f>(Cobros[[#This Row],[% A pagar Vendedor]]/100)*Cobros[[#This Row],[Valor Pagado]]*Cobros[[#This Row],[Vencido]]*(Cobros[[#This Row],[% aplicar]]/100)*IF(Cobros[[#This Row],[% A pagar Vendedor]]&gt;0,1,0)</f>
        <v>4.68065</v>
      </c>
      <c r="W891" s="46">
        <f>0.5%*Cobros[[#This Row],[Valor Pagado]]</f>
        <v>4.68065</v>
      </c>
      <c r="X891" s="69"/>
    </row>
    <row r="892" ht="30" spans="1:24">
      <c r="A892" s="49" t="s">
        <v>3904</v>
      </c>
      <c r="B892" s="49" t="s">
        <v>5226</v>
      </c>
      <c r="C892" s="49" t="s">
        <v>1006</v>
      </c>
      <c r="D892" s="49" t="s">
        <v>1007</v>
      </c>
      <c r="E892" s="49" t="s">
        <v>5227</v>
      </c>
      <c r="F892" s="51">
        <v>46231</v>
      </c>
      <c r="G892" s="49">
        <v>450</v>
      </c>
      <c r="H892" s="49" t="s">
        <v>22</v>
      </c>
      <c r="I892" s="51">
        <v>46231</v>
      </c>
      <c r="J892" s="54">
        <f>INT(Cobros[[#This Row],[Fecha Cargo]])</f>
        <v>46231</v>
      </c>
      <c r="K892" s="54">
        <f>INT(Cobros[[#This Row],[Fecha Aplicacion]])</f>
        <v>46231</v>
      </c>
      <c r="L892" s="55">
        <f>INDEX(Clientes[Días Plazo],MATCH(Cobros[[#This Row],[Cod. Cliente]],Clientes[Codigo],0),1)</f>
        <v>0</v>
      </c>
      <c r="M892" s="45" t="str">
        <f>IF(Cobros[[#This Row],[Dias de Credito]]&lt;=0,"Contado","Credito")</f>
        <v>Contado</v>
      </c>
      <c r="N892" s="45">
        <f>Cobros[[#This Row],[Fecha Aplicación S]]-Cobros[[#This Row],[Fecha Cargo S]]</f>
        <v>0</v>
      </c>
      <c r="O892" s="45">
        <f>Cobros[[#This Row],[Dias al pago]]-Cobros[[#This Row],[Dias de Credito]]</f>
        <v>0</v>
      </c>
      <c r="P892" s="45">
        <f>SUMIFS(TablaDias[Porcentaje],TablaDias[Tipo],Cobros[[#This Row],[Tipo]],TablaDias[Desde ],"&lt;="&amp;MAX(0,Cobros[[#This Row],[Dias pasado]]),TablaDias[Hasta ],"&gt;="&amp;Cobros[[#This Row],[Dias pasado]])</f>
        <v>100</v>
      </c>
      <c r="Q89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2" s="34">
        <f>IF(COUNTIF(PAPEL[Numero],Cobros[[#This Row],[Doc. Cargo]])&gt;0,1,0)</f>
        <v>0</v>
      </c>
      <c r="S892" s="46">
        <f t="array" ref="S8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92" s="47">
        <v>55.005</v>
      </c>
      <c r="U892" s="34">
        <f>IF(Cobros[[#This Row],[Tipo]]="Credito",IF(60&gt;=Cobros[[#This Row],[Dias al pago]],1,0),IF(Cobros[[#This Row],[Dias al pago]]&lt;=3,1,0))</f>
        <v>1</v>
      </c>
      <c r="V892" s="46">
        <f>(Cobros[[#This Row],[% A pagar Vendedor]]/100)*Cobros[[#This Row],[Valor Pagado]]*Cobros[[#This Row],[Vencido]]*(Cobros[[#This Row],[% aplicar]]/100)*IF(Cobros[[#This Row],[% A pagar Vendedor]]&gt;0,1,0)</f>
        <v>4.5</v>
      </c>
      <c r="W892" s="46">
        <f>0.5%*Cobros[[#This Row],[Valor Pagado]]</f>
        <v>2.25</v>
      </c>
      <c r="X892" s="69"/>
    </row>
    <row r="893" ht="30" spans="1:24">
      <c r="A893" s="49" t="s">
        <v>3922</v>
      </c>
      <c r="B893" s="49" t="s">
        <v>5228</v>
      </c>
      <c r="C893" s="49" t="s">
        <v>1482</v>
      </c>
      <c r="D893" s="49" t="s">
        <v>1483</v>
      </c>
      <c r="E893" s="49" t="s">
        <v>5213</v>
      </c>
      <c r="F893" s="51">
        <v>46196</v>
      </c>
      <c r="G893" s="49">
        <v>379.57</v>
      </c>
      <c r="H893" s="49" t="s">
        <v>3865</v>
      </c>
      <c r="I893" s="51">
        <v>46231</v>
      </c>
      <c r="J893" s="54">
        <f>INT(Cobros[[#This Row],[Fecha Cargo]])</f>
        <v>46196</v>
      </c>
      <c r="K893" s="54">
        <f>INT(Cobros[[#This Row],[Fecha Aplicacion]])</f>
        <v>46231</v>
      </c>
      <c r="L893" s="55" t="str">
        <f>INDEX(Clientes[Días Plazo],MATCH(Cobros[[#This Row],[Cod. Cliente]],Clientes[Codigo],0),1)</f>
        <v>30</v>
      </c>
      <c r="M893" s="45" t="str">
        <f>IF(Cobros[[#This Row],[Dias de Credito]]&lt;=0,"Contado","Credito")</f>
        <v>Credito</v>
      </c>
      <c r="N893" s="45">
        <f>Cobros[[#This Row],[Fecha Aplicación S]]-Cobros[[#This Row],[Fecha Cargo S]]</f>
        <v>35</v>
      </c>
      <c r="O893" s="45">
        <f>Cobros[[#This Row],[Dias al pago]]-Cobros[[#This Row],[Dias de Credito]]</f>
        <v>5</v>
      </c>
      <c r="P893" s="45">
        <f>SUMIFS(TablaDias[Porcentaje],TablaDias[Tipo],Cobros[[#This Row],[Tipo]],TablaDias[Desde ],"&lt;="&amp;MAX(0,Cobros[[#This Row],[Dias pasado]]),TablaDias[Hasta ],"&gt;="&amp;Cobros[[#This Row],[Dias pasado]])</f>
        <v>100</v>
      </c>
      <c r="Q89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893" s="34">
        <f>IF(COUNTIF(PAPEL[Numero],Cobros[[#This Row],[Doc. Cargo]])&gt;0,1,0)</f>
        <v>0</v>
      </c>
      <c r="S893" s="46">
        <v>1</v>
      </c>
      <c r="T893" s="47">
        <v>56.005</v>
      </c>
      <c r="U893" s="34">
        <f>IF(Cobros[[#This Row],[Tipo]]="Credito",IF(60&gt;=Cobros[[#This Row],[Dias al pago]],1,0),IF(Cobros[[#This Row],[Dias al pago]]&lt;=3,1,0))</f>
        <v>1</v>
      </c>
      <c r="V893" s="46">
        <f>(Cobros[[#This Row],[% A pagar Vendedor]]/100)*Cobros[[#This Row],[Valor Pagado]]*Cobros[[#This Row],[Vencido]]*(Cobros[[#This Row],[% aplicar]]/100)*IF(Cobros[[#This Row],[% A pagar Vendedor]]&gt;0,1,0)</f>
        <v>3.7957</v>
      </c>
      <c r="W893" s="46">
        <f>0.5%*Cobros[[#This Row],[Valor Pagado]]</f>
        <v>1.89785</v>
      </c>
      <c r="X893" s="69"/>
    </row>
    <row r="894" ht="30" spans="1:24">
      <c r="A894" s="49" t="s">
        <v>3860</v>
      </c>
      <c r="B894" s="49" t="s">
        <v>5229</v>
      </c>
      <c r="C894" s="49" t="s">
        <v>2525</v>
      </c>
      <c r="D894" s="49" t="s">
        <v>2526</v>
      </c>
      <c r="E894" s="49" t="s">
        <v>5230</v>
      </c>
      <c r="F894" s="51">
        <v>46231</v>
      </c>
      <c r="G894" s="49">
        <v>140</v>
      </c>
      <c r="H894" s="49" t="s">
        <v>22</v>
      </c>
      <c r="I894" s="51">
        <v>46231</v>
      </c>
      <c r="J894" s="54">
        <f>INT(Cobros[[#This Row],[Fecha Cargo]])</f>
        <v>46231</v>
      </c>
      <c r="K894" s="54">
        <f>INT(Cobros[[#This Row],[Fecha Aplicacion]])</f>
        <v>46231</v>
      </c>
      <c r="L894" s="55">
        <f>INDEX(Clientes[Días Plazo],MATCH(Cobros[[#This Row],[Cod. Cliente]],Clientes[Codigo],0),1)</f>
        <v>0</v>
      </c>
      <c r="M894" s="45" t="str">
        <f>IF(Cobros[[#This Row],[Dias de Credito]]&lt;=0,"Contado","Credito")</f>
        <v>Contado</v>
      </c>
      <c r="N894" s="45">
        <f>Cobros[[#This Row],[Fecha Aplicación S]]-Cobros[[#This Row],[Fecha Cargo S]]</f>
        <v>0</v>
      </c>
      <c r="O894" s="45">
        <f>Cobros[[#This Row],[Dias al pago]]-Cobros[[#This Row],[Dias de Credito]]</f>
        <v>0</v>
      </c>
      <c r="P894" s="45">
        <f>SUMIFS(TablaDias[Porcentaje],TablaDias[Tipo],Cobros[[#This Row],[Tipo]],TablaDias[Desde ],"&lt;="&amp;MAX(0,Cobros[[#This Row],[Dias pasado]]),TablaDias[Hasta ],"&gt;="&amp;Cobros[[#This Row],[Dias pasado]])</f>
        <v>100</v>
      </c>
      <c r="Q89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4" s="34">
        <f>IF(COUNTIF(PAPEL[Numero],Cobros[[#This Row],[Doc. Cargo]])&gt;0,1,0)</f>
        <v>0</v>
      </c>
      <c r="S894" s="46">
        <f t="array" ref="S89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894" s="47">
        <v>57.005</v>
      </c>
      <c r="U894" s="34">
        <f>IF(Cobros[[#This Row],[Tipo]]="Credito",IF(60&gt;=Cobros[[#This Row],[Dias al pago]],1,0),IF(Cobros[[#This Row],[Dias al pago]]&lt;=3,1,0))</f>
        <v>1</v>
      </c>
      <c r="V894" s="46">
        <f>(Cobros[[#This Row],[% A pagar Vendedor]]/100)*Cobros[[#This Row],[Valor Pagado]]*Cobros[[#This Row],[Vencido]]*(Cobros[[#This Row],[% aplicar]]/100)*IF(Cobros[[#This Row],[% A pagar Vendedor]]&gt;0,1,0)</f>
        <v>1.4</v>
      </c>
      <c r="W894" s="46">
        <f>0.5%*Cobros[[#This Row],[Valor Pagado]]</f>
        <v>0.7</v>
      </c>
      <c r="X894" s="69"/>
    </row>
    <row r="895" ht="30" spans="1:24">
      <c r="A895" s="49" t="s">
        <v>3884</v>
      </c>
      <c r="B895" s="49" t="s">
        <v>5231</v>
      </c>
      <c r="C895" s="49" t="s">
        <v>3734</v>
      </c>
      <c r="D895" s="49" t="s">
        <v>3735</v>
      </c>
      <c r="E895" s="49" t="s">
        <v>5232</v>
      </c>
      <c r="F895" s="51">
        <v>46231</v>
      </c>
      <c r="G895" s="49">
        <v>175.8</v>
      </c>
      <c r="H895" s="49" t="s">
        <v>3865</v>
      </c>
      <c r="I895" s="51">
        <v>46231</v>
      </c>
      <c r="J895" s="54">
        <f>INT(Cobros[[#This Row],[Fecha Cargo]])</f>
        <v>46231</v>
      </c>
      <c r="K895" s="54">
        <f>INT(Cobros[[#This Row],[Fecha Aplicacion]])</f>
        <v>46231</v>
      </c>
      <c r="L895" s="55">
        <f>INDEX(Clientes[Días Plazo],MATCH(Cobros[[#This Row],[Cod. Cliente]],Clientes[Codigo],0),1)</f>
        <v>0</v>
      </c>
      <c r="M895" s="45" t="str">
        <f>IF(Cobros[[#This Row],[Dias de Credito]]&lt;=0,"Contado","Credito")</f>
        <v>Contado</v>
      </c>
      <c r="N895" s="45">
        <f>Cobros[[#This Row],[Fecha Aplicación S]]-Cobros[[#This Row],[Fecha Cargo S]]</f>
        <v>0</v>
      </c>
      <c r="O895" s="45">
        <f>Cobros[[#This Row],[Dias al pago]]-Cobros[[#This Row],[Dias de Credito]]</f>
        <v>0</v>
      </c>
      <c r="P895" s="45">
        <f>SUMIFS(TablaDias[Porcentaje],TablaDias[Tipo],Cobros[[#This Row],[Tipo]],TablaDias[Desde ],"&lt;="&amp;MAX(0,Cobros[[#This Row],[Dias pasado]]),TablaDias[Hasta ],"&gt;="&amp;Cobros[[#This Row],[Dias pasado]])</f>
        <v>100</v>
      </c>
      <c r="Q89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5" s="34">
        <f>IF(COUNTIF(PAPEL[Numero],Cobros[[#This Row],[Doc. Cargo]])&gt;0,1,0)</f>
        <v>0</v>
      </c>
      <c r="S895" s="46">
        <v>1</v>
      </c>
      <c r="T895" s="47">
        <v>58.005</v>
      </c>
      <c r="U895" s="34">
        <f>IF(Cobros[[#This Row],[Tipo]]="Credito",IF(60&gt;=Cobros[[#This Row],[Dias al pago]],1,0),IF(Cobros[[#This Row],[Dias al pago]]&lt;=3,1,0))</f>
        <v>1</v>
      </c>
      <c r="V895" s="46">
        <f>(Cobros[[#This Row],[% A pagar Vendedor]]/100)*Cobros[[#This Row],[Valor Pagado]]*Cobros[[#This Row],[Vencido]]*(Cobros[[#This Row],[% aplicar]]/100)*IF(Cobros[[#This Row],[% A pagar Vendedor]]&gt;0,1,0)</f>
        <v>1.758</v>
      </c>
      <c r="W895" s="46">
        <f>0.5%*Cobros[[#This Row],[Valor Pagado]]</f>
        <v>0.879</v>
      </c>
      <c r="X895" s="69"/>
    </row>
    <row r="896" spans="1:24">
      <c r="A896" s="49" t="s">
        <v>3860</v>
      </c>
      <c r="B896" s="49" t="s">
        <v>5233</v>
      </c>
      <c r="C896" s="49" t="s">
        <v>390</v>
      </c>
      <c r="D896" s="49" t="s">
        <v>391</v>
      </c>
      <c r="E896" s="49" t="s">
        <v>5234</v>
      </c>
      <c r="F896" s="51">
        <v>46231</v>
      </c>
      <c r="G896" s="49">
        <v>994</v>
      </c>
      <c r="H896" s="49" t="s">
        <v>20</v>
      </c>
      <c r="I896" s="51">
        <v>46231</v>
      </c>
      <c r="J896" s="54">
        <f>INT(Cobros[[#This Row],[Fecha Cargo]])</f>
        <v>46231</v>
      </c>
      <c r="K896" s="54">
        <f>INT(Cobros[[#This Row],[Fecha Aplicacion]])</f>
        <v>46231</v>
      </c>
      <c r="L896" s="55">
        <f>INDEX(Clientes[Días Plazo],MATCH(Cobros[[#This Row],[Cod. Cliente]],Clientes[Codigo],0),1)</f>
        <v>0</v>
      </c>
      <c r="M896" s="45" t="str">
        <f>IF(Cobros[[#This Row],[Dias de Credito]]&lt;=0,"Contado","Credito")</f>
        <v>Contado</v>
      </c>
      <c r="N896" s="45">
        <f>Cobros[[#This Row],[Fecha Aplicación S]]-Cobros[[#This Row],[Fecha Cargo S]]</f>
        <v>0</v>
      </c>
      <c r="O896" s="45">
        <f>Cobros[[#This Row],[Dias al pago]]-Cobros[[#This Row],[Dias de Credito]]</f>
        <v>0</v>
      </c>
      <c r="P896" s="45">
        <f>SUMIFS(TablaDias[Porcentaje],TablaDias[Tipo],Cobros[[#This Row],[Tipo]],TablaDias[Desde ],"&lt;="&amp;MAX(0,Cobros[[#This Row],[Dias pasado]]),TablaDias[Hasta ],"&gt;="&amp;Cobros[[#This Row],[Dias pasado]])</f>
        <v>100</v>
      </c>
      <c r="Q89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6" s="34">
        <f>IF(COUNTIF(PAPEL[Numero],Cobros[[#This Row],[Doc. Cargo]])&gt;0,1,0)</f>
        <v>0</v>
      </c>
      <c r="S896" s="46">
        <f t="array" ref="S8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96" s="47">
        <v>59.005</v>
      </c>
      <c r="U896" s="34">
        <f>IF(Cobros[[#This Row],[Tipo]]="Credito",IF(60&gt;=Cobros[[#This Row],[Dias al pago]],1,0),IF(Cobros[[#This Row],[Dias al pago]]&lt;=3,1,0))</f>
        <v>1</v>
      </c>
      <c r="V896" s="46">
        <f>(Cobros[[#This Row],[% A pagar Vendedor]]/100)*Cobros[[#This Row],[Valor Pagado]]*Cobros[[#This Row],[Vencido]]*(Cobros[[#This Row],[% aplicar]]/100)*IF(Cobros[[#This Row],[% A pagar Vendedor]]&gt;0,1,0)</f>
        <v>12.425</v>
      </c>
      <c r="W896" s="46">
        <f>0.5%*Cobros[[#This Row],[Valor Pagado]]</f>
        <v>4.97</v>
      </c>
      <c r="X896" s="69"/>
    </row>
    <row r="897" ht="30" spans="1:24">
      <c r="A897" s="49" t="s">
        <v>3875</v>
      </c>
      <c r="B897" s="49" t="s">
        <v>5235</v>
      </c>
      <c r="C897" s="49" t="s">
        <v>2070</v>
      </c>
      <c r="D897" s="49" t="s">
        <v>2071</v>
      </c>
      <c r="E897" s="49" t="s">
        <v>4153</v>
      </c>
      <c r="F897" s="51">
        <v>46210</v>
      </c>
      <c r="G897" s="49">
        <v>2000</v>
      </c>
      <c r="H897" s="49" t="s">
        <v>3865</v>
      </c>
      <c r="I897" s="51">
        <v>46231</v>
      </c>
      <c r="J897" s="54">
        <f>INT(Cobros[[#This Row],[Fecha Cargo]])</f>
        <v>46210</v>
      </c>
      <c r="K897" s="54">
        <f>INT(Cobros[[#This Row],[Fecha Aplicacion]])</f>
        <v>46231</v>
      </c>
      <c r="L897" s="55" t="str">
        <f>INDEX(Clientes[Días Plazo],MATCH(Cobros[[#This Row],[Cod. Cliente]],Clientes[Codigo],0),1)</f>
        <v>15</v>
      </c>
      <c r="M897" s="45" t="str">
        <f>IF(Cobros[[#This Row],[Dias de Credito]]&lt;=0,"Contado","Credito")</f>
        <v>Credito</v>
      </c>
      <c r="N897" s="45">
        <f>Cobros[[#This Row],[Fecha Aplicación S]]-Cobros[[#This Row],[Fecha Cargo S]]</f>
        <v>21</v>
      </c>
      <c r="O897" s="45">
        <f>Cobros[[#This Row],[Dias al pago]]-Cobros[[#This Row],[Dias de Credito]]</f>
        <v>6</v>
      </c>
      <c r="P897" s="45">
        <f>SUMIFS(TablaDias[Porcentaje],TablaDias[Tipo],Cobros[[#This Row],[Tipo]],TablaDias[Desde ],"&lt;="&amp;MAX(0,Cobros[[#This Row],[Dias pasado]]),TablaDias[Hasta ],"&gt;="&amp;Cobros[[#This Row],[Dias pasado]])</f>
        <v>100</v>
      </c>
      <c r="Q89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7" s="34">
        <f>IF(COUNTIF(PAPEL[Numero],Cobros[[#This Row],[Doc. Cargo]])&gt;0,1,0)</f>
        <v>0</v>
      </c>
      <c r="S897" s="46">
        <v>1</v>
      </c>
      <c r="T897" s="47">
        <v>60.005</v>
      </c>
      <c r="U897" s="34">
        <f>IF(Cobros[[#This Row],[Tipo]]="Credito",IF(60&gt;=Cobros[[#This Row],[Dias al pago]],1,0),IF(Cobros[[#This Row],[Dias al pago]]&lt;=3,1,0))</f>
        <v>1</v>
      </c>
      <c r="V897" s="46">
        <f>(Cobros[[#This Row],[% A pagar Vendedor]]/100)*Cobros[[#This Row],[Valor Pagado]]*Cobros[[#This Row],[Vencido]]*(Cobros[[#This Row],[% aplicar]]/100)*IF(Cobros[[#This Row],[% A pagar Vendedor]]&gt;0,1,0)</f>
        <v>20</v>
      </c>
      <c r="W897" s="46">
        <f>0.5%*Cobros[[#This Row],[Valor Pagado]]</f>
        <v>10</v>
      </c>
      <c r="X897" s="69"/>
    </row>
    <row r="898" spans="1:24">
      <c r="A898" s="49" t="s">
        <v>3875</v>
      </c>
      <c r="B898" s="49" t="s">
        <v>5236</v>
      </c>
      <c r="C898" s="49" t="s">
        <v>1467</v>
      </c>
      <c r="D898" s="49" t="s">
        <v>1468</v>
      </c>
      <c r="E898" s="49" t="s">
        <v>5197</v>
      </c>
      <c r="F898" s="51">
        <v>46230</v>
      </c>
      <c r="G898" s="49">
        <v>500</v>
      </c>
      <c r="H898" s="49" t="s">
        <v>20</v>
      </c>
      <c r="I898" s="51">
        <v>46232</v>
      </c>
      <c r="J898" s="54">
        <f>INT(Cobros[[#This Row],[Fecha Cargo]])</f>
        <v>46230</v>
      </c>
      <c r="K898" s="54">
        <f>INT(Cobros[[#This Row],[Fecha Aplicacion]])</f>
        <v>46232</v>
      </c>
      <c r="L898" s="55">
        <f>INDEX(Clientes[Días Plazo],MATCH(Cobros[[#This Row],[Cod. Cliente]],Clientes[Codigo],0),1)</f>
        <v>0</v>
      </c>
      <c r="M898" s="45" t="str">
        <f>IF(Cobros[[#This Row],[Dias de Credito]]&lt;=0,"Contado","Credito")</f>
        <v>Contado</v>
      </c>
      <c r="N898" s="45">
        <f>Cobros[[#This Row],[Fecha Aplicación S]]-Cobros[[#This Row],[Fecha Cargo S]]</f>
        <v>2</v>
      </c>
      <c r="O898" s="45">
        <f>Cobros[[#This Row],[Dias al pago]]-Cobros[[#This Row],[Dias de Credito]]</f>
        <v>2</v>
      </c>
      <c r="P898" s="45">
        <v>100</v>
      </c>
      <c r="Q89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8" s="34">
        <f>IF(COUNTIF(PAPEL[Numero],Cobros[[#This Row],[Doc. Cargo]])&gt;0,1,0)</f>
        <v>0</v>
      </c>
      <c r="S898" s="46">
        <f t="array" ref="S8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98" s="47">
        <v>61.005</v>
      </c>
      <c r="U898" s="34">
        <f>IF(Cobros[[#This Row],[Tipo]]="Credito",IF(60&gt;=Cobros[[#This Row],[Dias al pago]],1,0),IF(Cobros[[#This Row],[Dias al pago]]&lt;=3,1,0))</f>
        <v>1</v>
      </c>
      <c r="V898" s="46">
        <f>(Cobros[[#This Row],[% A pagar Vendedor]]/100)*Cobros[[#This Row],[Valor Pagado]]*Cobros[[#This Row],[Vencido]]*(Cobros[[#This Row],[% aplicar]]/100)*IF(Cobros[[#This Row],[% A pagar Vendedor]]&gt;0,1,0)</f>
        <v>6.25</v>
      </c>
      <c r="W898" s="46">
        <f>0.5%*Cobros[[#This Row],[Valor Pagado]]</f>
        <v>2.5</v>
      </c>
      <c r="X898" s="69"/>
    </row>
    <row r="899" spans="1:24">
      <c r="A899" s="49" t="s">
        <v>3860</v>
      </c>
      <c r="B899" s="49" t="s">
        <v>5237</v>
      </c>
      <c r="C899" s="49" t="s">
        <v>912</v>
      </c>
      <c r="D899" s="49" t="s">
        <v>913</v>
      </c>
      <c r="E899" s="49" t="s">
        <v>5238</v>
      </c>
      <c r="F899" s="51">
        <v>46232</v>
      </c>
      <c r="G899" s="49">
        <v>11464.6</v>
      </c>
      <c r="H899" s="49" t="s">
        <v>20</v>
      </c>
      <c r="I899" s="51">
        <v>46232</v>
      </c>
      <c r="J899" s="54">
        <f>INT(Cobros[[#This Row],[Fecha Cargo]])</f>
        <v>46232</v>
      </c>
      <c r="K899" s="54">
        <f>INT(Cobros[[#This Row],[Fecha Aplicacion]])</f>
        <v>46232</v>
      </c>
      <c r="L899" s="55">
        <f>INDEX(Clientes[Días Plazo],MATCH(Cobros[[#This Row],[Cod. Cliente]],Clientes[Codigo],0),1)</f>
        <v>0</v>
      </c>
      <c r="M899" s="45" t="str">
        <f>IF(Cobros[[#This Row],[Dias de Credito]]&lt;=0,"Contado","Credito")</f>
        <v>Contado</v>
      </c>
      <c r="N899" s="45">
        <f>Cobros[[#This Row],[Fecha Aplicación S]]-Cobros[[#This Row],[Fecha Cargo S]]</f>
        <v>0</v>
      </c>
      <c r="O899" s="45">
        <f>Cobros[[#This Row],[Dias al pago]]-Cobros[[#This Row],[Dias de Credito]]</f>
        <v>0</v>
      </c>
      <c r="P899" s="45">
        <f>SUMIFS(TablaDias[Porcentaje],TablaDias[Tipo],Cobros[[#This Row],[Tipo]],TablaDias[Desde ],"&lt;="&amp;MAX(0,Cobros[[#This Row],[Dias pasado]]),TablaDias[Hasta ],"&gt;="&amp;Cobros[[#This Row],[Dias pasado]])</f>
        <v>100</v>
      </c>
      <c r="Q89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899" s="34">
        <f>IF(COUNTIF(PAPEL[Numero],Cobros[[#This Row],[Doc. Cargo]])&gt;0,1,0)</f>
        <v>0</v>
      </c>
      <c r="S899" s="46">
        <f t="array" ref="S8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899" s="47">
        <v>62.005</v>
      </c>
      <c r="U899" s="34">
        <f>IF(Cobros[[#This Row],[Tipo]]="Credito",IF(60&gt;=Cobros[[#This Row],[Dias al pago]],1,0),IF(Cobros[[#This Row],[Dias al pago]]&lt;=3,1,0))</f>
        <v>1</v>
      </c>
      <c r="V899" s="46">
        <f>(Cobros[[#This Row],[% A pagar Vendedor]]/100)*Cobros[[#This Row],[Valor Pagado]]*Cobros[[#This Row],[Vencido]]*(Cobros[[#This Row],[% aplicar]]/100)*IF(Cobros[[#This Row],[% A pagar Vendedor]]&gt;0,1,0)</f>
        <v>143.3075</v>
      </c>
      <c r="W899" s="46">
        <f>0.5%*Cobros[[#This Row],[Valor Pagado]]</f>
        <v>57.323</v>
      </c>
      <c r="X899" s="69"/>
    </row>
    <row r="900" ht="30" spans="1:24">
      <c r="A900" s="49" t="s">
        <v>3860</v>
      </c>
      <c r="B900" s="49" t="s">
        <v>5239</v>
      </c>
      <c r="C900" s="49" t="s">
        <v>3190</v>
      </c>
      <c r="D900" s="49" t="s">
        <v>3191</v>
      </c>
      <c r="E900" s="49" t="s">
        <v>3972</v>
      </c>
      <c r="F900" s="51">
        <v>46112</v>
      </c>
      <c r="G900" s="49">
        <v>999.9</v>
      </c>
      <c r="H900" s="49" t="s">
        <v>3865</v>
      </c>
      <c r="I900" s="51">
        <v>46232</v>
      </c>
      <c r="J900" s="54">
        <f>INT(Cobros[[#This Row],[Fecha Cargo]])</f>
        <v>46112</v>
      </c>
      <c r="K900" s="54">
        <f>INT(Cobros[[#This Row],[Fecha Aplicacion]])</f>
        <v>46232</v>
      </c>
      <c r="L900" s="55">
        <f>INDEX(Clientes[Días Plazo],MATCH(Cobros[[#This Row],[Cod. Cliente]],Clientes[Codigo],0),1)</f>
        <v>21</v>
      </c>
      <c r="M900" s="45" t="str">
        <f>IF(Cobros[[#This Row],[Dias de Credito]]&lt;=0,"Contado","Credito")</f>
        <v>Credito</v>
      </c>
      <c r="N900" s="45">
        <f>Cobros[[#This Row],[Fecha Aplicación S]]-Cobros[[#This Row],[Fecha Cargo S]]</f>
        <v>120</v>
      </c>
      <c r="O900" s="45">
        <f>Cobros[[#This Row],[Dias al pago]]-Cobros[[#This Row],[Dias de Credito]]</f>
        <v>99</v>
      </c>
      <c r="P900" s="45">
        <f>SUMIFS(TablaDias[Porcentaje],TablaDias[Tipo],Cobros[[#This Row],[Tipo]],TablaDias[Desde ],"&lt;="&amp;MAX(0,Cobros[[#This Row],[Dias pasado]]),TablaDias[Hasta ],"&gt;="&amp;Cobros[[#This Row],[Dias pasado]])</f>
        <v>0</v>
      </c>
      <c r="Q90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0" s="34">
        <f>IF(COUNTIF(PAPEL[Numero],Cobros[[#This Row],[Doc. Cargo]])&gt;0,1,0)</f>
        <v>0</v>
      </c>
      <c r="S900" s="46">
        <v>1</v>
      </c>
      <c r="T900" s="47">
        <v>63.005</v>
      </c>
      <c r="U900" s="34">
        <f>IF(Cobros[[#This Row],[Tipo]]="Credito",IF(60&gt;=Cobros[[#This Row],[Dias al pago]],1,0),IF(Cobros[[#This Row],[Dias al pago]]&lt;=3,1,0))</f>
        <v>0</v>
      </c>
      <c r="V900" s="46">
        <f>(Cobros[[#This Row],[% A pagar Vendedor]]/100)*Cobros[[#This Row],[Valor Pagado]]*Cobros[[#This Row],[Vencido]]*(Cobros[[#This Row],[% aplicar]]/100)*IF(Cobros[[#This Row],[% A pagar Vendedor]]&gt;0,1,0)</f>
        <v>0</v>
      </c>
      <c r="W900" s="46">
        <f>0.5%*Cobros[[#This Row],[Valor Pagado]]</f>
        <v>4.9995</v>
      </c>
      <c r="X900" s="69"/>
    </row>
    <row r="901" spans="1:24">
      <c r="A901" s="49" t="s">
        <v>3860</v>
      </c>
      <c r="B901" s="49" t="s">
        <v>5240</v>
      </c>
      <c r="C901" s="49" t="s">
        <v>3747</v>
      </c>
      <c r="D901" s="49" t="s">
        <v>3748</v>
      </c>
      <c r="E901" s="49" t="s">
        <v>4697</v>
      </c>
      <c r="F901" s="51">
        <v>46190</v>
      </c>
      <c r="G901" s="49">
        <v>1675.83</v>
      </c>
      <c r="H901" s="49" t="s">
        <v>19</v>
      </c>
      <c r="I901" s="51">
        <v>46232</v>
      </c>
      <c r="J901" s="54">
        <f>INT(Cobros[[#This Row],[Fecha Cargo]])</f>
        <v>46190</v>
      </c>
      <c r="K901" s="54">
        <f>INT(Cobros[[#This Row],[Fecha Aplicacion]])</f>
        <v>46232</v>
      </c>
      <c r="L901" s="55" t="str">
        <f>INDEX(Clientes[Días Plazo],MATCH(Cobros[[#This Row],[Cod. Cliente]],Clientes[Codigo],0),1)</f>
        <v>21</v>
      </c>
      <c r="M901" s="45" t="str">
        <f>IF(Cobros[[#This Row],[Dias de Credito]]&lt;=0,"Contado","Credito")</f>
        <v>Credito</v>
      </c>
      <c r="N901" s="45">
        <f>Cobros[[#This Row],[Fecha Aplicación S]]-Cobros[[#This Row],[Fecha Cargo S]]</f>
        <v>42</v>
      </c>
      <c r="O901" s="45">
        <f>Cobros[[#This Row],[Dias al pago]]-Cobros[[#This Row],[Dias de Credito]]</f>
        <v>21</v>
      </c>
      <c r="P901" s="45">
        <f>SUMIFS(TablaDias[Porcentaje],TablaDias[Tipo],Cobros[[#This Row],[Tipo]],TablaDias[Desde ],"&lt;="&amp;MAX(0,Cobros[[#This Row],[Dias pasado]]),TablaDias[Hasta ],"&gt;="&amp;Cobros[[#This Row],[Dias pasado]])</f>
        <v>50</v>
      </c>
      <c r="Q90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01" s="34">
        <f>IF(COUNTIF(PAPEL[Numero],Cobros[[#This Row],[Doc. Cargo]])&gt;0,1,0)</f>
        <v>0</v>
      </c>
      <c r="S901" s="46">
        <f t="array" ref="S9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1" s="47">
        <v>64.005</v>
      </c>
      <c r="U901" s="34">
        <f>IF(Cobros[[#This Row],[Tipo]]="Credito",IF(60&gt;=Cobros[[#This Row],[Dias al pago]],1,0),IF(Cobros[[#This Row],[Dias al pago]]&lt;=3,1,0))</f>
        <v>1</v>
      </c>
      <c r="V901" s="46">
        <f>(Cobros[[#This Row],[% A pagar Vendedor]]/100)*Cobros[[#This Row],[Valor Pagado]]*Cobros[[#This Row],[Vencido]]*(Cobros[[#This Row],[% aplicar]]/100)*IF(Cobros[[#This Row],[% A pagar Vendedor]]&gt;0,1,0)</f>
        <v>10.4739375</v>
      </c>
      <c r="W901" s="46">
        <f>0.5%*Cobros[[#This Row],[Valor Pagado]]</f>
        <v>8.37915</v>
      </c>
      <c r="X901" s="69"/>
    </row>
    <row r="902" ht="30" spans="1:24">
      <c r="A902" s="49" t="s">
        <v>3860</v>
      </c>
      <c r="B902" s="49" t="s">
        <v>5241</v>
      </c>
      <c r="C902" s="49" t="s">
        <v>853</v>
      </c>
      <c r="D902" s="49" t="s">
        <v>854</v>
      </c>
      <c r="E902" s="49" t="s">
        <v>5242</v>
      </c>
      <c r="F902" s="51">
        <v>46189</v>
      </c>
      <c r="G902" s="49">
        <v>2494</v>
      </c>
      <c r="H902" s="49" t="s">
        <v>1355</v>
      </c>
      <c r="I902" s="51">
        <v>46232</v>
      </c>
      <c r="J902" s="54">
        <f>INT(Cobros[[#This Row],[Fecha Cargo]])</f>
        <v>46189</v>
      </c>
      <c r="K902" s="54">
        <f>INT(Cobros[[#This Row],[Fecha Aplicacion]])</f>
        <v>46232</v>
      </c>
      <c r="L902" s="55" t="str">
        <f>INDEX(Clientes[Días Plazo],MATCH(Cobros[[#This Row],[Cod. Cliente]],Clientes[Codigo],0),1)</f>
        <v>30</v>
      </c>
      <c r="M902" s="45" t="str">
        <f>IF(Cobros[[#This Row],[Dias de Credito]]&lt;=0,"Contado","Credito")</f>
        <v>Credito</v>
      </c>
      <c r="N902" s="45">
        <f>Cobros[[#This Row],[Fecha Aplicación S]]-Cobros[[#This Row],[Fecha Cargo S]]</f>
        <v>43</v>
      </c>
      <c r="O902" s="45">
        <f>Cobros[[#This Row],[Dias al pago]]-Cobros[[#This Row],[Dias de Credito]]</f>
        <v>13</v>
      </c>
      <c r="P902" s="45">
        <f>SUMIFS(TablaDias[Porcentaje],TablaDias[Tipo],Cobros[[#This Row],[Tipo]],TablaDias[Desde ],"&lt;="&amp;MAX(0,Cobros[[#This Row],[Dias pasado]]),TablaDias[Hasta ],"&gt;="&amp;Cobros[[#This Row],[Dias pasado]])</f>
        <v>100</v>
      </c>
      <c r="Q90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02" s="34">
        <f>IF(COUNTIF(PAPEL[Numero],Cobros[[#This Row],[Doc. Cargo]])&gt;0,1,0)</f>
        <v>0</v>
      </c>
      <c r="S902" s="46">
        <v>1</v>
      </c>
      <c r="T902" s="47">
        <v>65.005</v>
      </c>
      <c r="U902" s="34">
        <f>IF(Cobros[[#This Row],[Tipo]]="Credito",IF(60&gt;=Cobros[[#This Row],[Dias al pago]],1,0),IF(Cobros[[#This Row],[Dias al pago]]&lt;=3,1,0))</f>
        <v>1</v>
      </c>
      <c r="V902" s="46">
        <f>(Cobros[[#This Row],[% A pagar Vendedor]]/100)*Cobros[[#This Row],[Valor Pagado]]*Cobros[[#This Row],[Vencido]]*(Cobros[[#This Row],[% aplicar]]/100)*IF(Cobros[[#This Row],[% A pagar Vendedor]]&gt;0,1,0)</f>
        <v>24.94</v>
      </c>
      <c r="W902" s="46">
        <f>0.5%*Cobros[[#This Row],[Valor Pagado]]</f>
        <v>12.47</v>
      </c>
      <c r="X902" s="69"/>
    </row>
    <row r="903" spans="1:24">
      <c r="A903" s="49" t="s">
        <v>3875</v>
      </c>
      <c r="B903" s="49" t="s">
        <v>5243</v>
      </c>
      <c r="C903" s="49" t="s">
        <v>3076</v>
      </c>
      <c r="D903" s="49" t="s">
        <v>3077</v>
      </c>
      <c r="E903" s="49" t="s">
        <v>4234</v>
      </c>
      <c r="F903" s="51">
        <v>46210</v>
      </c>
      <c r="G903" s="49">
        <v>2289.83</v>
      </c>
      <c r="H903" s="49" t="s">
        <v>16</v>
      </c>
      <c r="I903" s="51">
        <v>46232</v>
      </c>
      <c r="J903" s="54">
        <f>INT(Cobros[[#This Row],[Fecha Cargo]])</f>
        <v>46210</v>
      </c>
      <c r="K903" s="54">
        <f>INT(Cobros[[#This Row],[Fecha Aplicacion]])</f>
        <v>46232</v>
      </c>
      <c r="L903" s="55" t="str">
        <f>INDEX(Clientes[Días Plazo],MATCH(Cobros[[#This Row],[Cod. Cliente]],Clientes[Codigo],0),1)</f>
        <v>30</v>
      </c>
      <c r="M903" s="45" t="str">
        <f>IF(Cobros[[#This Row],[Dias de Credito]]&lt;=0,"Contado","Credito")</f>
        <v>Credito</v>
      </c>
      <c r="N903" s="45">
        <f>Cobros[[#This Row],[Fecha Aplicación S]]-Cobros[[#This Row],[Fecha Cargo S]]</f>
        <v>22</v>
      </c>
      <c r="O903" s="45">
        <f>Cobros[[#This Row],[Dias al pago]]-Cobros[[#This Row],[Dias de Credito]]</f>
        <v>-8</v>
      </c>
      <c r="P903" s="45">
        <f>SUMIFS(TablaDias[Porcentaje],TablaDias[Tipo],Cobros[[#This Row],[Tipo]],TablaDias[Desde ],"&lt;="&amp;MAX(0,Cobros[[#This Row],[Dias pasado]]),TablaDias[Hasta ],"&gt;="&amp;Cobros[[#This Row],[Dias pasado]])</f>
        <v>100</v>
      </c>
      <c r="Q90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3" s="34">
        <f>IF(COUNTIF(PAPEL[Numero],Cobros[[#This Row],[Doc. Cargo]])&gt;0,1,0)</f>
        <v>0</v>
      </c>
      <c r="S903" s="46">
        <f t="array" ref="S9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3" s="47">
        <v>66.005</v>
      </c>
      <c r="U903" s="34">
        <f>IF(Cobros[[#This Row],[Tipo]]="Credito",IF(60&gt;=Cobros[[#This Row],[Dias al pago]],1,0),IF(Cobros[[#This Row],[Dias al pago]]&lt;=3,1,0))</f>
        <v>1</v>
      </c>
      <c r="V903" s="46">
        <f>(Cobros[[#This Row],[% A pagar Vendedor]]/100)*Cobros[[#This Row],[Valor Pagado]]*Cobros[[#This Row],[Vencido]]*(Cobros[[#This Row],[% aplicar]]/100)*IF(Cobros[[#This Row],[% A pagar Vendedor]]&gt;0,1,0)</f>
        <v>28.622875</v>
      </c>
      <c r="W903" s="46">
        <f>0.5%*Cobros[[#This Row],[Valor Pagado]]</f>
        <v>11.44915</v>
      </c>
      <c r="X903" s="69"/>
    </row>
    <row r="904" spans="1:24">
      <c r="A904" s="49" t="s">
        <v>3904</v>
      </c>
      <c r="B904" s="49" t="s">
        <v>5244</v>
      </c>
      <c r="C904" s="49" t="s">
        <v>1929</v>
      </c>
      <c r="D904" s="49" t="s">
        <v>1930</v>
      </c>
      <c r="E904" s="49" t="s">
        <v>5245</v>
      </c>
      <c r="F904" s="51">
        <v>46232</v>
      </c>
      <c r="G904" s="49">
        <v>285.12</v>
      </c>
      <c r="H904" s="49" t="s">
        <v>19</v>
      </c>
      <c r="I904" s="51">
        <v>46232</v>
      </c>
      <c r="J904" s="54">
        <f>INT(Cobros[[#This Row],[Fecha Cargo]])</f>
        <v>46232</v>
      </c>
      <c r="K904" s="54">
        <f>INT(Cobros[[#This Row],[Fecha Aplicacion]])</f>
        <v>46232</v>
      </c>
      <c r="L904" s="55">
        <f>INDEX(Clientes[Días Plazo],MATCH(Cobros[[#This Row],[Cod. Cliente]],Clientes[Codigo],0),1)</f>
        <v>0</v>
      </c>
      <c r="M904" s="45" t="str">
        <f>IF(Cobros[[#This Row],[Dias de Credito]]&lt;=0,"Contado","Credito")</f>
        <v>Contado</v>
      </c>
      <c r="N904" s="45">
        <f>Cobros[[#This Row],[Fecha Aplicación S]]-Cobros[[#This Row],[Fecha Cargo S]]</f>
        <v>0</v>
      </c>
      <c r="O904" s="45">
        <f>Cobros[[#This Row],[Dias al pago]]-Cobros[[#This Row],[Dias de Credito]]</f>
        <v>0</v>
      </c>
      <c r="P904" s="45">
        <f>SUMIFS(TablaDias[Porcentaje],TablaDias[Tipo],Cobros[[#This Row],[Tipo]],TablaDias[Desde ],"&lt;="&amp;MAX(0,Cobros[[#This Row],[Dias pasado]]),TablaDias[Hasta ],"&gt;="&amp;Cobros[[#This Row],[Dias pasado]])</f>
        <v>100</v>
      </c>
      <c r="Q90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4" s="34">
        <f>IF(COUNTIF(PAPEL[Numero],Cobros[[#This Row],[Doc. Cargo]])&gt;0,1,0)</f>
        <v>0</v>
      </c>
      <c r="S904" s="46">
        <f t="array" ref="S90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4" s="47">
        <v>67.005</v>
      </c>
      <c r="U904" s="34">
        <f>IF(Cobros[[#This Row],[Tipo]]="Credito",IF(60&gt;=Cobros[[#This Row],[Dias al pago]],1,0),IF(Cobros[[#This Row],[Dias al pago]]&lt;=3,1,0))</f>
        <v>1</v>
      </c>
      <c r="V904" s="46">
        <f>(Cobros[[#This Row],[% A pagar Vendedor]]/100)*Cobros[[#This Row],[Valor Pagado]]*Cobros[[#This Row],[Vencido]]*(Cobros[[#This Row],[% aplicar]]/100)*IF(Cobros[[#This Row],[% A pagar Vendedor]]&gt;0,1,0)</f>
        <v>3.564</v>
      </c>
      <c r="W904" s="46">
        <f>0.5%*Cobros[[#This Row],[Valor Pagado]]</f>
        <v>1.4256</v>
      </c>
      <c r="X904" s="69"/>
    </row>
    <row r="905" ht="30" spans="1:24">
      <c r="A905" s="49" t="s">
        <v>3860</v>
      </c>
      <c r="B905" s="49" t="s">
        <v>5246</v>
      </c>
      <c r="C905" s="49" t="s">
        <v>395</v>
      </c>
      <c r="D905" s="49" t="s">
        <v>396</v>
      </c>
      <c r="E905" s="49" t="s">
        <v>5247</v>
      </c>
      <c r="F905" s="51">
        <v>46232</v>
      </c>
      <c r="G905" s="49">
        <v>321.9</v>
      </c>
      <c r="H905" s="49" t="s">
        <v>1355</v>
      </c>
      <c r="I905" s="51">
        <v>46231</v>
      </c>
      <c r="J905" s="54">
        <f>INT(Cobros[[#This Row],[Fecha Cargo]])</f>
        <v>46232</v>
      </c>
      <c r="K905" s="54">
        <f>INT(Cobros[[#This Row],[Fecha Aplicacion]])</f>
        <v>46231</v>
      </c>
      <c r="L905" s="55">
        <f>INDEX(Clientes[Días Plazo],MATCH(Cobros[[#This Row],[Cod. Cliente]],Clientes[Codigo],0),1)</f>
        <v>0</v>
      </c>
      <c r="M905" s="45" t="str">
        <f>IF(Cobros[[#This Row],[Dias de Credito]]&lt;=0,"Contado","Credito")</f>
        <v>Contado</v>
      </c>
      <c r="N905" s="45">
        <f>Cobros[[#This Row],[Fecha Aplicación S]]-Cobros[[#This Row],[Fecha Cargo S]]</f>
        <v>-1</v>
      </c>
      <c r="O905" s="45">
        <f>Cobros[[#This Row],[Dias al pago]]-Cobros[[#This Row],[Dias de Credito]]</f>
        <v>-1</v>
      </c>
      <c r="P905" s="45">
        <f>SUMIFS(TablaDias[Porcentaje],TablaDias[Tipo],Cobros[[#This Row],[Tipo]],TablaDias[Desde ],"&lt;="&amp;MAX(0,Cobros[[#This Row],[Dias pasado]]),TablaDias[Hasta ],"&gt;="&amp;Cobros[[#This Row],[Dias pasado]])</f>
        <v>100</v>
      </c>
      <c r="Q90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5" s="34">
        <f>IF(COUNTIF(PAPEL[Numero],Cobros[[#This Row],[Doc. Cargo]])&gt;0,1,0)</f>
        <v>0</v>
      </c>
      <c r="S905" s="46">
        <v>1</v>
      </c>
      <c r="T905" s="47">
        <v>68.005</v>
      </c>
      <c r="U905" s="34">
        <f>IF(Cobros[[#This Row],[Tipo]]="Credito",IF(60&gt;=Cobros[[#This Row],[Dias al pago]],1,0),IF(Cobros[[#This Row],[Dias al pago]]&lt;=3,1,0))</f>
        <v>1</v>
      </c>
      <c r="V905" s="46">
        <f>(Cobros[[#This Row],[% A pagar Vendedor]]/100)*Cobros[[#This Row],[Valor Pagado]]*Cobros[[#This Row],[Vencido]]*(Cobros[[#This Row],[% aplicar]]/100)*IF(Cobros[[#This Row],[% A pagar Vendedor]]&gt;0,1,0)</f>
        <v>3.219</v>
      </c>
      <c r="W905" s="46">
        <f>0.5%*Cobros[[#This Row],[Valor Pagado]]</f>
        <v>1.6095</v>
      </c>
      <c r="X905" s="69"/>
    </row>
    <row r="906" spans="1:24">
      <c r="A906" s="49" t="s">
        <v>3875</v>
      </c>
      <c r="B906" s="49" t="s">
        <v>5248</v>
      </c>
      <c r="C906" s="49" t="s">
        <v>1220</v>
      </c>
      <c r="D906" s="49" t="s">
        <v>1221</v>
      </c>
      <c r="E906" s="49" t="s">
        <v>5249</v>
      </c>
      <c r="F906" s="51">
        <v>46232</v>
      </c>
      <c r="G906" s="49">
        <v>65</v>
      </c>
      <c r="H906" s="49" t="s">
        <v>20</v>
      </c>
      <c r="I906" s="51">
        <v>46232</v>
      </c>
      <c r="J906" s="54">
        <f>INT(Cobros[[#This Row],[Fecha Cargo]])</f>
        <v>46232</v>
      </c>
      <c r="K906" s="54">
        <f>INT(Cobros[[#This Row],[Fecha Aplicacion]])</f>
        <v>46232</v>
      </c>
      <c r="L906" s="55">
        <f>INDEX(Clientes[Días Plazo],MATCH(Cobros[[#This Row],[Cod. Cliente]],Clientes[Codigo],0),1)</f>
        <v>0</v>
      </c>
      <c r="M906" s="45" t="str">
        <f>IF(Cobros[[#This Row],[Dias de Credito]]&lt;=0,"Contado","Credito")</f>
        <v>Contado</v>
      </c>
      <c r="N906" s="45">
        <f>Cobros[[#This Row],[Fecha Aplicación S]]-Cobros[[#This Row],[Fecha Cargo S]]</f>
        <v>0</v>
      </c>
      <c r="O906" s="45">
        <f>Cobros[[#This Row],[Dias al pago]]-Cobros[[#This Row],[Dias de Credito]]</f>
        <v>0</v>
      </c>
      <c r="P906" s="45">
        <f>SUMIFS(TablaDias[Porcentaje],TablaDias[Tipo],Cobros[[#This Row],[Tipo]],TablaDias[Desde ],"&lt;="&amp;MAX(0,Cobros[[#This Row],[Dias pasado]]),TablaDias[Hasta ],"&gt;="&amp;Cobros[[#This Row],[Dias pasado]])</f>
        <v>100</v>
      </c>
      <c r="Q90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6" s="34">
        <f>IF(COUNTIF(PAPEL[Numero],Cobros[[#This Row],[Doc. Cargo]])&gt;0,1,0)</f>
        <v>0</v>
      </c>
      <c r="S906" s="46">
        <f t="array" ref="S90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6" s="47">
        <v>69.005</v>
      </c>
      <c r="U906" s="34">
        <f>IF(Cobros[[#This Row],[Tipo]]="Credito",IF(60&gt;=Cobros[[#This Row],[Dias al pago]],1,0),IF(Cobros[[#This Row],[Dias al pago]]&lt;=3,1,0))</f>
        <v>1</v>
      </c>
      <c r="V906" s="46">
        <f>(Cobros[[#This Row],[% A pagar Vendedor]]/100)*Cobros[[#This Row],[Valor Pagado]]*Cobros[[#This Row],[Vencido]]*(Cobros[[#This Row],[% aplicar]]/100)*IF(Cobros[[#This Row],[% A pagar Vendedor]]&gt;0,1,0)</f>
        <v>0.8125</v>
      </c>
      <c r="W906" s="46">
        <f>0.5%*Cobros[[#This Row],[Valor Pagado]]</f>
        <v>0.325</v>
      </c>
      <c r="X906" s="69"/>
    </row>
    <row r="907" spans="1:24">
      <c r="A907" s="49" t="s">
        <v>3875</v>
      </c>
      <c r="B907" s="49" t="s">
        <v>4646</v>
      </c>
      <c r="C907" s="49" t="s">
        <v>1220</v>
      </c>
      <c r="D907" s="49" t="s">
        <v>1221</v>
      </c>
      <c r="E907" s="49" t="s">
        <v>5249</v>
      </c>
      <c r="F907" s="51">
        <v>46232</v>
      </c>
      <c r="G907" s="49">
        <v>1</v>
      </c>
      <c r="H907" s="49" t="s">
        <v>20</v>
      </c>
      <c r="I907" s="51">
        <v>46218</v>
      </c>
      <c r="J907" s="54">
        <f>INT(Cobros[[#This Row],[Fecha Cargo]])</f>
        <v>46232</v>
      </c>
      <c r="K907" s="54">
        <f>INT(Cobros[[#This Row],[Fecha Aplicacion]])</f>
        <v>46218</v>
      </c>
      <c r="L907" s="55">
        <f>INDEX(Clientes[Días Plazo],MATCH(Cobros[[#This Row],[Cod. Cliente]],Clientes[Codigo],0),1)</f>
        <v>0</v>
      </c>
      <c r="M907" s="45" t="s">
        <v>34</v>
      </c>
      <c r="N907" s="45">
        <f>Cobros[[#This Row],[Fecha Aplicación S]]-Cobros[[#This Row],[Fecha Cargo S]]</f>
        <v>-14</v>
      </c>
      <c r="O907" s="45">
        <f>Cobros[[#This Row],[Dias al pago]]-Cobros[[#This Row],[Dias de Credito]]</f>
        <v>-14</v>
      </c>
      <c r="P907" s="45">
        <f>SUMIFS(TablaDias[Porcentaje],TablaDias[Tipo],Cobros[[#This Row],[Tipo]],TablaDias[Desde ],"&lt;="&amp;MAX(0,Cobros[[#This Row],[Dias pasado]]),TablaDias[Hasta ],"&gt;="&amp;Cobros[[#This Row],[Dias pasado]])</f>
        <v>100</v>
      </c>
      <c r="Q90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7" s="34">
        <f>IF(COUNTIF(PAPEL[Numero],Cobros[[#This Row],[Doc. Cargo]])&gt;0,1,0)</f>
        <v>0</v>
      </c>
      <c r="S907" s="46">
        <f t="array" ref="S9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7" s="47">
        <v>70.005</v>
      </c>
      <c r="U907" s="34">
        <f>IF(Cobros[[#This Row],[Tipo]]="Credito",IF(60&gt;=Cobros[[#This Row],[Dias al pago]],1,0),IF(Cobros[[#This Row],[Dias al pago]]&lt;=3,1,0))</f>
        <v>1</v>
      </c>
      <c r="V907" s="46">
        <f>(Cobros[[#This Row],[% A pagar Vendedor]]/100)*Cobros[[#This Row],[Valor Pagado]]*Cobros[[#This Row],[Vencido]]*(Cobros[[#This Row],[% aplicar]]/100)*IF(Cobros[[#This Row],[% A pagar Vendedor]]&gt;0,1,0)</f>
        <v>0.0125</v>
      </c>
      <c r="W907" s="46">
        <f>0.5%*Cobros[[#This Row],[Valor Pagado]]</f>
        <v>0.005</v>
      </c>
      <c r="X907" s="69"/>
    </row>
    <row r="908" spans="1:24">
      <c r="A908" s="49" t="s">
        <v>3860</v>
      </c>
      <c r="B908" s="49" t="s">
        <v>5250</v>
      </c>
      <c r="C908" s="49" t="s">
        <v>2529</v>
      </c>
      <c r="D908" s="49" t="s">
        <v>2530</v>
      </c>
      <c r="E908" s="49" t="s">
        <v>5251</v>
      </c>
      <c r="F908" s="51">
        <v>46223</v>
      </c>
      <c r="G908" s="49">
        <v>250</v>
      </c>
      <c r="H908" s="49" t="s">
        <v>16</v>
      </c>
      <c r="I908" s="51">
        <v>46220</v>
      </c>
      <c r="J908" s="54">
        <f>INT(Cobros[[#This Row],[Fecha Cargo]])</f>
        <v>46223</v>
      </c>
      <c r="K908" s="54">
        <f>INT(Cobros[[#This Row],[Fecha Aplicacion]])</f>
        <v>46220</v>
      </c>
      <c r="L908" s="55">
        <f>INDEX(Clientes[Días Plazo],MATCH(Cobros[[#This Row],[Cod. Cliente]],Clientes[Codigo],0),1)</f>
        <v>0</v>
      </c>
      <c r="M908" s="45" t="str">
        <f>IF(Cobros[[#This Row],[Dias de Credito]]&lt;=0,"Contado","Credito")</f>
        <v>Contado</v>
      </c>
      <c r="N908" s="45">
        <f>Cobros[[#This Row],[Fecha Aplicación S]]-Cobros[[#This Row],[Fecha Cargo S]]</f>
        <v>-3</v>
      </c>
      <c r="O908" s="45">
        <f>Cobros[[#This Row],[Dias al pago]]-Cobros[[#This Row],[Dias de Credito]]</f>
        <v>-3</v>
      </c>
      <c r="P908" s="45">
        <f>SUMIFS(TablaDias[Porcentaje],TablaDias[Tipo],Cobros[[#This Row],[Tipo]],TablaDias[Desde ],"&lt;="&amp;MAX(0,Cobros[[#This Row],[Dias pasado]]),TablaDias[Hasta ],"&gt;="&amp;Cobros[[#This Row],[Dias pasado]])</f>
        <v>100</v>
      </c>
      <c r="Q90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8" s="34">
        <f>IF(COUNTIF(PAPEL[Numero],Cobros[[#This Row],[Doc. Cargo]])&gt;0,1,0)</f>
        <v>0</v>
      </c>
      <c r="S908" s="46">
        <f t="array" ref="S9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8" s="47">
        <v>71.005</v>
      </c>
      <c r="U908" s="34">
        <f>IF(Cobros[[#This Row],[Tipo]]="Credito",IF(60&gt;=Cobros[[#This Row],[Dias al pago]],1,0),IF(Cobros[[#This Row],[Dias al pago]]&lt;=3,1,0))</f>
        <v>1</v>
      </c>
      <c r="V908" s="46">
        <f>(Cobros[[#This Row],[% A pagar Vendedor]]/100)*Cobros[[#This Row],[Valor Pagado]]*Cobros[[#This Row],[Vencido]]*(Cobros[[#This Row],[% aplicar]]/100)*IF(Cobros[[#This Row],[% A pagar Vendedor]]&gt;0,1,0)</f>
        <v>3.125</v>
      </c>
      <c r="W908" s="46">
        <f>0.5%*Cobros[[#This Row],[Valor Pagado]]</f>
        <v>1.25</v>
      </c>
      <c r="X908" s="69"/>
    </row>
    <row r="909" spans="1:24">
      <c r="A909" s="49" t="s">
        <v>3860</v>
      </c>
      <c r="B909" s="49" t="s">
        <v>5252</v>
      </c>
      <c r="C909" s="49" t="s">
        <v>2529</v>
      </c>
      <c r="D909" s="49" t="s">
        <v>2530</v>
      </c>
      <c r="E909" s="49" t="s">
        <v>5253</v>
      </c>
      <c r="F909" s="51">
        <v>46232</v>
      </c>
      <c r="G909" s="49">
        <v>65</v>
      </c>
      <c r="H909" s="49" t="s">
        <v>16</v>
      </c>
      <c r="I909" s="51">
        <v>46232</v>
      </c>
      <c r="J909" s="54">
        <f>INT(Cobros[[#This Row],[Fecha Cargo]])</f>
        <v>46232</v>
      </c>
      <c r="K909" s="54">
        <f>INT(Cobros[[#This Row],[Fecha Aplicacion]])</f>
        <v>46232</v>
      </c>
      <c r="L909" s="55">
        <f>INDEX(Clientes[Días Plazo],MATCH(Cobros[[#This Row],[Cod. Cliente]],Clientes[Codigo],0),1)</f>
        <v>0</v>
      </c>
      <c r="M909" s="45" t="str">
        <f>IF(Cobros[[#This Row],[Dias de Credito]]&lt;=0,"Contado","Credito")</f>
        <v>Contado</v>
      </c>
      <c r="N909" s="45">
        <f>Cobros[[#This Row],[Fecha Aplicación S]]-Cobros[[#This Row],[Fecha Cargo S]]</f>
        <v>0</v>
      </c>
      <c r="O909" s="45">
        <f>Cobros[[#This Row],[Dias al pago]]-Cobros[[#This Row],[Dias de Credito]]</f>
        <v>0</v>
      </c>
      <c r="P909" s="45">
        <f>SUMIFS(TablaDias[Porcentaje],TablaDias[Tipo],Cobros[[#This Row],[Tipo]],TablaDias[Desde ],"&lt;="&amp;MAX(0,Cobros[[#This Row],[Dias pasado]]),TablaDias[Hasta ],"&gt;="&amp;Cobros[[#This Row],[Dias pasado]])</f>
        <v>100</v>
      </c>
      <c r="Q90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09" s="34">
        <f>IF(COUNTIF(PAPEL[Numero],Cobros[[#This Row],[Doc. Cargo]])&gt;0,1,0)</f>
        <v>0</v>
      </c>
      <c r="S909" s="46">
        <f t="array" ref="S9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09" s="47">
        <v>72.005</v>
      </c>
      <c r="U909" s="34">
        <f>IF(Cobros[[#This Row],[Tipo]]="Credito",IF(60&gt;=Cobros[[#This Row],[Dias al pago]],1,0),IF(Cobros[[#This Row],[Dias al pago]]&lt;=3,1,0))</f>
        <v>1</v>
      </c>
      <c r="V909" s="46">
        <f>(Cobros[[#This Row],[% A pagar Vendedor]]/100)*Cobros[[#This Row],[Valor Pagado]]*Cobros[[#This Row],[Vencido]]*(Cobros[[#This Row],[% aplicar]]/100)*IF(Cobros[[#This Row],[% A pagar Vendedor]]&gt;0,1,0)</f>
        <v>0.8125</v>
      </c>
      <c r="W909" s="46">
        <f>0.5%*Cobros[[#This Row],[Valor Pagado]]</f>
        <v>0.325</v>
      </c>
      <c r="X909" s="69"/>
    </row>
    <row r="910" spans="1:24">
      <c r="A910" s="49" t="s">
        <v>3860</v>
      </c>
      <c r="B910" s="49" t="s">
        <v>5254</v>
      </c>
      <c r="C910" s="49" t="s">
        <v>2529</v>
      </c>
      <c r="D910" s="49" t="s">
        <v>2530</v>
      </c>
      <c r="E910" s="49" t="s">
        <v>5253</v>
      </c>
      <c r="F910" s="51">
        <v>46232</v>
      </c>
      <c r="G910" s="49">
        <v>129.5</v>
      </c>
      <c r="H910" s="49" t="s">
        <v>16</v>
      </c>
      <c r="I910" s="51">
        <v>46232</v>
      </c>
      <c r="J910" s="54">
        <f>INT(Cobros[[#This Row],[Fecha Cargo]])</f>
        <v>46232</v>
      </c>
      <c r="K910" s="54">
        <f>INT(Cobros[[#This Row],[Fecha Aplicacion]])</f>
        <v>46232</v>
      </c>
      <c r="L910" s="55">
        <f>INDEX(Clientes[Días Plazo],MATCH(Cobros[[#This Row],[Cod. Cliente]],Clientes[Codigo],0),1)</f>
        <v>0</v>
      </c>
      <c r="M910" s="45" t="str">
        <f>IF(Cobros[[#This Row],[Dias de Credito]]&lt;=0,"Contado","Credito")</f>
        <v>Contado</v>
      </c>
      <c r="N910" s="45">
        <f>Cobros[[#This Row],[Fecha Aplicación S]]-Cobros[[#This Row],[Fecha Cargo S]]</f>
        <v>0</v>
      </c>
      <c r="O910" s="45">
        <f>Cobros[[#This Row],[Dias al pago]]-Cobros[[#This Row],[Dias de Credito]]</f>
        <v>0</v>
      </c>
      <c r="P910" s="45">
        <f>SUMIFS(TablaDias[Porcentaje],TablaDias[Tipo],Cobros[[#This Row],[Tipo]],TablaDias[Desde ],"&lt;="&amp;MAX(0,Cobros[[#This Row],[Dias pasado]]),TablaDias[Hasta ],"&gt;="&amp;Cobros[[#This Row],[Dias pasado]])</f>
        <v>100</v>
      </c>
      <c r="Q91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0" s="34">
        <f>IF(COUNTIF(PAPEL[Numero],Cobros[[#This Row],[Doc. Cargo]])&gt;0,1,0)</f>
        <v>0</v>
      </c>
      <c r="S910" s="46">
        <f t="array" ref="S9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0" s="47">
        <v>73.005</v>
      </c>
      <c r="U910" s="34">
        <f>IF(Cobros[[#This Row],[Tipo]]="Credito",IF(60&gt;=Cobros[[#This Row],[Dias al pago]],1,0),IF(Cobros[[#This Row],[Dias al pago]]&lt;=3,1,0))</f>
        <v>1</v>
      </c>
      <c r="V910" s="46">
        <f>(Cobros[[#This Row],[% A pagar Vendedor]]/100)*Cobros[[#This Row],[Valor Pagado]]*Cobros[[#This Row],[Vencido]]*(Cobros[[#This Row],[% aplicar]]/100)*IF(Cobros[[#This Row],[% A pagar Vendedor]]&gt;0,1,0)</f>
        <v>1.61875</v>
      </c>
      <c r="W910" s="46">
        <f>0.5%*Cobros[[#This Row],[Valor Pagado]]</f>
        <v>0.6475</v>
      </c>
      <c r="X910" s="69"/>
    </row>
    <row r="911" spans="1:24">
      <c r="A911" s="49" t="s">
        <v>3875</v>
      </c>
      <c r="B911" s="49" t="s">
        <v>5255</v>
      </c>
      <c r="C911" s="49" t="s">
        <v>3598</v>
      </c>
      <c r="D911" s="49" t="s">
        <v>3599</v>
      </c>
      <c r="E911" s="49" t="s">
        <v>5256</v>
      </c>
      <c r="F911" s="51">
        <v>46232</v>
      </c>
      <c r="G911" s="49">
        <v>220</v>
      </c>
      <c r="H911" s="49" t="s">
        <v>18</v>
      </c>
      <c r="I911" s="51">
        <v>46232</v>
      </c>
      <c r="J911" s="54">
        <f>INT(Cobros[[#This Row],[Fecha Cargo]])</f>
        <v>46232</v>
      </c>
      <c r="K911" s="54">
        <f>INT(Cobros[[#This Row],[Fecha Aplicacion]])</f>
        <v>46232</v>
      </c>
      <c r="L911" s="55">
        <f>INDEX(Clientes[Días Plazo],MATCH(Cobros[[#This Row],[Cod. Cliente]],Clientes[Codigo],0),1)</f>
        <v>0</v>
      </c>
      <c r="M911" s="45" t="str">
        <f>IF(Cobros[[#This Row],[Dias de Credito]]&lt;=0,"Contado","Credito")</f>
        <v>Contado</v>
      </c>
      <c r="N911" s="45">
        <f>Cobros[[#This Row],[Fecha Aplicación S]]-Cobros[[#This Row],[Fecha Cargo S]]</f>
        <v>0</v>
      </c>
      <c r="O911" s="45">
        <f>Cobros[[#This Row],[Dias al pago]]-Cobros[[#This Row],[Dias de Credito]]</f>
        <v>0</v>
      </c>
      <c r="P911" s="45">
        <f>SUMIFS(TablaDias[Porcentaje],TablaDias[Tipo],Cobros[[#This Row],[Tipo]],TablaDias[Desde ],"&lt;="&amp;MAX(0,Cobros[[#This Row],[Dias pasado]]),TablaDias[Hasta ],"&gt;="&amp;Cobros[[#This Row],[Dias pasado]])</f>
        <v>100</v>
      </c>
      <c r="Q91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1" s="34">
        <f>IF(COUNTIF(PAPEL[Numero],Cobros[[#This Row],[Doc. Cargo]])&gt;0,1,0)</f>
        <v>0</v>
      </c>
      <c r="S911" s="46">
        <f t="array" ref="S9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1" s="47">
        <v>74.005</v>
      </c>
      <c r="U911" s="34">
        <f>IF(Cobros[[#This Row],[Tipo]]="Credito",IF(60&gt;=Cobros[[#This Row],[Dias al pago]],1,0),IF(Cobros[[#This Row],[Dias al pago]]&lt;=3,1,0))</f>
        <v>1</v>
      </c>
      <c r="V911" s="46">
        <f>(Cobros[[#This Row],[% A pagar Vendedor]]/100)*Cobros[[#This Row],[Valor Pagado]]*Cobros[[#This Row],[Vencido]]*(Cobros[[#This Row],[% aplicar]]/100)*IF(Cobros[[#This Row],[% A pagar Vendedor]]&gt;0,1,0)</f>
        <v>2.75</v>
      </c>
      <c r="W911" s="46">
        <f>0.5%*Cobros[[#This Row],[Valor Pagado]]</f>
        <v>1.1</v>
      </c>
      <c r="X911" s="69"/>
    </row>
    <row r="912" ht="30" spans="1:24">
      <c r="A912" s="49" t="s">
        <v>3860</v>
      </c>
      <c r="B912" s="49" t="s">
        <v>5257</v>
      </c>
      <c r="C912" s="49" t="s">
        <v>2525</v>
      </c>
      <c r="D912" s="49" t="s">
        <v>2526</v>
      </c>
      <c r="E912" s="49" t="s">
        <v>5258</v>
      </c>
      <c r="F912" s="51">
        <v>46232</v>
      </c>
      <c r="G912" s="49">
        <v>15.95</v>
      </c>
      <c r="H912" s="49" t="s">
        <v>22</v>
      </c>
      <c r="I912" s="51">
        <v>46232</v>
      </c>
      <c r="J912" s="54">
        <f>INT(Cobros[[#This Row],[Fecha Cargo]])</f>
        <v>46232</v>
      </c>
      <c r="K912" s="54">
        <f>INT(Cobros[[#This Row],[Fecha Aplicacion]])</f>
        <v>46232</v>
      </c>
      <c r="L912" s="55">
        <f>INDEX(Clientes[Días Plazo],MATCH(Cobros[[#This Row],[Cod. Cliente]],Clientes[Codigo],0),1)</f>
        <v>0</v>
      </c>
      <c r="M912" s="45" t="str">
        <f>IF(Cobros[[#This Row],[Dias de Credito]]&lt;=0,"Contado","Credito")</f>
        <v>Contado</v>
      </c>
      <c r="N912" s="45">
        <f>Cobros[[#This Row],[Fecha Aplicación S]]-Cobros[[#This Row],[Fecha Cargo S]]</f>
        <v>0</v>
      </c>
      <c r="O912" s="45">
        <f>Cobros[[#This Row],[Dias al pago]]-Cobros[[#This Row],[Dias de Credito]]</f>
        <v>0</v>
      </c>
      <c r="P912" s="45">
        <f>SUMIFS(TablaDias[Porcentaje],TablaDias[Tipo],Cobros[[#This Row],[Tipo]],TablaDias[Desde ],"&lt;="&amp;MAX(0,Cobros[[#This Row],[Dias pasado]]),TablaDias[Hasta ],"&gt;="&amp;Cobros[[#This Row],[Dias pasado]])</f>
        <v>100</v>
      </c>
      <c r="Q91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2" s="34">
        <f>IF(COUNTIF(PAPEL[Numero],Cobros[[#This Row],[Doc. Cargo]])&gt;0,1,0)</f>
        <v>0</v>
      </c>
      <c r="S912" s="46">
        <f t="array" ref="S9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12" s="47">
        <v>75.005</v>
      </c>
      <c r="U912" s="34">
        <f>IF(Cobros[[#This Row],[Tipo]]="Credito",IF(60&gt;=Cobros[[#This Row],[Dias al pago]],1,0),IF(Cobros[[#This Row],[Dias al pago]]&lt;=3,1,0))</f>
        <v>1</v>
      </c>
      <c r="V912" s="46">
        <f>(Cobros[[#This Row],[% A pagar Vendedor]]/100)*Cobros[[#This Row],[Valor Pagado]]*Cobros[[#This Row],[Vencido]]*(Cobros[[#This Row],[% aplicar]]/100)*IF(Cobros[[#This Row],[% A pagar Vendedor]]&gt;0,1,0)</f>
        <v>0.1595</v>
      </c>
      <c r="W912" s="46">
        <f>0.5%*Cobros[[#This Row],[Valor Pagado]]</f>
        <v>0.07975</v>
      </c>
      <c r="X912" s="69"/>
    </row>
    <row r="913" ht="30" spans="1:24">
      <c r="A913" s="49" t="s">
        <v>3860</v>
      </c>
      <c r="B913" s="49" t="s">
        <v>5259</v>
      </c>
      <c r="C913" s="49" t="s">
        <v>2122</v>
      </c>
      <c r="D913" s="49" t="s">
        <v>2123</v>
      </c>
      <c r="E913" s="49" t="s">
        <v>5260</v>
      </c>
      <c r="F913" s="51">
        <v>46232</v>
      </c>
      <c r="G913" s="49">
        <v>482</v>
      </c>
      <c r="H913" s="49" t="s">
        <v>22</v>
      </c>
      <c r="I913" s="51">
        <v>46232</v>
      </c>
      <c r="J913" s="54">
        <f>INT(Cobros[[#This Row],[Fecha Cargo]])</f>
        <v>46232</v>
      </c>
      <c r="K913" s="54">
        <f>INT(Cobros[[#This Row],[Fecha Aplicacion]])</f>
        <v>46232</v>
      </c>
      <c r="L913" s="55">
        <f>INDEX(Clientes[Días Plazo],MATCH(Cobros[[#This Row],[Cod. Cliente]],Clientes[Codigo],0),1)</f>
        <v>0</v>
      </c>
      <c r="M913" s="45" t="str">
        <f>IF(Cobros[[#This Row],[Dias de Credito]]&lt;=0,"Contado","Credito")</f>
        <v>Contado</v>
      </c>
      <c r="N913" s="45">
        <f>Cobros[[#This Row],[Fecha Aplicación S]]-Cobros[[#This Row],[Fecha Cargo S]]</f>
        <v>0</v>
      </c>
      <c r="O913" s="45">
        <f>Cobros[[#This Row],[Dias al pago]]-Cobros[[#This Row],[Dias de Credito]]</f>
        <v>0</v>
      </c>
      <c r="P913" s="45">
        <f>SUMIFS(TablaDias[Porcentaje],TablaDias[Tipo],Cobros[[#This Row],[Tipo]],TablaDias[Desde ],"&lt;="&amp;MAX(0,Cobros[[#This Row],[Dias pasado]]),TablaDias[Hasta ],"&gt;="&amp;Cobros[[#This Row],[Dias pasado]])</f>
        <v>100</v>
      </c>
      <c r="Q91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3" s="34">
        <f>IF(COUNTIF(PAPEL[Numero],Cobros[[#This Row],[Doc. Cargo]])&gt;0,1,0)</f>
        <v>0</v>
      </c>
      <c r="S913" s="46">
        <f t="array" ref="S9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13" s="47">
        <v>76.005</v>
      </c>
      <c r="U913" s="34">
        <f>IF(Cobros[[#This Row],[Tipo]]="Credito",IF(60&gt;=Cobros[[#This Row],[Dias al pago]],1,0),IF(Cobros[[#This Row],[Dias al pago]]&lt;=3,1,0))</f>
        <v>1</v>
      </c>
      <c r="V913" s="46">
        <f>(Cobros[[#This Row],[% A pagar Vendedor]]/100)*Cobros[[#This Row],[Valor Pagado]]*Cobros[[#This Row],[Vencido]]*(Cobros[[#This Row],[% aplicar]]/100)*IF(Cobros[[#This Row],[% A pagar Vendedor]]&gt;0,1,0)</f>
        <v>4.82</v>
      </c>
      <c r="W913" s="46">
        <f>0.5%*Cobros[[#This Row],[Valor Pagado]]</f>
        <v>2.41</v>
      </c>
      <c r="X913" s="69"/>
    </row>
    <row r="914" ht="30" spans="1:24">
      <c r="A914" s="49" t="s">
        <v>3875</v>
      </c>
      <c r="B914" s="49" t="s">
        <v>5261</v>
      </c>
      <c r="C914" s="49" t="s">
        <v>2122</v>
      </c>
      <c r="D914" s="49" t="s">
        <v>2123</v>
      </c>
      <c r="E914" s="49" t="s">
        <v>5260</v>
      </c>
      <c r="F914" s="51">
        <v>46232</v>
      </c>
      <c r="G914" s="49">
        <v>160</v>
      </c>
      <c r="H914" s="49" t="s">
        <v>22</v>
      </c>
      <c r="I914" s="51">
        <v>46232</v>
      </c>
      <c r="J914" s="54">
        <f>INT(Cobros[[#This Row],[Fecha Cargo]])</f>
        <v>46232</v>
      </c>
      <c r="K914" s="54">
        <f>INT(Cobros[[#This Row],[Fecha Aplicacion]])</f>
        <v>46232</v>
      </c>
      <c r="L914" s="55">
        <f>INDEX(Clientes[Días Plazo],MATCH(Cobros[[#This Row],[Cod. Cliente]],Clientes[Codigo],0),1)</f>
        <v>0</v>
      </c>
      <c r="M914" s="45" t="str">
        <f>IF(Cobros[[#This Row],[Dias de Credito]]&lt;=0,"Contado","Credito")</f>
        <v>Contado</v>
      </c>
      <c r="N914" s="45">
        <f>Cobros[[#This Row],[Fecha Aplicación S]]-Cobros[[#This Row],[Fecha Cargo S]]</f>
        <v>0</v>
      </c>
      <c r="O914" s="45">
        <f>Cobros[[#This Row],[Dias al pago]]-Cobros[[#This Row],[Dias de Credito]]</f>
        <v>0</v>
      </c>
      <c r="P914" s="45">
        <f>SUMIFS(TablaDias[Porcentaje],TablaDias[Tipo],Cobros[[#This Row],[Tipo]],TablaDias[Desde ],"&lt;="&amp;MAX(0,Cobros[[#This Row],[Dias pasado]]),TablaDias[Hasta ],"&gt;="&amp;Cobros[[#This Row],[Dias pasado]])</f>
        <v>100</v>
      </c>
      <c r="Q91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4" s="34">
        <f>IF(COUNTIF(PAPEL[Numero],Cobros[[#This Row],[Doc. Cargo]])&gt;0,1,0)</f>
        <v>0</v>
      </c>
      <c r="S914" s="46">
        <f t="array" ref="S9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14" s="47">
        <v>77.005</v>
      </c>
      <c r="U914" s="34">
        <f>IF(Cobros[[#This Row],[Tipo]]="Credito",IF(60&gt;=Cobros[[#This Row],[Dias al pago]],1,0),IF(Cobros[[#This Row],[Dias al pago]]&lt;=3,1,0))</f>
        <v>1</v>
      </c>
      <c r="V914" s="46">
        <f>(Cobros[[#This Row],[% A pagar Vendedor]]/100)*Cobros[[#This Row],[Valor Pagado]]*Cobros[[#This Row],[Vencido]]*(Cobros[[#This Row],[% aplicar]]/100)*IF(Cobros[[#This Row],[% A pagar Vendedor]]&gt;0,1,0)</f>
        <v>1.6</v>
      </c>
      <c r="W914" s="46">
        <f>0.5%*Cobros[[#This Row],[Valor Pagado]]</f>
        <v>0.8</v>
      </c>
      <c r="X914" s="69"/>
    </row>
    <row r="915" spans="1:24">
      <c r="A915" s="49" t="s">
        <v>3860</v>
      </c>
      <c r="B915" s="49" t="s">
        <v>5262</v>
      </c>
      <c r="C915" s="49" t="s">
        <v>2593</v>
      </c>
      <c r="D915" s="49" t="s">
        <v>2594</v>
      </c>
      <c r="E915" s="49" t="s">
        <v>5263</v>
      </c>
      <c r="F915" s="51">
        <v>46232</v>
      </c>
      <c r="G915" s="49">
        <v>1464</v>
      </c>
      <c r="H915" s="49" t="s">
        <v>20</v>
      </c>
      <c r="I915" s="51">
        <v>46232</v>
      </c>
      <c r="J915" s="54">
        <f>INT(Cobros[[#This Row],[Fecha Cargo]])</f>
        <v>46232</v>
      </c>
      <c r="K915" s="54">
        <f>INT(Cobros[[#This Row],[Fecha Aplicacion]])</f>
        <v>46232</v>
      </c>
      <c r="L915" s="55">
        <f>INDEX(Clientes[Días Plazo],MATCH(Cobros[[#This Row],[Cod. Cliente]],Clientes[Codigo],0),1)</f>
        <v>0</v>
      </c>
      <c r="M915" s="45" t="str">
        <f>IF(Cobros[[#This Row],[Dias de Credito]]&lt;=0,"Contado","Credito")</f>
        <v>Contado</v>
      </c>
      <c r="N915" s="45">
        <f>Cobros[[#This Row],[Fecha Aplicación S]]-Cobros[[#This Row],[Fecha Cargo S]]</f>
        <v>0</v>
      </c>
      <c r="O915" s="45">
        <f>Cobros[[#This Row],[Dias al pago]]-Cobros[[#This Row],[Dias de Credito]]</f>
        <v>0</v>
      </c>
      <c r="P915" s="45">
        <f>SUMIFS(TablaDias[Porcentaje],TablaDias[Tipo],Cobros[[#This Row],[Tipo]],TablaDias[Desde ],"&lt;="&amp;MAX(0,Cobros[[#This Row],[Dias pasado]]),TablaDias[Hasta ],"&gt;="&amp;Cobros[[#This Row],[Dias pasado]])</f>
        <v>100</v>
      </c>
      <c r="Q91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5" s="34">
        <f>IF(COUNTIF(PAPEL[Numero],Cobros[[#This Row],[Doc. Cargo]])&gt;0,1,0)</f>
        <v>0</v>
      </c>
      <c r="S915" s="46">
        <f t="array" ref="S9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5" s="47">
        <v>78.005</v>
      </c>
      <c r="U915" s="34">
        <f>IF(Cobros[[#This Row],[Tipo]]="Credito",IF(60&gt;=Cobros[[#This Row],[Dias al pago]],1,0),IF(Cobros[[#This Row],[Dias al pago]]&lt;=3,1,0))</f>
        <v>1</v>
      </c>
      <c r="V915" s="46">
        <f>(Cobros[[#This Row],[% A pagar Vendedor]]/100)*Cobros[[#This Row],[Valor Pagado]]*Cobros[[#This Row],[Vencido]]*(Cobros[[#This Row],[% aplicar]]/100)*IF(Cobros[[#This Row],[% A pagar Vendedor]]&gt;0,1,0)</f>
        <v>18.3</v>
      </c>
      <c r="W915" s="46">
        <f>0.5%*Cobros[[#This Row],[Valor Pagado]]</f>
        <v>7.32</v>
      </c>
      <c r="X915" s="69"/>
    </row>
    <row r="916" ht="30" spans="1:24">
      <c r="A916" s="49" t="s">
        <v>3931</v>
      </c>
      <c r="B916" s="49" t="s">
        <v>5264</v>
      </c>
      <c r="C916" s="49" t="s">
        <v>813</v>
      </c>
      <c r="D916" s="49" t="s">
        <v>814</v>
      </c>
      <c r="E916" s="49" t="s">
        <v>5265</v>
      </c>
      <c r="F916" s="51">
        <v>46232</v>
      </c>
      <c r="G916" s="49">
        <v>4153.8</v>
      </c>
      <c r="H916" s="49" t="s">
        <v>1355</v>
      </c>
      <c r="I916" s="51">
        <v>46232</v>
      </c>
      <c r="J916" s="54">
        <f>INT(Cobros[[#This Row],[Fecha Cargo]])</f>
        <v>46232</v>
      </c>
      <c r="K916" s="54">
        <f>INT(Cobros[[#This Row],[Fecha Aplicacion]])</f>
        <v>46232</v>
      </c>
      <c r="L916" s="55">
        <f>INDEX(Clientes[Días Plazo],MATCH(Cobros[[#This Row],[Cod. Cliente]],Clientes[Codigo],0),1)</f>
        <v>0</v>
      </c>
      <c r="M916" s="45" t="str">
        <f>IF(Cobros[[#This Row],[Dias de Credito]]&lt;=0,"Contado","Credito")</f>
        <v>Contado</v>
      </c>
      <c r="N916" s="45">
        <f>Cobros[[#This Row],[Fecha Aplicación S]]-Cobros[[#This Row],[Fecha Cargo S]]</f>
        <v>0</v>
      </c>
      <c r="O916" s="45">
        <f>Cobros[[#This Row],[Dias al pago]]-Cobros[[#This Row],[Dias de Credito]]</f>
        <v>0</v>
      </c>
      <c r="P916" s="45">
        <f>SUMIFS(TablaDias[Porcentaje],TablaDias[Tipo],Cobros[[#This Row],[Tipo]],TablaDias[Desde ],"&lt;="&amp;MAX(0,Cobros[[#This Row],[Dias pasado]]),TablaDias[Hasta ],"&gt;="&amp;Cobros[[#This Row],[Dias pasado]])</f>
        <v>100</v>
      </c>
      <c r="Q91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6" s="34">
        <f>IF(COUNTIF(PAPEL[Numero],Cobros[[#This Row],[Doc. Cargo]])&gt;0,1,0)</f>
        <v>0</v>
      </c>
      <c r="S916" s="46">
        <v>1</v>
      </c>
      <c r="T916" s="47">
        <v>79.005</v>
      </c>
      <c r="U916" s="34">
        <f>IF(Cobros[[#This Row],[Tipo]]="Credito",IF(60&gt;=Cobros[[#This Row],[Dias al pago]],1,0),IF(Cobros[[#This Row],[Dias al pago]]&lt;=3,1,0))</f>
        <v>1</v>
      </c>
      <c r="V916" s="46">
        <f>(Cobros[[#This Row],[% A pagar Vendedor]]/100)*Cobros[[#This Row],[Valor Pagado]]*Cobros[[#This Row],[Vencido]]*(Cobros[[#This Row],[% aplicar]]/100)*IF(Cobros[[#This Row],[% A pagar Vendedor]]&gt;0,1,0)</f>
        <v>41.538</v>
      </c>
      <c r="W916" s="46">
        <f>0.5%*Cobros[[#This Row],[Valor Pagado]]</f>
        <v>20.769</v>
      </c>
      <c r="X916" s="69"/>
    </row>
    <row r="917" spans="1:24">
      <c r="A917" s="49" t="s">
        <v>3860</v>
      </c>
      <c r="B917" s="49" t="s">
        <v>5266</v>
      </c>
      <c r="C917" s="49" t="s">
        <v>1478</v>
      </c>
      <c r="D917" s="49" t="s">
        <v>1479</v>
      </c>
      <c r="E917" s="49" t="s">
        <v>5267</v>
      </c>
      <c r="F917" s="51">
        <v>46230</v>
      </c>
      <c r="G917" s="49">
        <v>646.95</v>
      </c>
      <c r="H917" s="49" t="s">
        <v>18</v>
      </c>
      <c r="I917" s="51">
        <v>46232</v>
      </c>
      <c r="J917" s="54">
        <f>INT(Cobros[[#This Row],[Fecha Cargo]])</f>
        <v>46230</v>
      </c>
      <c r="K917" s="54">
        <f>INT(Cobros[[#This Row],[Fecha Aplicacion]])</f>
        <v>46232</v>
      </c>
      <c r="L917" s="55" t="str">
        <f>INDEX(Clientes[Días Plazo],MATCH(Cobros[[#This Row],[Cod. Cliente]],Clientes[Codigo],0),1)</f>
        <v>3</v>
      </c>
      <c r="M917" s="45" t="str">
        <f>IF(Cobros[[#This Row],[Dias de Credito]]&lt;=0,"Contado","Credito")</f>
        <v>Credito</v>
      </c>
      <c r="N917" s="45">
        <f>Cobros[[#This Row],[Fecha Aplicación S]]-Cobros[[#This Row],[Fecha Cargo S]]</f>
        <v>2</v>
      </c>
      <c r="O917" s="45">
        <f>Cobros[[#This Row],[Dias al pago]]-Cobros[[#This Row],[Dias de Credito]]</f>
        <v>-1</v>
      </c>
      <c r="P917" s="45">
        <f>SUMIFS(TablaDias[Porcentaje],TablaDias[Tipo],Cobros[[#This Row],[Tipo]],TablaDias[Desde ],"&lt;="&amp;MAX(0,Cobros[[#This Row],[Dias pasado]]),TablaDias[Hasta ],"&gt;="&amp;Cobros[[#This Row],[Dias pasado]])</f>
        <v>100</v>
      </c>
      <c r="Q91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7" s="34">
        <f>IF(COUNTIF(PAPEL[Numero],Cobros[[#This Row],[Doc. Cargo]])&gt;0,1,0)</f>
        <v>0</v>
      </c>
      <c r="S917" s="46">
        <f t="array" ref="S91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7" s="47">
        <v>80.005</v>
      </c>
      <c r="U917" s="34">
        <f>IF(Cobros[[#This Row],[Tipo]]="Credito",IF(60&gt;=Cobros[[#This Row],[Dias al pago]],1,0),IF(Cobros[[#This Row],[Dias al pago]]&lt;=3,1,0))</f>
        <v>1</v>
      </c>
      <c r="V917" s="46">
        <f>(Cobros[[#This Row],[% A pagar Vendedor]]/100)*Cobros[[#This Row],[Valor Pagado]]*Cobros[[#This Row],[Vencido]]*(Cobros[[#This Row],[% aplicar]]/100)*IF(Cobros[[#This Row],[% A pagar Vendedor]]&gt;0,1,0)</f>
        <v>8.086875</v>
      </c>
      <c r="W917" s="46">
        <f>0.5%*Cobros[[#This Row],[Valor Pagado]]</f>
        <v>3.23475</v>
      </c>
      <c r="X917" s="69"/>
    </row>
    <row r="918" spans="1:24">
      <c r="A918" s="49" t="s">
        <v>3860</v>
      </c>
      <c r="B918" s="49" t="s">
        <v>5268</v>
      </c>
      <c r="C918" s="49" t="s">
        <v>255</v>
      </c>
      <c r="D918" s="49" t="s">
        <v>256</v>
      </c>
      <c r="E918" s="49" t="s">
        <v>4928</v>
      </c>
      <c r="F918" s="51">
        <v>46218</v>
      </c>
      <c r="G918" s="49">
        <v>100</v>
      </c>
      <c r="H918" s="49" t="s">
        <v>16</v>
      </c>
      <c r="I918" s="51">
        <v>46232</v>
      </c>
      <c r="J918" s="54">
        <f>INT(Cobros[[#This Row],[Fecha Cargo]])</f>
        <v>46218</v>
      </c>
      <c r="K918" s="54">
        <f>INT(Cobros[[#This Row],[Fecha Aplicacion]])</f>
        <v>46232</v>
      </c>
      <c r="L918" s="55" t="str">
        <f>INDEX(Clientes[Días Plazo],MATCH(Cobros[[#This Row],[Cod. Cliente]],Clientes[Codigo],0),1)</f>
        <v>15</v>
      </c>
      <c r="M918" s="45" t="str">
        <f>IF(Cobros[[#This Row],[Dias de Credito]]&lt;=0,"Contado","Credito")</f>
        <v>Credito</v>
      </c>
      <c r="N918" s="45">
        <f>Cobros[[#This Row],[Fecha Aplicación S]]-Cobros[[#This Row],[Fecha Cargo S]]</f>
        <v>14</v>
      </c>
      <c r="O918" s="45">
        <f>Cobros[[#This Row],[Dias al pago]]-Cobros[[#This Row],[Dias de Credito]]</f>
        <v>-1</v>
      </c>
      <c r="P918" s="45">
        <f>SUMIFS(TablaDias[Porcentaje],TablaDias[Tipo],Cobros[[#This Row],[Tipo]],TablaDias[Desde ],"&lt;="&amp;MAX(0,Cobros[[#This Row],[Dias pasado]]),TablaDias[Hasta ],"&gt;="&amp;Cobros[[#This Row],[Dias pasado]])</f>
        <v>100</v>
      </c>
      <c r="Q91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8" s="34">
        <f>IF(COUNTIF(PAPEL[Numero],Cobros[[#This Row],[Doc. Cargo]])&gt;0,1,0)</f>
        <v>0</v>
      </c>
      <c r="S918" s="46">
        <f t="array" ref="S91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18" s="47">
        <v>81.005</v>
      </c>
      <c r="U918" s="34">
        <f>IF(Cobros[[#This Row],[Tipo]]="Credito",IF(60&gt;=Cobros[[#This Row],[Dias al pago]],1,0),IF(Cobros[[#This Row],[Dias al pago]]&lt;=3,1,0))</f>
        <v>1</v>
      </c>
      <c r="V918" s="46">
        <f>(Cobros[[#This Row],[% A pagar Vendedor]]/100)*Cobros[[#This Row],[Valor Pagado]]*Cobros[[#This Row],[Vencido]]*(Cobros[[#This Row],[% aplicar]]/100)*IF(Cobros[[#This Row],[% A pagar Vendedor]]&gt;0,1,0)</f>
        <v>1.25</v>
      </c>
      <c r="W918" s="46">
        <f>0.5%*Cobros[[#This Row],[Valor Pagado]]</f>
        <v>0.5</v>
      </c>
      <c r="X918" s="69"/>
    </row>
    <row r="919" ht="30" spans="1:24">
      <c r="A919" s="49" t="s">
        <v>3922</v>
      </c>
      <c r="B919" s="49" t="s">
        <v>5269</v>
      </c>
      <c r="C919" s="49" t="s">
        <v>2225</v>
      </c>
      <c r="D919" s="49" t="s">
        <v>2226</v>
      </c>
      <c r="E919" s="49" t="s">
        <v>5270</v>
      </c>
      <c r="F919" s="51">
        <v>46231</v>
      </c>
      <c r="G919" s="49">
        <v>1810.2</v>
      </c>
      <c r="H919" s="49" t="s">
        <v>3865</v>
      </c>
      <c r="I919" s="51">
        <v>46232</v>
      </c>
      <c r="J919" s="54">
        <f>INT(Cobros[[#This Row],[Fecha Cargo]])</f>
        <v>46231</v>
      </c>
      <c r="K919" s="54">
        <f>INT(Cobros[[#This Row],[Fecha Aplicacion]])</f>
        <v>46232</v>
      </c>
      <c r="L919" s="55" t="str">
        <f>INDEX(Clientes[Días Plazo],MATCH(Cobros[[#This Row],[Cod. Cliente]],Clientes[Codigo],0),1)</f>
        <v>15</v>
      </c>
      <c r="M919" s="45" t="str">
        <f>IF(Cobros[[#This Row],[Dias de Credito]]&lt;=0,"Contado","Credito")</f>
        <v>Credito</v>
      </c>
      <c r="N919" s="45">
        <f>Cobros[[#This Row],[Fecha Aplicación S]]-Cobros[[#This Row],[Fecha Cargo S]]</f>
        <v>1</v>
      </c>
      <c r="O919" s="45">
        <f>Cobros[[#This Row],[Dias al pago]]-Cobros[[#This Row],[Dias de Credito]]</f>
        <v>-14</v>
      </c>
      <c r="P919" s="45">
        <f>SUMIFS(TablaDias[Porcentaje],TablaDias[Tipo],Cobros[[#This Row],[Tipo]],TablaDias[Desde ],"&lt;="&amp;MAX(0,Cobros[[#This Row],[Dias pasado]]),TablaDias[Hasta ],"&gt;="&amp;Cobros[[#This Row],[Dias pasado]])</f>
        <v>100</v>
      </c>
      <c r="Q91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19" s="34">
        <f>IF(COUNTIF(PAPEL[Numero],Cobros[[#This Row],[Doc. Cargo]])&gt;0,1,0)</f>
        <v>0</v>
      </c>
      <c r="S919" s="46">
        <v>1</v>
      </c>
      <c r="T919" s="47">
        <v>82.005</v>
      </c>
      <c r="U919" s="34">
        <f>IF(Cobros[[#This Row],[Tipo]]="Credito",IF(60&gt;=Cobros[[#This Row],[Dias al pago]],1,0),IF(Cobros[[#This Row],[Dias al pago]]&lt;=3,1,0))</f>
        <v>1</v>
      </c>
      <c r="V919" s="46">
        <f>(Cobros[[#This Row],[% A pagar Vendedor]]/100)*Cobros[[#This Row],[Valor Pagado]]*Cobros[[#This Row],[Vencido]]*(Cobros[[#This Row],[% aplicar]]/100)*IF(Cobros[[#This Row],[% A pagar Vendedor]]&gt;0,1,0)</f>
        <v>18.102</v>
      </c>
      <c r="W919" s="46">
        <f>0.5%*Cobros[[#This Row],[Valor Pagado]]</f>
        <v>9.051</v>
      </c>
      <c r="X919" s="69"/>
    </row>
    <row r="920" spans="1:24">
      <c r="A920" s="49" t="s">
        <v>3922</v>
      </c>
      <c r="B920" s="49" t="s">
        <v>5271</v>
      </c>
      <c r="C920" s="49" t="s">
        <v>731</v>
      </c>
      <c r="D920" s="49" t="s">
        <v>732</v>
      </c>
      <c r="E920" s="49" t="s">
        <v>5272</v>
      </c>
      <c r="F920" s="51">
        <v>46232</v>
      </c>
      <c r="G920" s="49">
        <v>72.5</v>
      </c>
      <c r="H920" s="49" t="s">
        <v>20</v>
      </c>
      <c r="I920" s="51">
        <v>46232</v>
      </c>
      <c r="J920" s="54">
        <f>INT(Cobros[[#This Row],[Fecha Cargo]])</f>
        <v>46232</v>
      </c>
      <c r="K920" s="54">
        <f>INT(Cobros[[#This Row],[Fecha Aplicacion]])</f>
        <v>46232</v>
      </c>
      <c r="L920" s="55" t="str">
        <f>INDEX(Clientes[Días Plazo],MATCH(Cobros[[#This Row],[Cod. Cliente]],Clientes[Codigo],0),1)</f>
        <v>21</v>
      </c>
      <c r="M920" s="45" t="str">
        <f>IF(Cobros[[#This Row],[Dias de Credito]]&lt;=0,"Contado","Credito")</f>
        <v>Credito</v>
      </c>
      <c r="N920" s="45">
        <f>Cobros[[#This Row],[Fecha Aplicación S]]-Cobros[[#This Row],[Fecha Cargo S]]</f>
        <v>0</v>
      </c>
      <c r="O920" s="45">
        <f>Cobros[[#This Row],[Dias al pago]]-Cobros[[#This Row],[Dias de Credito]]</f>
        <v>-21</v>
      </c>
      <c r="P920" s="45">
        <f>SUMIFS(TablaDias[Porcentaje],TablaDias[Tipo],Cobros[[#This Row],[Tipo]],TablaDias[Desde ],"&lt;="&amp;MAX(0,Cobros[[#This Row],[Dias pasado]]),TablaDias[Hasta ],"&gt;="&amp;Cobros[[#This Row],[Dias pasado]])</f>
        <v>100</v>
      </c>
      <c r="Q92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0" s="34">
        <f>IF(COUNTIF(PAPEL[Numero],Cobros[[#This Row],[Doc. Cargo]])&gt;0,1,0)</f>
        <v>0</v>
      </c>
      <c r="S920" s="46">
        <f t="array" ref="S9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20" s="47">
        <v>83.005</v>
      </c>
      <c r="U920" s="34">
        <f>IF(Cobros[[#This Row],[Tipo]]="Credito",IF(60&gt;=Cobros[[#This Row],[Dias al pago]],1,0),IF(Cobros[[#This Row],[Dias al pago]]&lt;=3,1,0))</f>
        <v>1</v>
      </c>
      <c r="V920" s="46">
        <f>(Cobros[[#This Row],[% A pagar Vendedor]]/100)*Cobros[[#This Row],[Valor Pagado]]*Cobros[[#This Row],[Vencido]]*(Cobros[[#This Row],[% aplicar]]/100)*IF(Cobros[[#This Row],[% A pagar Vendedor]]&gt;0,1,0)</f>
        <v>0.90625</v>
      </c>
      <c r="W920" s="46">
        <f>0.5%*Cobros[[#This Row],[Valor Pagado]]</f>
        <v>0.3625</v>
      </c>
      <c r="X920" s="69"/>
    </row>
    <row r="921" ht="30" spans="1:24">
      <c r="A921" s="49" t="s">
        <v>3860</v>
      </c>
      <c r="B921" s="49" t="s">
        <v>5273</v>
      </c>
      <c r="C921" s="49" t="s">
        <v>635</v>
      </c>
      <c r="D921" s="49" t="s">
        <v>636</v>
      </c>
      <c r="E921" s="49" t="s">
        <v>5136</v>
      </c>
      <c r="F921" s="51">
        <v>46220</v>
      </c>
      <c r="G921" s="49">
        <v>1789.95</v>
      </c>
      <c r="H921" s="49" t="s">
        <v>3865</v>
      </c>
      <c r="I921" s="51">
        <v>46232</v>
      </c>
      <c r="J921" s="54">
        <f>INT(Cobros[[#This Row],[Fecha Cargo]])</f>
        <v>46220</v>
      </c>
      <c r="K921" s="54">
        <f>INT(Cobros[[#This Row],[Fecha Aplicacion]])</f>
        <v>46232</v>
      </c>
      <c r="L921" s="55" t="str">
        <f>INDEX(Clientes[Días Plazo],MATCH(Cobros[[#This Row],[Cod. Cliente]],Clientes[Codigo],0),1)</f>
        <v>15</v>
      </c>
      <c r="M921" s="45" t="str">
        <f>IF(Cobros[[#This Row],[Dias de Credito]]&lt;=0,"Contado","Credito")</f>
        <v>Credito</v>
      </c>
      <c r="N921" s="45">
        <f>Cobros[[#This Row],[Fecha Aplicación S]]-Cobros[[#This Row],[Fecha Cargo S]]</f>
        <v>12</v>
      </c>
      <c r="O921" s="45">
        <v>-3</v>
      </c>
      <c r="P921" s="45">
        <f>SUMIFS(TablaDias[Porcentaje],TablaDias[Tipo],Cobros[[#This Row],[Tipo]],TablaDias[Desde ],"&lt;="&amp;MAX(0,Cobros[[#This Row],[Dias pasado]]),TablaDias[Hasta ],"&gt;="&amp;Cobros[[#This Row],[Dias pasado]])</f>
        <v>100</v>
      </c>
      <c r="Q92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1" s="34">
        <f>IF(COUNTIF(PAPEL[Numero],Cobros[[#This Row],[Doc. Cargo]])&gt;0,1,0)</f>
        <v>0</v>
      </c>
      <c r="S921" s="46">
        <v>1</v>
      </c>
      <c r="T921" s="47">
        <v>84.005</v>
      </c>
      <c r="U921" s="34">
        <f>IF(Cobros[[#This Row],[Tipo]]="Credito",IF(60&gt;=Cobros[[#This Row],[Dias al pago]],1,0),IF(Cobros[[#This Row],[Dias al pago]]&lt;=3,1,0))</f>
        <v>1</v>
      </c>
      <c r="V921" s="46">
        <f>(Cobros[[#This Row],[% A pagar Vendedor]]/100)*Cobros[[#This Row],[Valor Pagado]]*Cobros[[#This Row],[Vencido]]*(Cobros[[#This Row],[% aplicar]]/100)*IF(Cobros[[#This Row],[% A pagar Vendedor]]&gt;0,1,0)</f>
        <v>17.8995</v>
      </c>
      <c r="W921" s="46">
        <f>0.5%*Cobros[[#This Row],[Valor Pagado]]</f>
        <v>8.94975</v>
      </c>
      <c r="X921" s="69"/>
    </row>
    <row r="922" ht="30" spans="1:24">
      <c r="A922" s="49" t="s">
        <v>3875</v>
      </c>
      <c r="B922" s="49" t="s">
        <v>5274</v>
      </c>
      <c r="C922" s="49" t="s">
        <v>2628</v>
      </c>
      <c r="D922" s="49" t="s">
        <v>2629</v>
      </c>
      <c r="E922" s="49" t="s">
        <v>4759</v>
      </c>
      <c r="F922" s="51">
        <v>46220</v>
      </c>
      <c r="G922" s="49">
        <v>255.98</v>
      </c>
      <c r="H922" s="49" t="s">
        <v>3865</v>
      </c>
      <c r="I922" s="51">
        <v>46232</v>
      </c>
      <c r="J922" s="54">
        <f>INT(Cobros[[#This Row],[Fecha Cargo]])</f>
        <v>46220</v>
      </c>
      <c r="K922" s="54">
        <f>INT(Cobros[[#This Row],[Fecha Aplicacion]])</f>
        <v>46232</v>
      </c>
      <c r="L922" s="55" t="str">
        <f>INDEX(Clientes[Días Plazo],MATCH(Cobros[[#This Row],[Cod. Cliente]],Clientes[Codigo],0),1)</f>
        <v>7</v>
      </c>
      <c r="M922" s="45" t="str">
        <f>IF(Cobros[[#This Row],[Dias de Credito]]&lt;=0,"Contado","Credito")</f>
        <v>Credito</v>
      </c>
      <c r="N922" s="45">
        <f>Cobros[[#This Row],[Fecha Aplicación S]]-Cobros[[#This Row],[Fecha Cargo S]]</f>
        <v>12</v>
      </c>
      <c r="O922" s="45">
        <f>Cobros[[#This Row],[Dias al pago]]-Cobros[[#This Row],[Dias de Credito]]</f>
        <v>5</v>
      </c>
      <c r="P922" s="45">
        <f>SUMIFS(TablaDias[Porcentaje],TablaDias[Tipo],Cobros[[#This Row],[Tipo]],TablaDias[Desde ],"&lt;="&amp;MAX(0,Cobros[[#This Row],[Dias pasado]]),TablaDias[Hasta ],"&gt;="&amp;Cobros[[#This Row],[Dias pasado]])</f>
        <v>100</v>
      </c>
      <c r="Q92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2" s="34">
        <f>IF(COUNTIF(PAPEL[Numero],Cobros[[#This Row],[Doc. Cargo]])&gt;0,1,0)</f>
        <v>0</v>
      </c>
      <c r="S922" s="46">
        <v>1</v>
      </c>
      <c r="T922" s="47">
        <v>85.005</v>
      </c>
      <c r="U922" s="34">
        <f>IF(Cobros[[#This Row],[Tipo]]="Credito",IF(60&gt;=Cobros[[#This Row],[Dias al pago]],1,0),IF(Cobros[[#This Row],[Dias al pago]]&lt;=3,1,0))</f>
        <v>1</v>
      </c>
      <c r="V922" s="46">
        <f>(Cobros[[#This Row],[% A pagar Vendedor]]/100)*Cobros[[#This Row],[Valor Pagado]]*Cobros[[#This Row],[Vencido]]*(Cobros[[#This Row],[% aplicar]]/100)*IF(Cobros[[#This Row],[% A pagar Vendedor]]&gt;0,1,0)</f>
        <v>2.5598</v>
      </c>
      <c r="W922" s="46">
        <f>0.5%*Cobros[[#This Row],[Valor Pagado]]</f>
        <v>1.2799</v>
      </c>
      <c r="X922" s="69"/>
    </row>
    <row r="923" ht="30" spans="1:24">
      <c r="A923" s="49" t="s">
        <v>3904</v>
      </c>
      <c r="B923" s="49" t="s">
        <v>5275</v>
      </c>
      <c r="C923" s="49" t="s">
        <v>987</v>
      </c>
      <c r="D923" s="49" t="s">
        <v>988</v>
      </c>
      <c r="E923" s="49" t="s">
        <v>5276</v>
      </c>
      <c r="F923" s="51">
        <v>46232</v>
      </c>
      <c r="G923" s="49">
        <v>505.25</v>
      </c>
      <c r="H923" s="49" t="s">
        <v>20</v>
      </c>
      <c r="I923" s="51">
        <v>46232</v>
      </c>
      <c r="J923" s="54">
        <f>INT(Cobros[[#This Row],[Fecha Cargo]])</f>
        <v>46232</v>
      </c>
      <c r="K923" s="54">
        <f>INT(Cobros[[#This Row],[Fecha Aplicacion]])</f>
        <v>46232</v>
      </c>
      <c r="L923" s="55" t="str">
        <f>INDEX(Clientes[Días Plazo],MATCH(Cobros[[#This Row],[Cod. Cliente]],Clientes[Codigo],0),1)</f>
        <v>15</v>
      </c>
      <c r="M923" s="45" t="str">
        <f>IF(Cobros[[#This Row],[Dias de Credito]]&lt;=0,"Contado","Credito")</f>
        <v>Credito</v>
      </c>
      <c r="N923" s="45">
        <f>Cobros[[#This Row],[Fecha Aplicación S]]-Cobros[[#This Row],[Fecha Cargo S]]</f>
        <v>0</v>
      </c>
      <c r="O923" s="45">
        <f>Cobros[[#This Row],[Dias al pago]]-Cobros[[#This Row],[Dias de Credito]]</f>
        <v>-15</v>
      </c>
      <c r="P923" s="45">
        <f>SUMIFS(TablaDias[Porcentaje],TablaDias[Tipo],Cobros[[#This Row],[Tipo]],TablaDias[Desde ],"&lt;="&amp;MAX(0,Cobros[[#This Row],[Dias pasado]]),TablaDias[Hasta ],"&gt;="&amp;Cobros[[#This Row],[Dias pasado]])</f>
        <v>100</v>
      </c>
      <c r="Q92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3" s="34">
        <f>IF(COUNTIF(PAPEL[Numero],Cobros[[#This Row],[Doc. Cargo]])&gt;0,1,0)</f>
        <v>0</v>
      </c>
      <c r="S923" s="46">
        <f t="array" ref="S92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23" s="47">
        <v>86.005</v>
      </c>
      <c r="U923" s="34">
        <f>IF(Cobros[[#This Row],[Tipo]]="Credito",IF(60&gt;=Cobros[[#This Row],[Dias al pago]],1,0),IF(Cobros[[#This Row],[Dias al pago]]&lt;=3,1,0))</f>
        <v>1</v>
      </c>
      <c r="V923" s="46">
        <f>(Cobros[[#This Row],[% A pagar Vendedor]]/100)*Cobros[[#This Row],[Valor Pagado]]*Cobros[[#This Row],[Vencido]]*(Cobros[[#This Row],[% aplicar]]/100)*IF(Cobros[[#This Row],[% A pagar Vendedor]]&gt;0,1,0)</f>
        <v>6.315625</v>
      </c>
      <c r="W923" s="46">
        <f>0.5%*Cobros[[#This Row],[Valor Pagado]]</f>
        <v>2.52625</v>
      </c>
      <c r="X923" s="69"/>
    </row>
    <row r="924" spans="1:24">
      <c r="A924" s="49" t="s">
        <v>3904</v>
      </c>
      <c r="B924" s="49" t="s">
        <v>5277</v>
      </c>
      <c r="C924" s="49" t="s">
        <v>3598</v>
      </c>
      <c r="D924" s="49" t="s">
        <v>3599</v>
      </c>
      <c r="E924" s="49" t="s">
        <v>5256</v>
      </c>
      <c r="F924" s="51">
        <v>46232</v>
      </c>
      <c r="G924" s="49">
        <v>6.3</v>
      </c>
      <c r="H924" s="49" t="s">
        <v>18</v>
      </c>
      <c r="I924" s="51">
        <v>46232</v>
      </c>
      <c r="J924" s="54">
        <f>INT(Cobros[[#This Row],[Fecha Cargo]])</f>
        <v>46232</v>
      </c>
      <c r="K924" s="54">
        <f>INT(Cobros[[#This Row],[Fecha Aplicacion]])</f>
        <v>46232</v>
      </c>
      <c r="L924" s="55">
        <f>INDEX(Clientes[Días Plazo],MATCH(Cobros[[#This Row],[Cod. Cliente]],Clientes[Codigo],0),1)</f>
        <v>0</v>
      </c>
      <c r="M924" s="45" t="str">
        <f>IF(Cobros[[#This Row],[Dias de Credito]]&lt;=0,"Contado","Credito")</f>
        <v>Contado</v>
      </c>
      <c r="N924" s="45">
        <f>Cobros[[#This Row],[Fecha Aplicación S]]-Cobros[[#This Row],[Fecha Cargo S]]</f>
        <v>0</v>
      </c>
      <c r="O924" s="45">
        <f>Cobros[[#This Row],[Dias al pago]]-Cobros[[#This Row],[Dias de Credito]]</f>
        <v>0</v>
      </c>
      <c r="P924" s="45">
        <f>SUMIFS(TablaDias[Porcentaje],TablaDias[Tipo],Cobros[[#This Row],[Tipo]],TablaDias[Desde ],"&lt;="&amp;MAX(0,Cobros[[#This Row],[Dias pasado]]),TablaDias[Hasta ],"&gt;="&amp;Cobros[[#This Row],[Dias pasado]])</f>
        <v>100</v>
      </c>
      <c r="Q92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4" s="34">
        <f>IF(COUNTIF(PAPEL[Numero],Cobros[[#This Row],[Doc. Cargo]])&gt;0,1,0)</f>
        <v>0</v>
      </c>
      <c r="S924" s="46">
        <f t="array" ref="S92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24" s="47">
        <v>87.005</v>
      </c>
      <c r="U924" s="34">
        <f>IF(Cobros[[#This Row],[Tipo]]="Credito",IF(60&gt;=Cobros[[#This Row],[Dias al pago]],1,0),IF(Cobros[[#This Row],[Dias al pago]]&lt;=3,1,0))</f>
        <v>1</v>
      </c>
      <c r="V924" s="46">
        <f>(Cobros[[#This Row],[% A pagar Vendedor]]/100)*Cobros[[#This Row],[Valor Pagado]]*Cobros[[#This Row],[Vencido]]*(Cobros[[#This Row],[% aplicar]]/100)*IF(Cobros[[#This Row],[% A pagar Vendedor]]&gt;0,1,0)</f>
        <v>0.07875</v>
      </c>
      <c r="W924" s="46">
        <f>0.5%*Cobros[[#This Row],[Valor Pagado]]</f>
        <v>0.0315</v>
      </c>
      <c r="X924" s="69"/>
    </row>
    <row r="925" spans="1:24">
      <c r="A925" s="49" t="s">
        <v>3875</v>
      </c>
      <c r="B925" s="49" t="s">
        <v>5278</v>
      </c>
      <c r="C925" s="49" t="s">
        <v>2773</v>
      </c>
      <c r="D925" s="49" t="s">
        <v>2774</v>
      </c>
      <c r="E925" s="49" t="s">
        <v>5279</v>
      </c>
      <c r="F925" s="51">
        <v>46232</v>
      </c>
      <c r="G925" s="49">
        <v>425</v>
      </c>
      <c r="H925" s="49" t="s">
        <v>16</v>
      </c>
      <c r="I925" s="51">
        <v>46232</v>
      </c>
      <c r="J925" s="54">
        <f>INT(Cobros[[#This Row],[Fecha Cargo]])</f>
        <v>46232</v>
      </c>
      <c r="K925" s="54">
        <f>INT(Cobros[[#This Row],[Fecha Aplicacion]])</f>
        <v>46232</v>
      </c>
      <c r="L925" s="55">
        <f>INDEX(Clientes[Días Plazo],MATCH(Cobros[[#This Row],[Cod. Cliente]],Clientes[Codigo],0),1)</f>
        <v>0</v>
      </c>
      <c r="M925" s="45" t="str">
        <f>IF(Cobros[[#This Row],[Dias de Credito]]&lt;=0,"Contado","Credito")</f>
        <v>Contado</v>
      </c>
      <c r="N925" s="45">
        <f>Cobros[[#This Row],[Fecha Aplicación S]]-Cobros[[#This Row],[Fecha Cargo S]]</f>
        <v>0</v>
      </c>
      <c r="O925" s="45">
        <f>Cobros[[#This Row],[Dias al pago]]-Cobros[[#This Row],[Dias de Credito]]</f>
        <v>0</v>
      </c>
      <c r="P925" s="45">
        <f>SUMIFS(TablaDias[Porcentaje],TablaDias[Tipo],Cobros[[#This Row],[Tipo]],TablaDias[Desde ],"&lt;="&amp;MAX(0,Cobros[[#This Row],[Dias pasado]]),TablaDias[Hasta ],"&gt;="&amp;Cobros[[#This Row],[Dias pasado]])</f>
        <v>100</v>
      </c>
      <c r="Q92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5" s="34">
        <v>0</v>
      </c>
      <c r="S925" s="46">
        <f t="array" ref="S92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25" s="47">
        <v>88.005</v>
      </c>
      <c r="U925" s="34">
        <f>IF(Cobros[[#This Row],[Tipo]]="Credito",IF(60&gt;=Cobros[[#This Row],[Dias al pago]],1,0),IF(Cobros[[#This Row],[Dias al pago]]&lt;=3,1,0))</f>
        <v>1</v>
      </c>
      <c r="V925" s="46">
        <f>(Cobros[[#This Row],[% A pagar Vendedor]]/100)*Cobros[[#This Row],[Valor Pagado]]*Cobros[[#This Row],[Vencido]]*(Cobros[[#This Row],[% aplicar]]/100)*IF(Cobros[[#This Row],[% A pagar Vendedor]]&gt;0,1,0)</f>
        <v>5.3125</v>
      </c>
      <c r="W925" s="46">
        <f>0.5%*Cobros[[#This Row],[Valor Pagado]]</f>
        <v>2.125</v>
      </c>
      <c r="X925" s="69"/>
    </row>
    <row r="926" spans="1:24">
      <c r="A926" s="49" t="s">
        <v>3875</v>
      </c>
      <c r="B926" s="49" t="s">
        <v>5163</v>
      </c>
      <c r="C926" s="49" t="s">
        <v>2773</v>
      </c>
      <c r="D926" s="49" t="s">
        <v>2774</v>
      </c>
      <c r="E926" s="49" t="s">
        <v>5279</v>
      </c>
      <c r="F926" s="51">
        <v>46232</v>
      </c>
      <c r="G926" s="49">
        <v>1</v>
      </c>
      <c r="H926" s="49" t="s">
        <v>16</v>
      </c>
      <c r="I926" s="51">
        <v>46230</v>
      </c>
      <c r="J926" s="54">
        <f>INT(Cobros[[#This Row],[Fecha Cargo]])</f>
        <v>46232</v>
      </c>
      <c r="K926" s="54">
        <f>INT(Cobros[[#This Row],[Fecha Aplicacion]])</f>
        <v>46230</v>
      </c>
      <c r="L926" s="55">
        <f>INDEX(Clientes[Días Plazo],MATCH(Cobros[[#This Row],[Cod. Cliente]],Clientes[Codigo],0),1)</f>
        <v>0</v>
      </c>
      <c r="M926" s="45" t="str">
        <f>IF(Cobros[[#This Row],[Dias de Credito]]&lt;=0,"Contado","Credito")</f>
        <v>Contado</v>
      </c>
      <c r="N926" s="45">
        <f>Cobros[[#This Row],[Fecha Aplicación S]]-Cobros[[#This Row],[Fecha Cargo S]]</f>
        <v>-2</v>
      </c>
      <c r="O926" s="45">
        <f>Cobros[[#This Row],[Dias al pago]]-Cobros[[#This Row],[Dias de Credito]]</f>
        <v>-2</v>
      </c>
      <c r="P926" s="45">
        <f>SUMIFS(TablaDias[Porcentaje],TablaDias[Tipo],Cobros[[#This Row],[Tipo]],TablaDias[Desde ],"&lt;="&amp;MAX(0,Cobros[[#This Row],[Dias pasado]]),TablaDias[Hasta ],"&gt;="&amp;Cobros[[#This Row],[Dias pasado]])</f>
        <v>100</v>
      </c>
      <c r="Q92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6" s="34">
        <f>IF(COUNTIF(PAPEL[Numero],Cobros[[#This Row],[Doc. Cargo]])&gt;0,1,0)</f>
        <v>0</v>
      </c>
      <c r="S926" s="46">
        <f t="array" ref="S9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26" s="47">
        <v>89.005</v>
      </c>
      <c r="U926" s="34">
        <f>IF(Cobros[[#This Row],[Tipo]]="Credito",IF(60&gt;=Cobros[[#This Row],[Dias al pago]],1,0),IF(Cobros[[#This Row],[Dias al pago]]&lt;=3,1,0))</f>
        <v>1</v>
      </c>
      <c r="V926" s="46">
        <f>(Cobros[[#This Row],[% A pagar Vendedor]]/100)*Cobros[[#This Row],[Valor Pagado]]*Cobros[[#This Row],[Vencido]]*(Cobros[[#This Row],[% aplicar]]/100)*IF(Cobros[[#This Row],[% A pagar Vendedor]]&gt;0,1,0)</f>
        <v>0.0125</v>
      </c>
      <c r="W926" s="46">
        <f>0.5%*Cobros[[#This Row],[Valor Pagado]]</f>
        <v>0.005</v>
      </c>
      <c r="X926" s="69"/>
    </row>
    <row r="927" ht="30" spans="1:24">
      <c r="A927" s="49" t="s">
        <v>3884</v>
      </c>
      <c r="B927" s="49" t="s">
        <v>5280</v>
      </c>
      <c r="C927" s="49" t="s">
        <v>160</v>
      </c>
      <c r="D927" s="49" t="s">
        <v>161</v>
      </c>
      <c r="E927" s="49" t="s">
        <v>5281</v>
      </c>
      <c r="F927" s="51">
        <v>46232</v>
      </c>
      <c r="G927" s="49">
        <v>245</v>
      </c>
      <c r="H927" s="49" t="s">
        <v>22</v>
      </c>
      <c r="I927" s="51">
        <v>46232</v>
      </c>
      <c r="J927" s="54">
        <f>INT(Cobros[[#This Row],[Fecha Cargo]])</f>
        <v>46232</v>
      </c>
      <c r="K927" s="54">
        <f>INT(Cobros[[#This Row],[Fecha Aplicacion]])</f>
        <v>46232</v>
      </c>
      <c r="L927" s="55">
        <f>INDEX(Clientes[Días Plazo],MATCH(Cobros[[#This Row],[Cod. Cliente]],Clientes[Codigo],0),1)</f>
        <v>0</v>
      </c>
      <c r="M927" s="45" t="str">
        <f>IF(Cobros[[#This Row],[Dias de Credito]]&lt;=0,"Contado","Credito")</f>
        <v>Contado</v>
      </c>
      <c r="N927" s="45">
        <f>Cobros[[#This Row],[Fecha Aplicación S]]-Cobros[[#This Row],[Fecha Cargo S]]</f>
        <v>0</v>
      </c>
      <c r="O927" s="45">
        <f>Cobros[[#This Row],[Dias al pago]]-Cobros[[#This Row],[Dias de Credito]]</f>
        <v>0</v>
      </c>
      <c r="P927" s="45">
        <f>SUMIFS(TablaDias[Porcentaje],TablaDias[Tipo],Cobros[[#This Row],[Tipo]],TablaDias[Desde ],"&lt;="&amp;MAX(0,Cobros[[#This Row],[Dias pasado]]),TablaDias[Hasta ],"&gt;="&amp;Cobros[[#This Row],[Dias pasado]])</f>
        <v>100</v>
      </c>
      <c r="Q92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7" s="34">
        <f>IF(COUNTIF(PAPEL[Numero],Cobros[[#This Row],[Doc. Cargo]])&gt;0,1,0)</f>
        <v>0</v>
      </c>
      <c r="S927" s="46">
        <f t="array" ref="S9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27" s="47">
        <v>90.005</v>
      </c>
      <c r="U927" s="34">
        <f>IF(Cobros[[#This Row],[Tipo]]="Credito",IF(60&gt;=Cobros[[#This Row],[Dias al pago]],1,0),IF(Cobros[[#This Row],[Dias al pago]]&lt;=3,1,0))</f>
        <v>1</v>
      </c>
      <c r="V927" s="46">
        <f>(Cobros[[#This Row],[% A pagar Vendedor]]/100)*Cobros[[#This Row],[Valor Pagado]]*Cobros[[#This Row],[Vencido]]*(Cobros[[#This Row],[% aplicar]]/100)*IF(Cobros[[#This Row],[% A pagar Vendedor]]&gt;0,1,0)</f>
        <v>2.45</v>
      </c>
      <c r="W927" s="46">
        <f>0.5%*Cobros[[#This Row],[Valor Pagado]]</f>
        <v>1.225</v>
      </c>
      <c r="X927" s="69"/>
    </row>
    <row r="928" ht="30" spans="1:24">
      <c r="A928" s="49" t="s">
        <v>3904</v>
      </c>
      <c r="B928" s="49" t="s">
        <v>5282</v>
      </c>
      <c r="C928" s="49" t="s">
        <v>3151</v>
      </c>
      <c r="D928" s="49" t="s">
        <v>3152</v>
      </c>
      <c r="E928" s="49" t="s">
        <v>5283</v>
      </c>
      <c r="F928" s="51">
        <v>46232</v>
      </c>
      <c r="G928" s="49">
        <v>987.6</v>
      </c>
      <c r="H928" s="49" t="s">
        <v>3865</v>
      </c>
      <c r="I928" s="51">
        <v>46232</v>
      </c>
      <c r="J928" s="54">
        <f>INT(Cobros[[#This Row],[Fecha Cargo]])</f>
        <v>46232</v>
      </c>
      <c r="K928" s="54">
        <f>INT(Cobros[[#This Row],[Fecha Aplicacion]])</f>
        <v>46232</v>
      </c>
      <c r="L928" s="55">
        <f>INDEX(Clientes[Días Plazo],MATCH(Cobros[[#This Row],[Cod. Cliente]],Clientes[Codigo],0),1)</f>
        <v>0</v>
      </c>
      <c r="M928" s="45" t="str">
        <f>IF(Cobros[[#This Row],[Dias de Credito]]&lt;=0,"Contado","Credito")</f>
        <v>Contado</v>
      </c>
      <c r="N928" s="45">
        <f>Cobros[[#This Row],[Fecha Aplicación S]]-Cobros[[#This Row],[Fecha Cargo S]]</f>
        <v>0</v>
      </c>
      <c r="O928" s="45">
        <f>Cobros[[#This Row],[Dias al pago]]-Cobros[[#This Row],[Dias de Credito]]</f>
        <v>0</v>
      </c>
      <c r="P928" s="45">
        <f>SUMIFS(TablaDias[Porcentaje],TablaDias[Tipo],Cobros[[#This Row],[Tipo]],TablaDias[Desde ],"&lt;="&amp;MAX(0,Cobros[[#This Row],[Dias pasado]]),TablaDias[Hasta ],"&gt;="&amp;Cobros[[#This Row],[Dias pasado]])</f>
        <v>100</v>
      </c>
      <c r="Q92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8" s="34">
        <f>IF(COUNTIF(PAPEL[Numero],Cobros[[#This Row],[Doc. Cargo]])&gt;0,1,0)</f>
        <v>0</v>
      </c>
      <c r="S928" s="46">
        <v>1</v>
      </c>
      <c r="T928" s="47">
        <v>91.005</v>
      </c>
      <c r="U928" s="34">
        <f>IF(Cobros[[#This Row],[Tipo]]="Credito",IF(60&gt;=Cobros[[#This Row],[Dias al pago]],1,0),IF(Cobros[[#This Row],[Dias al pago]]&lt;=3,1,0))</f>
        <v>1</v>
      </c>
      <c r="V928" s="46">
        <f>(Cobros[[#This Row],[% A pagar Vendedor]]/100)*Cobros[[#This Row],[Valor Pagado]]*Cobros[[#This Row],[Vencido]]*(Cobros[[#This Row],[% aplicar]]/100)*IF(Cobros[[#This Row],[% A pagar Vendedor]]&gt;0,1,0)</f>
        <v>9.876</v>
      </c>
      <c r="W928" s="46">
        <f>0.5%*Cobros[[#This Row],[Valor Pagado]]</f>
        <v>4.938</v>
      </c>
      <c r="X928" s="69"/>
    </row>
    <row r="929" ht="30" spans="1:24">
      <c r="A929" s="49" t="s">
        <v>3931</v>
      </c>
      <c r="B929" s="49" t="s">
        <v>5284</v>
      </c>
      <c r="C929" s="49" t="s">
        <v>1790</v>
      </c>
      <c r="D929" s="49" t="s">
        <v>1791</v>
      </c>
      <c r="E929" s="49" t="s">
        <v>5285</v>
      </c>
      <c r="F929" s="51">
        <v>46216</v>
      </c>
      <c r="G929" s="49">
        <v>214</v>
      </c>
      <c r="H929" s="49" t="s">
        <v>22</v>
      </c>
      <c r="I929" s="51">
        <v>46233</v>
      </c>
      <c r="J929" s="54">
        <f>INT(Cobros[[#This Row],[Fecha Cargo]])</f>
        <v>46216</v>
      </c>
      <c r="K929" s="54">
        <f>INT(Cobros[[#This Row],[Fecha Aplicacion]])</f>
        <v>46233</v>
      </c>
      <c r="L929" s="55" t="str">
        <f>INDEX(Clientes[Días Plazo],MATCH(Cobros[[#This Row],[Cod. Cliente]],Clientes[Codigo],0),1)</f>
        <v>15</v>
      </c>
      <c r="M929" s="45" t="str">
        <f>IF(Cobros[[#This Row],[Dias de Credito]]&lt;=0,"Contado","Credito")</f>
        <v>Credito</v>
      </c>
      <c r="N929" s="45">
        <f>Cobros[[#This Row],[Fecha Aplicación S]]-Cobros[[#This Row],[Fecha Cargo S]]</f>
        <v>17</v>
      </c>
      <c r="O929" s="45">
        <f>Cobros[[#This Row],[Dias al pago]]-Cobros[[#This Row],[Dias de Credito]]</f>
        <v>2</v>
      </c>
      <c r="P929" s="45">
        <f>SUMIFS(TablaDias[Porcentaje],TablaDias[Tipo],Cobros[[#This Row],[Tipo]],TablaDias[Desde ],"&lt;="&amp;MAX(0,Cobros[[#This Row],[Dias pasado]]),TablaDias[Hasta ],"&gt;="&amp;Cobros[[#This Row],[Dias pasado]])</f>
        <v>100</v>
      </c>
      <c r="Q92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29" s="34">
        <f>IF(COUNTIF(PAPEL[Numero],Cobros[[#This Row],[Doc. Cargo]])&gt;0,1,0)</f>
        <v>0</v>
      </c>
      <c r="S929" s="46">
        <f t="array" ref="S9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29" s="47">
        <v>92.005</v>
      </c>
      <c r="U929" s="34">
        <f>IF(Cobros[[#This Row],[Tipo]]="Credito",IF(60&gt;=Cobros[[#This Row],[Dias al pago]],1,0),IF(Cobros[[#This Row],[Dias al pago]]&lt;=3,1,0))</f>
        <v>1</v>
      </c>
      <c r="V929" s="46">
        <f>(Cobros[[#This Row],[% A pagar Vendedor]]/100)*Cobros[[#This Row],[Valor Pagado]]*Cobros[[#This Row],[Vencido]]*(Cobros[[#This Row],[% aplicar]]/100)*IF(Cobros[[#This Row],[% A pagar Vendedor]]&gt;0,1,0)</f>
        <v>2.14</v>
      </c>
      <c r="W929" s="46">
        <f>0.5%*Cobros[[#This Row],[Valor Pagado]]</f>
        <v>1.07</v>
      </c>
      <c r="X929" s="69"/>
    </row>
    <row r="930" ht="30" spans="1:24">
      <c r="A930" s="49" t="s">
        <v>3954</v>
      </c>
      <c r="B930" s="49" t="s">
        <v>5286</v>
      </c>
      <c r="C930" s="49" t="s">
        <v>864</v>
      </c>
      <c r="D930" s="49" t="s">
        <v>865</v>
      </c>
      <c r="E930" s="49" t="s">
        <v>5287</v>
      </c>
      <c r="F930" s="51">
        <v>46189</v>
      </c>
      <c r="G930" s="49">
        <v>375</v>
      </c>
      <c r="H930" s="49" t="s">
        <v>22</v>
      </c>
      <c r="I930" s="51">
        <v>46219</v>
      </c>
      <c r="J930" s="54">
        <f>INT(Cobros[[#This Row],[Fecha Cargo]])</f>
        <v>46189</v>
      </c>
      <c r="K930" s="54">
        <f>INT(Cobros[[#This Row],[Fecha Aplicacion]])</f>
        <v>46219</v>
      </c>
      <c r="L930" s="55" t="str">
        <f>INDEX(Clientes[Días Plazo],MATCH(Cobros[[#This Row],[Cod. Cliente]],Clientes[Codigo],0),1)</f>
        <v>15</v>
      </c>
      <c r="M930" s="45" t="str">
        <f>IF(Cobros[[#This Row],[Dias de Credito]]&lt;=0,"Contado","Credito")</f>
        <v>Credito</v>
      </c>
      <c r="N930" s="45">
        <f>Cobros[[#This Row],[Fecha Aplicación S]]-Cobros[[#This Row],[Fecha Cargo S]]</f>
        <v>30</v>
      </c>
      <c r="O930" s="45">
        <f>Cobros[[#This Row],[Dias al pago]]-Cobros[[#This Row],[Dias de Credito]]</f>
        <v>15</v>
      </c>
      <c r="P930" s="45">
        <f>SUMIFS(TablaDias[Porcentaje],TablaDias[Tipo],Cobros[[#This Row],[Tipo]],TablaDias[Desde ],"&lt;="&amp;MAX(0,Cobros[[#This Row],[Dias pasado]]),TablaDias[Hasta ],"&gt;="&amp;Cobros[[#This Row],[Dias pasado]])</f>
        <v>100</v>
      </c>
      <c r="Q93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30" s="34">
        <f>IF(COUNTIF(PAPEL[Numero],Cobros[[#This Row],[Doc. Cargo]])&gt;0,1,0)</f>
        <v>0</v>
      </c>
      <c r="S930" s="46">
        <f t="array" ref="S9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30" s="47">
        <v>93.005</v>
      </c>
      <c r="U930" s="34">
        <f>IF(Cobros[[#This Row],[Tipo]]="Credito",IF(60&gt;=Cobros[[#This Row],[Dias al pago]],1,0),IF(Cobros[[#This Row],[Dias al pago]]&lt;=3,1,0))</f>
        <v>1</v>
      </c>
      <c r="V930" s="46">
        <f>(Cobros[[#This Row],[% A pagar Vendedor]]/100)*Cobros[[#This Row],[Valor Pagado]]*Cobros[[#This Row],[Vencido]]*(Cobros[[#This Row],[% aplicar]]/100)*IF(Cobros[[#This Row],[% A pagar Vendedor]]&gt;0,1,0)</f>
        <v>3.75</v>
      </c>
      <c r="W930" s="46">
        <f>0.5%*Cobros[[#This Row],[Valor Pagado]]</f>
        <v>1.875</v>
      </c>
      <c r="X930" s="69"/>
    </row>
    <row r="931" ht="30" spans="1:24">
      <c r="A931" s="49" t="s">
        <v>3954</v>
      </c>
      <c r="B931" s="49" t="s">
        <v>5286</v>
      </c>
      <c r="C931" s="49" t="s">
        <v>864</v>
      </c>
      <c r="D931" s="49" t="s">
        <v>865</v>
      </c>
      <c r="E931" s="49" t="s">
        <v>5288</v>
      </c>
      <c r="F931" s="51">
        <v>46202</v>
      </c>
      <c r="G931" s="49">
        <v>4714.63</v>
      </c>
      <c r="H931" s="49" t="s">
        <v>22</v>
      </c>
      <c r="I931" s="51">
        <v>46219</v>
      </c>
      <c r="J931" s="54">
        <f>INT(Cobros[[#This Row],[Fecha Cargo]])</f>
        <v>46202</v>
      </c>
      <c r="K931" s="54">
        <f>INT(Cobros[[#This Row],[Fecha Aplicacion]])</f>
        <v>46219</v>
      </c>
      <c r="L931" s="55" t="str">
        <f>INDEX(Clientes[Días Plazo],MATCH(Cobros[[#This Row],[Cod. Cliente]],Clientes[Codigo],0),1)</f>
        <v>15</v>
      </c>
      <c r="M931" s="45" t="str">
        <f>IF(Cobros[[#This Row],[Dias de Credito]]&lt;=0,"Contado","Credito")</f>
        <v>Credito</v>
      </c>
      <c r="N931" s="45">
        <f>Cobros[[#This Row],[Fecha Aplicación S]]-Cobros[[#This Row],[Fecha Cargo S]]</f>
        <v>17</v>
      </c>
      <c r="O931" s="45">
        <f>Cobros[[#This Row],[Dias al pago]]-Cobros[[#This Row],[Dias de Credito]]</f>
        <v>2</v>
      </c>
      <c r="P931" s="45">
        <f>SUMIFS(TablaDias[Porcentaje],TablaDias[Tipo],Cobros[[#This Row],[Tipo]],TablaDias[Desde ],"&lt;="&amp;MAX(0,Cobros[[#This Row],[Dias pasado]]),TablaDias[Hasta ],"&gt;="&amp;Cobros[[#This Row],[Dias pasado]])</f>
        <v>100</v>
      </c>
      <c r="Q93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31" s="34">
        <f>IF(COUNTIF(PAPEL[Numero],Cobros[[#This Row],[Doc. Cargo]])&gt;0,1,0)</f>
        <v>0</v>
      </c>
      <c r="S931" s="46">
        <f t="array" ref="S9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31" s="47">
        <v>94.005</v>
      </c>
      <c r="U931" s="34">
        <f>IF(Cobros[[#This Row],[Tipo]]="Credito",IF(60&gt;=Cobros[[#This Row],[Dias al pago]],1,0),IF(Cobros[[#This Row],[Dias al pago]]&lt;=3,1,0))</f>
        <v>1</v>
      </c>
      <c r="V931" s="46">
        <f>(Cobros[[#This Row],[% A pagar Vendedor]]/100)*Cobros[[#This Row],[Valor Pagado]]*Cobros[[#This Row],[Vencido]]*(Cobros[[#This Row],[% aplicar]]/100)*IF(Cobros[[#This Row],[% A pagar Vendedor]]&gt;0,1,0)</f>
        <v>47.1463</v>
      </c>
      <c r="W931" s="46">
        <f>0.5%*Cobros[[#This Row],[Valor Pagado]]</f>
        <v>23.57315</v>
      </c>
      <c r="X931" s="69"/>
    </row>
    <row r="932" ht="30" spans="1:24">
      <c r="A932" s="49" t="s">
        <v>3860</v>
      </c>
      <c r="B932" s="49" t="s">
        <v>5289</v>
      </c>
      <c r="C932" s="49" t="s">
        <v>1921</v>
      </c>
      <c r="D932" s="49" t="s">
        <v>1922</v>
      </c>
      <c r="E932" s="49" t="s">
        <v>5049</v>
      </c>
      <c r="F932" s="51">
        <v>46212</v>
      </c>
      <c r="G932" s="49">
        <v>4948.29</v>
      </c>
      <c r="H932" s="49" t="s">
        <v>3865</v>
      </c>
      <c r="I932" s="51">
        <v>46233</v>
      </c>
      <c r="J932" s="54">
        <f>INT(Cobros[[#This Row],[Fecha Cargo]])</f>
        <v>46212</v>
      </c>
      <c r="K932" s="54">
        <f>INT(Cobros[[#This Row],[Fecha Aplicacion]])</f>
        <v>46233</v>
      </c>
      <c r="L932" s="55" t="str">
        <f>INDEX(Clientes[Días Plazo],MATCH(Cobros[[#This Row],[Cod. Cliente]],Clientes[Codigo],0),1)</f>
        <v>21</v>
      </c>
      <c r="M932" s="45" t="str">
        <f>IF(Cobros[[#This Row],[Dias de Credito]]&lt;=0,"Contado","Credito")</f>
        <v>Credito</v>
      </c>
      <c r="N932" s="45">
        <f>Cobros[[#This Row],[Fecha Aplicación S]]-Cobros[[#This Row],[Fecha Cargo S]]</f>
        <v>21</v>
      </c>
      <c r="O932" s="45">
        <f>Cobros[[#This Row],[Dias al pago]]-Cobros[[#This Row],[Dias de Credito]]</f>
        <v>0</v>
      </c>
      <c r="P932" s="45">
        <f>SUMIFS(TablaDias[Porcentaje],TablaDias[Tipo],Cobros[[#This Row],[Tipo]],TablaDias[Desde ],"&lt;="&amp;MAX(0,Cobros[[#This Row],[Dias pasado]]),TablaDias[Hasta ],"&gt;="&amp;Cobros[[#This Row],[Dias pasado]])</f>
        <v>100</v>
      </c>
      <c r="Q93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2" s="34">
        <f>IF(COUNTIF(PAPEL[Numero],Cobros[[#This Row],[Doc. Cargo]])&gt;0,1,0)</f>
        <v>0</v>
      </c>
      <c r="S932" s="46">
        <v>1</v>
      </c>
      <c r="T932" s="47">
        <v>95.005</v>
      </c>
      <c r="U932" s="34">
        <f>IF(Cobros[[#This Row],[Tipo]]="Credito",IF(60&gt;=Cobros[[#This Row],[Dias al pago]],1,0),IF(Cobros[[#This Row],[Dias al pago]]&lt;=3,1,0))</f>
        <v>1</v>
      </c>
      <c r="V932" s="46">
        <f>(Cobros[[#This Row],[% A pagar Vendedor]]/100)*Cobros[[#This Row],[Valor Pagado]]*Cobros[[#This Row],[Vencido]]*(Cobros[[#This Row],[% aplicar]]/100)*IF(Cobros[[#This Row],[% A pagar Vendedor]]&gt;0,1,0)</f>
        <v>49.4829</v>
      </c>
      <c r="W932" s="46">
        <f>0.5%*Cobros[[#This Row],[Valor Pagado]]</f>
        <v>24.74145</v>
      </c>
      <c r="X932" s="69"/>
    </row>
    <row r="933" ht="30" spans="1:24">
      <c r="A933" s="49" t="s">
        <v>3884</v>
      </c>
      <c r="B933" s="49" t="s">
        <v>5290</v>
      </c>
      <c r="C933" s="49" t="s">
        <v>987</v>
      </c>
      <c r="D933" s="49" t="s">
        <v>988</v>
      </c>
      <c r="E933" s="49" t="s">
        <v>5291</v>
      </c>
      <c r="F933" s="51">
        <v>46232</v>
      </c>
      <c r="G933" s="49">
        <v>54.31</v>
      </c>
      <c r="H933" s="49" t="s">
        <v>20</v>
      </c>
      <c r="I933" s="51">
        <v>46232</v>
      </c>
      <c r="J933" s="54">
        <f>INT(Cobros[[#This Row],[Fecha Cargo]])</f>
        <v>46232</v>
      </c>
      <c r="K933" s="54">
        <f>INT(Cobros[[#This Row],[Fecha Aplicacion]])</f>
        <v>46232</v>
      </c>
      <c r="L933" s="55" t="str">
        <f>INDEX(Clientes[Días Plazo],MATCH(Cobros[[#This Row],[Cod. Cliente]],Clientes[Codigo],0),1)</f>
        <v>15</v>
      </c>
      <c r="M933" s="45" t="str">
        <f>IF(Cobros[[#This Row],[Dias de Credito]]&lt;=0,"Contado","Credito")</f>
        <v>Credito</v>
      </c>
      <c r="N933" s="45">
        <f>Cobros[[#This Row],[Fecha Aplicación S]]-Cobros[[#This Row],[Fecha Cargo S]]</f>
        <v>0</v>
      </c>
      <c r="O933" s="45">
        <f>Cobros[[#This Row],[Dias al pago]]-Cobros[[#This Row],[Dias de Credito]]</f>
        <v>-15</v>
      </c>
      <c r="P933" s="45">
        <f>SUMIFS(TablaDias[Porcentaje],TablaDias[Tipo],Cobros[[#This Row],[Tipo]],TablaDias[Desde ],"&lt;="&amp;MAX(0,Cobros[[#This Row],[Dias pasado]]),TablaDias[Hasta ],"&gt;="&amp;Cobros[[#This Row],[Dias pasado]])</f>
        <v>100</v>
      </c>
      <c r="Q93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3" s="34">
        <f>IF(COUNTIF(PAPEL[Numero],Cobros[[#This Row],[Doc. Cargo]])&gt;0,1,0)</f>
        <v>0</v>
      </c>
      <c r="S933" s="46">
        <f t="array" ref="S9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33" s="47">
        <v>96.005</v>
      </c>
      <c r="U933" s="34">
        <f>IF(Cobros[[#This Row],[Tipo]]="Credito",IF(60&gt;=Cobros[[#This Row],[Dias al pago]],1,0),IF(Cobros[[#This Row],[Dias al pago]]&lt;=3,1,0))</f>
        <v>1</v>
      </c>
      <c r="V933" s="46">
        <f>(Cobros[[#This Row],[% A pagar Vendedor]]/100)*Cobros[[#This Row],[Valor Pagado]]*Cobros[[#This Row],[Vencido]]*(Cobros[[#This Row],[% aplicar]]/100)*IF(Cobros[[#This Row],[% A pagar Vendedor]]&gt;0,1,0)</f>
        <v>0.678875</v>
      </c>
      <c r="W933" s="46">
        <f>0.5%*Cobros[[#This Row],[Valor Pagado]]</f>
        <v>0.27155</v>
      </c>
      <c r="X933" s="69"/>
    </row>
    <row r="934" ht="30" spans="1:24">
      <c r="A934" s="49" t="s">
        <v>3860</v>
      </c>
      <c r="B934" s="49" t="s">
        <v>5292</v>
      </c>
      <c r="C934" s="49" t="s">
        <v>853</v>
      </c>
      <c r="D934" s="49" t="s">
        <v>854</v>
      </c>
      <c r="E934" s="49" t="s">
        <v>5293</v>
      </c>
      <c r="F934" s="51">
        <v>46189</v>
      </c>
      <c r="G934" s="49">
        <v>6074.5</v>
      </c>
      <c r="H934" s="49" t="s">
        <v>1355</v>
      </c>
      <c r="I934" s="51">
        <v>46233</v>
      </c>
      <c r="J934" s="54">
        <f>INT(Cobros[[#This Row],[Fecha Cargo]])</f>
        <v>46189</v>
      </c>
      <c r="K934" s="54">
        <f>INT(Cobros[[#This Row],[Fecha Aplicacion]])</f>
        <v>46233</v>
      </c>
      <c r="L934" s="55" t="str">
        <f>INDEX(Clientes[Días Plazo],MATCH(Cobros[[#This Row],[Cod. Cliente]],Clientes[Codigo],0),1)</f>
        <v>30</v>
      </c>
      <c r="M934" s="45" t="str">
        <f>IF(Cobros[[#This Row],[Dias de Credito]]&lt;=0,"Contado","Credito")</f>
        <v>Credito</v>
      </c>
      <c r="N934" s="45">
        <f>Cobros[[#This Row],[Fecha Aplicación S]]-Cobros[[#This Row],[Fecha Cargo S]]</f>
        <v>44</v>
      </c>
      <c r="O934" s="45">
        <f>Cobros[[#This Row],[Dias al pago]]-Cobros[[#This Row],[Dias de Credito]]</f>
        <v>14</v>
      </c>
      <c r="P934" s="45">
        <f>SUMIFS(TablaDias[Porcentaje],TablaDias[Tipo],Cobros[[#This Row],[Tipo]],TablaDias[Desde ],"&lt;="&amp;MAX(0,Cobros[[#This Row],[Dias pasado]]),TablaDias[Hasta ],"&gt;="&amp;Cobros[[#This Row],[Dias pasado]])</f>
        <v>100</v>
      </c>
      <c r="Q9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34" s="34">
        <f>IF(COUNTIF(PAPEL[Numero],Cobros[[#This Row],[Doc. Cargo]])&gt;0,1,0)</f>
        <v>0</v>
      </c>
      <c r="S934" s="46">
        <v>1</v>
      </c>
      <c r="T934" s="47">
        <v>97.005</v>
      </c>
      <c r="U934" s="34">
        <f>IF(Cobros[[#This Row],[Tipo]]="Credito",IF(60&gt;=Cobros[[#This Row],[Dias al pago]],1,0),IF(Cobros[[#This Row],[Dias al pago]]&lt;=3,1,0))</f>
        <v>1</v>
      </c>
      <c r="V934" s="46">
        <f>(Cobros[[#This Row],[% A pagar Vendedor]]/100)*Cobros[[#This Row],[Valor Pagado]]*Cobros[[#This Row],[Vencido]]*(Cobros[[#This Row],[% aplicar]]/100)*IF(Cobros[[#This Row],[% A pagar Vendedor]]&gt;0,1,0)</f>
        <v>60.745</v>
      </c>
      <c r="W934" s="46">
        <f>0.5%*Cobros[[#This Row],[Valor Pagado]]</f>
        <v>30.3725</v>
      </c>
      <c r="X934" s="69"/>
    </row>
    <row r="935" ht="30" spans="1:24">
      <c r="A935" s="49" t="s">
        <v>3860</v>
      </c>
      <c r="B935" s="49" t="s">
        <v>5294</v>
      </c>
      <c r="C935" s="49" t="s">
        <v>1311</v>
      </c>
      <c r="D935" s="49" t="s">
        <v>1312</v>
      </c>
      <c r="E935" s="49" t="s">
        <v>5295</v>
      </c>
      <c r="F935" s="51">
        <v>46181</v>
      </c>
      <c r="G935" s="49">
        <v>2340</v>
      </c>
      <c r="H935" s="49" t="s">
        <v>1355</v>
      </c>
      <c r="I935" s="51">
        <v>46232</v>
      </c>
      <c r="J935" s="54">
        <f>INT(Cobros[[#This Row],[Fecha Cargo]])</f>
        <v>46181</v>
      </c>
      <c r="K935" s="54">
        <f>INT(Cobros[[#This Row],[Fecha Aplicacion]])</f>
        <v>46232</v>
      </c>
      <c r="L935" s="55" t="str">
        <f>INDEX(Clientes[Días Plazo],MATCH(Cobros[[#This Row],[Cod. Cliente]],Clientes[Codigo],0),1)</f>
        <v>15</v>
      </c>
      <c r="M935" s="45" t="str">
        <f>IF(Cobros[[#This Row],[Dias de Credito]]&lt;=0,"Contado","Credito")</f>
        <v>Credito</v>
      </c>
      <c r="N935" s="45">
        <f>Cobros[[#This Row],[Fecha Aplicación S]]-Cobros[[#This Row],[Fecha Cargo S]]</f>
        <v>51</v>
      </c>
      <c r="O935" s="45">
        <f>Cobros[[#This Row],[Dias al pago]]-Cobros[[#This Row],[Dias de Credito]]</f>
        <v>36</v>
      </c>
      <c r="P935" s="45">
        <f>SUMIFS(TablaDias[Porcentaje],TablaDias[Tipo],Cobros[[#This Row],[Tipo]],TablaDias[Desde ],"&lt;="&amp;MAX(0,Cobros[[#This Row],[Dias pasado]]),TablaDias[Hasta ],"&gt;="&amp;Cobros[[#This Row],[Dias pasado]])</f>
        <v>30</v>
      </c>
      <c r="Q93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35" s="34">
        <f>IF(COUNTIF(PAPEL[Numero],Cobros[[#This Row],[Doc. Cargo]])&gt;0,1,0)</f>
        <v>0</v>
      </c>
      <c r="S935" s="46">
        <v>1</v>
      </c>
      <c r="T935" s="47">
        <v>98.005</v>
      </c>
      <c r="U935" s="34">
        <f>IF(Cobros[[#This Row],[Tipo]]="Credito",IF(60&gt;=Cobros[[#This Row],[Dias al pago]],1,0),IF(Cobros[[#This Row],[Dias al pago]]&lt;=3,1,0))</f>
        <v>1</v>
      </c>
      <c r="V935" s="46">
        <f>(Cobros[[#This Row],[% A pagar Vendedor]]/100)*Cobros[[#This Row],[Valor Pagado]]*Cobros[[#This Row],[Vencido]]*(Cobros[[#This Row],[% aplicar]]/100)*IF(Cobros[[#This Row],[% A pagar Vendedor]]&gt;0,1,0)</f>
        <v>7.02</v>
      </c>
      <c r="W935" s="46">
        <f>0.5%*Cobros[[#This Row],[Valor Pagado]]</f>
        <v>11.7</v>
      </c>
      <c r="X935" s="69"/>
    </row>
    <row r="936" ht="30" spans="1:24">
      <c r="A936" s="49" t="s">
        <v>3860</v>
      </c>
      <c r="B936" s="49" t="s">
        <v>5296</v>
      </c>
      <c r="C936" s="49" t="s">
        <v>2076</v>
      </c>
      <c r="D936" s="49" t="s">
        <v>2077</v>
      </c>
      <c r="E936" s="49" t="s">
        <v>5297</v>
      </c>
      <c r="F936" s="51">
        <v>46232</v>
      </c>
      <c r="G936" s="49">
        <v>630</v>
      </c>
      <c r="H936" s="49" t="s">
        <v>1355</v>
      </c>
      <c r="I936" s="51">
        <v>46231</v>
      </c>
      <c r="J936" s="54">
        <f>INT(Cobros[[#This Row],[Fecha Cargo]])</f>
        <v>46232</v>
      </c>
      <c r="K936" s="54">
        <f>INT(Cobros[[#This Row],[Fecha Aplicacion]])</f>
        <v>46231</v>
      </c>
      <c r="L936" s="55">
        <f>INDEX(Clientes[Días Plazo],MATCH(Cobros[[#This Row],[Cod. Cliente]],Clientes[Codigo],0),1)</f>
        <v>0</v>
      </c>
      <c r="M936" s="45" t="str">
        <f>IF(Cobros[[#This Row],[Dias de Credito]]&lt;=0,"Contado","Credito")</f>
        <v>Contado</v>
      </c>
      <c r="N936" s="45">
        <f>Cobros[[#This Row],[Fecha Aplicación S]]-Cobros[[#This Row],[Fecha Cargo S]]</f>
        <v>-1</v>
      </c>
      <c r="O936" s="45">
        <f>Cobros[[#This Row],[Dias al pago]]-Cobros[[#This Row],[Dias de Credito]]</f>
        <v>-1</v>
      </c>
      <c r="P936" s="45">
        <f>SUMIFS(TablaDias[Porcentaje],TablaDias[Tipo],Cobros[[#This Row],[Tipo]],TablaDias[Desde ],"&lt;="&amp;MAX(0,Cobros[[#This Row],[Dias pasado]]),TablaDias[Hasta ],"&gt;="&amp;Cobros[[#This Row],[Dias pasado]])</f>
        <v>100</v>
      </c>
      <c r="Q93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6" s="34">
        <f>IF(COUNTIF(PAPEL[Numero],Cobros[[#This Row],[Doc. Cargo]])&gt;0,1,0)</f>
        <v>0</v>
      </c>
      <c r="S936" s="46">
        <v>1</v>
      </c>
      <c r="T936" s="47">
        <v>99.005</v>
      </c>
      <c r="U936" s="34">
        <f>IF(Cobros[[#This Row],[Tipo]]="Credito",IF(60&gt;=Cobros[[#This Row],[Dias al pago]],1,0),IF(Cobros[[#This Row],[Dias al pago]]&lt;=3,1,0))</f>
        <v>1</v>
      </c>
      <c r="V936" s="46">
        <f>(Cobros[[#This Row],[% A pagar Vendedor]]/100)*Cobros[[#This Row],[Valor Pagado]]*Cobros[[#This Row],[Vencido]]*(Cobros[[#This Row],[% aplicar]]/100)*IF(Cobros[[#This Row],[% A pagar Vendedor]]&gt;0,1,0)</f>
        <v>6.3</v>
      </c>
      <c r="W936" s="46">
        <f>0.5%*Cobros[[#This Row],[Valor Pagado]]</f>
        <v>3.15</v>
      </c>
      <c r="X936" s="69"/>
    </row>
    <row r="937" ht="30" spans="1:24">
      <c r="A937" s="49" t="s">
        <v>3860</v>
      </c>
      <c r="B937" s="49" t="s">
        <v>5298</v>
      </c>
      <c r="C937" s="49" t="s">
        <v>411</v>
      </c>
      <c r="D937" s="49" t="s">
        <v>412</v>
      </c>
      <c r="E937" s="49" t="s">
        <v>5299</v>
      </c>
      <c r="F937" s="51">
        <v>46232</v>
      </c>
      <c r="G937" s="49">
        <v>421.05</v>
      </c>
      <c r="H937" s="49" t="s">
        <v>1355</v>
      </c>
      <c r="I937" s="51">
        <v>46232</v>
      </c>
      <c r="J937" s="54">
        <f>INT(Cobros[[#This Row],[Fecha Cargo]])</f>
        <v>46232</v>
      </c>
      <c r="K937" s="54">
        <f>INT(Cobros[[#This Row],[Fecha Aplicacion]])</f>
        <v>46232</v>
      </c>
      <c r="L937" s="55">
        <f>INDEX(Clientes[Días Plazo],MATCH(Cobros[[#This Row],[Cod. Cliente]],Clientes[Codigo],0),1)</f>
        <v>0</v>
      </c>
      <c r="M937" s="45" t="str">
        <f>IF(Cobros[[#This Row],[Dias de Credito]]&lt;=0,"Contado","Credito")</f>
        <v>Contado</v>
      </c>
      <c r="N937" s="45">
        <f>Cobros[[#This Row],[Fecha Aplicación S]]-Cobros[[#This Row],[Fecha Cargo S]]</f>
        <v>0</v>
      </c>
      <c r="O937" s="45">
        <f>Cobros[[#This Row],[Dias al pago]]-Cobros[[#This Row],[Dias de Credito]]</f>
        <v>0</v>
      </c>
      <c r="P937" s="45">
        <f>SUMIFS(TablaDias[Porcentaje],TablaDias[Tipo],Cobros[[#This Row],[Tipo]],TablaDias[Desde ],"&lt;="&amp;MAX(0,Cobros[[#This Row],[Dias pasado]]),TablaDias[Hasta ],"&gt;="&amp;Cobros[[#This Row],[Dias pasado]])</f>
        <v>100</v>
      </c>
      <c r="Q93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7" s="34">
        <f>IF(COUNTIF(PAPEL[Numero],Cobros[[#This Row],[Doc. Cargo]])&gt;0,1,0)</f>
        <v>0</v>
      </c>
      <c r="S937" s="46">
        <v>1</v>
      </c>
      <c r="T937" s="47">
        <v>100.005</v>
      </c>
      <c r="U937" s="34">
        <f>IF(Cobros[[#This Row],[Tipo]]="Credito",IF(60&gt;=Cobros[[#This Row],[Dias al pago]],1,0),IF(Cobros[[#This Row],[Dias al pago]]&lt;=3,1,0))</f>
        <v>1</v>
      </c>
      <c r="V937" s="46">
        <f>(Cobros[[#This Row],[% A pagar Vendedor]]/100)*Cobros[[#This Row],[Valor Pagado]]*Cobros[[#This Row],[Vencido]]*(Cobros[[#This Row],[% aplicar]]/100)*IF(Cobros[[#This Row],[% A pagar Vendedor]]&gt;0,1,0)</f>
        <v>4.2105</v>
      </c>
      <c r="W937" s="46">
        <f>0.5%*Cobros[[#This Row],[Valor Pagado]]</f>
        <v>2.10525</v>
      </c>
      <c r="X937" s="69"/>
    </row>
    <row r="938" ht="30" spans="1:24">
      <c r="A938" s="49" t="s">
        <v>3860</v>
      </c>
      <c r="B938" s="49" t="s">
        <v>5300</v>
      </c>
      <c r="C938" s="49" t="s">
        <v>3151</v>
      </c>
      <c r="D938" s="49" t="s">
        <v>3152</v>
      </c>
      <c r="E938" s="49" t="s">
        <v>5301</v>
      </c>
      <c r="F938" s="51">
        <v>46206</v>
      </c>
      <c r="G938" s="49">
        <v>478.95</v>
      </c>
      <c r="H938" s="49" t="s">
        <v>3865</v>
      </c>
      <c r="I938" s="51">
        <v>46206</v>
      </c>
      <c r="J938" s="54">
        <f>INT(Cobros[[#This Row],[Fecha Cargo]])</f>
        <v>46206</v>
      </c>
      <c r="K938" s="54">
        <f>INT(Cobros[[#This Row],[Fecha Aplicacion]])</f>
        <v>46206</v>
      </c>
      <c r="L938" s="55">
        <f>INDEX(Clientes[Días Plazo],MATCH(Cobros[[#This Row],[Cod. Cliente]],Clientes[Codigo],0),1)</f>
        <v>0</v>
      </c>
      <c r="M938" s="45" t="str">
        <f>IF(Cobros[[#This Row],[Dias de Credito]]&lt;=0,"Contado","Credito")</f>
        <v>Contado</v>
      </c>
      <c r="N938" s="45">
        <f>Cobros[[#This Row],[Fecha Aplicación S]]-Cobros[[#This Row],[Fecha Cargo S]]</f>
        <v>0</v>
      </c>
      <c r="O938" s="45">
        <f>Cobros[[#This Row],[Dias al pago]]-Cobros[[#This Row],[Dias de Credito]]</f>
        <v>0</v>
      </c>
      <c r="P938" s="45">
        <f>SUMIFS(TablaDias[Porcentaje],TablaDias[Tipo],Cobros[[#This Row],[Tipo]],TablaDias[Desde ],"&lt;="&amp;MAX(0,Cobros[[#This Row],[Dias pasado]]),TablaDias[Hasta ],"&gt;="&amp;Cobros[[#This Row],[Dias pasado]])</f>
        <v>100</v>
      </c>
      <c r="Q93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8" s="34">
        <f>IF(COUNTIF(PAPEL[Numero],Cobros[[#This Row],[Doc. Cargo]])&gt;0,1,0)</f>
        <v>0</v>
      </c>
      <c r="S938" s="46">
        <v>1</v>
      </c>
      <c r="T938" s="47">
        <v>101.005</v>
      </c>
      <c r="U938" s="34">
        <f>IF(Cobros[[#This Row],[Tipo]]="Credito",IF(60&gt;=Cobros[[#This Row],[Dias al pago]],1,0),IF(Cobros[[#This Row],[Dias al pago]]&lt;=3,1,0))</f>
        <v>1</v>
      </c>
      <c r="V938" s="46">
        <f>(Cobros[[#This Row],[% A pagar Vendedor]]/100)*Cobros[[#This Row],[Valor Pagado]]*Cobros[[#This Row],[Vencido]]*(Cobros[[#This Row],[% aplicar]]/100)*IF(Cobros[[#This Row],[% A pagar Vendedor]]&gt;0,1,0)</f>
        <v>4.7895</v>
      </c>
      <c r="W938" s="46">
        <f>0.5%*Cobros[[#This Row],[Valor Pagado]]</f>
        <v>2.39475</v>
      </c>
      <c r="X938" s="69"/>
    </row>
    <row r="939" spans="1:24">
      <c r="A939" s="49" t="s">
        <v>3875</v>
      </c>
      <c r="B939" s="49" t="s">
        <v>4611</v>
      </c>
      <c r="C939" s="49" t="s">
        <v>3167</v>
      </c>
      <c r="D939" s="49" t="s">
        <v>3168</v>
      </c>
      <c r="E939" s="49" t="s">
        <v>5302</v>
      </c>
      <c r="F939" s="51">
        <v>46218</v>
      </c>
      <c r="G939" s="49">
        <v>6.06</v>
      </c>
      <c r="H939" s="49" t="s">
        <v>19</v>
      </c>
      <c r="I939" s="51">
        <v>46218</v>
      </c>
      <c r="J939" s="54">
        <f>INT(Cobros[[#This Row],[Fecha Cargo]])</f>
        <v>46218</v>
      </c>
      <c r="K939" s="54">
        <f>INT(Cobros[[#This Row],[Fecha Aplicacion]])</f>
        <v>46218</v>
      </c>
      <c r="L939" s="55" t="str">
        <f>INDEX(Clientes[Días Plazo],MATCH(Cobros[[#This Row],[Cod. Cliente]],Clientes[Codigo],0),1)</f>
        <v>7</v>
      </c>
      <c r="M939" s="45" t="str">
        <f>IF(Cobros[[#This Row],[Dias de Credito]]&lt;=0,"Contado","Credito")</f>
        <v>Credito</v>
      </c>
      <c r="N939" s="45">
        <f>Cobros[[#This Row],[Fecha Aplicación S]]-Cobros[[#This Row],[Fecha Cargo S]]</f>
        <v>0</v>
      </c>
      <c r="O939" s="45">
        <f>Cobros[[#This Row],[Dias al pago]]-Cobros[[#This Row],[Dias de Credito]]</f>
        <v>-7</v>
      </c>
      <c r="P939" s="45">
        <f>SUMIFS(TablaDias[Porcentaje],TablaDias[Tipo],Cobros[[#This Row],[Tipo]],TablaDias[Desde ],"&lt;="&amp;MAX(0,Cobros[[#This Row],[Dias pasado]]),TablaDias[Hasta ],"&gt;="&amp;Cobros[[#This Row],[Dias pasado]])</f>
        <v>100</v>
      </c>
      <c r="Q93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39" s="34">
        <f>IF(COUNTIF(PAPEL[Numero],Cobros[[#This Row],[Doc. Cargo]])&gt;0,1,0)</f>
        <v>0</v>
      </c>
      <c r="S939" s="46">
        <f t="array" ref="S93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39" s="47">
        <v>102.005</v>
      </c>
      <c r="U939" s="34">
        <f>IF(Cobros[[#This Row],[Tipo]]="Credito",IF(60&gt;=Cobros[[#This Row],[Dias al pago]],1,0),IF(Cobros[[#This Row],[Dias al pago]]&lt;=3,1,0))</f>
        <v>1</v>
      </c>
      <c r="V939" s="46">
        <f>(Cobros[[#This Row],[% A pagar Vendedor]]/100)*Cobros[[#This Row],[Valor Pagado]]*Cobros[[#This Row],[Vencido]]*(Cobros[[#This Row],[% aplicar]]/100)*IF(Cobros[[#This Row],[% A pagar Vendedor]]&gt;0,1,0)</f>
        <v>0.07575</v>
      </c>
      <c r="W939" s="46">
        <f>0.5%*Cobros[[#This Row],[Valor Pagado]]</f>
        <v>0.0303</v>
      </c>
      <c r="X939" s="69"/>
    </row>
    <row r="940" spans="1:24">
      <c r="A940" s="49" t="s">
        <v>3875</v>
      </c>
      <c r="B940" s="49" t="s">
        <v>5303</v>
      </c>
      <c r="C940" s="49" t="s">
        <v>3167</v>
      </c>
      <c r="D940" s="49" t="s">
        <v>3168</v>
      </c>
      <c r="E940" s="49" t="s">
        <v>5302</v>
      </c>
      <c r="F940" s="51">
        <v>46218</v>
      </c>
      <c r="G940" s="49">
        <v>1000</v>
      </c>
      <c r="H940" s="49" t="s">
        <v>19</v>
      </c>
      <c r="I940" s="51">
        <v>46233</v>
      </c>
      <c r="J940" s="54">
        <f>INT(Cobros[[#This Row],[Fecha Cargo]])</f>
        <v>46218</v>
      </c>
      <c r="K940" s="54">
        <f>INT(Cobros[[#This Row],[Fecha Aplicacion]])</f>
        <v>46233</v>
      </c>
      <c r="L940" s="55" t="str">
        <f>INDEX(Clientes[Días Plazo],MATCH(Cobros[[#This Row],[Cod. Cliente]],Clientes[Codigo],0),1)</f>
        <v>7</v>
      </c>
      <c r="M940" s="45" t="str">
        <f>IF(Cobros[[#This Row],[Dias de Credito]]&lt;=0,"Contado","Credito")</f>
        <v>Credito</v>
      </c>
      <c r="N940" s="45">
        <f>Cobros[[#This Row],[Fecha Aplicación S]]-Cobros[[#This Row],[Fecha Cargo S]]</f>
        <v>15</v>
      </c>
      <c r="O940" s="45">
        <f>Cobros[[#This Row],[Dias al pago]]-Cobros[[#This Row],[Dias de Credito]]</f>
        <v>8</v>
      </c>
      <c r="P940" s="45">
        <f>SUMIFS(TablaDias[Porcentaje],TablaDias[Tipo],Cobros[[#This Row],[Tipo]],TablaDias[Desde ],"&lt;="&amp;MAX(0,Cobros[[#This Row],[Dias pasado]]),TablaDias[Hasta ],"&gt;="&amp;Cobros[[#This Row],[Dias pasado]])</f>
        <v>100</v>
      </c>
      <c r="Q9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0" s="34">
        <f>IF(COUNTIF(PAPEL[Numero],Cobros[[#This Row],[Doc. Cargo]])&gt;0,1,0)</f>
        <v>0</v>
      </c>
      <c r="S940" s="46">
        <f t="array" ref="S9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0" s="47">
        <v>103.005</v>
      </c>
      <c r="U940" s="34">
        <f>IF(Cobros[[#This Row],[Tipo]]="Credito",IF(60&gt;=Cobros[[#This Row],[Dias al pago]],1,0),IF(Cobros[[#This Row],[Dias al pago]]&lt;=3,1,0))</f>
        <v>1</v>
      </c>
      <c r="V940" s="46">
        <f>(Cobros[[#This Row],[% A pagar Vendedor]]/100)*Cobros[[#This Row],[Valor Pagado]]*Cobros[[#This Row],[Vencido]]*(Cobros[[#This Row],[% aplicar]]/100)*IF(Cobros[[#This Row],[% A pagar Vendedor]]&gt;0,1,0)</f>
        <v>12.5</v>
      </c>
      <c r="W940" s="46">
        <f>0.5%*Cobros[[#This Row],[Valor Pagado]]</f>
        <v>5</v>
      </c>
      <c r="X940" s="69"/>
    </row>
    <row r="941" spans="1:24">
      <c r="A941" s="49" t="s">
        <v>3875</v>
      </c>
      <c r="B941" s="49" t="s">
        <v>5304</v>
      </c>
      <c r="C941" s="49" t="s">
        <v>401</v>
      </c>
      <c r="D941" s="49" t="s">
        <v>402</v>
      </c>
      <c r="E941" s="49" t="s">
        <v>5305</v>
      </c>
      <c r="F941" s="51">
        <v>46233</v>
      </c>
      <c r="G941" s="49">
        <v>97.5</v>
      </c>
      <c r="H941" s="49" t="s">
        <v>16</v>
      </c>
      <c r="I941" s="51">
        <v>46233</v>
      </c>
      <c r="J941" s="54">
        <f>INT(Cobros[[#This Row],[Fecha Cargo]])</f>
        <v>46233</v>
      </c>
      <c r="K941" s="54">
        <f>INT(Cobros[[#This Row],[Fecha Aplicacion]])</f>
        <v>46233</v>
      </c>
      <c r="L941" s="55">
        <f>INDEX(Clientes[Días Plazo],MATCH(Cobros[[#This Row],[Cod. Cliente]],Clientes[Codigo],0),1)</f>
        <v>0</v>
      </c>
      <c r="M941" s="45" t="str">
        <f>IF(Cobros[[#This Row],[Dias de Credito]]&lt;=0,"Contado","Credito")</f>
        <v>Contado</v>
      </c>
      <c r="N941" s="45">
        <f>Cobros[[#This Row],[Fecha Aplicación S]]-Cobros[[#This Row],[Fecha Cargo S]]</f>
        <v>0</v>
      </c>
      <c r="O941" s="45">
        <f>Cobros[[#This Row],[Dias al pago]]-Cobros[[#This Row],[Dias de Credito]]</f>
        <v>0</v>
      </c>
      <c r="P941" s="45">
        <f>SUMIFS(TablaDias[Porcentaje],TablaDias[Tipo],Cobros[[#This Row],[Tipo]],TablaDias[Desde ],"&lt;="&amp;MAX(0,Cobros[[#This Row],[Dias pasado]]),TablaDias[Hasta ],"&gt;="&amp;Cobros[[#This Row],[Dias pasado]])</f>
        <v>100</v>
      </c>
      <c r="Q94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1" s="34">
        <f>IF(COUNTIF(PAPEL[Numero],Cobros[[#This Row],[Doc. Cargo]])&gt;0,1,0)</f>
        <v>0</v>
      </c>
      <c r="S941" s="46">
        <f t="array" ref="S9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1" s="47">
        <v>104.005</v>
      </c>
      <c r="U941" s="34">
        <f>IF(Cobros[[#This Row],[Tipo]]="Credito",IF(60&gt;=Cobros[[#This Row],[Dias al pago]],1,0),IF(Cobros[[#This Row],[Dias al pago]]&lt;=3,1,0))</f>
        <v>1</v>
      </c>
      <c r="V941" s="46">
        <f>(Cobros[[#This Row],[% A pagar Vendedor]]/100)*Cobros[[#This Row],[Valor Pagado]]*Cobros[[#This Row],[Vencido]]*(Cobros[[#This Row],[% aplicar]]/100)*IF(Cobros[[#This Row],[% A pagar Vendedor]]&gt;0,1,0)</f>
        <v>1.21875</v>
      </c>
      <c r="W941" s="46">
        <f>0.5%*Cobros[[#This Row],[Valor Pagado]]</f>
        <v>0.4875</v>
      </c>
      <c r="X941" s="69"/>
    </row>
    <row r="942" spans="1:24">
      <c r="A942" s="49" t="s">
        <v>3860</v>
      </c>
      <c r="B942" s="49" t="s">
        <v>5306</v>
      </c>
      <c r="C942" s="49" t="s">
        <v>1478</v>
      </c>
      <c r="D942" s="49" t="s">
        <v>1479</v>
      </c>
      <c r="E942" s="49" t="s">
        <v>5307</v>
      </c>
      <c r="F942" s="51">
        <v>46233</v>
      </c>
      <c r="G942" s="49">
        <v>627</v>
      </c>
      <c r="H942" s="49" t="s">
        <v>18</v>
      </c>
      <c r="I942" s="51">
        <v>46233</v>
      </c>
      <c r="J942" s="54">
        <f>INT(Cobros[[#This Row],[Fecha Cargo]])</f>
        <v>46233</v>
      </c>
      <c r="K942" s="54">
        <f>INT(Cobros[[#This Row],[Fecha Aplicacion]])</f>
        <v>46233</v>
      </c>
      <c r="L942" s="55" t="str">
        <f>INDEX(Clientes[Días Plazo],MATCH(Cobros[[#This Row],[Cod. Cliente]],Clientes[Codigo],0),1)</f>
        <v>3</v>
      </c>
      <c r="M942" s="45" t="str">
        <f>IF(Cobros[[#This Row],[Dias de Credito]]&lt;=0,"Contado","Credito")</f>
        <v>Credito</v>
      </c>
      <c r="N942" s="45">
        <f>Cobros[[#This Row],[Fecha Aplicación S]]-Cobros[[#This Row],[Fecha Cargo S]]</f>
        <v>0</v>
      </c>
      <c r="O942" s="45">
        <f>Cobros[[#This Row],[Dias al pago]]-Cobros[[#This Row],[Dias de Credito]]</f>
        <v>-3</v>
      </c>
      <c r="P942" s="45">
        <f>SUMIFS(TablaDias[Porcentaje],TablaDias[Tipo],Cobros[[#This Row],[Tipo]],TablaDias[Desde ],"&lt;="&amp;MAX(0,Cobros[[#This Row],[Dias pasado]]),TablaDias[Hasta ],"&gt;="&amp;Cobros[[#This Row],[Dias pasado]])</f>
        <v>100</v>
      </c>
      <c r="Q94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2" s="34">
        <f>IF(COUNTIF(PAPEL[Numero],Cobros[[#This Row],[Doc. Cargo]])&gt;0,1,0)</f>
        <v>0</v>
      </c>
      <c r="S942" s="46">
        <f t="array" ref="S94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2" s="47">
        <v>105.005</v>
      </c>
      <c r="U942" s="34">
        <f>IF(Cobros[[#This Row],[Tipo]]="Credito",IF(60&gt;=Cobros[[#This Row],[Dias al pago]],1,0),IF(Cobros[[#This Row],[Dias al pago]]&lt;=3,1,0))</f>
        <v>1</v>
      </c>
      <c r="V942" s="46">
        <f>(Cobros[[#This Row],[% A pagar Vendedor]]/100)*Cobros[[#This Row],[Valor Pagado]]*Cobros[[#This Row],[Vencido]]*(Cobros[[#This Row],[% aplicar]]/100)*IF(Cobros[[#This Row],[% A pagar Vendedor]]&gt;0,1,0)</f>
        <v>7.8375</v>
      </c>
      <c r="W942" s="46">
        <f>0.5%*Cobros[[#This Row],[Valor Pagado]]</f>
        <v>3.135</v>
      </c>
      <c r="X942" s="69"/>
    </row>
    <row r="943" ht="30" spans="1:24">
      <c r="A943" s="49" t="s">
        <v>3860</v>
      </c>
      <c r="B943" s="49" t="s">
        <v>5308</v>
      </c>
      <c r="C943" s="49" t="s">
        <v>3130</v>
      </c>
      <c r="D943" s="49" t="s">
        <v>3131</v>
      </c>
      <c r="E943" s="49" t="s">
        <v>5309</v>
      </c>
      <c r="F943" s="51">
        <v>46233</v>
      </c>
      <c r="G943" s="49">
        <v>301.95</v>
      </c>
      <c r="H943" s="49" t="s">
        <v>3865</v>
      </c>
      <c r="I943" s="51">
        <v>46233</v>
      </c>
      <c r="J943" s="54">
        <f>INT(Cobros[[#This Row],[Fecha Cargo]])</f>
        <v>46233</v>
      </c>
      <c r="K943" s="54">
        <f>INT(Cobros[[#This Row],[Fecha Aplicacion]])</f>
        <v>46233</v>
      </c>
      <c r="L943" s="55">
        <f>INDEX(Clientes[Días Plazo],MATCH(Cobros[[#This Row],[Cod. Cliente]],Clientes[Codigo],0),1)</f>
        <v>0</v>
      </c>
      <c r="M943" s="45" t="str">
        <f>IF(Cobros[[#This Row],[Dias de Credito]]&lt;=0,"Contado","Credito")</f>
        <v>Contado</v>
      </c>
      <c r="N943" s="45">
        <f>Cobros[[#This Row],[Fecha Aplicación S]]-Cobros[[#This Row],[Fecha Cargo S]]</f>
        <v>0</v>
      </c>
      <c r="O943" s="45">
        <f>Cobros[[#This Row],[Dias al pago]]-Cobros[[#This Row],[Dias de Credito]]</f>
        <v>0</v>
      </c>
      <c r="P943" s="45">
        <f>SUMIFS(TablaDias[Porcentaje],TablaDias[Tipo],Cobros[[#This Row],[Tipo]],TablaDias[Desde ],"&lt;="&amp;MAX(0,Cobros[[#This Row],[Dias pasado]]),TablaDias[Hasta ],"&gt;="&amp;Cobros[[#This Row],[Dias pasado]])</f>
        <v>100</v>
      </c>
      <c r="Q94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3" s="34">
        <f>IF(COUNTIF(PAPEL[Numero],Cobros[[#This Row],[Doc. Cargo]])&gt;0,1,0)</f>
        <v>0</v>
      </c>
      <c r="S943" s="46">
        <v>1</v>
      </c>
      <c r="T943" s="47">
        <v>106.005</v>
      </c>
      <c r="U943" s="34">
        <f>IF(Cobros[[#This Row],[Tipo]]="Credito",IF(60&gt;=Cobros[[#This Row],[Dias al pago]],1,0),IF(Cobros[[#This Row],[Dias al pago]]&lt;=3,1,0))</f>
        <v>1</v>
      </c>
      <c r="V943" s="46">
        <f>(Cobros[[#This Row],[% A pagar Vendedor]]/100)*Cobros[[#This Row],[Valor Pagado]]*Cobros[[#This Row],[Vencido]]*(Cobros[[#This Row],[% aplicar]]/100)*IF(Cobros[[#This Row],[% A pagar Vendedor]]&gt;0,1,0)</f>
        <v>3.0195</v>
      </c>
      <c r="W943" s="46">
        <f>0.5%*Cobros[[#This Row],[Valor Pagado]]</f>
        <v>1.50975</v>
      </c>
      <c r="X943" s="69"/>
    </row>
    <row r="944" spans="1:24">
      <c r="A944" s="49" t="s">
        <v>3884</v>
      </c>
      <c r="B944" s="49" t="s">
        <v>5310</v>
      </c>
      <c r="C944" s="49" t="s">
        <v>3236</v>
      </c>
      <c r="D944" s="49" t="s">
        <v>3235</v>
      </c>
      <c r="E944" s="49" t="s">
        <v>5311</v>
      </c>
      <c r="F944" s="51">
        <v>46233</v>
      </c>
      <c r="G944" s="49">
        <v>125.35</v>
      </c>
      <c r="H944" s="49" t="s">
        <v>20</v>
      </c>
      <c r="I944" s="51">
        <v>46233</v>
      </c>
      <c r="J944" s="54">
        <f>INT(Cobros[[#This Row],[Fecha Cargo]])</f>
        <v>46233</v>
      </c>
      <c r="K944" s="54">
        <f>INT(Cobros[[#This Row],[Fecha Aplicacion]])</f>
        <v>46233</v>
      </c>
      <c r="L944" s="55">
        <f>INDEX(Clientes[Días Plazo],MATCH(Cobros[[#This Row],[Cod. Cliente]],Clientes[Codigo],0),1)</f>
        <v>0</v>
      </c>
      <c r="M944" s="45" t="str">
        <f>IF(Cobros[[#This Row],[Dias de Credito]]&lt;=0,"Contado","Credito")</f>
        <v>Contado</v>
      </c>
      <c r="N944" s="45">
        <f>Cobros[[#This Row],[Fecha Aplicación S]]-Cobros[[#This Row],[Fecha Cargo S]]</f>
        <v>0</v>
      </c>
      <c r="O944" s="45">
        <f>Cobros[[#This Row],[Dias al pago]]-Cobros[[#This Row],[Dias de Credito]]</f>
        <v>0</v>
      </c>
      <c r="P944" s="45">
        <f>SUMIFS(TablaDias[Porcentaje],TablaDias[Tipo],Cobros[[#This Row],[Tipo]],TablaDias[Desde ],"&lt;="&amp;MAX(0,Cobros[[#This Row],[Dias pasado]]),TablaDias[Hasta ],"&gt;="&amp;Cobros[[#This Row],[Dias pasado]])</f>
        <v>100</v>
      </c>
      <c r="Q94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4" s="34">
        <f>IF(COUNTIF(PAPEL[Numero],Cobros[[#This Row],[Doc. Cargo]])&gt;0,1,0)</f>
        <v>0</v>
      </c>
      <c r="S944" s="46">
        <f t="array" ref="S9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4" s="47">
        <v>107.005</v>
      </c>
      <c r="U944" s="34">
        <f>IF(Cobros[[#This Row],[Tipo]]="Credito",IF(60&gt;=Cobros[[#This Row],[Dias al pago]],1,0),IF(Cobros[[#This Row],[Dias al pago]]&lt;=3,1,0))</f>
        <v>1</v>
      </c>
      <c r="V944" s="46">
        <f>(Cobros[[#This Row],[% A pagar Vendedor]]/100)*Cobros[[#This Row],[Valor Pagado]]*Cobros[[#This Row],[Vencido]]*(Cobros[[#This Row],[% aplicar]]/100)*IF(Cobros[[#This Row],[% A pagar Vendedor]]&gt;0,1,0)</f>
        <v>1.566875</v>
      </c>
      <c r="W944" s="46">
        <f>0.5%*Cobros[[#This Row],[Valor Pagado]]</f>
        <v>0.62675</v>
      </c>
      <c r="X944" s="69"/>
    </row>
    <row r="945" spans="1:24">
      <c r="A945" s="49" t="s">
        <v>3954</v>
      </c>
      <c r="B945" s="49" t="s">
        <v>5312</v>
      </c>
      <c r="C945" s="49" t="s">
        <v>731</v>
      </c>
      <c r="D945" s="49" t="s">
        <v>732</v>
      </c>
      <c r="E945" s="49" t="s">
        <v>5313</v>
      </c>
      <c r="F945" s="51">
        <v>46210</v>
      </c>
      <c r="G945" s="49">
        <v>132</v>
      </c>
      <c r="H945" s="49" t="s">
        <v>20</v>
      </c>
      <c r="I945" s="51">
        <v>46233</v>
      </c>
      <c r="J945" s="54">
        <f>INT(Cobros[[#This Row],[Fecha Cargo]])</f>
        <v>46210</v>
      </c>
      <c r="K945" s="54">
        <f>INT(Cobros[[#This Row],[Fecha Aplicacion]])</f>
        <v>46233</v>
      </c>
      <c r="L945" s="55" t="str">
        <f>INDEX(Clientes[Días Plazo],MATCH(Cobros[[#This Row],[Cod. Cliente]],Clientes[Codigo],0),1)</f>
        <v>21</v>
      </c>
      <c r="M945" s="45" t="str">
        <f>IF(Cobros[[#This Row],[Dias de Credito]]&lt;=0,"Contado","Credito")</f>
        <v>Credito</v>
      </c>
      <c r="N945" s="45">
        <f>Cobros[[#This Row],[Fecha Aplicación S]]-Cobros[[#This Row],[Fecha Cargo S]]</f>
        <v>23</v>
      </c>
      <c r="O945" s="45">
        <f>Cobros[[#This Row],[Dias al pago]]-Cobros[[#This Row],[Dias de Credito]]</f>
        <v>2</v>
      </c>
      <c r="P945" s="45">
        <f>SUMIFS(TablaDias[Porcentaje],TablaDias[Tipo],Cobros[[#This Row],[Tipo]],TablaDias[Desde ],"&lt;="&amp;MAX(0,Cobros[[#This Row],[Dias pasado]]),TablaDias[Hasta ],"&gt;="&amp;Cobros[[#This Row],[Dias pasado]])</f>
        <v>100</v>
      </c>
      <c r="Q9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5" s="34">
        <f>IF(COUNTIF(PAPEL[Numero],Cobros[[#This Row],[Doc. Cargo]])&gt;0,1,0)</f>
        <v>0</v>
      </c>
      <c r="S945" s="46">
        <f t="array" ref="S9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5" s="47">
        <v>108.005</v>
      </c>
      <c r="U945" s="34">
        <f>IF(Cobros[[#This Row],[Tipo]]="Credito",IF(60&gt;=Cobros[[#This Row],[Dias al pago]],1,0),IF(Cobros[[#This Row],[Dias al pago]]&lt;=3,1,0))</f>
        <v>1</v>
      </c>
      <c r="V945" s="46">
        <f>(Cobros[[#This Row],[% A pagar Vendedor]]/100)*Cobros[[#This Row],[Valor Pagado]]*Cobros[[#This Row],[Vencido]]*(Cobros[[#This Row],[% aplicar]]/100)*IF(Cobros[[#This Row],[% A pagar Vendedor]]&gt;0,1,0)</f>
        <v>1.65</v>
      </c>
      <c r="W945" s="46">
        <f>0.5%*Cobros[[#This Row],[Valor Pagado]]</f>
        <v>0.66</v>
      </c>
      <c r="X945" s="69"/>
    </row>
    <row r="946" spans="1:24">
      <c r="A946" s="49" t="s">
        <v>3954</v>
      </c>
      <c r="B946" s="49" t="s">
        <v>5312</v>
      </c>
      <c r="C946" s="49" t="s">
        <v>731</v>
      </c>
      <c r="D946" s="49" t="s">
        <v>732</v>
      </c>
      <c r="E946" s="49" t="s">
        <v>5314</v>
      </c>
      <c r="F946" s="51">
        <v>46211</v>
      </c>
      <c r="G946" s="49">
        <v>1580</v>
      </c>
      <c r="H946" s="49" t="s">
        <v>20</v>
      </c>
      <c r="I946" s="51">
        <v>46233</v>
      </c>
      <c r="J946" s="54">
        <f>INT(Cobros[[#This Row],[Fecha Cargo]])</f>
        <v>46211</v>
      </c>
      <c r="K946" s="54">
        <f>INT(Cobros[[#This Row],[Fecha Aplicacion]])</f>
        <v>46233</v>
      </c>
      <c r="L946" s="55" t="str">
        <f>INDEX(Clientes[Días Plazo],MATCH(Cobros[[#This Row],[Cod. Cliente]],Clientes[Codigo],0),1)</f>
        <v>21</v>
      </c>
      <c r="M946" s="45" t="str">
        <f>IF(Cobros[[#This Row],[Dias de Credito]]&lt;=0,"Contado","Credito")</f>
        <v>Credito</v>
      </c>
      <c r="N946" s="45">
        <f>Cobros[[#This Row],[Fecha Aplicación S]]-Cobros[[#This Row],[Fecha Cargo S]]</f>
        <v>22</v>
      </c>
      <c r="O946" s="45">
        <f>Cobros[[#This Row],[Dias al pago]]-Cobros[[#This Row],[Dias de Credito]]</f>
        <v>1</v>
      </c>
      <c r="P946" s="45">
        <f>SUMIFS(TablaDias[Porcentaje],TablaDias[Tipo],Cobros[[#This Row],[Tipo]],TablaDias[Desde ],"&lt;="&amp;MAX(0,Cobros[[#This Row],[Dias pasado]]),TablaDias[Hasta ],"&gt;="&amp;Cobros[[#This Row],[Dias pasado]])</f>
        <v>100</v>
      </c>
      <c r="Q94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6" s="34">
        <f>IF(COUNTIF(PAPEL[Numero],Cobros[[#This Row],[Doc. Cargo]])&gt;0,1,0)</f>
        <v>0</v>
      </c>
      <c r="S946" s="46">
        <f t="array" ref="S9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6" s="47">
        <v>109.005</v>
      </c>
      <c r="U946" s="34">
        <f>IF(Cobros[[#This Row],[Tipo]]="Credito",IF(60&gt;=Cobros[[#This Row],[Dias al pago]],1,0),IF(Cobros[[#This Row],[Dias al pago]]&lt;=3,1,0))</f>
        <v>1</v>
      </c>
      <c r="V946" s="46">
        <f>(Cobros[[#This Row],[% A pagar Vendedor]]/100)*Cobros[[#This Row],[Valor Pagado]]*Cobros[[#This Row],[Vencido]]*(Cobros[[#This Row],[% aplicar]]/100)*IF(Cobros[[#This Row],[% A pagar Vendedor]]&gt;0,1,0)</f>
        <v>19.75</v>
      </c>
      <c r="W946" s="46">
        <f>0.5%*Cobros[[#This Row],[Valor Pagado]]</f>
        <v>7.9</v>
      </c>
      <c r="X946" s="69"/>
    </row>
    <row r="947" ht="30" spans="1:24">
      <c r="A947" s="49" t="s">
        <v>3954</v>
      </c>
      <c r="B947" s="49" t="s">
        <v>5315</v>
      </c>
      <c r="C947" s="49" t="s">
        <v>758</v>
      </c>
      <c r="D947" s="49" t="s">
        <v>759</v>
      </c>
      <c r="E947" s="49" t="s">
        <v>5316</v>
      </c>
      <c r="F947" s="51">
        <v>46220</v>
      </c>
      <c r="G947" s="49">
        <v>3608</v>
      </c>
      <c r="H947" s="49" t="s">
        <v>22</v>
      </c>
      <c r="I947" s="51">
        <v>46233</v>
      </c>
      <c r="J947" s="54">
        <f>INT(Cobros[[#This Row],[Fecha Cargo]])</f>
        <v>46220</v>
      </c>
      <c r="K947" s="54">
        <f>INT(Cobros[[#This Row],[Fecha Aplicacion]])</f>
        <v>46233</v>
      </c>
      <c r="L947" s="55" t="str">
        <f>INDEX(Clientes[Días Plazo],MATCH(Cobros[[#This Row],[Cod. Cliente]],Clientes[Codigo],0),1)</f>
        <v>7</v>
      </c>
      <c r="M947" s="45" t="str">
        <f>IF(Cobros[[#This Row],[Dias de Credito]]&lt;=0,"Contado","Credito")</f>
        <v>Credito</v>
      </c>
      <c r="N947" s="45">
        <f>Cobros[[#This Row],[Fecha Aplicación S]]-Cobros[[#This Row],[Fecha Cargo S]]</f>
        <v>13</v>
      </c>
      <c r="O947" s="45">
        <f>Cobros[[#This Row],[Dias al pago]]-Cobros[[#This Row],[Dias de Credito]]</f>
        <v>6</v>
      </c>
      <c r="P947" s="45">
        <f>SUMIFS(TablaDias[Porcentaje],TablaDias[Tipo],Cobros[[#This Row],[Tipo]],TablaDias[Desde ],"&lt;="&amp;MAX(0,Cobros[[#This Row],[Dias pasado]]),TablaDias[Hasta ],"&gt;="&amp;Cobros[[#This Row],[Dias pasado]])</f>
        <v>100</v>
      </c>
      <c r="Q94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7" s="34">
        <f>IF(COUNTIF(PAPEL[Numero],Cobros[[#This Row],[Doc. Cargo]])&gt;0,1,0)</f>
        <v>0</v>
      </c>
      <c r="S947" s="46">
        <f t="array" ref="S94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47" s="47">
        <v>110.005</v>
      </c>
      <c r="U947" s="34">
        <f>IF(Cobros[[#This Row],[Tipo]]="Credito",IF(60&gt;=Cobros[[#This Row],[Dias al pago]],1,0),IF(Cobros[[#This Row],[Dias al pago]]&lt;=3,1,0))</f>
        <v>1</v>
      </c>
      <c r="V947" s="46">
        <f>(Cobros[[#This Row],[% A pagar Vendedor]]/100)*Cobros[[#This Row],[Valor Pagado]]*Cobros[[#This Row],[Vencido]]*(Cobros[[#This Row],[% aplicar]]/100)*IF(Cobros[[#This Row],[% A pagar Vendedor]]&gt;0,1,0)</f>
        <v>36.08</v>
      </c>
      <c r="W947" s="46">
        <f>0.5%*Cobros[[#This Row],[Valor Pagado]]</f>
        <v>18.04</v>
      </c>
      <c r="X947" s="69"/>
    </row>
    <row r="948" spans="1:24">
      <c r="A948" s="49" t="s">
        <v>3860</v>
      </c>
      <c r="B948" s="49" t="s">
        <v>5317</v>
      </c>
      <c r="C948" s="49" t="s">
        <v>128</v>
      </c>
      <c r="D948" s="49" t="s">
        <v>129</v>
      </c>
      <c r="E948" s="49" t="s">
        <v>5318</v>
      </c>
      <c r="F948" s="51">
        <v>46232</v>
      </c>
      <c r="G948" s="49">
        <v>200</v>
      </c>
      <c r="H948" s="49" t="s">
        <v>16</v>
      </c>
      <c r="I948" s="51">
        <v>46232</v>
      </c>
      <c r="J948" s="54">
        <f>INT(Cobros[[#This Row],[Fecha Cargo]])</f>
        <v>46232</v>
      </c>
      <c r="K948" s="54">
        <f>INT(Cobros[[#This Row],[Fecha Aplicacion]])</f>
        <v>46232</v>
      </c>
      <c r="L948" s="55">
        <f>INDEX(Clientes[Días Plazo],MATCH(Cobros[[#This Row],[Cod. Cliente]],Clientes[Codigo],0),1)</f>
        <v>0</v>
      </c>
      <c r="M948" s="45" t="str">
        <f>IF(Cobros[[#This Row],[Dias de Credito]]&lt;=0,"Contado","Credito")</f>
        <v>Contado</v>
      </c>
      <c r="N948" s="45">
        <f>Cobros[[#This Row],[Fecha Aplicación S]]-Cobros[[#This Row],[Fecha Cargo S]]</f>
        <v>0</v>
      </c>
      <c r="O948" s="45">
        <f>Cobros[[#This Row],[Dias al pago]]-Cobros[[#This Row],[Dias de Credito]]</f>
        <v>0</v>
      </c>
      <c r="P948" s="45">
        <f>SUMIFS(TablaDias[Porcentaje],TablaDias[Tipo],Cobros[[#This Row],[Tipo]],TablaDias[Desde ],"&lt;="&amp;MAX(0,Cobros[[#This Row],[Dias pasado]]),TablaDias[Hasta ],"&gt;="&amp;Cobros[[#This Row],[Dias pasado]])</f>
        <v>100</v>
      </c>
      <c r="Q9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8" s="34">
        <f>IF(COUNTIF(PAPEL[Numero],Cobros[[#This Row],[Doc. Cargo]])&gt;0,1,0)</f>
        <v>0</v>
      </c>
      <c r="S948" s="46">
        <f t="array" ref="S94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8" s="47">
        <v>111.005</v>
      </c>
      <c r="U948" s="34">
        <f>IF(Cobros[[#This Row],[Tipo]]="Credito",IF(60&gt;=Cobros[[#This Row],[Dias al pago]],1,0),IF(Cobros[[#This Row],[Dias al pago]]&lt;=3,1,0))</f>
        <v>1</v>
      </c>
      <c r="V948" s="46">
        <f>(Cobros[[#This Row],[% A pagar Vendedor]]/100)*Cobros[[#This Row],[Valor Pagado]]*Cobros[[#This Row],[Vencido]]*(Cobros[[#This Row],[% aplicar]]/100)*IF(Cobros[[#This Row],[% A pagar Vendedor]]&gt;0,1,0)</f>
        <v>2.5</v>
      </c>
      <c r="W948" s="46">
        <f>0.5%*Cobros[[#This Row],[Valor Pagado]]</f>
        <v>1</v>
      </c>
      <c r="X948" s="69"/>
    </row>
    <row r="949" spans="1:24">
      <c r="A949" s="49" t="s">
        <v>3954</v>
      </c>
      <c r="B949" s="49" t="s">
        <v>5319</v>
      </c>
      <c r="C949" s="49" t="s">
        <v>128</v>
      </c>
      <c r="D949" s="49" t="s">
        <v>129</v>
      </c>
      <c r="E949" s="49" t="s">
        <v>5318</v>
      </c>
      <c r="F949" s="51">
        <v>46232</v>
      </c>
      <c r="G949" s="49">
        <v>220</v>
      </c>
      <c r="H949" s="49" t="s">
        <v>16</v>
      </c>
      <c r="I949" s="51">
        <v>46233</v>
      </c>
      <c r="J949" s="54">
        <f>INT(Cobros[[#This Row],[Fecha Cargo]])</f>
        <v>46232</v>
      </c>
      <c r="K949" s="54">
        <f>INT(Cobros[[#This Row],[Fecha Aplicacion]])</f>
        <v>46233</v>
      </c>
      <c r="L949" s="55">
        <f>INDEX(Clientes[Días Plazo],MATCH(Cobros[[#This Row],[Cod. Cliente]],Clientes[Codigo],0),1)</f>
        <v>0</v>
      </c>
      <c r="M949" s="45" t="str">
        <f>IF(Cobros[[#This Row],[Dias de Credito]]&lt;=0,"Contado","Credito")</f>
        <v>Contado</v>
      </c>
      <c r="N949" s="45">
        <f>Cobros[[#This Row],[Fecha Aplicación S]]-Cobros[[#This Row],[Fecha Cargo S]]</f>
        <v>1</v>
      </c>
      <c r="O949" s="45">
        <f>Cobros[[#This Row],[Dias al pago]]-Cobros[[#This Row],[Dias de Credito]]</f>
        <v>1</v>
      </c>
      <c r="P949" s="45">
        <f>SUMIFS(TablaDias[Porcentaje],TablaDias[Tipo],Cobros[[#This Row],[Tipo]],TablaDias[Desde ],"&lt;="&amp;MAX(0,Cobros[[#This Row],[Dias pasado]]),TablaDias[Hasta ],"&gt;="&amp;Cobros[[#This Row],[Dias pasado]])</f>
        <v>100</v>
      </c>
      <c r="Q94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49" s="34">
        <f>IF(COUNTIF(PAPEL[Numero],Cobros[[#This Row],[Doc. Cargo]])&gt;0,1,0)</f>
        <v>0</v>
      </c>
      <c r="S949" s="46">
        <f t="array" ref="S94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49" s="47">
        <v>112.005</v>
      </c>
      <c r="U949" s="34">
        <f>IF(Cobros[[#This Row],[Tipo]]="Credito",IF(60&gt;=Cobros[[#This Row],[Dias al pago]],1,0),IF(Cobros[[#This Row],[Dias al pago]]&lt;=3,1,0))</f>
        <v>1</v>
      </c>
      <c r="V949" s="46">
        <f>(Cobros[[#This Row],[% A pagar Vendedor]]/100)*Cobros[[#This Row],[Valor Pagado]]*Cobros[[#This Row],[Vencido]]*(Cobros[[#This Row],[% aplicar]]/100)*IF(Cobros[[#This Row],[% A pagar Vendedor]]&gt;0,1,0)</f>
        <v>2.75</v>
      </c>
      <c r="W949" s="46">
        <f>0.5%*Cobros[[#This Row],[Valor Pagado]]</f>
        <v>1.1</v>
      </c>
      <c r="X949" s="69"/>
    </row>
    <row r="950" spans="1:24">
      <c r="A950" s="49" t="s">
        <v>3860</v>
      </c>
      <c r="B950" s="49" t="s">
        <v>5320</v>
      </c>
      <c r="C950" s="49" t="s">
        <v>3602</v>
      </c>
      <c r="D950" s="49" t="s">
        <v>3603</v>
      </c>
      <c r="E950" s="49" t="s">
        <v>5321</v>
      </c>
      <c r="F950" s="51">
        <v>46209</v>
      </c>
      <c r="G950" s="49">
        <v>6249.2</v>
      </c>
      <c r="H950" s="49" t="s">
        <v>18</v>
      </c>
      <c r="I950" s="51">
        <v>46233</v>
      </c>
      <c r="J950" s="54">
        <f>INT(Cobros[[#This Row],[Fecha Cargo]])</f>
        <v>46209</v>
      </c>
      <c r="K950" s="54">
        <f>INT(Cobros[[#This Row],[Fecha Aplicacion]])</f>
        <v>46233</v>
      </c>
      <c r="L950" s="55" t="str">
        <f>INDEX(Clientes[Días Plazo],MATCH(Cobros[[#This Row],[Cod. Cliente]],Clientes[Codigo],0),1)</f>
        <v>15</v>
      </c>
      <c r="M950" s="45" t="str">
        <f>IF(Cobros[[#This Row],[Dias de Credito]]&lt;=0,"Contado","Credito")</f>
        <v>Credito</v>
      </c>
      <c r="N950" s="45">
        <f>Cobros[[#This Row],[Fecha Aplicación S]]-Cobros[[#This Row],[Fecha Cargo S]]</f>
        <v>24</v>
      </c>
      <c r="O950" s="45">
        <f>Cobros[[#This Row],[Dias al pago]]-Cobros[[#This Row],[Dias de Credito]]</f>
        <v>9</v>
      </c>
      <c r="P950" s="45">
        <f>SUMIFS(TablaDias[Porcentaje],TablaDias[Tipo],Cobros[[#This Row],[Tipo]],TablaDias[Desde ],"&lt;="&amp;MAX(0,Cobros[[#This Row],[Dias pasado]]),TablaDias[Hasta ],"&gt;="&amp;Cobros[[#This Row],[Dias pasado]])</f>
        <v>100</v>
      </c>
      <c r="Q95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50" s="34">
        <f>IF(COUNTIF(PAPEL[Numero],Cobros[[#This Row],[Doc. Cargo]])&gt;0,1,0)</f>
        <v>0</v>
      </c>
      <c r="S950" s="46">
        <f t="array" ref="S95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0" s="47">
        <v>113.005</v>
      </c>
      <c r="U950" s="34">
        <f>IF(Cobros[[#This Row],[Tipo]]="Credito",IF(60&gt;=Cobros[[#This Row],[Dias al pago]],1,0),IF(Cobros[[#This Row],[Dias al pago]]&lt;=3,1,0))</f>
        <v>1</v>
      </c>
      <c r="V950" s="46">
        <f>(Cobros[[#This Row],[% A pagar Vendedor]]/100)*Cobros[[#This Row],[Valor Pagado]]*Cobros[[#This Row],[Vencido]]*(Cobros[[#This Row],[% aplicar]]/100)*IF(Cobros[[#This Row],[% A pagar Vendedor]]&gt;0,1,0)</f>
        <v>78.115</v>
      </c>
      <c r="W950" s="46">
        <f>0.5%*Cobros[[#This Row],[Valor Pagado]]</f>
        <v>31.246</v>
      </c>
      <c r="X950" s="69"/>
    </row>
    <row r="951" spans="1:24">
      <c r="A951" s="49" t="s">
        <v>3860</v>
      </c>
      <c r="B951" s="49" t="s">
        <v>5320</v>
      </c>
      <c r="C951" s="49" t="s">
        <v>3602</v>
      </c>
      <c r="D951" s="49" t="s">
        <v>3603</v>
      </c>
      <c r="E951" s="49" t="s">
        <v>5322</v>
      </c>
      <c r="F951" s="51">
        <v>46212</v>
      </c>
      <c r="G951" s="49">
        <v>122</v>
      </c>
      <c r="H951" s="49" t="s">
        <v>18</v>
      </c>
      <c r="I951" s="51">
        <v>46233</v>
      </c>
      <c r="J951" s="54">
        <f>INT(Cobros[[#This Row],[Fecha Cargo]])</f>
        <v>46212</v>
      </c>
      <c r="K951" s="54">
        <f>INT(Cobros[[#This Row],[Fecha Aplicacion]])</f>
        <v>46233</v>
      </c>
      <c r="L951" s="55" t="str">
        <f>INDEX(Clientes[Días Plazo],MATCH(Cobros[[#This Row],[Cod. Cliente]],Clientes[Codigo],0),1)</f>
        <v>15</v>
      </c>
      <c r="M951" s="45" t="str">
        <f>IF(Cobros[[#This Row],[Dias de Credito]]&lt;=0,"Contado","Credito")</f>
        <v>Credito</v>
      </c>
      <c r="N951" s="45">
        <f>Cobros[[#This Row],[Fecha Aplicación S]]-Cobros[[#This Row],[Fecha Cargo S]]</f>
        <v>21</v>
      </c>
      <c r="O951" s="45">
        <f>Cobros[[#This Row],[Dias al pago]]-Cobros[[#This Row],[Dias de Credito]]</f>
        <v>6</v>
      </c>
      <c r="P951" s="45">
        <f>SUMIFS(TablaDias[Porcentaje],TablaDias[Tipo],Cobros[[#This Row],[Tipo]],TablaDias[Desde ],"&lt;="&amp;MAX(0,Cobros[[#This Row],[Dias pasado]]),TablaDias[Hasta ],"&gt;="&amp;Cobros[[#This Row],[Dias pasado]])</f>
        <v>100</v>
      </c>
      <c r="Q95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51" s="34">
        <f>IF(COUNTIF(PAPEL[Numero],Cobros[[#This Row],[Doc. Cargo]])&gt;0,1,0)</f>
        <v>0</v>
      </c>
      <c r="S951" s="46">
        <f t="array" ref="S95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1" s="47">
        <v>114.005</v>
      </c>
      <c r="U951" s="34">
        <f>IF(Cobros[[#This Row],[Tipo]]="Credito",IF(60&gt;=Cobros[[#This Row],[Dias al pago]],1,0),IF(Cobros[[#This Row],[Dias al pago]]&lt;=3,1,0))</f>
        <v>1</v>
      </c>
      <c r="V951" s="46">
        <f>(Cobros[[#This Row],[% A pagar Vendedor]]/100)*Cobros[[#This Row],[Valor Pagado]]*Cobros[[#This Row],[Vencido]]*(Cobros[[#This Row],[% aplicar]]/100)*IF(Cobros[[#This Row],[% A pagar Vendedor]]&gt;0,1,0)</f>
        <v>1.525</v>
      </c>
      <c r="W951" s="46">
        <f>0.5%*Cobros[[#This Row],[Valor Pagado]]</f>
        <v>0.61</v>
      </c>
      <c r="X951" s="69"/>
    </row>
    <row r="952" spans="1:24">
      <c r="A952" s="49" t="s">
        <v>3860</v>
      </c>
      <c r="B952" s="49" t="s">
        <v>5323</v>
      </c>
      <c r="C952" s="49" t="s">
        <v>578</v>
      </c>
      <c r="D952" s="49" t="s">
        <v>579</v>
      </c>
      <c r="E952" s="49" t="s">
        <v>5324</v>
      </c>
      <c r="F952" s="51">
        <v>46163</v>
      </c>
      <c r="G952" s="49">
        <v>1950</v>
      </c>
      <c r="H952" s="49" t="s">
        <v>19</v>
      </c>
      <c r="I952" s="51">
        <v>46212</v>
      </c>
      <c r="J952" s="54">
        <f>INT(Cobros[[#This Row],[Fecha Cargo]])</f>
        <v>46163</v>
      </c>
      <c r="K952" s="54">
        <f>INT(Cobros[[#This Row],[Fecha Aplicacion]])</f>
        <v>46212</v>
      </c>
      <c r="L952" s="55" t="str">
        <f>INDEX(Clientes[Días Plazo],MATCH(Cobros[[#This Row],[Cod. Cliente]],Clientes[Codigo],0),1)</f>
        <v>30</v>
      </c>
      <c r="M952" s="45" t="str">
        <f>IF(Cobros[[#This Row],[Dias de Credito]]&lt;=0,"Contado","Credito")</f>
        <v>Credito</v>
      </c>
      <c r="N952" s="45">
        <f>Cobros[[#This Row],[Fecha Aplicación S]]-Cobros[[#This Row],[Fecha Cargo S]]</f>
        <v>49</v>
      </c>
      <c r="O952" s="45">
        <f>Cobros[[#This Row],[Dias al pago]]-Cobros[[#This Row],[Dias de Credito]]</f>
        <v>19</v>
      </c>
      <c r="P952" s="45">
        <f>SUMIFS(TablaDias[Porcentaje],TablaDias[Tipo],Cobros[[#This Row],[Tipo]],TablaDias[Desde ],"&lt;="&amp;MAX(0,Cobros[[#This Row],[Dias pasado]]),TablaDias[Hasta ],"&gt;="&amp;Cobros[[#This Row],[Dias pasado]])</f>
        <v>50</v>
      </c>
      <c r="Q95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952" s="34">
        <f>IF(COUNTIF(PAPEL[Numero],Cobros[[#This Row],[Doc. Cargo]])&gt;0,1,0)</f>
        <v>0</v>
      </c>
      <c r="S952" s="46">
        <f t="array" ref="S95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52" s="47">
        <v>115.005</v>
      </c>
      <c r="U952" s="34">
        <f>IF(Cobros[[#This Row],[Tipo]]="Credito",IF(60&gt;=Cobros[[#This Row],[Dias al pago]],1,0),IF(Cobros[[#This Row],[Dias al pago]]&lt;=3,1,0))</f>
        <v>1</v>
      </c>
      <c r="V952" s="46">
        <f>(Cobros[[#This Row],[% A pagar Vendedor]]/100)*Cobros[[#This Row],[Valor Pagado]]*Cobros[[#This Row],[Vencido]]*(Cobros[[#This Row],[% aplicar]]/100)*IF(Cobros[[#This Row],[% A pagar Vendedor]]&gt;0,1,0)</f>
        <v>9.75</v>
      </c>
      <c r="W952" s="46">
        <f>0.5%*Cobros[[#This Row],[Valor Pagado]]</f>
        <v>9.75</v>
      </c>
      <c r="X952" s="69"/>
    </row>
    <row r="953" spans="1:24">
      <c r="A953" s="49" t="s">
        <v>3860</v>
      </c>
      <c r="B953" s="49" t="s">
        <v>5323</v>
      </c>
      <c r="C953" s="49" t="s">
        <v>578</v>
      </c>
      <c r="D953" s="49" t="s">
        <v>579</v>
      </c>
      <c r="E953" s="49" t="s">
        <v>5325</v>
      </c>
      <c r="F953" s="51">
        <v>46161</v>
      </c>
      <c r="G953" s="49">
        <v>4182.62</v>
      </c>
      <c r="H953" s="49" t="s">
        <v>19</v>
      </c>
      <c r="I953" s="51">
        <v>46212</v>
      </c>
      <c r="J953" s="54">
        <f>INT(Cobros[[#This Row],[Fecha Cargo]])</f>
        <v>46161</v>
      </c>
      <c r="K953" s="54">
        <f>INT(Cobros[[#This Row],[Fecha Aplicacion]])</f>
        <v>46212</v>
      </c>
      <c r="L953" s="55" t="str">
        <f>INDEX(Clientes[Días Plazo],MATCH(Cobros[[#This Row],[Cod. Cliente]],Clientes[Codigo],0),1)</f>
        <v>30</v>
      </c>
      <c r="M953" s="45" t="str">
        <f>IF(Cobros[[#This Row],[Dias de Credito]]&lt;=0,"Contado","Credito")</f>
        <v>Credito</v>
      </c>
      <c r="N953" s="45">
        <f>Cobros[[#This Row],[Fecha Aplicación S]]-Cobros[[#This Row],[Fecha Cargo S]]</f>
        <v>51</v>
      </c>
      <c r="O953" s="45">
        <f>Cobros[[#This Row],[Dias al pago]]-Cobros[[#This Row],[Dias de Credito]]</f>
        <v>21</v>
      </c>
      <c r="P953" s="45">
        <f>SUMIFS(TablaDias[Porcentaje],TablaDias[Tipo],Cobros[[#This Row],[Tipo]],TablaDias[Desde ],"&lt;="&amp;MAX(0,Cobros[[#This Row],[Dias pasado]]),TablaDias[Hasta ],"&gt;="&amp;Cobros[[#This Row],[Dias pasado]])</f>
        <v>50</v>
      </c>
      <c r="Q95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953" s="34">
        <f>IF(COUNTIF(PAPEL[Numero],Cobros[[#This Row],[Doc. Cargo]])&gt;0,1,0)</f>
        <v>0</v>
      </c>
      <c r="S953" s="46">
        <f t="array" ref="S95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53" s="47">
        <v>116.005</v>
      </c>
      <c r="U953" s="34">
        <f>IF(Cobros[[#This Row],[Tipo]]="Credito",IF(60&gt;=Cobros[[#This Row],[Dias al pago]],1,0),IF(Cobros[[#This Row],[Dias al pago]]&lt;=3,1,0))</f>
        <v>1</v>
      </c>
      <c r="V953" s="46">
        <f>(Cobros[[#This Row],[% A pagar Vendedor]]/100)*Cobros[[#This Row],[Valor Pagado]]*Cobros[[#This Row],[Vencido]]*(Cobros[[#This Row],[% aplicar]]/100)*IF(Cobros[[#This Row],[% A pagar Vendedor]]&gt;0,1,0)</f>
        <v>20.9131</v>
      </c>
      <c r="W953" s="46">
        <f>0.5%*Cobros[[#This Row],[Valor Pagado]]</f>
        <v>20.9131</v>
      </c>
      <c r="X953" s="69"/>
    </row>
    <row r="954" spans="1:24">
      <c r="A954" s="49" t="s">
        <v>3860</v>
      </c>
      <c r="B954" s="49" t="s">
        <v>5323</v>
      </c>
      <c r="C954" s="49" t="s">
        <v>578</v>
      </c>
      <c r="D954" s="49" t="s">
        <v>579</v>
      </c>
      <c r="E954" s="49" t="s">
        <v>5326</v>
      </c>
      <c r="F954" s="51">
        <v>46196</v>
      </c>
      <c r="G954" s="49">
        <v>56.85</v>
      </c>
      <c r="H954" s="49" t="s">
        <v>19</v>
      </c>
      <c r="I954" s="51">
        <v>46212</v>
      </c>
      <c r="J954" s="54">
        <f>INT(Cobros[[#This Row],[Fecha Cargo]])</f>
        <v>46196</v>
      </c>
      <c r="K954" s="54">
        <f>INT(Cobros[[#This Row],[Fecha Aplicacion]])</f>
        <v>46212</v>
      </c>
      <c r="L954" s="55" t="str">
        <f>INDEX(Clientes[Días Plazo],MATCH(Cobros[[#This Row],[Cod. Cliente]],Clientes[Codigo],0),1)</f>
        <v>30</v>
      </c>
      <c r="M954" s="45" t="str">
        <f>IF(Cobros[[#This Row],[Dias de Credito]]&lt;=0,"Contado","Credito")</f>
        <v>Credito</v>
      </c>
      <c r="N954" s="45">
        <f>Cobros[[#This Row],[Fecha Aplicación S]]-Cobros[[#This Row],[Fecha Cargo S]]</f>
        <v>16</v>
      </c>
      <c r="O954" s="45">
        <f>Cobros[[#This Row],[Dias al pago]]-Cobros[[#This Row],[Dias de Credito]]</f>
        <v>-14</v>
      </c>
      <c r="P954" s="45">
        <f>SUMIFS(TablaDias[Porcentaje],TablaDias[Tipo],Cobros[[#This Row],[Tipo]],TablaDias[Desde ],"&lt;="&amp;MAX(0,Cobros[[#This Row],[Dias pasado]]),TablaDias[Hasta ],"&gt;="&amp;Cobros[[#This Row],[Dias pasado]])</f>
        <v>100</v>
      </c>
      <c r="Q95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4" s="34">
        <f>IF(COUNTIF(PAPEL[Numero],Cobros[[#This Row],[Doc. Cargo]])&gt;0,1,0)</f>
        <v>0</v>
      </c>
      <c r="S954" s="46">
        <f t="array" ref="S95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4" s="47">
        <v>117.005</v>
      </c>
      <c r="U954" s="34">
        <f>IF(Cobros[[#This Row],[Tipo]]="Credito",IF(60&gt;=Cobros[[#This Row],[Dias al pago]],1,0),IF(Cobros[[#This Row],[Dias al pago]]&lt;=3,1,0))</f>
        <v>1</v>
      </c>
      <c r="V954" s="46">
        <f>(Cobros[[#This Row],[% A pagar Vendedor]]/100)*Cobros[[#This Row],[Valor Pagado]]*Cobros[[#This Row],[Vencido]]*(Cobros[[#This Row],[% aplicar]]/100)*IF(Cobros[[#This Row],[% A pagar Vendedor]]&gt;0,1,0)</f>
        <v>0.710625</v>
      </c>
      <c r="W954" s="46">
        <f>0.5%*Cobros[[#This Row],[Valor Pagado]]</f>
        <v>0.28425</v>
      </c>
      <c r="X954" s="69"/>
    </row>
    <row r="955" spans="1:24">
      <c r="A955" s="49" t="s">
        <v>3860</v>
      </c>
      <c r="B955" s="49" t="s">
        <v>5323</v>
      </c>
      <c r="C955" s="49" t="s">
        <v>578</v>
      </c>
      <c r="D955" s="49" t="s">
        <v>579</v>
      </c>
      <c r="E955" s="49" t="s">
        <v>5327</v>
      </c>
      <c r="F955" s="51">
        <v>46177</v>
      </c>
      <c r="G955" s="49">
        <v>859.5</v>
      </c>
      <c r="H955" s="49" t="s">
        <v>19</v>
      </c>
      <c r="I955" s="51">
        <v>46212</v>
      </c>
      <c r="J955" s="54">
        <f>INT(Cobros[[#This Row],[Fecha Cargo]])</f>
        <v>46177</v>
      </c>
      <c r="K955" s="54">
        <f>INT(Cobros[[#This Row],[Fecha Aplicacion]])</f>
        <v>46212</v>
      </c>
      <c r="L955" s="55" t="str">
        <f>INDEX(Clientes[Días Plazo],MATCH(Cobros[[#This Row],[Cod. Cliente]],Clientes[Codigo],0),1)</f>
        <v>30</v>
      </c>
      <c r="M955" s="45" t="str">
        <f>IF(Cobros[[#This Row],[Dias de Credito]]&lt;=0,"Contado","Credito")</f>
        <v>Credito</v>
      </c>
      <c r="N955" s="45">
        <f>Cobros[[#This Row],[Fecha Aplicación S]]-Cobros[[#This Row],[Fecha Cargo S]]</f>
        <v>35</v>
      </c>
      <c r="O955" s="45">
        <f>Cobros[[#This Row],[Dias al pago]]-Cobros[[#This Row],[Dias de Credito]]</f>
        <v>5</v>
      </c>
      <c r="P955" s="45">
        <f>SUMIFS(TablaDias[Porcentaje],TablaDias[Tipo],Cobros[[#This Row],[Tipo]],TablaDias[Desde ],"&lt;="&amp;MAX(0,Cobros[[#This Row],[Dias pasado]]),TablaDias[Hasta ],"&gt;="&amp;Cobros[[#This Row],[Dias pasado]])</f>
        <v>100</v>
      </c>
      <c r="Q95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5" s="34">
        <f>IF(COUNTIF(PAPEL[Numero],Cobros[[#This Row],[Doc. Cargo]])&gt;0,1,0)</f>
        <v>0</v>
      </c>
      <c r="S955" s="46">
        <f t="array" ref="S95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5" s="47">
        <v>118.005</v>
      </c>
      <c r="U955" s="34">
        <f>IF(Cobros[[#This Row],[Tipo]]="Credito",IF(60&gt;=Cobros[[#This Row],[Dias al pago]],1,0),IF(Cobros[[#This Row],[Dias al pago]]&lt;=3,1,0))</f>
        <v>1</v>
      </c>
      <c r="V955" s="46">
        <f>(Cobros[[#This Row],[% A pagar Vendedor]]/100)*Cobros[[#This Row],[Valor Pagado]]*Cobros[[#This Row],[Vencido]]*(Cobros[[#This Row],[% aplicar]]/100)*IF(Cobros[[#This Row],[% A pagar Vendedor]]&gt;0,1,0)</f>
        <v>10.74375</v>
      </c>
      <c r="W955" s="46">
        <f>0.5%*Cobros[[#This Row],[Valor Pagado]]</f>
        <v>4.2975</v>
      </c>
      <c r="X955" s="69"/>
    </row>
    <row r="956" spans="1:24">
      <c r="A956" s="49" t="s">
        <v>3860</v>
      </c>
      <c r="B956" s="49" t="s">
        <v>5323</v>
      </c>
      <c r="C956" s="49" t="s">
        <v>578</v>
      </c>
      <c r="D956" s="49" t="s">
        <v>579</v>
      </c>
      <c r="E956" s="49" t="s">
        <v>4973</v>
      </c>
      <c r="F956" s="51">
        <v>46171</v>
      </c>
      <c r="G956" s="49">
        <v>172.25</v>
      </c>
      <c r="H956" s="49" t="s">
        <v>19</v>
      </c>
      <c r="I956" s="51">
        <v>46212</v>
      </c>
      <c r="J956" s="54">
        <f>INT(Cobros[[#This Row],[Fecha Cargo]])</f>
        <v>46171</v>
      </c>
      <c r="K956" s="54">
        <f>INT(Cobros[[#This Row],[Fecha Aplicacion]])</f>
        <v>46212</v>
      </c>
      <c r="L956" s="55" t="str">
        <f>INDEX(Clientes[Días Plazo],MATCH(Cobros[[#This Row],[Cod. Cliente]],Clientes[Codigo],0),1)</f>
        <v>30</v>
      </c>
      <c r="M956" s="45" t="str">
        <f>IF(Cobros[[#This Row],[Dias de Credito]]&lt;=0,"Contado","Credito")</f>
        <v>Credito</v>
      </c>
      <c r="N956" s="45">
        <f>Cobros[[#This Row],[Fecha Aplicación S]]-Cobros[[#This Row],[Fecha Cargo S]]</f>
        <v>41</v>
      </c>
      <c r="O956" s="45">
        <f>Cobros[[#This Row],[Dias al pago]]-Cobros[[#This Row],[Dias de Credito]]</f>
        <v>11</v>
      </c>
      <c r="P956" s="45">
        <f>SUMIFS(TablaDias[Porcentaje],TablaDias[Tipo],Cobros[[#This Row],[Tipo]],TablaDias[Desde ],"&lt;="&amp;MAX(0,Cobros[[#This Row],[Dias pasado]]),TablaDias[Hasta ],"&gt;="&amp;Cobros[[#This Row],[Dias pasado]])</f>
        <v>100</v>
      </c>
      <c r="Q95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956" s="34">
        <f>IF(COUNTIF(PAPEL[Numero],Cobros[[#This Row],[Doc. Cargo]])&gt;0,1,0)</f>
        <v>0</v>
      </c>
      <c r="S956" s="46">
        <f t="array" ref="S95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56" s="47">
        <v>119.005</v>
      </c>
      <c r="U956" s="34">
        <f>IF(Cobros[[#This Row],[Tipo]]="Credito",IF(60&gt;=Cobros[[#This Row],[Dias al pago]],1,0),IF(Cobros[[#This Row],[Dias al pago]]&lt;=3,1,0))</f>
        <v>1</v>
      </c>
      <c r="V956" s="46">
        <f>(Cobros[[#This Row],[% A pagar Vendedor]]/100)*Cobros[[#This Row],[Valor Pagado]]*Cobros[[#This Row],[Vencido]]*(Cobros[[#This Row],[% aplicar]]/100)*IF(Cobros[[#This Row],[% A pagar Vendedor]]&gt;0,1,0)</f>
        <v>1.7225</v>
      </c>
      <c r="W956" s="46">
        <f>0.5%*Cobros[[#This Row],[Valor Pagado]]</f>
        <v>0.86125</v>
      </c>
      <c r="X956" s="69"/>
    </row>
    <row r="957" spans="1:24">
      <c r="A957" s="49" t="s">
        <v>3860</v>
      </c>
      <c r="B957" s="49" t="s">
        <v>5323</v>
      </c>
      <c r="C957" s="49" t="s">
        <v>578</v>
      </c>
      <c r="D957" s="49" t="s">
        <v>579</v>
      </c>
      <c r="E957" s="49" t="s">
        <v>5328</v>
      </c>
      <c r="F957" s="51">
        <v>46188</v>
      </c>
      <c r="G957" s="49">
        <v>546.75</v>
      </c>
      <c r="H957" s="49" t="s">
        <v>19</v>
      </c>
      <c r="I957" s="51">
        <v>46212</v>
      </c>
      <c r="J957" s="54">
        <f>INT(Cobros[[#This Row],[Fecha Cargo]])</f>
        <v>46188</v>
      </c>
      <c r="K957" s="54">
        <f>INT(Cobros[[#This Row],[Fecha Aplicacion]])</f>
        <v>46212</v>
      </c>
      <c r="L957" s="55" t="str">
        <f>INDEX(Clientes[Días Plazo],MATCH(Cobros[[#This Row],[Cod. Cliente]],Clientes[Codigo],0),1)</f>
        <v>30</v>
      </c>
      <c r="M957" s="45" t="str">
        <f>IF(Cobros[[#This Row],[Dias de Credito]]&lt;=0,"Contado","Credito")</f>
        <v>Credito</v>
      </c>
      <c r="N957" s="45">
        <f>Cobros[[#This Row],[Fecha Aplicación S]]-Cobros[[#This Row],[Fecha Cargo S]]</f>
        <v>24</v>
      </c>
      <c r="O957" s="45">
        <f>Cobros[[#This Row],[Dias al pago]]-Cobros[[#This Row],[Dias de Credito]]</f>
        <v>-6</v>
      </c>
      <c r="P957" s="45">
        <f>SUMIFS(TablaDias[Porcentaje],TablaDias[Tipo],Cobros[[#This Row],[Tipo]],TablaDias[Desde ],"&lt;="&amp;MAX(0,Cobros[[#This Row],[Dias pasado]]),TablaDias[Hasta ],"&gt;="&amp;Cobros[[#This Row],[Dias pasado]])</f>
        <v>100</v>
      </c>
      <c r="Q95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7" s="34">
        <f>IF(COUNTIF(PAPEL[Numero],Cobros[[#This Row],[Doc. Cargo]])&gt;0,1,0)</f>
        <v>0</v>
      </c>
      <c r="S957" s="46">
        <f t="array" ref="S95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7" s="47">
        <v>120.005</v>
      </c>
      <c r="U957" s="34">
        <f>IF(Cobros[[#This Row],[Tipo]]="Credito",IF(60&gt;=Cobros[[#This Row],[Dias al pago]],1,0),IF(Cobros[[#This Row],[Dias al pago]]&lt;=3,1,0))</f>
        <v>1</v>
      </c>
      <c r="V957" s="46">
        <f>(Cobros[[#This Row],[% A pagar Vendedor]]/100)*Cobros[[#This Row],[Valor Pagado]]*Cobros[[#This Row],[Vencido]]*(Cobros[[#This Row],[% aplicar]]/100)*IF(Cobros[[#This Row],[% A pagar Vendedor]]&gt;0,1,0)</f>
        <v>6.834375</v>
      </c>
      <c r="W957" s="46">
        <f>0.5%*Cobros[[#This Row],[Valor Pagado]]</f>
        <v>2.73375</v>
      </c>
      <c r="X957" s="69"/>
    </row>
    <row r="958" spans="1:24">
      <c r="A958" s="49" t="s">
        <v>3860</v>
      </c>
      <c r="B958" s="49" t="s">
        <v>4968</v>
      </c>
      <c r="C958" s="49" t="s">
        <v>578</v>
      </c>
      <c r="D958" s="49" t="s">
        <v>579</v>
      </c>
      <c r="E958" s="49" t="s">
        <v>5328</v>
      </c>
      <c r="F958" s="51">
        <v>46188</v>
      </c>
      <c r="G958" s="49">
        <v>75.7</v>
      </c>
      <c r="H958" s="49" t="s">
        <v>19</v>
      </c>
      <c r="I958" s="51">
        <v>46225</v>
      </c>
      <c r="J958" s="54">
        <f>INT(Cobros[[#This Row],[Fecha Cargo]])</f>
        <v>46188</v>
      </c>
      <c r="K958" s="54">
        <f>INT(Cobros[[#This Row],[Fecha Aplicacion]])</f>
        <v>46225</v>
      </c>
      <c r="L958" s="55" t="str">
        <f>INDEX(Clientes[Días Plazo],MATCH(Cobros[[#This Row],[Cod. Cliente]],Clientes[Codigo],0),1)</f>
        <v>30</v>
      </c>
      <c r="M958" s="45" t="str">
        <f>IF(Cobros[[#This Row],[Dias de Credito]]&lt;=0,"Contado","Credito")</f>
        <v>Credito</v>
      </c>
      <c r="N958" s="45">
        <f>Cobros[[#This Row],[Fecha Aplicación S]]-Cobros[[#This Row],[Fecha Cargo S]]</f>
        <v>37</v>
      </c>
      <c r="O958" s="45">
        <f>Cobros[[#This Row],[Dias al pago]]-Cobros[[#This Row],[Dias de Credito]]</f>
        <v>7</v>
      </c>
      <c r="P958" s="45">
        <f>SUMIFS(TablaDias[Porcentaje],TablaDias[Tipo],Cobros[[#This Row],[Tipo]],TablaDias[Desde ],"&lt;="&amp;MAX(0,Cobros[[#This Row],[Dias pasado]]),TablaDias[Hasta ],"&gt;="&amp;Cobros[[#This Row],[Dias pasado]])</f>
        <v>100</v>
      </c>
      <c r="Q95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8" s="34">
        <f>IF(COUNTIF(PAPEL[Numero],Cobros[[#This Row],[Doc. Cargo]])&gt;0,1,0)</f>
        <v>0</v>
      </c>
      <c r="S958" s="46">
        <f t="array" ref="S95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8" s="47">
        <v>121.005</v>
      </c>
      <c r="U958" s="34">
        <f>IF(Cobros[[#This Row],[Tipo]]="Credito",IF(60&gt;=Cobros[[#This Row],[Dias al pago]],1,0),IF(Cobros[[#This Row],[Dias al pago]]&lt;=3,1,0))</f>
        <v>1</v>
      </c>
      <c r="V958" s="46">
        <f>(Cobros[[#This Row],[% A pagar Vendedor]]/100)*Cobros[[#This Row],[Valor Pagado]]*Cobros[[#This Row],[Vencido]]*(Cobros[[#This Row],[% aplicar]]/100)*IF(Cobros[[#This Row],[% A pagar Vendedor]]&gt;0,1,0)</f>
        <v>0.94625</v>
      </c>
      <c r="W958" s="46">
        <f>0.5%*Cobros[[#This Row],[Valor Pagado]]</f>
        <v>0.3785</v>
      </c>
      <c r="X958" s="69"/>
    </row>
    <row r="959" spans="1:24">
      <c r="A959" s="49" t="s">
        <v>3860</v>
      </c>
      <c r="B959" s="49" t="s">
        <v>5329</v>
      </c>
      <c r="C959" s="49" t="s">
        <v>578</v>
      </c>
      <c r="D959" s="49" t="s">
        <v>579</v>
      </c>
      <c r="E959" s="49" t="s">
        <v>5328</v>
      </c>
      <c r="F959" s="51">
        <v>46188</v>
      </c>
      <c r="G959" s="49">
        <v>22.55</v>
      </c>
      <c r="H959" s="49" t="s">
        <v>19</v>
      </c>
      <c r="I959" s="51">
        <v>46233</v>
      </c>
      <c r="J959" s="54">
        <f>INT(Cobros[[#This Row],[Fecha Cargo]])</f>
        <v>46188</v>
      </c>
      <c r="K959" s="54">
        <f>INT(Cobros[[#This Row],[Fecha Aplicacion]])</f>
        <v>46233</v>
      </c>
      <c r="L959" s="55" t="str">
        <f>INDEX(Clientes[Días Plazo],MATCH(Cobros[[#This Row],[Cod. Cliente]],Clientes[Codigo],0),1)</f>
        <v>30</v>
      </c>
      <c r="M959" s="45" t="str">
        <f>IF(Cobros[[#This Row],[Dias de Credito]]&lt;=0,"Contado","Credito")</f>
        <v>Credito</v>
      </c>
      <c r="N959" s="45">
        <f>Cobros[[#This Row],[Fecha Aplicación S]]-Cobros[[#This Row],[Fecha Cargo S]]</f>
        <v>45</v>
      </c>
      <c r="O959" s="45">
        <f>Cobros[[#This Row],[Dias al pago]]-Cobros[[#This Row],[Dias de Credito]]</f>
        <v>15</v>
      </c>
      <c r="P959" s="45">
        <f>SUMIFS(TablaDias[Porcentaje],TablaDias[Tipo],Cobros[[#This Row],[Tipo]],TablaDias[Desde ],"&lt;="&amp;MAX(0,Cobros[[#This Row],[Dias pasado]]),TablaDias[Hasta ],"&gt;="&amp;Cobros[[#This Row],[Dias pasado]])</f>
        <v>100</v>
      </c>
      <c r="Q95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59" s="34">
        <f>IF(COUNTIF(PAPEL[Numero],Cobros[[#This Row],[Doc. Cargo]])&gt;0,1,0)</f>
        <v>0</v>
      </c>
      <c r="S959" s="46">
        <f t="array" ref="S95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59" s="47">
        <v>122.005</v>
      </c>
      <c r="U959" s="34">
        <f>IF(Cobros[[#This Row],[Tipo]]="Credito",IF(60&gt;=Cobros[[#This Row],[Dias al pago]],1,0),IF(Cobros[[#This Row],[Dias al pago]]&lt;=3,1,0))</f>
        <v>1</v>
      </c>
      <c r="V959" s="46">
        <f>(Cobros[[#This Row],[% A pagar Vendedor]]/100)*Cobros[[#This Row],[Valor Pagado]]*Cobros[[#This Row],[Vencido]]*(Cobros[[#This Row],[% aplicar]]/100)*IF(Cobros[[#This Row],[% A pagar Vendedor]]&gt;0,1,0)</f>
        <v>0.281875</v>
      </c>
      <c r="W959" s="46">
        <f>0.5%*Cobros[[#This Row],[Valor Pagado]]</f>
        <v>0.11275</v>
      </c>
      <c r="X959" s="69"/>
    </row>
    <row r="960" spans="1:24">
      <c r="A960" s="49" t="s">
        <v>3860</v>
      </c>
      <c r="B960" s="49" t="s">
        <v>5329</v>
      </c>
      <c r="C960" s="49" t="s">
        <v>578</v>
      </c>
      <c r="D960" s="49" t="s">
        <v>579</v>
      </c>
      <c r="E960" s="49" t="s">
        <v>5330</v>
      </c>
      <c r="F960" s="51">
        <v>46188</v>
      </c>
      <c r="G960" s="49">
        <v>527.7</v>
      </c>
      <c r="H960" s="49" t="s">
        <v>19</v>
      </c>
      <c r="I960" s="51">
        <v>46233</v>
      </c>
      <c r="J960" s="54">
        <f>INT(Cobros[[#This Row],[Fecha Cargo]])</f>
        <v>46188</v>
      </c>
      <c r="K960" s="54">
        <f>INT(Cobros[[#This Row],[Fecha Aplicacion]])</f>
        <v>46233</v>
      </c>
      <c r="L960" s="55" t="str">
        <f>INDEX(Clientes[Días Plazo],MATCH(Cobros[[#This Row],[Cod. Cliente]],Clientes[Codigo],0),1)</f>
        <v>30</v>
      </c>
      <c r="M960" s="45" t="str">
        <f>IF(Cobros[[#This Row],[Dias de Credito]]&lt;=0,"Contado","Credito")</f>
        <v>Credito</v>
      </c>
      <c r="N960" s="45">
        <f>Cobros[[#This Row],[Fecha Aplicación S]]-Cobros[[#This Row],[Fecha Cargo S]]</f>
        <v>45</v>
      </c>
      <c r="O960" s="45">
        <f>Cobros[[#This Row],[Dias al pago]]-Cobros[[#This Row],[Dias de Credito]]</f>
        <v>15</v>
      </c>
      <c r="P960" s="45">
        <f>SUMIFS(TablaDias[Porcentaje],TablaDias[Tipo],Cobros[[#This Row],[Tipo]],TablaDias[Desde ],"&lt;="&amp;MAX(0,Cobros[[#This Row],[Dias pasado]]),TablaDias[Hasta ],"&gt;="&amp;Cobros[[#This Row],[Dias pasado]])</f>
        <v>100</v>
      </c>
      <c r="Q96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60" s="34">
        <f>IF(COUNTIF(PAPEL[Numero],Cobros[[#This Row],[Doc. Cargo]])&gt;0,1,0)</f>
        <v>0</v>
      </c>
      <c r="S960" s="46">
        <f t="array" ref="S96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0" s="47">
        <v>123.005</v>
      </c>
      <c r="U960" s="34">
        <f>IF(Cobros[[#This Row],[Tipo]]="Credito",IF(60&gt;=Cobros[[#This Row],[Dias al pago]],1,0),IF(Cobros[[#This Row],[Dias al pago]]&lt;=3,1,0))</f>
        <v>1</v>
      </c>
      <c r="V960" s="46">
        <f>(Cobros[[#This Row],[% A pagar Vendedor]]/100)*Cobros[[#This Row],[Valor Pagado]]*Cobros[[#This Row],[Vencido]]*(Cobros[[#This Row],[% aplicar]]/100)*IF(Cobros[[#This Row],[% A pagar Vendedor]]&gt;0,1,0)</f>
        <v>6.59625</v>
      </c>
      <c r="W960" s="46">
        <f>0.5%*Cobros[[#This Row],[Valor Pagado]]</f>
        <v>2.6385</v>
      </c>
      <c r="X960" s="69"/>
    </row>
    <row r="961" spans="1:24">
      <c r="A961" s="49" t="s">
        <v>3860</v>
      </c>
      <c r="B961" s="49" t="s">
        <v>5329</v>
      </c>
      <c r="C961" s="49" t="s">
        <v>578</v>
      </c>
      <c r="D961" s="49" t="s">
        <v>579</v>
      </c>
      <c r="E961" s="49" t="s">
        <v>5331</v>
      </c>
      <c r="F961" s="51">
        <v>46190</v>
      </c>
      <c r="G961" s="49">
        <v>94.75</v>
      </c>
      <c r="H961" s="49" t="s">
        <v>19</v>
      </c>
      <c r="I961" s="51">
        <v>46233</v>
      </c>
      <c r="J961" s="54">
        <f>INT(Cobros[[#This Row],[Fecha Cargo]])</f>
        <v>46190</v>
      </c>
      <c r="K961" s="54">
        <f>INT(Cobros[[#This Row],[Fecha Aplicacion]])</f>
        <v>46233</v>
      </c>
      <c r="L961" s="55" t="str">
        <f>INDEX(Clientes[Días Plazo],MATCH(Cobros[[#This Row],[Cod. Cliente]],Clientes[Codigo],0),1)</f>
        <v>30</v>
      </c>
      <c r="M961" s="45" t="str">
        <f>IF(Cobros[[#This Row],[Dias de Credito]]&lt;=0,"Contado","Credito")</f>
        <v>Credito</v>
      </c>
      <c r="N961" s="45">
        <f>Cobros[[#This Row],[Fecha Aplicación S]]-Cobros[[#This Row],[Fecha Cargo S]]</f>
        <v>43</v>
      </c>
      <c r="O961" s="45">
        <f>Cobros[[#This Row],[Dias al pago]]-Cobros[[#This Row],[Dias de Credito]]</f>
        <v>13</v>
      </c>
      <c r="P961" s="45">
        <f>SUMIFS(TablaDias[Porcentaje],TablaDias[Tipo],Cobros[[#This Row],[Tipo]],TablaDias[Desde ],"&lt;="&amp;MAX(0,Cobros[[#This Row],[Dias pasado]]),TablaDias[Hasta ],"&gt;="&amp;Cobros[[#This Row],[Dias pasado]])</f>
        <v>100</v>
      </c>
      <c r="Q96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61" s="34">
        <f>IF(COUNTIF(PAPEL[Numero],Cobros[[#This Row],[Doc. Cargo]])&gt;0,1,0)</f>
        <v>0</v>
      </c>
      <c r="S961" s="46">
        <f t="array" ref="S96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1" s="47">
        <v>124.005</v>
      </c>
      <c r="U961" s="34">
        <f>IF(Cobros[[#This Row],[Tipo]]="Credito",IF(60&gt;=Cobros[[#This Row],[Dias al pago]],1,0),IF(Cobros[[#This Row],[Dias al pago]]&lt;=3,1,0))</f>
        <v>1</v>
      </c>
      <c r="V961" s="46">
        <f>(Cobros[[#This Row],[% A pagar Vendedor]]/100)*Cobros[[#This Row],[Valor Pagado]]*Cobros[[#This Row],[Vencido]]*(Cobros[[#This Row],[% aplicar]]/100)*IF(Cobros[[#This Row],[% A pagar Vendedor]]&gt;0,1,0)</f>
        <v>1.184375</v>
      </c>
      <c r="W961" s="46">
        <v>0.47375</v>
      </c>
      <c r="X961" s="69"/>
    </row>
    <row r="962" spans="1:24">
      <c r="A962" s="49" t="s">
        <v>3860</v>
      </c>
      <c r="B962" s="49" t="s">
        <v>5329</v>
      </c>
      <c r="C962" s="49" t="s">
        <v>578</v>
      </c>
      <c r="D962" s="49" t="s">
        <v>579</v>
      </c>
      <c r="E962" s="49" t="s">
        <v>5332</v>
      </c>
      <c r="F962" s="51">
        <v>46192</v>
      </c>
      <c r="G962" s="49">
        <v>59</v>
      </c>
      <c r="H962" s="49" t="s">
        <v>19</v>
      </c>
      <c r="I962" s="51">
        <v>46233</v>
      </c>
      <c r="J962" s="54">
        <f>INT(Cobros[[#This Row],[Fecha Cargo]])</f>
        <v>46192</v>
      </c>
      <c r="K962" s="54">
        <f>INT(Cobros[[#This Row],[Fecha Aplicacion]])</f>
        <v>46233</v>
      </c>
      <c r="L962" s="55" t="str">
        <f>INDEX(Clientes[Días Plazo],MATCH(Cobros[[#This Row],[Cod. Cliente]],Clientes[Codigo],0),1)</f>
        <v>30</v>
      </c>
      <c r="M962" s="45" t="str">
        <f>IF(Cobros[[#This Row],[Dias de Credito]]&lt;=0,"Contado","Credito")</f>
        <v>Credito</v>
      </c>
      <c r="N962" s="45">
        <f>Cobros[[#This Row],[Fecha Aplicación S]]-Cobros[[#This Row],[Fecha Cargo S]]</f>
        <v>41</v>
      </c>
      <c r="O962" s="45">
        <f>Cobros[[#This Row],[Dias al pago]]-Cobros[[#This Row],[Dias de Credito]]</f>
        <v>11</v>
      </c>
      <c r="P962" s="45">
        <f>SUMIFS(TablaDias[Porcentaje],TablaDias[Tipo],Cobros[[#This Row],[Tipo]],TablaDias[Desde ],"&lt;="&amp;MAX(0,Cobros[[#This Row],[Dias pasado]]),TablaDias[Hasta ],"&gt;="&amp;Cobros[[#This Row],[Dias pasado]])</f>
        <v>100</v>
      </c>
      <c r="Q96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62" s="34">
        <f>IF(COUNTIF(PAPEL[Numero],Cobros[[#This Row],[Doc. Cargo]])&gt;0,1,0)</f>
        <v>0</v>
      </c>
      <c r="S962" s="46">
        <f t="array" ref="S96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2" s="47">
        <v>125.005</v>
      </c>
      <c r="U962" s="34">
        <f>IF(Cobros[[#This Row],[Tipo]]="Credito",IF(60&gt;=Cobros[[#This Row],[Dias al pago]],1,0),IF(Cobros[[#This Row],[Dias al pago]]&lt;=3,1,0))</f>
        <v>1</v>
      </c>
      <c r="V962" s="46">
        <f>(Cobros[[#This Row],[% A pagar Vendedor]]/100)*Cobros[[#This Row],[Valor Pagado]]*Cobros[[#This Row],[Vencido]]*(Cobros[[#This Row],[% aplicar]]/100)*IF(Cobros[[#This Row],[% A pagar Vendedor]]&gt;0,1,0)</f>
        <v>0.7375</v>
      </c>
      <c r="W962" s="46">
        <f>0.5%*Cobros[[#This Row],[Valor Pagado]]</f>
        <v>0.295</v>
      </c>
      <c r="X962" s="69"/>
    </row>
    <row r="963" spans="1:24">
      <c r="A963" s="49" t="s">
        <v>3931</v>
      </c>
      <c r="B963" s="49" t="s">
        <v>5333</v>
      </c>
      <c r="C963" s="49" t="s">
        <v>2115</v>
      </c>
      <c r="D963" s="49" t="s">
        <v>2116</v>
      </c>
      <c r="E963" s="49" t="s">
        <v>5334</v>
      </c>
      <c r="F963" s="51">
        <v>46233</v>
      </c>
      <c r="G963" s="49">
        <v>4200</v>
      </c>
      <c r="H963" s="49" t="s">
        <v>16</v>
      </c>
      <c r="I963" s="51">
        <v>46233</v>
      </c>
      <c r="J963" s="54">
        <f>INT(Cobros[[#This Row],[Fecha Cargo]])</f>
        <v>46233</v>
      </c>
      <c r="K963" s="54">
        <f>INT(Cobros[[#This Row],[Fecha Aplicacion]])</f>
        <v>46233</v>
      </c>
      <c r="L963" s="55">
        <f>INDEX(Clientes[Días Plazo],MATCH(Cobros[[#This Row],[Cod. Cliente]],Clientes[Codigo],0),1)</f>
        <v>0</v>
      </c>
      <c r="M963" s="45" t="str">
        <f>IF(Cobros[[#This Row],[Dias de Credito]]&lt;=0,"Contado","Credito")</f>
        <v>Contado</v>
      </c>
      <c r="N963" s="45">
        <f>Cobros[[#This Row],[Fecha Aplicación S]]-Cobros[[#This Row],[Fecha Cargo S]]</f>
        <v>0</v>
      </c>
      <c r="O963" s="45">
        <f>Cobros[[#This Row],[Dias al pago]]-Cobros[[#This Row],[Dias de Credito]]</f>
        <v>0</v>
      </c>
      <c r="P963" s="45">
        <f>SUMIFS(TablaDias[Porcentaje],TablaDias[Tipo],Cobros[[#This Row],[Tipo]],TablaDias[Desde ],"&lt;="&amp;MAX(0,Cobros[[#This Row],[Dias pasado]]),TablaDias[Hasta ],"&gt;="&amp;Cobros[[#This Row],[Dias pasado]])</f>
        <v>100</v>
      </c>
      <c r="Q96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3" s="34">
        <f>IF(COUNTIF(PAPEL[Numero],Cobros[[#This Row],[Doc. Cargo]])&gt;0,1,0)</f>
        <v>0</v>
      </c>
      <c r="S963" s="46">
        <f t="array" ref="S96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3" s="47">
        <v>126.005</v>
      </c>
      <c r="U963" s="34">
        <f>IF(Cobros[[#This Row],[Tipo]]="Credito",IF(60&gt;=Cobros[[#This Row],[Dias al pago]],1,0),IF(Cobros[[#This Row],[Dias al pago]]&lt;=3,1,0))</f>
        <v>1</v>
      </c>
      <c r="V963" s="46">
        <f>(Cobros[[#This Row],[% A pagar Vendedor]]/100)*Cobros[[#This Row],[Valor Pagado]]*Cobros[[#This Row],[Vencido]]*(Cobros[[#This Row],[% aplicar]]/100)*IF(Cobros[[#This Row],[% A pagar Vendedor]]&gt;0,1,0)</f>
        <v>52.5</v>
      </c>
      <c r="W963" s="46">
        <f>0.5%*Cobros[[#This Row],[Valor Pagado]]</f>
        <v>21</v>
      </c>
      <c r="X963" s="69"/>
    </row>
    <row r="964" ht="30" spans="1:24">
      <c r="A964" s="49" t="s">
        <v>3931</v>
      </c>
      <c r="B964" s="49" t="s">
        <v>5335</v>
      </c>
      <c r="C964" s="49" t="s">
        <v>2934</v>
      </c>
      <c r="D964" s="49" t="s">
        <v>2935</v>
      </c>
      <c r="E964" s="49" t="s">
        <v>5212</v>
      </c>
      <c r="F964" s="51">
        <v>46195</v>
      </c>
      <c r="G964" s="49">
        <v>1942</v>
      </c>
      <c r="H964" s="49" t="s">
        <v>22</v>
      </c>
      <c r="I964" s="51">
        <v>46233</v>
      </c>
      <c r="J964" s="54">
        <f>INT(Cobros[[#This Row],[Fecha Cargo]])</f>
        <v>46195</v>
      </c>
      <c r="K964" s="54">
        <f>INT(Cobros[[#This Row],[Fecha Aplicacion]])</f>
        <v>46233</v>
      </c>
      <c r="L964" s="55" t="str">
        <f>INDEX(Clientes[Días Plazo],MATCH(Cobros[[#This Row],[Cod. Cliente]],Clientes[Codigo],0),1)</f>
        <v>21</v>
      </c>
      <c r="M964" s="45" t="str">
        <f>IF(Cobros[[#This Row],[Dias de Credito]]&lt;=0,"Contado","Credito")</f>
        <v>Credito</v>
      </c>
      <c r="N964" s="45">
        <f>Cobros[[#This Row],[Fecha Aplicación S]]-Cobros[[#This Row],[Fecha Cargo S]]</f>
        <v>38</v>
      </c>
      <c r="O964" s="45">
        <f>Cobros[[#This Row],[Dias al pago]]-Cobros[[#This Row],[Dias de Credito]]</f>
        <v>17</v>
      </c>
      <c r="P964" s="45">
        <f>SUMIFS(TablaDias[Porcentaje],TablaDias[Tipo],Cobros[[#This Row],[Tipo]],TablaDias[Desde ],"&lt;="&amp;MAX(0,Cobros[[#This Row],[Dias pasado]]),TablaDias[Hasta ],"&gt;="&amp;Cobros[[#This Row],[Dias pasado]])</f>
        <v>50</v>
      </c>
      <c r="Q96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964" s="34">
        <f>IF(COUNTIF(PAPEL[Numero],Cobros[[#This Row],[Doc. Cargo]])&gt;0,1,0)</f>
        <v>0</v>
      </c>
      <c r="S964" s="46">
        <f t="array" ref="S96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64" s="47">
        <v>127.005</v>
      </c>
      <c r="U964" s="34">
        <f>IF(Cobros[[#This Row],[Tipo]]="Credito",IF(60&gt;=Cobros[[#This Row],[Dias al pago]],1,0),IF(Cobros[[#This Row],[Dias al pago]]&lt;=3,1,0))</f>
        <v>1</v>
      </c>
      <c r="V964" s="46">
        <f>(Cobros[[#This Row],[% A pagar Vendedor]]/100)*Cobros[[#This Row],[Valor Pagado]]*Cobros[[#This Row],[Vencido]]*(Cobros[[#This Row],[% aplicar]]/100)*IF(Cobros[[#This Row],[% A pagar Vendedor]]&gt;0,1,0)</f>
        <v>9.71</v>
      </c>
      <c r="W964" s="46">
        <f>0.5%*Cobros[[#This Row],[Valor Pagado]]</f>
        <v>9.71</v>
      </c>
      <c r="X964" s="69"/>
    </row>
    <row r="965" ht="30" spans="1:24">
      <c r="A965" s="49" t="s">
        <v>3904</v>
      </c>
      <c r="B965" s="49" t="s">
        <v>5336</v>
      </c>
      <c r="C965" s="49" t="s">
        <v>229</v>
      </c>
      <c r="D965" s="49" t="s">
        <v>230</v>
      </c>
      <c r="E965" s="49" t="s">
        <v>5337</v>
      </c>
      <c r="F965" s="51">
        <v>46233</v>
      </c>
      <c r="G965" s="49">
        <v>293</v>
      </c>
      <c r="H965" s="49" t="s">
        <v>22</v>
      </c>
      <c r="I965" s="51">
        <v>46233</v>
      </c>
      <c r="J965" s="54">
        <f>INT(Cobros[[#This Row],[Fecha Cargo]])</f>
        <v>46233</v>
      </c>
      <c r="K965" s="54">
        <f>INT(Cobros[[#This Row],[Fecha Aplicacion]])</f>
        <v>46233</v>
      </c>
      <c r="L965" s="55">
        <f>INDEX(Clientes[Días Plazo],MATCH(Cobros[[#This Row],[Cod. Cliente]],Clientes[Codigo],0),1)</f>
        <v>0</v>
      </c>
      <c r="M965" s="45" t="str">
        <f>IF(Cobros[[#This Row],[Dias de Credito]]&lt;=0,"Contado","Credito")</f>
        <v>Contado</v>
      </c>
      <c r="N965" s="45">
        <f>Cobros[[#This Row],[Fecha Aplicación S]]-Cobros[[#This Row],[Fecha Cargo S]]</f>
        <v>0</v>
      </c>
      <c r="O965" s="45">
        <f>Cobros[[#This Row],[Dias al pago]]-Cobros[[#This Row],[Dias de Credito]]</f>
        <v>0</v>
      </c>
      <c r="P965" s="45">
        <f>SUMIFS(TablaDias[Porcentaje],TablaDias[Tipo],Cobros[[#This Row],[Tipo]],TablaDias[Desde ],"&lt;="&amp;MAX(0,Cobros[[#This Row],[Dias pasado]]),TablaDias[Hasta ],"&gt;="&amp;Cobros[[#This Row],[Dias pasado]])</f>
        <v>100</v>
      </c>
      <c r="Q96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5" s="34">
        <f>IF(COUNTIF(PAPEL[Numero],Cobros[[#This Row],[Doc. Cargo]])&gt;0,1,0)</f>
        <v>0</v>
      </c>
      <c r="S965" s="46">
        <f t="array" ref="S96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65" s="47">
        <v>128.005</v>
      </c>
      <c r="U965" s="34">
        <f>IF(Cobros[[#This Row],[Tipo]]="Credito",IF(60&gt;=Cobros[[#This Row],[Dias al pago]],1,0),IF(Cobros[[#This Row],[Dias al pago]]&lt;=3,1,0))</f>
        <v>1</v>
      </c>
      <c r="V965" s="46">
        <f>(Cobros[[#This Row],[% A pagar Vendedor]]/100)*Cobros[[#This Row],[Valor Pagado]]*Cobros[[#This Row],[Vencido]]*(Cobros[[#This Row],[% aplicar]]/100)*IF(Cobros[[#This Row],[% A pagar Vendedor]]&gt;0,1,0)</f>
        <v>2.93</v>
      </c>
      <c r="W965" s="46">
        <f>0.5%*Cobros[[#This Row],[Valor Pagado]]</f>
        <v>1.465</v>
      </c>
      <c r="X965" s="69"/>
    </row>
    <row r="966" ht="30" spans="1:24">
      <c r="A966" s="49" t="s">
        <v>3860</v>
      </c>
      <c r="B966" s="49" t="s">
        <v>5338</v>
      </c>
      <c r="C966" s="49" t="s">
        <v>614</v>
      </c>
      <c r="D966" s="49" t="s">
        <v>615</v>
      </c>
      <c r="E966" s="49" t="s">
        <v>5339</v>
      </c>
      <c r="F966" s="51">
        <v>46220</v>
      </c>
      <c r="G966" s="49">
        <v>1900</v>
      </c>
      <c r="H966" s="49" t="s">
        <v>1355</v>
      </c>
      <c r="I966" s="51">
        <v>46231</v>
      </c>
      <c r="J966" s="54">
        <f>INT(Cobros[[#This Row],[Fecha Cargo]])</f>
        <v>46220</v>
      </c>
      <c r="K966" s="54">
        <f>INT(Cobros[[#This Row],[Fecha Aplicacion]])</f>
        <v>46231</v>
      </c>
      <c r="L966" s="55" t="str">
        <f>INDEX(Clientes[Días Plazo],MATCH(Cobros[[#This Row],[Cod. Cliente]],Clientes[Codigo],0),1)</f>
        <v>15</v>
      </c>
      <c r="M966" s="45" t="str">
        <f>IF(Cobros[[#This Row],[Dias de Credito]]&lt;=0,"Contado","Credito")</f>
        <v>Credito</v>
      </c>
      <c r="N966" s="45">
        <f>Cobros[[#This Row],[Fecha Aplicación S]]-Cobros[[#This Row],[Fecha Cargo S]]</f>
        <v>11</v>
      </c>
      <c r="O966" s="45">
        <f>Cobros[[#This Row],[Dias al pago]]-Cobros[[#This Row],[Dias de Credito]]</f>
        <v>-4</v>
      </c>
      <c r="P966" s="45">
        <f>SUMIFS(TablaDias[Porcentaje],TablaDias[Tipo],Cobros[[#This Row],[Tipo]],TablaDias[Desde ],"&lt;="&amp;MAX(0,Cobros[[#This Row],[Dias pasado]]),TablaDias[Hasta ],"&gt;="&amp;Cobros[[#This Row],[Dias pasado]])</f>
        <v>100</v>
      </c>
      <c r="Q96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6" s="34">
        <f>IF(COUNTIF(PAPEL[Numero],Cobros[[#This Row],[Doc. Cargo]])&gt;0,1,0)</f>
        <v>0</v>
      </c>
      <c r="S966" s="46">
        <v>1</v>
      </c>
      <c r="T966" s="47">
        <v>129.005</v>
      </c>
      <c r="U966" s="34">
        <f>IF(Cobros[[#This Row],[Tipo]]="Credito",IF(60&gt;=Cobros[[#This Row],[Dias al pago]],1,0),IF(Cobros[[#This Row],[Dias al pago]]&lt;=3,1,0))</f>
        <v>1</v>
      </c>
      <c r="V966" s="46">
        <f>(Cobros[[#This Row],[% A pagar Vendedor]]/100)*Cobros[[#This Row],[Valor Pagado]]*Cobros[[#This Row],[Vencido]]*(Cobros[[#This Row],[% aplicar]]/100)*IF(Cobros[[#This Row],[% A pagar Vendedor]]&gt;0,1,0)</f>
        <v>19</v>
      </c>
      <c r="W966" s="46">
        <f>0.5%*Cobros[[#This Row],[Valor Pagado]]</f>
        <v>9.5</v>
      </c>
      <c r="X966" s="69"/>
    </row>
    <row r="967" ht="30" spans="1:24">
      <c r="A967" s="49" t="s">
        <v>3860</v>
      </c>
      <c r="B967" s="49" t="s">
        <v>5340</v>
      </c>
      <c r="C967" s="49" t="s">
        <v>2515</v>
      </c>
      <c r="D967" s="49" t="s">
        <v>2516</v>
      </c>
      <c r="E967" s="49" t="s">
        <v>5341</v>
      </c>
      <c r="F967" s="51">
        <v>46230</v>
      </c>
      <c r="G967" s="49">
        <v>210</v>
      </c>
      <c r="H967" s="49" t="s">
        <v>1355</v>
      </c>
      <c r="I967" s="51">
        <v>46230</v>
      </c>
      <c r="J967" s="54">
        <f>INT(Cobros[[#This Row],[Fecha Cargo]])</f>
        <v>46230</v>
      </c>
      <c r="K967" s="54">
        <f>INT(Cobros[[#This Row],[Fecha Aplicacion]])</f>
        <v>46230</v>
      </c>
      <c r="L967" s="55">
        <f>INDEX(Clientes[Días Plazo],MATCH(Cobros[[#This Row],[Cod. Cliente]],Clientes[Codigo],0),1)</f>
        <v>0</v>
      </c>
      <c r="M967" s="45" t="str">
        <f>IF(Cobros[[#This Row],[Dias de Credito]]&lt;=0,"Contado","Credito")</f>
        <v>Contado</v>
      </c>
      <c r="N967" s="45">
        <f>Cobros[[#This Row],[Fecha Aplicación S]]-Cobros[[#This Row],[Fecha Cargo S]]</f>
        <v>0</v>
      </c>
      <c r="O967" s="45">
        <f>Cobros[[#This Row],[Dias al pago]]-Cobros[[#This Row],[Dias de Credito]]</f>
        <v>0</v>
      </c>
      <c r="P967" s="45">
        <f>SUMIFS(TablaDias[Porcentaje],TablaDias[Tipo],Cobros[[#This Row],[Tipo]],TablaDias[Desde ],"&lt;="&amp;MAX(0,Cobros[[#This Row],[Dias pasado]]),TablaDias[Hasta ],"&gt;="&amp;Cobros[[#This Row],[Dias pasado]])</f>
        <v>100</v>
      </c>
      <c r="Q96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7" s="34">
        <f>IF(COUNTIF(PAPEL[Numero],Cobros[[#This Row],[Doc. Cargo]])&gt;0,1,0)</f>
        <v>0</v>
      </c>
      <c r="S967" s="46">
        <v>1</v>
      </c>
      <c r="T967" s="47">
        <v>130.005</v>
      </c>
      <c r="U967" s="34">
        <f>IF(Cobros[[#This Row],[Tipo]]="Credito",IF(60&gt;=Cobros[[#This Row],[Dias al pago]],1,0),IF(Cobros[[#This Row],[Dias al pago]]&lt;=3,1,0))</f>
        <v>1</v>
      </c>
      <c r="V967" s="46">
        <f>(Cobros[[#This Row],[% A pagar Vendedor]]/100)*Cobros[[#This Row],[Valor Pagado]]*Cobros[[#This Row],[Vencido]]*(Cobros[[#This Row],[% aplicar]]/100)*IF(Cobros[[#This Row],[% A pagar Vendedor]]&gt;0,1,0)</f>
        <v>2.1</v>
      </c>
      <c r="W967" s="46">
        <f>0.5%*Cobros[[#This Row],[Valor Pagado]]</f>
        <v>1.05</v>
      </c>
      <c r="X967" s="69"/>
    </row>
    <row r="968" spans="1:24">
      <c r="A968" s="49" t="s">
        <v>3860</v>
      </c>
      <c r="B968" s="49" t="s">
        <v>5342</v>
      </c>
      <c r="C968" s="49" t="s">
        <v>1063</v>
      </c>
      <c r="D968" s="49" t="s">
        <v>1064</v>
      </c>
      <c r="E968" s="49" t="s">
        <v>5343</v>
      </c>
      <c r="F968" s="51">
        <v>46233</v>
      </c>
      <c r="G968" s="49">
        <v>56</v>
      </c>
      <c r="H968" s="49" t="s">
        <v>16</v>
      </c>
      <c r="I968" s="51">
        <v>46233</v>
      </c>
      <c r="J968" s="54">
        <f>INT(Cobros[[#This Row],[Fecha Cargo]])</f>
        <v>46233</v>
      </c>
      <c r="K968" s="54">
        <f>INT(Cobros[[#This Row],[Fecha Aplicacion]])</f>
        <v>46233</v>
      </c>
      <c r="L968" s="55">
        <f>INDEX(Clientes[Días Plazo],MATCH(Cobros[[#This Row],[Cod. Cliente]],Clientes[Codigo],0),1)</f>
        <v>0</v>
      </c>
      <c r="M968" s="45" t="str">
        <f>IF(Cobros[[#This Row],[Dias de Credito]]&lt;=0,"Contado","Credito")</f>
        <v>Contado</v>
      </c>
      <c r="N968" s="45">
        <f>Cobros[[#This Row],[Fecha Aplicación S]]-Cobros[[#This Row],[Fecha Cargo S]]</f>
        <v>0</v>
      </c>
      <c r="O968" s="45">
        <f>Cobros[[#This Row],[Dias al pago]]-Cobros[[#This Row],[Dias de Credito]]</f>
        <v>0</v>
      </c>
      <c r="P968" s="45">
        <f>SUMIFS(TablaDias[Porcentaje],TablaDias[Tipo],Cobros[[#This Row],[Tipo]],TablaDias[Desde ],"&lt;="&amp;MAX(0,Cobros[[#This Row],[Dias pasado]]),TablaDias[Hasta ],"&gt;="&amp;Cobros[[#This Row],[Dias pasado]])</f>
        <v>100</v>
      </c>
      <c r="Q96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8" s="34">
        <f>IF(COUNTIF(PAPEL[Numero],Cobros[[#This Row],[Doc. Cargo]])&gt;0,1,0)</f>
        <v>0</v>
      </c>
      <c r="S968" s="46">
        <f t="array" ref="S96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8" s="47">
        <v>131.005</v>
      </c>
      <c r="U968" s="34">
        <f>IF(Cobros[[#This Row],[Tipo]]="Credito",IF(60&gt;=Cobros[[#This Row],[Dias al pago]],1,0),IF(Cobros[[#This Row],[Dias al pago]]&lt;=3,1,0))</f>
        <v>1</v>
      </c>
      <c r="V968" s="46">
        <f>(Cobros[[#This Row],[% A pagar Vendedor]]/100)*Cobros[[#This Row],[Valor Pagado]]*Cobros[[#This Row],[Vencido]]*(Cobros[[#This Row],[% aplicar]]/100)*IF(Cobros[[#This Row],[% A pagar Vendedor]]&gt;0,1,0)</f>
        <v>0.7</v>
      </c>
      <c r="W968" s="46">
        <f>0.5%*Cobros[[#This Row],[Valor Pagado]]</f>
        <v>0.28</v>
      </c>
      <c r="X968" s="69"/>
    </row>
    <row r="969" spans="1:24">
      <c r="A969" s="49" t="s">
        <v>3860</v>
      </c>
      <c r="B969" s="49" t="s">
        <v>5344</v>
      </c>
      <c r="C969" s="49" t="s">
        <v>2593</v>
      </c>
      <c r="D969" s="49" t="s">
        <v>2594</v>
      </c>
      <c r="E969" s="49" t="s">
        <v>5345</v>
      </c>
      <c r="F969" s="51">
        <v>46233</v>
      </c>
      <c r="G969" s="49">
        <v>126.2</v>
      </c>
      <c r="H969" s="49" t="s">
        <v>20</v>
      </c>
      <c r="I969" s="51">
        <v>46233</v>
      </c>
      <c r="J969" s="54">
        <f>INT(Cobros[[#This Row],[Fecha Cargo]])</f>
        <v>46233</v>
      </c>
      <c r="K969" s="54">
        <f>INT(Cobros[[#This Row],[Fecha Aplicacion]])</f>
        <v>46233</v>
      </c>
      <c r="L969" s="55">
        <f>INDEX(Clientes[Días Plazo],MATCH(Cobros[[#This Row],[Cod. Cliente]],Clientes[Codigo],0),1)</f>
        <v>0</v>
      </c>
      <c r="M969" s="45" t="str">
        <f>IF(Cobros[[#This Row],[Dias de Credito]]&lt;=0,"Contado","Credito")</f>
        <v>Contado</v>
      </c>
      <c r="N969" s="45">
        <f>Cobros[[#This Row],[Fecha Aplicación S]]-Cobros[[#This Row],[Fecha Cargo S]]</f>
        <v>0</v>
      </c>
      <c r="O969" s="45">
        <f>Cobros[[#This Row],[Dias al pago]]-Cobros[[#This Row],[Dias de Credito]]</f>
        <v>0</v>
      </c>
      <c r="P969" s="45">
        <f>SUMIFS(TablaDias[Porcentaje],TablaDias[Tipo],Cobros[[#This Row],[Tipo]],TablaDias[Desde ],"&lt;="&amp;MAX(0,Cobros[[#This Row],[Dias pasado]]),TablaDias[Hasta ],"&gt;="&amp;Cobros[[#This Row],[Dias pasado]])</f>
        <v>100</v>
      </c>
      <c r="Q96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69" s="34">
        <f>IF(COUNTIF(PAPEL[Numero],Cobros[[#This Row],[Doc. Cargo]])&gt;0,1,0)</f>
        <v>0</v>
      </c>
      <c r="S969" s="46">
        <f t="array" ref="S96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69" s="47">
        <v>132.005</v>
      </c>
      <c r="U969" s="34">
        <f>IF(Cobros[[#This Row],[Tipo]]="Credito",IF(60&gt;=Cobros[[#This Row],[Dias al pago]],1,0),IF(Cobros[[#This Row],[Dias al pago]]&lt;=3,1,0))</f>
        <v>1</v>
      </c>
      <c r="V969" s="46">
        <f>(Cobros[[#This Row],[% A pagar Vendedor]]/100)*Cobros[[#This Row],[Valor Pagado]]*Cobros[[#This Row],[Vencido]]*(Cobros[[#This Row],[% aplicar]]/100)*IF(Cobros[[#This Row],[% A pagar Vendedor]]&gt;0,1,0)</f>
        <v>1.5775</v>
      </c>
      <c r="W969" s="46">
        <f>0.5%*Cobros[[#This Row],[Valor Pagado]]</f>
        <v>0.631</v>
      </c>
      <c r="X969" s="69"/>
    </row>
    <row r="970" ht="30" spans="1:24">
      <c r="A970" s="49" t="s">
        <v>3860</v>
      </c>
      <c r="B970" s="49" t="s">
        <v>5346</v>
      </c>
      <c r="C970" s="49" t="s">
        <v>1358</v>
      </c>
      <c r="D970" s="49" t="s">
        <v>1359</v>
      </c>
      <c r="E970" s="49" t="s">
        <v>5347</v>
      </c>
      <c r="F970" s="51">
        <v>46233</v>
      </c>
      <c r="G970" s="49">
        <v>4635.6</v>
      </c>
      <c r="H970" s="49" t="s">
        <v>1355</v>
      </c>
      <c r="I970" s="51">
        <v>46230</v>
      </c>
      <c r="J970" s="54">
        <f>INT(Cobros[[#This Row],[Fecha Cargo]])</f>
        <v>46233</v>
      </c>
      <c r="K970" s="54">
        <f>INT(Cobros[[#This Row],[Fecha Aplicacion]])</f>
        <v>46230</v>
      </c>
      <c r="L970" s="55">
        <f>INDEX(Clientes[Días Plazo],MATCH(Cobros[[#This Row],[Cod. Cliente]],Clientes[Codigo],0),1)</f>
        <v>0</v>
      </c>
      <c r="M970" s="45" t="str">
        <f>IF(Cobros[[#This Row],[Dias de Credito]]&lt;=0,"Contado","Credito")</f>
        <v>Contado</v>
      </c>
      <c r="N970" s="45">
        <f>Cobros[[#This Row],[Fecha Aplicación S]]-Cobros[[#This Row],[Fecha Cargo S]]</f>
        <v>-3</v>
      </c>
      <c r="O970" s="45">
        <f>Cobros[[#This Row],[Dias al pago]]-Cobros[[#This Row],[Dias de Credito]]</f>
        <v>-3</v>
      </c>
      <c r="P970" s="45">
        <f>SUMIFS(TablaDias[Porcentaje],TablaDias[Tipo],Cobros[[#This Row],[Tipo]],TablaDias[Desde ],"&lt;="&amp;MAX(0,Cobros[[#This Row],[Dias pasado]]),TablaDias[Hasta ],"&gt;="&amp;Cobros[[#This Row],[Dias pasado]])</f>
        <v>100</v>
      </c>
      <c r="Q97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0" s="34">
        <f>IF(COUNTIF(PAPEL[Numero],Cobros[[#This Row],[Doc. Cargo]])&gt;0,1,0)</f>
        <v>0</v>
      </c>
      <c r="S970" s="46">
        <v>1</v>
      </c>
      <c r="T970" s="47">
        <v>136.005</v>
      </c>
      <c r="U970" s="34">
        <f>IF(Cobros[[#This Row],[Tipo]]="Credito",IF(60&gt;=Cobros[[#This Row],[Dias al pago]],1,0),IF(Cobros[[#This Row],[Dias al pago]]&lt;=3,1,0))</f>
        <v>1</v>
      </c>
      <c r="V970" s="46">
        <f>(Cobros[[#This Row],[% A pagar Vendedor]]/100)*Cobros[[#This Row],[Valor Pagado]]*Cobros[[#This Row],[Vencido]]*(Cobros[[#This Row],[% aplicar]]/100)*IF(Cobros[[#This Row],[% A pagar Vendedor]]&gt;0,1,0)</f>
        <v>46.356</v>
      </c>
      <c r="W970" s="46">
        <f>0.5%*Cobros[[#This Row],[Valor Pagado]]</f>
        <v>23.178</v>
      </c>
      <c r="X970" s="69"/>
    </row>
    <row r="971" ht="30" spans="1:24">
      <c r="A971" s="49" t="s">
        <v>3860</v>
      </c>
      <c r="B971" s="49" t="s">
        <v>5348</v>
      </c>
      <c r="C971" s="49" t="s">
        <v>1358</v>
      </c>
      <c r="D971" s="49" t="s">
        <v>1359</v>
      </c>
      <c r="E971" s="49" t="s">
        <v>5349</v>
      </c>
      <c r="F971" s="51">
        <v>46213</v>
      </c>
      <c r="G971" s="49">
        <v>3582.8</v>
      </c>
      <c r="H971" s="49" t="s">
        <v>1355</v>
      </c>
      <c r="I971" s="51">
        <v>46210</v>
      </c>
      <c r="J971" s="54">
        <f>INT(Cobros[[#This Row],[Fecha Cargo]])</f>
        <v>46213</v>
      </c>
      <c r="K971" s="54">
        <f>INT(Cobros[[#This Row],[Fecha Aplicacion]])</f>
        <v>46210</v>
      </c>
      <c r="L971" s="55">
        <f>INDEX(Clientes[Días Plazo],MATCH(Cobros[[#This Row],[Cod. Cliente]],Clientes[Codigo],0),1)</f>
        <v>0</v>
      </c>
      <c r="M971" s="45" t="str">
        <f>IF(Cobros[[#This Row],[Dias de Credito]]&lt;=0,"Contado","Credito")</f>
        <v>Contado</v>
      </c>
      <c r="N971" s="45">
        <f>Cobros[[#This Row],[Fecha Aplicación S]]-Cobros[[#This Row],[Fecha Cargo S]]</f>
        <v>-3</v>
      </c>
      <c r="O971" s="45">
        <f>Cobros[[#This Row],[Dias al pago]]-Cobros[[#This Row],[Dias de Credito]]</f>
        <v>-3</v>
      </c>
      <c r="P971" s="45">
        <f>SUMIFS(TablaDias[Porcentaje],TablaDias[Tipo],Cobros[[#This Row],[Tipo]],TablaDias[Desde ],"&lt;="&amp;MAX(0,Cobros[[#This Row],[Dias pasado]]),TablaDias[Hasta ],"&gt;="&amp;Cobros[[#This Row],[Dias pasado]])</f>
        <v>100</v>
      </c>
      <c r="Q97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1" s="34">
        <f>IF(COUNTIF(PAPEL[Numero],Cobros[[#This Row],[Doc. Cargo]])&gt;0,1,0)</f>
        <v>0</v>
      </c>
      <c r="S971" s="46">
        <v>1</v>
      </c>
      <c r="T971" s="47">
        <v>137.005</v>
      </c>
      <c r="U971" s="34">
        <f>IF(Cobros[[#This Row],[Tipo]]="Credito",IF(60&gt;=Cobros[[#This Row],[Dias al pago]],1,0),IF(Cobros[[#This Row],[Dias al pago]]&lt;=3,1,0))</f>
        <v>1</v>
      </c>
      <c r="V971" s="46">
        <f>(Cobros[[#This Row],[% A pagar Vendedor]]/100)*Cobros[[#This Row],[Valor Pagado]]*Cobros[[#This Row],[Vencido]]*(Cobros[[#This Row],[% aplicar]]/100)*IF(Cobros[[#This Row],[% A pagar Vendedor]]&gt;0,1,0)</f>
        <v>35.828</v>
      </c>
      <c r="W971" s="46">
        <f>0.5%*Cobros[[#This Row],[Valor Pagado]]</f>
        <v>17.914</v>
      </c>
      <c r="X971" s="69"/>
    </row>
    <row r="972" ht="30" spans="1:24">
      <c r="A972" s="49" t="s">
        <v>3961</v>
      </c>
      <c r="B972" s="49" t="s">
        <v>5350</v>
      </c>
      <c r="C972" s="49" t="s">
        <v>975</v>
      </c>
      <c r="D972" s="49" t="s">
        <v>976</v>
      </c>
      <c r="E972" s="49" t="s">
        <v>5351</v>
      </c>
      <c r="F972" s="51">
        <v>46233</v>
      </c>
      <c r="G972" s="49">
        <v>446</v>
      </c>
      <c r="H972" s="49" t="s">
        <v>1355</v>
      </c>
      <c r="I972" s="51">
        <v>46233</v>
      </c>
      <c r="J972" s="54">
        <f>INT(Cobros[[#This Row],[Fecha Cargo]])</f>
        <v>46233</v>
      </c>
      <c r="K972" s="54">
        <f>INT(Cobros[[#This Row],[Fecha Aplicacion]])</f>
        <v>46233</v>
      </c>
      <c r="L972" s="55">
        <f>INDEX(Clientes[Días Plazo],MATCH(Cobros[[#This Row],[Cod. Cliente]],Clientes[Codigo],0),1)</f>
        <v>0</v>
      </c>
      <c r="M972" s="45" t="str">
        <f>IF(Cobros[[#This Row],[Dias de Credito]]&lt;=0,"Contado","Credito")</f>
        <v>Contado</v>
      </c>
      <c r="N972" s="45">
        <f>Cobros[[#This Row],[Fecha Aplicación S]]-Cobros[[#This Row],[Fecha Cargo S]]</f>
        <v>0</v>
      </c>
      <c r="O972" s="45">
        <f>Cobros[[#This Row],[Dias al pago]]-Cobros[[#This Row],[Dias de Credito]]</f>
        <v>0</v>
      </c>
      <c r="P972" s="45">
        <f>SUMIFS(TablaDias[Porcentaje],TablaDias[Tipo],Cobros[[#This Row],[Tipo]],TablaDias[Desde ],"&lt;="&amp;MAX(0,Cobros[[#This Row],[Dias pasado]]),TablaDias[Hasta ],"&gt;="&amp;Cobros[[#This Row],[Dias pasado]])</f>
        <v>100</v>
      </c>
      <c r="Q97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2" s="34">
        <f>IF(COUNTIF(PAPEL[Numero],Cobros[[#This Row],[Doc. Cargo]])&gt;0,1,0)</f>
        <v>0</v>
      </c>
      <c r="S972" s="46">
        <v>1</v>
      </c>
      <c r="T972" s="47">
        <v>138.005</v>
      </c>
      <c r="U972" s="34">
        <f>IF(Cobros[[#This Row],[Tipo]]="Credito",IF(60&gt;=Cobros[[#This Row],[Dias al pago]],1,0),IF(Cobros[[#This Row],[Dias al pago]]&lt;=3,1,0))</f>
        <v>1</v>
      </c>
      <c r="V972" s="46">
        <f>(Cobros[[#This Row],[% A pagar Vendedor]]/100)*Cobros[[#This Row],[Valor Pagado]]*Cobros[[#This Row],[Vencido]]*(Cobros[[#This Row],[% aplicar]]/100)*IF(Cobros[[#This Row],[% A pagar Vendedor]]&gt;0,1,0)</f>
        <v>4.46</v>
      </c>
      <c r="W972" s="46">
        <f>0.5%*Cobros[[#This Row],[Valor Pagado]]</f>
        <v>2.23</v>
      </c>
      <c r="X972" s="69"/>
    </row>
    <row r="973" ht="30" spans="1:24">
      <c r="A973" s="49" t="s">
        <v>3860</v>
      </c>
      <c r="B973" s="49" t="s">
        <v>5352</v>
      </c>
      <c r="C973" s="49" t="s">
        <v>395</v>
      </c>
      <c r="D973" s="49" t="s">
        <v>396</v>
      </c>
      <c r="E973" s="49" t="s">
        <v>5353</v>
      </c>
      <c r="F973" s="51">
        <v>46233</v>
      </c>
      <c r="G973" s="49">
        <v>239.9</v>
      </c>
      <c r="H973" s="49" t="s">
        <v>1355</v>
      </c>
      <c r="I973" s="51">
        <v>46233</v>
      </c>
      <c r="J973" s="54">
        <f>INT(Cobros[[#This Row],[Fecha Cargo]])</f>
        <v>46233</v>
      </c>
      <c r="K973" s="54">
        <f>INT(Cobros[[#This Row],[Fecha Aplicacion]])</f>
        <v>46233</v>
      </c>
      <c r="L973" s="55">
        <f>INDEX(Clientes[Días Plazo],MATCH(Cobros[[#This Row],[Cod. Cliente]],Clientes[Codigo],0),1)</f>
        <v>0</v>
      </c>
      <c r="M973" s="45" t="str">
        <f>IF(Cobros[[#This Row],[Dias de Credito]]&lt;=0,"Contado","Credito")</f>
        <v>Contado</v>
      </c>
      <c r="N973" s="45">
        <f>Cobros[[#This Row],[Fecha Aplicación S]]-Cobros[[#This Row],[Fecha Cargo S]]</f>
        <v>0</v>
      </c>
      <c r="O973" s="45">
        <f>Cobros[[#This Row],[Dias al pago]]-Cobros[[#This Row],[Dias de Credito]]</f>
        <v>0</v>
      </c>
      <c r="P973" s="45">
        <f>SUMIFS(TablaDias[Porcentaje],TablaDias[Tipo],Cobros[[#This Row],[Tipo]],TablaDias[Desde ],"&lt;="&amp;MAX(0,Cobros[[#This Row],[Dias pasado]]),TablaDias[Hasta ],"&gt;="&amp;Cobros[[#This Row],[Dias pasado]])</f>
        <v>100</v>
      </c>
      <c r="Q97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3" s="34">
        <f>IF(COUNTIF(PAPEL[Numero],Cobros[[#This Row],[Doc. Cargo]])&gt;0,1,0)</f>
        <v>0</v>
      </c>
      <c r="S973" s="46">
        <v>1</v>
      </c>
      <c r="T973" s="47">
        <v>139.005</v>
      </c>
      <c r="U973" s="34">
        <f>IF(Cobros[[#This Row],[Tipo]]="Credito",IF(60&gt;=Cobros[[#This Row],[Dias al pago]],1,0),IF(Cobros[[#This Row],[Dias al pago]]&lt;=3,1,0))</f>
        <v>1</v>
      </c>
      <c r="V973" s="46">
        <f>(Cobros[[#This Row],[% A pagar Vendedor]]/100)*Cobros[[#This Row],[Valor Pagado]]*Cobros[[#This Row],[Vencido]]*(Cobros[[#This Row],[% aplicar]]/100)*IF(Cobros[[#This Row],[% A pagar Vendedor]]&gt;0,1,0)</f>
        <v>2.399</v>
      </c>
      <c r="W973" s="46">
        <f>0.5%*Cobros[[#This Row],[Valor Pagado]]</f>
        <v>1.1995</v>
      </c>
      <c r="X973" s="69"/>
    </row>
    <row r="974" spans="1:24">
      <c r="A974" s="49" t="s">
        <v>3884</v>
      </c>
      <c r="B974" s="49" t="s">
        <v>5354</v>
      </c>
      <c r="C974" s="49" t="s">
        <v>1081</v>
      </c>
      <c r="D974" s="49" t="s">
        <v>1082</v>
      </c>
      <c r="E974" s="49" t="s">
        <v>5355</v>
      </c>
      <c r="F974" s="51">
        <v>46224</v>
      </c>
      <c r="G974" s="49">
        <v>690</v>
      </c>
      <c r="H974" s="49" t="s">
        <v>20</v>
      </c>
      <c r="I974" s="51">
        <v>46223</v>
      </c>
      <c r="J974" s="54">
        <f>INT(Cobros[[#This Row],[Fecha Cargo]])</f>
        <v>46224</v>
      </c>
      <c r="K974" s="54">
        <f>INT(Cobros[[#This Row],[Fecha Aplicacion]])</f>
        <v>46223</v>
      </c>
      <c r="L974" s="55">
        <f>INDEX(Clientes[Días Plazo],MATCH(Cobros[[#This Row],[Cod. Cliente]],Clientes[Codigo],0),1)</f>
        <v>0</v>
      </c>
      <c r="M974" s="45" t="str">
        <f>IF(Cobros[[#This Row],[Dias de Credito]]&lt;=0,"Contado","Credito")</f>
        <v>Contado</v>
      </c>
      <c r="N974" s="45">
        <f>Cobros[[#This Row],[Fecha Aplicación S]]-Cobros[[#This Row],[Fecha Cargo S]]</f>
        <v>-1</v>
      </c>
      <c r="O974" s="45">
        <f>Cobros[[#This Row],[Dias al pago]]-Cobros[[#This Row],[Dias de Credito]]</f>
        <v>-1</v>
      </c>
      <c r="P974" s="45">
        <f>SUMIFS(TablaDias[Porcentaje],TablaDias[Tipo],Cobros[[#This Row],[Tipo]],TablaDias[Desde ],"&lt;="&amp;MAX(0,Cobros[[#This Row],[Dias pasado]]),TablaDias[Hasta ],"&gt;="&amp;Cobros[[#This Row],[Dias pasado]])</f>
        <v>100</v>
      </c>
      <c r="Q97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4" s="34">
        <f>IF(COUNTIF(PAPEL[Numero],Cobros[[#This Row],[Doc. Cargo]])&gt;0,1,0)</f>
        <v>0</v>
      </c>
      <c r="S974" s="46">
        <f t="array" ref="S97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4" s="47">
        <v>140.005</v>
      </c>
      <c r="U974" s="34">
        <f>IF(Cobros[[#This Row],[Tipo]]="Credito",IF(60&gt;=Cobros[[#This Row],[Dias al pago]],1,0),IF(Cobros[[#This Row],[Dias al pago]]&lt;=3,1,0))</f>
        <v>1</v>
      </c>
      <c r="V974" s="46">
        <f>(Cobros[[#This Row],[% A pagar Vendedor]]/100)*Cobros[[#This Row],[Valor Pagado]]*Cobros[[#This Row],[Vencido]]*(Cobros[[#This Row],[% aplicar]]/100)*IF(Cobros[[#This Row],[% A pagar Vendedor]]&gt;0,1,0)</f>
        <v>8.625</v>
      </c>
      <c r="W974" s="46">
        <v>3.45</v>
      </c>
      <c r="X974" s="69"/>
    </row>
    <row r="975" spans="1:24">
      <c r="A975" s="49" t="s">
        <v>3860</v>
      </c>
      <c r="B975" s="49" t="s">
        <v>5356</v>
      </c>
      <c r="C975" s="49" t="s">
        <v>1655</v>
      </c>
      <c r="D975" s="49" t="s">
        <v>1656</v>
      </c>
      <c r="E975" s="49" t="s">
        <v>5357</v>
      </c>
      <c r="F975" s="51">
        <v>46219</v>
      </c>
      <c r="G975" s="49">
        <v>855.36</v>
      </c>
      <c r="H975" s="49" t="s">
        <v>20</v>
      </c>
      <c r="I975" s="51">
        <v>46218</v>
      </c>
      <c r="J975" s="54">
        <f>INT(Cobros[[#This Row],[Fecha Cargo]])</f>
        <v>46219</v>
      </c>
      <c r="K975" s="54">
        <f>INT(Cobros[[#This Row],[Fecha Aplicacion]])</f>
        <v>46218</v>
      </c>
      <c r="L975" s="55">
        <f>INDEX(Clientes[Días Plazo],MATCH(Cobros[[#This Row],[Cod. Cliente]],Clientes[Codigo],0),1)</f>
        <v>0</v>
      </c>
      <c r="M975" s="45" t="str">
        <f>IF(Cobros[[#This Row],[Dias de Credito]]&lt;=0,"Contado","Credito")</f>
        <v>Contado</v>
      </c>
      <c r="N975" s="45">
        <f>Cobros[[#This Row],[Fecha Aplicación S]]-Cobros[[#This Row],[Fecha Cargo S]]</f>
        <v>-1</v>
      </c>
      <c r="O975" s="45">
        <f>Cobros[[#This Row],[Dias al pago]]-Cobros[[#This Row],[Dias de Credito]]</f>
        <v>-1</v>
      </c>
      <c r="P975" s="45">
        <f>SUMIFS(TablaDias[Porcentaje],TablaDias[Tipo],Cobros[[#This Row],[Tipo]],TablaDias[Desde ],"&lt;="&amp;MAX(0,Cobros[[#This Row],[Dias pasado]]),TablaDias[Hasta ],"&gt;="&amp;Cobros[[#This Row],[Dias pasado]])</f>
        <v>100</v>
      </c>
      <c r="Q97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5" s="34">
        <f>IF(COUNTIF(PAPEL[Numero],Cobros[[#This Row],[Doc. Cargo]])&gt;0,1,0)</f>
        <v>0</v>
      </c>
      <c r="S975" s="46">
        <f t="array" ref="S97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5" s="47">
        <v>141.005</v>
      </c>
      <c r="U975" s="34">
        <f>IF(Cobros[[#This Row],[Tipo]]="Credito",IF(60&gt;=Cobros[[#This Row],[Dias al pago]],1,0),IF(Cobros[[#This Row],[Dias al pago]]&lt;=3,1,0))</f>
        <v>1</v>
      </c>
      <c r="V975" s="46">
        <f>(Cobros[[#This Row],[% A pagar Vendedor]]/100)*Cobros[[#This Row],[Valor Pagado]]*Cobros[[#This Row],[Vencido]]*(Cobros[[#This Row],[% aplicar]]/100)*IF(Cobros[[#This Row],[% A pagar Vendedor]]&gt;0,1,0)</f>
        <v>10.692</v>
      </c>
      <c r="W975" s="46">
        <f>0.5%*Cobros[[#This Row],[Valor Pagado]]</f>
        <v>4.2768</v>
      </c>
      <c r="X975" s="69"/>
    </row>
    <row r="976" spans="1:24">
      <c r="A976" s="49" t="s">
        <v>3884</v>
      </c>
      <c r="B976" s="49" t="s">
        <v>5358</v>
      </c>
      <c r="C976" s="49" t="s">
        <v>2256</v>
      </c>
      <c r="D976" s="49" t="s">
        <v>2257</v>
      </c>
      <c r="E976" s="49" t="s">
        <v>5359</v>
      </c>
      <c r="F976" s="51">
        <v>46213</v>
      </c>
      <c r="G976" s="49">
        <v>259</v>
      </c>
      <c r="H976" s="49" t="s">
        <v>20</v>
      </c>
      <c r="I976" s="51">
        <v>46212</v>
      </c>
      <c r="J976" s="54">
        <f>INT(Cobros[[#This Row],[Fecha Cargo]])</f>
        <v>46213</v>
      </c>
      <c r="K976" s="54">
        <f>INT(Cobros[[#This Row],[Fecha Aplicacion]])</f>
        <v>46212</v>
      </c>
      <c r="L976" s="55">
        <f>INDEX(Clientes[Días Plazo],MATCH(Cobros[[#This Row],[Cod. Cliente]],Clientes[Codigo],0),1)</f>
        <v>0</v>
      </c>
      <c r="M976" s="45" t="str">
        <f>IF(Cobros[[#This Row],[Dias de Credito]]&lt;=0,"Contado","Credito")</f>
        <v>Contado</v>
      </c>
      <c r="N976" s="45">
        <f>Cobros[[#This Row],[Fecha Aplicación S]]-Cobros[[#This Row],[Fecha Cargo S]]</f>
        <v>-1</v>
      </c>
      <c r="O976" s="45">
        <v>-1</v>
      </c>
      <c r="P976" s="45">
        <f>SUMIFS(TablaDias[Porcentaje],TablaDias[Tipo],Cobros[[#This Row],[Tipo]],TablaDias[Desde ],"&lt;="&amp;MAX(0,Cobros[[#This Row],[Dias pasado]]),TablaDias[Hasta ],"&gt;="&amp;Cobros[[#This Row],[Dias pasado]])</f>
        <v>100</v>
      </c>
      <c r="Q97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6" s="34">
        <f>IF(COUNTIF(PAPEL[Numero],Cobros[[#This Row],[Doc. Cargo]])&gt;0,1,0)</f>
        <v>0</v>
      </c>
      <c r="S976" s="46">
        <f t="array" ref="S97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6" s="47">
        <v>142.005</v>
      </c>
      <c r="U976" s="34">
        <f>IF(Cobros[[#This Row],[Tipo]]="Credito",IF(60&gt;=Cobros[[#This Row],[Dias al pago]],1,0),IF(Cobros[[#This Row],[Dias al pago]]&lt;=3,1,0))</f>
        <v>1</v>
      </c>
      <c r="V976" s="46">
        <f>(Cobros[[#This Row],[% A pagar Vendedor]]/100)*Cobros[[#This Row],[Valor Pagado]]*Cobros[[#This Row],[Vencido]]*(Cobros[[#This Row],[% aplicar]]/100)*IF(Cobros[[#This Row],[% A pagar Vendedor]]&gt;0,1,0)</f>
        <v>3.2375</v>
      </c>
      <c r="W976" s="46">
        <f>0.5%*Cobros[[#This Row],[Valor Pagado]]</f>
        <v>1.295</v>
      </c>
      <c r="X976" s="69"/>
    </row>
    <row r="977" spans="1:24">
      <c r="A977" s="49" t="s">
        <v>3860</v>
      </c>
      <c r="B977" s="49" t="s">
        <v>5360</v>
      </c>
      <c r="C977" s="49" t="s">
        <v>3584</v>
      </c>
      <c r="D977" s="49" t="s">
        <v>3585</v>
      </c>
      <c r="E977" s="49" t="s">
        <v>5361</v>
      </c>
      <c r="F977" s="51">
        <v>46210</v>
      </c>
      <c r="G977" s="49">
        <v>732</v>
      </c>
      <c r="H977" s="49" t="s">
        <v>20</v>
      </c>
      <c r="I977" s="51">
        <v>46210</v>
      </c>
      <c r="J977" s="54">
        <f>INT(Cobros[[#This Row],[Fecha Cargo]])</f>
        <v>46210</v>
      </c>
      <c r="K977" s="54">
        <f>INT(Cobros[[#This Row],[Fecha Aplicacion]])</f>
        <v>46210</v>
      </c>
      <c r="L977" s="55">
        <f>INDEX(Clientes[Días Plazo],MATCH(Cobros[[#This Row],[Cod. Cliente]],Clientes[Codigo],0),1)</f>
        <v>0</v>
      </c>
      <c r="M977" s="45" t="str">
        <f>IF(Cobros[[#This Row],[Dias de Credito]]&lt;=0,"Contado","Credito")</f>
        <v>Contado</v>
      </c>
      <c r="N977" s="45">
        <f>Cobros[[#This Row],[Fecha Aplicación S]]-Cobros[[#This Row],[Fecha Cargo S]]</f>
        <v>0</v>
      </c>
      <c r="O977" s="45">
        <f>Cobros[[#This Row],[Dias al pago]]-Cobros[[#This Row],[Dias de Credito]]</f>
        <v>0</v>
      </c>
      <c r="P977" s="45">
        <f>SUMIFS(TablaDias[Porcentaje],TablaDias[Tipo],Cobros[[#This Row],[Tipo]],TablaDias[Desde ],"&lt;="&amp;MAX(0,Cobros[[#This Row],[Dias pasado]]),TablaDias[Hasta ],"&gt;="&amp;Cobros[[#This Row],[Dias pasado]])</f>
        <v>100</v>
      </c>
      <c r="Q97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7" s="34">
        <f>IF(COUNTIF(PAPEL[Numero],Cobros[[#This Row],[Doc. Cargo]])&gt;0,1,0)</f>
        <v>0</v>
      </c>
      <c r="S977" s="46">
        <f t="array" ref="S97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7" s="47">
        <v>143.005</v>
      </c>
      <c r="U977" s="34">
        <f>IF(Cobros[[#This Row],[Tipo]]="Credito",IF(60&gt;=Cobros[[#This Row],[Dias al pago]],1,0),IF(Cobros[[#This Row],[Dias al pago]]&lt;=3,1,0))</f>
        <v>1</v>
      </c>
      <c r="V977" s="46">
        <f>(Cobros[[#This Row],[% A pagar Vendedor]]/100)*Cobros[[#This Row],[Valor Pagado]]*Cobros[[#This Row],[Vencido]]*(Cobros[[#This Row],[% aplicar]]/100)*IF(Cobros[[#This Row],[% A pagar Vendedor]]&gt;0,1,0)</f>
        <v>9.15</v>
      </c>
      <c r="W977" s="46">
        <f>0.5%*Cobros[[#This Row],[Valor Pagado]]</f>
        <v>3.66</v>
      </c>
      <c r="X977" s="69"/>
    </row>
    <row r="978" spans="1:24">
      <c r="A978" s="49" t="s">
        <v>3884</v>
      </c>
      <c r="B978" s="49" t="s">
        <v>5362</v>
      </c>
      <c r="C978" s="49" t="s">
        <v>3787</v>
      </c>
      <c r="D978" s="49" t="s">
        <v>3788</v>
      </c>
      <c r="E978" s="49" t="s">
        <v>5363</v>
      </c>
      <c r="F978" s="51">
        <v>46213</v>
      </c>
      <c r="G978" s="49">
        <v>34.5</v>
      </c>
      <c r="H978" s="49" t="s">
        <v>20</v>
      </c>
      <c r="I978" s="51">
        <v>46213</v>
      </c>
      <c r="J978" s="54">
        <f>INT(Cobros[[#This Row],[Fecha Cargo]])</f>
        <v>46213</v>
      </c>
      <c r="K978" s="54">
        <f>INT(Cobros[[#This Row],[Fecha Aplicacion]])</f>
        <v>46213</v>
      </c>
      <c r="L978" s="55">
        <f>INDEX(Clientes[Días Plazo],MATCH(Cobros[[#This Row],[Cod. Cliente]],Clientes[Codigo],0),1)</f>
        <v>0</v>
      </c>
      <c r="M978" s="45" t="str">
        <f>IF(Cobros[[#This Row],[Dias de Credito]]&lt;=0,"Contado","Credito")</f>
        <v>Contado</v>
      </c>
      <c r="N978" s="45">
        <f>Cobros[[#This Row],[Fecha Aplicación S]]-Cobros[[#This Row],[Fecha Cargo S]]</f>
        <v>0</v>
      </c>
      <c r="O978" s="45">
        <f>Cobros[[#This Row],[Dias al pago]]-Cobros[[#This Row],[Dias de Credito]]</f>
        <v>0</v>
      </c>
      <c r="P978" s="45">
        <f>SUMIFS(TablaDias[Porcentaje],TablaDias[Tipo],Cobros[[#This Row],[Tipo]],TablaDias[Desde ],"&lt;="&amp;MAX(0,Cobros[[#This Row],[Dias pasado]]),TablaDias[Hasta ],"&gt;="&amp;Cobros[[#This Row],[Dias pasado]])</f>
        <v>100</v>
      </c>
      <c r="Q97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8" s="34">
        <f>IF(COUNTIF(PAPEL[Numero],Cobros[[#This Row],[Doc. Cargo]])&gt;0,1,0)</f>
        <v>0</v>
      </c>
      <c r="S978" s="46">
        <f t="array" ref="S97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8" s="47">
        <v>144.005</v>
      </c>
      <c r="U978" s="34">
        <f>IF(Cobros[[#This Row],[Tipo]]="Credito",IF(60&gt;=Cobros[[#This Row],[Dias al pago]],1,0),IF(Cobros[[#This Row],[Dias al pago]]&lt;=3,1,0))</f>
        <v>1</v>
      </c>
      <c r="V978" s="46">
        <f>(Cobros[[#This Row],[% A pagar Vendedor]]/100)*Cobros[[#This Row],[Valor Pagado]]*Cobros[[#This Row],[Vencido]]*(Cobros[[#This Row],[% aplicar]]/100)*IF(Cobros[[#This Row],[% A pagar Vendedor]]&gt;0,1,0)</f>
        <v>0.43125</v>
      </c>
      <c r="W978" s="46">
        <f>0.5%*Cobros[[#This Row],[Valor Pagado]]</f>
        <v>0.1725</v>
      </c>
      <c r="X978" s="69"/>
    </row>
    <row r="979" spans="1:24">
      <c r="A979" s="49" t="s">
        <v>3860</v>
      </c>
      <c r="B979" s="49" t="s">
        <v>5364</v>
      </c>
      <c r="C979" s="49" t="s">
        <v>1222</v>
      </c>
      <c r="D979" s="49" t="s">
        <v>1223</v>
      </c>
      <c r="E979" s="49" t="s">
        <v>5223</v>
      </c>
      <c r="F979" s="51">
        <v>46230</v>
      </c>
      <c r="G979" s="49">
        <v>929</v>
      </c>
      <c r="H979" s="49" t="s">
        <v>20</v>
      </c>
      <c r="I979" s="51">
        <v>46234</v>
      </c>
      <c r="J979" s="54">
        <f>INT(Cobros[[#This Row],[Fecha Cargo]])</f>
        <v>46230</v>
      </c>
      <c r="K979" s="54">
        <f>INT(Cobros[[#This Row],[Fecha Aplicacion]])</f>
        <v>46234</v>
      </c>
      <c r="L979" s="55" t="str">
        <f>INDEX(Clientes[Días Plazo],MATCH(Cobros[[#This Row],[Cod. Cliente]],Clientes[Codigo],0),1)</f>
        <v>7</v>
      </c>
      <c r="M979" s="45" t="str">
        <f>IF(Cobros[[#This Row],[Dias de Credito]]&lt;=0,"Contado","Credito")</f>
        <v>Credito</v>
      </c>
      <c r="N979" s="45">
        <f>Cobros[[#This Row],[Fecha Aplicación S]]-Cobros[[#This Row],[Fecha Cargo S]]</f>
        <v>4</v>
      </c>
      <c r="O979" s="45">
        <f>Cobros[[#This Row],[Dias al pago]]-Cobros[[#This Row],[Dias de Credito]]</f>
        <v>-3</v>
      </c>
      <c r="P979" s="45">
        <f>SUMIFS(TablaDias[Porcentaje],TablaDias[Tipo],Cobros[[#This Row],[Tipo]],TablaDias[Desde ],"&lt;="&amp;MAX(0,Cobros[[#This Row],[Dias pasado]]),TablaDias[Hasta ],"&gt;="&amp;Cobros[[#This Row],[Dias pasado]])</f>
        <v>100</v>
      </c>
      <c r="Q97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79" s="34">
        <f>IF(COUNTIF(PAPEL[Numero],Cobros[[#This Row],[Doc. Cargo]])&gt;0,1,0)</f>
        <v>0</v>
      </c>
      <c r="S979" s="46">
        <f t="array" ref="S97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79" s="47">
        <v>145.005</v>
      </c>
      <c r="U979" s="34">
        <f>IF(Cobros[[#This Row],[Tipo]]="Credito",IF(60&gt;=Cobros[[#This Row],[Dias al pago]],1,0),IF(Cobros[[#This Row],[Dias al pago]]&lt;=3,1,0))</f>
        <v>1</v>
      </c>
      <c r="V979" s="46">
        <f>(Cobros[[#This Row],[% A pagar Vendedor]]/100)*Cobros[[#This Row],[Valor Pagado]]*Cobros[[#This Row],[Vencido]]*(Cobros[[#This Row],[% aplicar]]/100)*IF(Cobros[[#This Row],[% A pagar Vendedor]]&gt;0,1,0)</f>
        <v>11.6125</v>
      </c>
      <c r="W979" s="46">
        <f>0.5%*Cobros[[#This Row],[Valor Pagado]]</f>
        <v>4.645</v>
      </c>
      <c r="X979" s="69"/>
    </row>
    <row r="980" spans="1:24">
      <c r="A980" s="49" t="s">
        <v>3860</v>
      </c>
      <c r="B980" s="49" t="s">
        <v>5365</v>
      </c>
      <c r="C980" s="49" t="s">
        <v>2513</v>
      </c>
      <c r="D980" s="49" t="s">
        <v>4556</v>
      </c>
      <c r="E980" s="49" t="s">
        <v>5366</v>
      </c>
      <c r="F980" s="51">
        <v>46217</v>
      </c>
      <c r="G980" s="49">
        <v>1045.2</v>
      </c>
      <c r="H980" s="49" t="s">
        <v>16</v>
      </c>
      <c r="I980" s="51">
        <v>46234</v>
      </c>
      <c r="J980" s="54">
        <f>INT(Cobros[[#This Row],[Fecha Cargo]])</f>
        <v>46217</v>
      </c>
      <c r="K980" s="54">
        <f>INT(Cobros[[#This Row],[Fecha Aplicacion]])</f>
        <v>46234</v>
      </c>
      <c r="L980" s="55" t="str">
        <f>INDEX(Clientes[Días Plazo],MATCH(Cobros[[#This Row],[Cod. Cliente]],Clientes[Codigo],0),1)</f>
        <v>7</v>
      </c>
      <c r="M980" s="45" t="str">
        <f>IF(Cobros[[#This Row],[Dias de Credito]]&lt;=0,"Contado","Credito")</f>
        <v>Credito</v>
      </c>
      <c r="N980" s="45">
        <f>Cobros[[#This Row],[Fecha Aplicación S]]-Cobros[[#This Row],[Fecha Cargo S]]</f>
        <v>17</v>
      </c>
      <c r="O980" s="45">
        <f>Cobros[[#This Row],[Dias al pago]]-Cobros[[#This Row],[Dias de Credito]]</f>
        <v>10</v>
      </c>
      <c r="P980" s="45">
        <f>SUMIFS(TablaDias[Porcentaje],TablaDias[Tipo],Cobros[[#This Row],[Tipo]],TablaDias[Desde ],"&lt;="&amp;MAX(0,Cobros[[#This Row],[Dias pasado]]),TablaDias[Hasta ],"&gt;="&amp;Cobros[[#This Row],[Dias pasado]])</f>
        <v>100</v>
      </c>
      <c r="Q98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0" s="34">
        <f>IF(COUNTIF(PAPEL[Numero],Cobros[[#This Row],[Doc. Cargo]])&gt;0,1,0)</f>
        <v>0</v>
      </c>
      <c r="S980" s="46">
        <f t="array" ref="S98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0" s="47">
        <v>146.005</v>
      </c>
      <c r="U980" s="34">
        <f>IF(Cobros[[#This Row],[Tipo]]="Credito",IF(60&gt;=Cobros[[#This Row],[Dias al pago]],1,0),IF(Cobros[[#This Row],[Dias al pago]]&lt;=3,1,0))</f>
        <v>1</v>
      </c>
      <c r="V980" s="46">
        <f>(Cobros[[#This Row],[% A pagar Vendedor]]/100)*Cobros[[#This Row],[Valor Pagado]]*Cobros[[#This Row],[Vencido]]*(Cobros[[#This Row],[% aplicar]]/100)*IF(Cobros[[#This Row],[% A pagar Vendedor]]&gt;0,1,0)</f>
        <v>13.065</v>
      </c>
      <c r="W980" s="46">
        <f>0.5%*Cobros[[#This Row],[Valor Pagado]]</f>
        <v>5.226</v>
      </c>
      <c r="X980" s="69"/>
    </row>
    <row r="981" ht="30" spans="1:24">
      <c r="A981" s="49" t="s">
        <v>3860</v>
      </c>
      <c r="B981" s="49" t="s">
        <v>5367</v>
      </c>
      <c r="C981" s="49" t="s">
        <v>686</v>
      </c>
      <c r="D981" s="49" t="s">
        <v>687</v>
      </c>
      <c r="E981" s="49" t="s">
        <v>5368</v>
      </c>
      <c r="F981" s="51">
        <v>46205</v>
      </c>
      <c r="G981" s="49">
        <v>753.06</v>
      </c>
      <c r="H981" s="49" t="s">
        <v>3865</v>
      </c>
      <c r="I981" s="51">
        <v>46234</v>
      </c>
      <c r="J981" s="54">
        <f>INT(Cobros[[#This Row],[Fecha Cargo]])</f>
        <v>46205</v>
      </c>
      <c r="K981" s="54">
        <f>INT(Cobros[[#This Row],[Fecha Aplicacion]])</f>
        <v>46234</v>
      </c>
      <c r="L981" s="55" t="str">
        <f>INDEX(Clientes[Días Plazo],MATCH(Cobros[[#This Row],[Cod. Cliente]],Clientes[Codigo],0),1)</f>
        <v>7</v>
      </c>
      <c r="M981" s="45" t="str">
        <f>IF(Cobros[[#This Row],[Dias de Credito]]&lt;=0,"Contado","Credito")</f>
        <v>Credito</v>
      </c>
      <c r="N981" s="45">
        <f>Cobros[[#This Row],[Fecha Aplicación S]]-Cobros[[#This Row],[Fecha Cargo S]]</f>
        <v>29</v>
      </c>
      <c r="O981" s="45">
        <f>Cobros[[#This Row],[Dias al pago]]-Cobros[[#This Row],[Dias de Credito]]</f>
        <v>22</v>
      </c>
      <c r="P981" s="45">
        <f>SUMIFS(TablaDias[Porcentaje],TablaDias[Tipo],Cobros[[#This Row],[Tipo]],TablaDias[Desde ],"&lt;="&amp;MAX(0,Cobros[[#This Row],[Dias pasado]]),TablaDias[Hasta ],"&gt;="&amp;Cobros[[#This Row],[Dias pasado]])</f>
        <v>50</v>
      </c>
      <c r="Q98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1" s="34">
        <f>IF(COUNTIF(PAPEL[Numero],Cobros[[#This Row],[Doc. Cargo]])&gt;0,1,0)</f>
        <v>0</v>
      </c>
      <c r="S981" s="46">
        <v>1</v>
      </c>
      <c r="T981" s="47">
        <v>147.005</v>
      </c>
      <c r="U981" s="34">
        <f>IF(Cobros[[#This Row],[Tipo]]="Credito",IF(60&gt;=Cobros[[#This Row],[Dias al pago]],1,0),IF(Cobros[[#This Row],[Dias al pago]]&lt;=3,1,0))</f>
        <v>1</v>
      </c>
      <c r="V981" s="46">
        <f>(Cobros[[#This Row],[% A pagar Vendedor]]/100)*Cobros[[#This Row],[Valor Pagado]]*Cobros[[#This Row],[Vencido]]*(Cobros[[#This Row],[% aplicar]]/100)*IF(Cobros[[#This Row],[% A pagar Vendedor]]&gt;0,1,0)</f>
        <v>3.7653</v>
      </c>
      <c r="W981" s="46">
        <f>0.5%*Cobros[[#This Row],[Valor Pagado]]</f>
        <v>3.7653</v>
      </c>
      <c r="X981" s="69"/>
    </row>
    <row r="982" spans="1:24">
      <c r="A982" s="49" t="s">
        <v>3875</v>
      </c>
      <c r="B982" s="49" t="s">
        <v>5304</v>
      </c>
      <c r="C982" s="49" t="s">
        <v>401</v>
      </c>
      <c r="D982" s="49" t="s">
        <v>402</v>
      </c>
      <c r="E982" s="49" t="s">
        <v>5369</v>
      </c>
      <c r="F982" s="51">
        <v>46234</v>
      </c>
      <c r="G982" s="49">
        <v>0.85</v>
      </c>
      <c r="H982" s="49" t="s">
        <v>16</v>
      </c>
      <c r="I982" s="51">
        <v>46233</v>
      </c>
      <c r="J982" s="54">
        <f>INT(Cobros[[#This Row],[Fecha Cargo]])</f>
        <v>46234</v>
      </c>
      <c r="K982" s="54">
        <f>INT(Cobros[[#This Row],[Fecha Aplicacion]])</f>
        <v>46233</v>
      </c>
      <c r="L982" s="55">
        <f>INDEX(Clientes[Días Plazo],MATCH(Cobros[[#This Row],[Cod. Cliente]],Clientes[Codigo],0),1)</f>
        <v>0</v>
      </c>
      <c r="M982" s="45" t="str">
        <f>IF(Cobros[[#This Row],[Dias de Credito]]&lt;=0,"Contado","Credito")</f>
        <v>Contado</v>
      </c>
      <c r="N982" s="45">
        <f>Cobros[[#This Row],[Fecha Aplicación S]]-Cobros[[#This Row],[Fecha Cargo S]]</f>
        <v>-1</v>
      </c>
      <c r="O982" s="45">
        <f>Cobros[[#This Row],[Dias al pago]]-Cobros[[#This Row],[Dias de Credito]]</f>
        <v>-1</v>
      </c>
      <c r="P982" s="45">
        <f>SUMIFS(TablaDias[Porcentaje],TablaDias[Tipo],Cobros[[#This Row],[Tipo]],TablaDias[Desde ],"&lt;="&amp;MAX(0,Cobros[[#This Row],[Dias pasado]]),TablaDias[Hasta ],"&gt;="&amp;Cobros[[#This Row],[Dias pasado]])</f>
        <v>100</v>
      </c>
      <c r="Q98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2" s="34">
        <f>IF(COUNTIF(PAPEL[Numero],Cobros[[#This Row],[Doc. Cargo]])&gt;0,1,0)</f>
        <v>0</v>
      </c>
      <c r="S982" s="46">
        <f t="array" ref="S98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2" s="47">
        <v>148.005</v>
      </c>
      <c r="U982" s="34">
        <f>IF(Cobros[[#This Row],[Tipo]]="Credito",IF(60&gt;=Cobros[[#This Row],[Dias al pago]],1,0),IF(Cobros[[#This Row],[Dias al pago]]&lt;=3,1,0))</f>
        <v>1</v>
      </c>
      <c r="V982" s="46">
        <f>(Cobros[[#This Row],[% A pagar Vendedor]]/100)*Cobros[[#This Row],[Valor Pagado]]*Cobros[[#This Row],[Vencido]]*(Cobros[[#This Row],[% aplicar]]/100)*IF(Cobros[[#This Row],[% A pagar Vendedor]]&gt;0,1,0)</f>
        <v>0.010625</v>
      </c>
      <c r="W982" s="46">
        <f>0.5%*Cobros[[#This Row],[Valor Pagado]]</f>
        <v>0.00425</v>
      </c>
      <c r="X982" s="69"/>
    </row>
    <row r="983" spans="1:24">
      <c r="A983" s="49" t="s">
        <v>3875</v>
      </c>
      <c r="B983" s="49" t="s">
        <v>5370</v>
      </c>
      <c r="C983" s="49" t="s">
        <v>401</v>
      </c>
      <c r="D983" s="49" t="s">
        <v>402</v>
      </c>
      <c r="E983" s="49" t="s">
        <v>5369</v>
      </c>
      <c r="F983" s="51">
        <v>46234</v>
      </c>
      <c r="G983" s="49">
        <v>35</v>
      </c>
      <c r="H983" s="49" t="s">
        <v>16</v>
      </c>
      <c r="I983" s="51">
        <v>46234</v>
      </c>
      <c r="J983" s="54">
        <f>INT(Cobros[[#This Row],[Fecha Cargo]])</f>
        <v>46234</v>
      </c>
      <c r="K983" s="54">
        <f>INT(Cobros[[#This Row],[Fecha Aplicacion]])</f>
        <v>46234</v>
      </c>
      <c r="L983" s="55">
        <f>INDEX(Clientes[Días Plazo],MATCH(Cobros[[#This Row],[Cod. Cliente]],Clientes[Codigo],0),1)</f>
        <v>0</v>
      </c>
      <c r="M983" s="45" t="str">
        <f>IF(Cobros[[#This Row],[Dias de Credito]]&lt;=0,"Contado","Credito")</f>
        <v>Contado</v>
      </c>
      <c r="N983" s="45">
        <f>Cobros[[#This Row],[Fecha Aplicación S]]-Cobros[[#This Row],[Fecha Cargo S]]</f>
        <v>0</v>
      </c>
      <c r="O983" s="45">
        <f>Cobros[[#This Row],[Dias al pago]]-Cobros[[#This Row],[Dias de Credito]]</f>
        <v>0</v>
      </c>
      <c r="P983" s="45">
        <f>SUMIFS(TablaDias[Porcentaje],TablaDias[Tipo],Cobros[[#This Row],[Tipo]],TablaDias[Desde ],"&lt;="&amp;MAX(0,Cobros[[#This Row],[Dias pasado]]),TablaDias[Hasta ],"&gt;="&amp;Cobros[[#This Row],[Dias pasado]])</f>
        <v>100</v>
      </c>
      <c r="Q98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3" s="34">
        <f>IF(COUNTIF(PAPEL[Numero],Cobros[[#This Row],[Doc. Cargo]])&gt;0,1,0)</f>
        <v>0</v>
      </c>
      <c r="S983" s="46">
        <f t="array" ref="S98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3" s="47">
        <v>149.005</v>
      </c>
      <c r="U983" s="34">
        <f>IF(Cobros[[#This Row],[Tipo]]="Credito",IF(60&gt;=Cobros[[#This Row],[Dias al pago]],1,0),IF(Cobros[[#This Row],[Dias al pago]]&lt;=3,1,0))</f>
        <v>1</v>
      </c>
      <c r="V983" s="46">
        <f>(Cobros[[#This Row],[% A pagar Vendedor]]/100)*Cobros[[#This Row],[Valor Pagado]]*Cobros[[#This Row],[Vencido]]*(Cobros[[#This Row],[% aplicar]]/100)*IF(Cobros[[#This Row],[% A pagar Vendedor]]&gt;0,1,0)</f>
        <v>0.4375</v>
      </c>
      <c r="W983" s="46">
        <f>0.5%*Cobros[[#This Row],[Valor Pagado]]</f>
        <v>0.175</v>
      </c>
      <c r="X983" s="69"/>
    </row>
    <row r="984" spans="1:24">
      <c r="A984" s="49" t="s">
        <v>3875</v>
      </c>
      <c r="B984" s="49" t="s">
        <v>5304</v>
      </c>
      <c r="C984" s="49" t="s">
        <v>401</v>
      </c>
      <c r="D984" s="49" t="s">
        <v>402</v>
      </c>
      <c r="E984" s="49" t="s">
        <v>5369</v>
      </c>
      <c r="F984" s="51">
        <v>46234</v>
      </c>
      <c r="G984" s="49">
        <v>1</v>
      </c>
      <c r="H984" s="49" t="s">
        <v>16</v>
      </c>
      <c r="I984" s="51">
        <v>46233</v>
      </c>
      <c r="J984" s="54">
        <f>INT(Cobros[[#This Row],[Fecha Cargo]])</f>
        <v>46234</v>
      </c>
      <c r="K984" s="54">
        <f>INT(Cobros[[#This Row],[Fecha Aplicacion]])</f>
        <v>46233</v>
      </c>
      <c r="L984" s="55">
        <f>INDEX(Clientes[Días Plazo],MATCH(Cobros[[#This Row],[Cod. Cliente]],Clientes[Codigo],0),1)</f>
        <v>0</v>
      </c>
      <c r="M984" s="45" t="str">
        <f>IF(Cobros[[#This Row],[Dias de Credito]]&lt;=0,"Contado","Credito")</f>
        <v>Contado</v>
      </c>
      <c r="N984" s="45">
        <f>Cobros[[#This Row],[Fecha Aplicación S]]-Cobros[[#This Row],[Fecha Cargo S]]</f>
        <v>-1</v>
      </c>
      <c r="O984" s="45">
        <f>Cobros[[#This Row],[Dias al pago]]-Cobros[[#This Row],[Dias de Credito]]</f>
        <v>-1</v>
      </c>
      <c r="P984" s="45">
        <f>SUMIFS(TablaDias[Porcentaje],TablaDias[Tipo],Cobros[[#This Row],[Tipo]],TablaDias[Desde ],"&lt;="&amp;MAX(0,Cobros[[#This Row],[Dias pasado]]),TablaDias[Hasta ],"&gt;="&amp;Cobros[[#This Row],[Dias pasado]])</f>
        <v>100</v>
      </c>
      <c r="Q98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4" s="34">
        <f>IF(COUNTIF(PAPEL[Numero],Cobros[[#This Row],[Doc. Cargo]])&gt;0,1,0)</f>
        <v>0</v>
      </c>
      <c r="S984" s="46">
        <f t="array" ref="S98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4" s="47">
        <v>150.005</v>
      </c>
      <c r="U984" s="34">
        <f>IF(Cobros[[#This Row],[Tipo]]="Credito",IF(60&gt;=Cobros[[#This Row],[Dias al pago]],1,0),IF(Cobros[[#This Row],[Dias al pago]]&lt;=3,1,0))</f>
        <v>1</v>
      </c>
      <c r="V984" s="46">
        <f>(Cobros[[#This Row],[% A pagar Vendedor]]/100)*Cobros[[#This Row],[Valor Pagado]]*Cobros[[#This Row],[Vencido]]*(Cobros[[#This Row],[% aplicar]]/100)*IF(Cobros[[#This Row],[% A pagar Vendedor]]&gt;0,1,0)</f>
        <v>0.0125</v>
      </c>
      <c r="W984" s="46">
        <v>0.005</v>
      </c>
      <c r="X984" s="69"/>
    </row>
    <row r="985" spans="1:24">
      <c r="A985" s="49" t="s">
        <v>3875</v>
      </c>
      <c r="B985" s="49" t="s">
        <v>5371</v>
      </c>
      <c r="C985" s="49" t="s">
        <v>128</v>
      </c>
      <c r="D985" s="49" t="s">
        <v>129</v>
      </c>
      <c r="E985" s="49" t="s">
        <v>5372</v>
      </c>
      <c r="F985" s="51">
        <v>46234</v>
      </c>
      <c r="G985" s="49">
        <v>200</v>
      </c>
      <c r="H985" s="49" t="s">
        <v>16</v>
      </c>
      <c r="I985" s="51">
        <v>46234</v>
      </c>
      <c r="J985" s="54">
        <f>INT(Cobros[[#This Row],[Fecha Cargo]])</f>
        <v>46234</v>
      </c>
      <c r="K985" s="54">
        <f>INT(Cobros[[#This Row],[Fecha Aplicacion]])</f>
        <v>46234</v>
      </c>
      <c r="L985" s="55">
        <f>INDEX(Clientes[Días Plazo],MATCH(Cobros[[#This Row],[Cod. Cliente]],Clientes[Codigo],0),1)</f>
        <v>0</v>
      </c>
      <c r="M985" s="45" t="str">
        <f>IF(Cobros[[#This Row],[Dias de Credito]]&lt;=0,"Contado","Credito")</f>
        <v>Contado</v>
      </c>
      <c r="N985" s="45">
        <f>Cobros[[#This Row],[Fecha Aplicación S]]-Cobros[[#This Row],[Fecha Cargo S]]</f>
        <v>0</v>
      </c>
      <c r="O985" s="45">
        <f>Cobros[[#This Row],[Dias al pago]]-Cobros[[#This Row],[Dias de Credito]]</f>
        <v>0</v>
      </c>
      <c r="P985" s="45">
        <f>SUMIFS(TablaDias[Porcentaje],TablaDias[Tipo],Cobros[[#This Row],[Tipo]],TablaDias[Desde ],"&lt;="&amp;MAX(0,Cobros[[#This Row],[Dias pasado]]),TablaDias[Hasta ],"&gt;="&amp;Cobros[[#This Row],[Dias pasado]])</f>
        <v>100</v>
      </c>
      <c r="Q98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5" s="34">
        <f>IF(COUNTIF(PAPEL[Numero],Cobros[[#This Row],[Doc. Cargo]])&gt;0,1,0)</f>
        <v>0</v>
      </c>
      <c r="S985" s="46">
        <f t="array" ref="S98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5" s="47">
        <v>151.005</v>
      </c>
      <c r="U985" s="34">
        <f>IF(Cobros[[#This Row],[Tipo]]="Credito",IF(60&gt;=Cobros[[#This Row],[Dias al pago]],1,0),IF(Cobros[[#This Row],[Dias al pago]]&lt;=3,1,0))</f>
        <v>1</v>
      </c>
      <c r="V985" s="46">
        <f>(Cobros[[#This Row],[% A pagar Vendedor]]/100)*Cobros[[#This Row],[Valor Pagado]]*Cobros[[#This Row],[Vencido]]*(Cobros[[#This Row],[% aplicar]]/100)*IF(Cobros[[#This Row],[% A pagar Vendedor]]&gt;0,1,0)</f>
        <v>2.5</v>
      </c>
      <c r="W985" s="46">
        <f>0.5%*Cobros[[#This Row],[Valor Pagado]]</f>
        <v>1</v>
      </c>
      <c r="X985" s="69"/>
    </row>
    <row r="986" spans="1:24">
      <c r="A986" s="49" t="s">
        <v>3860</v>
      </c>
      <c r="B986" s="49" t="s">
        <v>5373</v>
      </c>
      <c r="C986" s="49" t="s">
        <v>128</v>
      </c>
      <c r="D986" s="49" t="s">
        <v>129</v>
      </c>
      <c r="E986" s="49" t="s">
        <v>5372</v>
      </c>
      <c r="F986" s="51">
        <v>46234</v>
      </c>
      <c r="G986" s="49">
        <v>430</v>
      </c>
      <c r="H986" s="49" t="s">
        <v>16</v>
      </c>
      <c r="I986" s="51">
        <v>46234</v>
      </c>
      <c r="J986" s="54">
        <f>INT(Cobros[[#This Row],[Fecha Cargo]])</f>
        <v>46234</v>
      </c>
      <c r="K986" s="54">
        <f>INT(Cobros[[#This Row],[Fecha Aplicacion]])</f>
        <v>46234</v>
      </c>
      <c r="L986" s="55">
        <f>INDEX(Clientes[Días Plazo],MATCH(Cobros[[#This Row],[Cod. Cliente]],Clientes[Codigo],0),1)</f>
        <v>0</v>
      </c>
      <c r="M986" s="45" t="str">
        <f>IF(Cobros[[#This Row],[Dias de Credito]]&lt;=0,"Contado","Credito")</f>
        <v>Contado</v>
      </c>
      <c r="N986" s="45">
        <f>Cobros[[#This Row],[Fecha Aplicación S]]-Cobros[[#This Row],[Fecha Cargo S]]</f>
        <v>0</v>
      </c>
      <c r="O986" s="45">
        <f>Cobros[[#This Row],[Dias al pago]]-Cobros[[#This Row],[Dias de Credito]]</f>
        <v>0</v>
      </c>
      <c r="P986" s="45">
        <f>SUMIFS(TablaDias[Porcentaje],TablaDias[Tipo],Cobros[[#This Row],[Tipo]],TablaDias[Desde ],"&lt;="&amp;MAX(0,Cobros[[#This Row],[Dias pasado]]),TablaDias[Hasta ],"&gt;="&amp;Cobros[[#This Row],[Dias pasado]])</f>
        <v>100</v>
      </c>
      <c r="Q98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6" s="34">
        <f>IF(COUNTIF(PAPEL[Numero],Cobros[[#This Row],[Doc. Cargo]])&gt;0,1,0)</f>
        <v>0</v>
      </c>
      <c r="S986" s="46">
        <f t="array" ref="S98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6" s="47">
        <v>152.005</v>
      </c>
      <c r="U986" s="34">
        <f>IF(Cobros[[#This Row],[Tipo]]="Credito",IF(60&gt;=Cobros[[#This Row],[Dias al pago]],1,0),IF(Cobros[[#This Row],[Dias al pago]]&lt;=3,1,0))</f>
        <v>1</v>
      </c>
      <c r="V986" s="46">
        <f>(Cobros[[#This Row],[% A pagar Vendedor]]/100)*Cobros[[#This Row],[Valor Pagado]]*Cobros[[#This Row],[Vencido]]*(Cobros[[#This Row],[% aplicar]]/100)*IF(Cobros[[#This Row],[% A pagar Vendedor]]&gt;0,1,0)</f>
        <v>5.375</v>
      </c>
      <c r="W986" s="46">
        <f>0.5%*Cobros[[#This Row],[Valor Pagado]]</f>
        <v>2.15</v>
      </c>
      <c r="X986" s="69"/>
    </row>
    <row r="987" ht="30" spans="1:24">
      <c r="A987" s="49" t="s">
        <v>3860</v>
      </c>
      <c r="B987" s="49" t="s">
        <v>5374</v>
      </c>
      <c r="C987" s="49" t="s">
        <v>960</v>
      </c>
      <c r="D987" s="49" t="s">
        <v>961</v>
      </c>
      <c r="E987" s="49" t="s">
        <v>5151</v>
      </c>
      <c r="F987" s="51">
        <v>46220</v>
      </c>
      <c r="G987" s="49">
        <v>28.8</v>
      </c>
      <c r="H987" s="49" t="s">
        <v>22</v>
      </c>
      <c r="I987" s="51">
        <v>46234</v>
      </c>
      <c r="J987" s="54">
        <f>INT(Cobros[[#This Row],[Fecha Cargo]])</f>
        <v>46220</v>
      </c>
      <c r="K987" s="54">
        <f>INT(Cobros[[#This Row],[Fecha Aplicacion]])</f>
        <v>46234</v>
      </c>
      <c r="L987" s="55" t="str">
        <f>INDEX(Clientes[Días Plazo],MATCH(Cobros[[#This Row],[Cod. Cliente]],Clientes[Codigo],0),1)</f>
        <v>21</v>
      </c>
      <c r="M987" s="45" t="str">
        <f>IF(Cobros[[#This Row],[Dias de Credito]]&lt;=0,"Contado","Credito")</f>
        <v>Credito</v>
      </c>
      <c r="N987" s="45">
        <f>Cobros[[#This Row],[Fecha Aplicación S]]-Cobros[[#This Row],[Fecha Cargo S]]</f>
        <v>14</v>
      </c>
      <c r="O987" s="45">
        <f>Cobros[[#This Row],[Dias al pago]]-Cobros[[#This Row],[Dias de Credito]]</f>
        <v>-7</v>
      </c>
      <c r="P987" s="45">
        <f>SUMIFS(TablaDias[Porcentaje],TablaDias[Tipo],Cobros[[#This Row],[Tipo]],TablaDias[Desde ],"&lt;="&amp;MAX(0,Cobros[[#This Row],[Dias pasado]]),TablaDias[Hasta ],"&gt;="&amp;Cobros[[#This Row],[Dias pasado]])</f>
        <v>100</v>
      </c>
      <c r="Q98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7" s="34">
        <f>IF(COUNTIF(PAPEL[Numero],Cobros[[#This Row],[Doc. Cargo]])&gt;0,1,0)</f>
        <v>0</v>
      </c>
      <c r="S987" s="46">
        <f t="array" ref="S98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87" s="47">
        <v>153.005</v>
      </c>
      <c r="U987" s="34">
        <f>IF(Cobros[[#This Row],[Tipo]]="Credito",IF(60&gt;=Cobros[[#This Row],[Dias al pago]],1,0),IF(Cobros[[#This Row],[Dias al pago]]&lt;=3,1,0))</f>
        <v>1</v>
      </c>
      <c r="V987" s="46">
        <f>(Cobros[[#This Row],[% A pagar Vendedor]]/100)*Cobros[[#This Row],[Valor Pagado]]*Cobros[[#This Row],[Vencido]]*(Cobros[[#This Row],[% aplicar]]/100)*IF(Cobros[[#This Row],[% A pagar Vendedor]]&gt;0,1,0)</f>
        <v>0.288</v>
      </c>
      <c r="W987" s="46">
        <f>0.5%*Cobros[[#This Row],[Valor Pagado]]</f>
        <v>0.144</v>
      </c>
      <c r="X987" s="69"/>
    </row>
    <row r="988" ht="30" spans="1:24">
      <c r="A988" s="49" t="s">
        <v>3860</v>
      </c>
      <c r="B988" s="49" t="s">
        <v>5374</v>
      </c>
      <c r="C988" s="49" t="s">
        <v>960</v>
      </c>
      <c r="D988" s="49" t="s">
        <v>961</v>
      </c>
      <c r="E988" s="49" t="s">
        <v>5375</v>
      </c>
      <c r="F988" s="51">
        <v>46220</v>
      </c>
      <c r="G988" s="49">
        <v>1970</v>
      </c>
      <c r="H988" s="49" t="s">
        <v>22</v>
      </c>
      <c r="I988" s="51">
        <v>46234</v>
      </c>
      <c r="J988" s="54">
        <f>INT(Cobros[[#This Row],[Fecha Cargo]])</f>
        <v>46220</v>
      </c>
      <c r="K988" s="54">
        <f>INT(Cobros[[#This Row],[Fecha Aplicacion]])</f>
        <v>46234</v>
      </c>
      <c r="L988" s="55" t="str">
        <f>INDEX(Clientes[Días Plazo],MATCH(Cobros[[#This Row],[Cod. Cliente]],Clientes[Codigo],0),1)</f>
        <v>21</v>
      </c>
      <c r="M988" s="45" t="str">
        <f>IF(Cobros[[#This Row],[Dias de Credito]]&lt;=0,"Contado","Credito")</f>
        <v>Credito</v>
      </c>
      <c r="N988" s="45">
        <f>Cobros[[#This Row],[Fecha Aplicación S]]-Cobros[[#This Row],[Fecha Cargo S]]</f>
        <v>14</v>
      </c>
      <c r="O988" s="45">
        <f>Cobros[[#This Row],[Dias al pago]]-Cobros[[#This Row],[Dias de Credito]]</f>
        <v>-7</v>
      </c>
      <c r="P988" s="45">
        <f>SUMIFS(TablaDias[Porcentaje],TablaDias[Tipo],Cobros[[#This Row],[Tipo]],TablaDias[Desde ],"&lt;="&amp;MAX(0,Cobros[[#This Row],[Dias pasado]]),TablaDias[Hasta ],"&gt;="&amp;Cobros[[#This Row],[Dias pasado]])</f>
        <v>100</v>
      </c>
      <c r="Q98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8" s="34">
        <f>IF(COUNTIF(PAPEL[Numero],Cobros[[#This Row],[Doc. Cargo]])&gt;0,1,0)</f>
        <v>0</v>
      </c>
      <c r="S988" s="46">
        <f t="array" ref="S98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88" s="47">
        <v>154.005</v>
      </c>
      <c r="U988" s="34">
        <f>IF(Cobros[[#This Row],[Tipo]]="Credito",IF(60&gt;=Cobros[[#This Row],[Dias al pago]],1,0),IF(Cobros[[#This Row],[Dias al pago]]&lt;=3,1,0))</f>
        <v>1</v>
      </c>
      <c r="V988" s="46">
        <f>(Cobros[[#This Row],[% A pagar Vendedor]]/100)*Cobros[[#This Row],[Valor Pagado]]*Cobros[[#This Row],[Vencido]]*(Cobros[[#This Row],[% aplicar]]/100)*IF(Cobros[[#This Row],[% A pagar Vendedor]]&gt;0,1,0)</f>
        <v>19.7</v>
      </c>
      <c r="W988" s="46">
        <f>0.5%*Cobros[[#This Row],[Valor Pagado]]</f>
        <v>9.85</v>
      </c>
      <c r="X988" s="69"/>
    </row>
    <row r="989" spans="1:24">
      <c r="A989" s="49" t="s">
        <v>3875</v>
      </c>
      <c r="B989" s="49" t="s">
        <v>5376</v>
      </c>
      <c r="C989" s="49" t="s">
        <v>1004</v>
      </c>
      <c r="D989" s="49" t="s">
        <v>1005</v>
      </c>
      <c r="E989" s="49" t="s">
        <v>5377</v>
      </c>
      <c r="F989" s="51">
        <v>46234</v>
      </c>
      <c r="G989" s="49">
        <v>249.75</v>
      </c>
      <c r="H989" s="49" t="s">
        <v>16</v>
      </c>
      <c r="I989" s="51">
        <v>46234</v>
      </c>
      <c r="J989" s="54">
        <f>INT(Cobros[[#This Row],[Fecha Cargo]])</f>
        <v>46234</v>
      </c>
      <c r="K989" s="54">
        <f>INT(Cobros[[#This Row],[Fecha Aplicacion]])</f>
        <v>46234</v>
      </c>
      <c r="L989" s="55">
        <f>INDEX(Clientes[Días Plazo],MATCH(Cobros[[#This Row],[Cod. Cliente]],Clientes[Codigo],0),1)</f>
        <v>0</v>
      </c>
      <c r="M989" s="45" t="str">
        <f>IF(Cobros[[#This Row],[Dias de Credito]]&lt;=0,"Contado","Credito")</f>
        <v>Contado</v>
      </c>
      <c r="N989" s="45">
        <f>Cobros[[#This Row],[Fecha Aplicación S]]-Cobros[[#This Row],[Fecha Cargo S]]</f>
        <v>0</v>
      </c>
      <c r="O989" s="45">
        <f>Cobros[[#This Row],[Dias al pago]]-Cobros[[#This Row],[Dias de Credito]]</f>
        <v>0</v>
      </c>
      <c r="P989" s="45">
        <f>SUMIFS(TablaDias[Porcentaje],TablaDias[Tipo],Cobros[[#This Row],[Tipo]],TablaDias[Desde ],"&lt;="&amp;MAX(0,Cobros[[#This Row],[Dias pasado]]),TablaDias[Hasta ],"&gt;="&amp;Cobros[[#This Row],[Dias pasado]])</f>
        <v>100</v>
      </c>
      <c r="Q98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89" s="34">
        <f>IF(COUNTIF(PAPEL[Numero],Cobros[[#This Row],[Doc. Cargo]])&gt;0,1,0)</f>
        <v>0</v>
      </c>
      <c r="S989" s="46">
        <f t="array" ref="S98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89" s="47">
        <v>155.005</v>
      </c>
      <c r="U989" s="34">
        <f>IF(Cobros[[#This Row],[Tipo]]="Credito",IF(60&gt;=Cobros[[#This Row],[Dias al pago]],1,0),IF(Cobros[[#This Row],[Dias al pago]]&lt;=3,1,0))</f>
        <v>1</v>
      </c>
      <c r="V989" s="46">
        <f>(Cobros[[#This Row],[% A pagar Vendedor]]/100)*Cobros[[#This Row],[Valor Pagado]]*Cobros[[#This Row],[Vencido]]*(Cobros[[#This Row],[% aplicar]]/100)*IF(Cobros[[#This Row],[% A pagar Vendedor]]&gt;0,1,0)</f>
        <v>3.121875</v>
      </c>
      <c r="W989" s="46">
        <f>0.5%*Cobros[[#This Row],[Valor Pagado]]</f>
        <v>1.24875</v>
      </c>
      <c r="X989" s="69"/>
    </row>
    <row r="990" spans="1:24">
      <c r="A990" s="49" t="s">
        <v>3860</v>
      </c>
      <c r="B990" s="49" t="s">
        <v>5378</v>
      </c>
      <c r="C990" s="49" t="s">
        <v>635</v>
      </c>
      <c r="D990" s="49" t="s">
        <v>636</v>
      </c>
      <c r="E990" s="49" t="s">
        <v>5379</v>
      </c>
      <c r="F990" s="51">
        <v>46233</v>
      </c>
      <c r="G990" s="49">
        <v>259</v>
      </c>
      <c r="H990" s="49" t="s">
        <v>16</v>
      </c>
      <c r="I990" s="51">
        <v>46234</v>
      </c>
      <c r="J990" s="54">
        <f>INT(Cobros[[#This Row],[Fecha Cargo]])</f>
        <v>46233</v>
      </c>
      <c r="K990" s="54">
        <f>INT(Cobros[[#This Row],[Fecha Aplicacion]])</f>
        <v>46234</v>
      </c>
      <c r="L990" s="55" t="str">
        <f>INDEX(Clientes[Días Plazo],MATCH(Cobros[[#This Row],[Cod. Cliente]],Clientes[Codigo],0),1)</f>
        <v>15</v>
      </c>
      <c r="M990" s="45" t="str">
        <f>IF(Cobros[[#This Row],[Dias de Credito]]&lt;=0,"Contado","Credito")</f>
        <v>Credito</v>
      </c>
      <c r="N990" s="45">
        <f>Cobros[[#This Row],[Fecha Aplicación S]]-Cobros[[#This Row],[Fecha Cargo S]]</f>
        <v>1</v>
      </c>
      <c r="O990" s="45">
        <f>Cobros[[#This Row],[Dias al pago]]-Cobros[[#This Row],[Dias de Credito]]</f>
        <v>-14</v>
      </c>
      <c r="P990" s="45">
        <f>SUMIFS(TablaDias[Porcentaje],TablaDias[Tipo],Cobros[[#This Row],[Tipo]],TablaDias[Desde ],"&lt;="&amp;MAX(0,Cobros[[#This Row],[Dias pasado]]),TablaDias[Hasta ],"&gt;="&amp;Cobros[[#This Row],[Dias pasado]])</f>
        <v>100</v>
      </c>
      <c r="Q99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0" s="34">
        <f>IF(COUNTIF(PAPEL[Numero],Cobros[[#This Row],[Doc. Cargo]])&gt;0,1,0)</f>
        <v>0</v>
      </c>
      <c r="S990" s="46">
        <f t="array" ref="S99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0" s="47">
        <v>156.005</v>
      </c>
      <c r="U990" s="34">
        <f>IF(Cobros[[#This Row],[Tipo]]="Credito",IF(60&gt;=Cobros[[#This Row],[Dias al pago]],1,0),IF(Cobros[[#This Row],[Dias al pago]]&lt;=3,1,0))</f>
        <v>1</v>
      </c>
      <c r="V990" s="46">
        <f>(Cobros[[#This Row],[% A pagar Vendedor]]/100)*Cobros[[#This Row],[Valor Pagado]]*Cobros[[#This Row],[Vencido]]*(Cobros[[#This Row],[% aplicar]]/100)*IF(Cobros[[#This Row],[% A pagar Vendedor]]&gt;0,1,0)</f>
        <v>3.2375</v>
      </c>
      <c r="W990" s="46">
        <f>0.5%*Cobros[[#This Row],[Valor Pagado]]</f>
        <v>1.295</v>
      </c>
      <c r="X990" s="69"/>
    </row>
    <row r="991" ht="30" spans="1:24">
      <c r="A991" s="49" t="s">
        <v>3931</v>
      </c>
      <c r="B991" s="49" t="s">
        <v>5380</v>
      </c>
      <c r="C991" s="49" t="s">
        <v>813</v>
      </c>
      <c r="D991" s="49" t="s">
        <v>814</v>
      </c>
      <c r="E991" s="49" t="s">
        <v>5381</v>
      </c>
      <c r="F991" s="51">
        <v>46233</v>
      </c>
      <c r="G991" s="49">
        <v>458.76</v>
      </c>
      <c r="H991" s="49" t="s">
        <v>1355</v>
      </c>
      <c r="I991" s="51">
        <v>46234</v>
      </c>
      <c r="J991" s="54">
        <f>INT(Cobros[[#This Row],[Fecha Cargo]])</f>
        <v>46233</v>
      </c>
      <c r="K991" s="54">
        <f>INT(Cobros[[#This Row],[Fecha Aplicacion]])</f>
        <v>46234</v>
      </c>
      <c r="L991" s="55">
        <f>INDEX(Clientes[Días Plazo],MATCH(Cobros[[#This Row],[Cod. Cliente]],Clientes[Codigo],0),1)</f>
        <v>0</v>
      </c>
      <c r="M991" s="45" t="str">
        <f>IF(Cobros[[#This Row],[Dias de Credito]]&lt;=0,"Contado","Credito")</f>
        <v>Contado</v>
      </c>
      <c r="N991" s="45">
        <f>Cobros[[#This Row],[Fecha Aplicación S]]-Cobros[[#This Row],[Fecha Cargo S]]</f>
        <v>1</v>
      </c>
      <c r="O991" s="45">
        <f>Cobros[[#This Row],[Dias al pago]]-Cobros[[#This Row],[Dias de Credito]]</f>
        <v>1</v>
      </c>
      <c r="P991" s="45">
        <f>SUMIFS(TablaDias[Porcentaje],TablaDias[Tipo],Cobros[[#This Row],[Tipo]],TablaDias[Desde ],"&lt;="&amp;MAX(0,Cobros[[#This Row],[Dias pasado]]),TablaDias[Hasta ],"&gt;="&amp;Cobros[[#This Row],[Dias pasado]])</f>
        <v>100</v>
      </c>
      <c r="Q99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1" s="34">
        <f>IF(COUNTIF(PAPEL[Numero],Cobros[[#This Row],[Doc. Cargo]])&gt;0,1,0)</f>
        <v>0</v>
      </c>
      <c r="S991" s="46">
        <v>1</v>
      </c>
      <c r="T991" s="47">
        <v>157.005</v>
      </c>
      <c r="U991" s="34">
        <f>IF(Cobros[[#This Row],[Tipo]]="Credito",IF(60&gt;=Cobros[[#This Row],[Dias al pago]],1,0),IF(Cobros[[#This Row],[Dias al pago]]&lt;=3,1,0))</f>
        <v>1</v>
      </c>
      <c r="V991" s="46">
        <f>(Cobros[[#This Row],[% A pagar Vendedor]]/100)*Cobros[[#This Row],[Valor Pagado]]*Cobros[[#This Row],[Vencido]]*(Cobros[[#This Row],[% aplicar]]/100)*IF(Cobros[[#This Row],[% A pagar Vendedor]]&gt;0,1,0)</f>
        <v>4.5876</v>
      </c>
      <c r="W991" s="46">
        <f>0.5%*Cobros[[#This Row],[Valor Pagado]]</f>
        <v>2.2938</v>
      </c>
      <c r="X991" s="69"/>
    </row>
    <row r="992" spans="1:24">
      <c r="A992" s="49" t="s">
        <v>3860</v>
      </c>
      <c r="B992" s="49" t="s">
        <v>5382</v>
      </c>
      <c r="C992" s="49" t="s">
        <v>3246</v>
      </c>
      <c r="D992" s="49" t="s">
        <v>3247</v>
      </c>
      <c r="E992" s="49" t="s">
        <v>5383</v>
      </c>
      <c r="F992" s="51">
        <v>46234</v>
      </c>
      <c r="G992" s="49">
        <v>521.6</v>
      </c>
      <c r="H992" s="49" t="s">
        <v>18</v>
      </c>
      <c r="I992" s="51">
        <v>46234</v>
      </c>
      <c r="J992" s="54">
        <f>INT(Cobros[[#This Row],[Fecha Cargo]])</f>
        <v>46234</v>
      </c>
      <c r="K992" s="54">
        <f>INT(Cobros[[#This Row],[Fecha Aplicacion]])</f>
        <v>46234</v>
      </c>
      <c r="L992" s="55">
        <f>INDEX(Clientes[Días Plazo],MATCH(Cobros[[#This Row],[Cod. Cliente]],Clientes[Codigo],0),1)</f>
        <v>0</v>
      </c>
      <c r="M992" s="45" t="str">
        <f>IF(Cobros[[#This Row],[Dias de Credito]]&lt;=0,"Contado","Credito")</f>
        <v>Contado</v>
      </c>
      <c r="N992" s="45">
        <f>Cobros[[#This Row],[Fecha Aplicación S]]-Cobros[[#This Row],[Fecha Cargo S]]</f>
        <v>0</v>
      </c>
      <c r="O992" s="45">
        <f>Cobros[[#This Row],[Dias al pago]]-Cobros[[#This Row],[Dias de Credito]]</f>
        <v>0</v>
      </c>
      <c r="P992" s="45">
        <f>SUMIFS(TablaDias[Porcentaje],TablaDias[Tipo],Cobros[[#This Row],[Tipo]],TablaDias[Desde ],"&lt;="&amp;MAX(0,Cobros[[#This Row],[Dias pasado]]),TablaDias[Hasta ],"&gt;="&amp;Cobros[[#This Row],[Dias pasado]])</f>
        <v>100</v>
      </c>
      <c r="Q99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2" s="34">
        <f>IF(COUNTIF(PAPEL[Numero],Cobros[[#This Row],[Doc. Cargo]])&gt;0,1,0)</f>
        <v>0</v>
      </c>
      <c r="S992" s="46">
        <f t="array" ref="S99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2" s="47">
        <v>158.005</v>
      </c>
      <c r="U992" s="34">
        <f>IF(Cobros[[#This Row],[Tipo]]="Credito",IF(60&gt;=Cobros[[#This Row],[Dias al pago]],1,0),IF(Cobros[[#This Row],[Dias al pago]]&lt;=3,1,0))</f>
        <v>1</v>
      </c>
      <c r="V992" s="46">
        <f>(Cobros[[#This Row],[% A pagar Vendedor]]/100)*Cobros[[#This Row],[Valor Pagado]]*Cobros[[#This Row],[Vencido]]*(Cobros[[#This Row],[% aplicar]]/100)*IF(Cobros[[#This Row],[% A pagar Vendedor]]&gt;0,1,0)</f>
        <v>6.52</v>
      </c>
      <c r="W992" s="46">
        <f>0.5%*Cobros[[#This Row],[Valor Pagado]]</f>
        <v>2.608</v>
      </c>
      <c r="X992" s="69"/>
    </row>
    <row r="993" spans="1:24">
      <c r="A993" s="49" t="s">
        <v>3860</v>
      </c>
      <c r="B993" s="49" t="s">
        <v>5384</v>
      </c>
      <c r="C993" s="49" t="s">
        <v>367</v>
      </c>
      <c r="D993" s="49" t="s">
        <v>368</v>
      </c>
      <c r="E993" s="49" t="s">
        <v>5385</v>
      </c>
      <c r="F993" s="51">
        <v>46234</v>
      </c>
      <c r="G993" s="49">
        <v>47.5</v>
      </c>
      <c r="H993" s="49" t="s">
        <v>20</v>
      </c>
      <c r="I993" s="51">
        <v>46234</v>
      </c>
      <c r="J993" s="54">
        <f>INT(Cobros[[#This Row],[Fecha Cargo]])</f>
        <v>46234</v>
      </c>
      <c r="K993" s="54">
        <f>INT(Cobros[[#This Row],[Fecha Aplicacion]])</f>
        <v>46234</v>
      </c>
      <c r="L993" s="55">
        <f>INDEX(Clientes[Días Plazo],MATCH(Cobros[[#This Row],[Cod. Cliente]],Clientes[Codigo],0),1)</f>
        <v>0</v>
      </c>
      <c r="M993" s="45" t="str">
        <f>IF(Cobros[[#This Row],[Dias de Credito]]&lt;=0,"Contado","Credito")</f>
        <v>Contado</v>
      </c>
      <c r="N993" s="45">
        <f>Cobros[[#This Row],[Fecha Aplicación S]]-Cobros[[#This Row],[Fecha Cargo S]]</f>
        <v>0</v>
      </c>
      <c r="O993" s="45">
        <f>Cobros[[#This Row],[Dias al pago]]-Cobros[[#This Row],[Dias de Credito]]</f>
        <v>0</v>
      </c>
      <c r="P993" s="45">
        <f>SUMIFS(TablaDias[Porcentaje],TablaDias[Tipo],Cobros[[#This Row],[Tipo]],TablaDias[Desde ],"&lt;="&amp;MAX(0,Cobros[[#This Row],[Dias pasado]]),TablaDias[Hasta ],"&gt;="&amp;Cobros[[#This Row],[Dias pasado]])</f>
        <v>100</v>
      </c>
      <c r="Q99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3" s="34">
        <f>IF(COUNTIF(PAPEL[Numero],Cobros[[#This Row],[Doc. Cargo]])&gt;0,1,0)</f>
        <v>0</v>
      </c>
      <c r="S993" s="46">
        <f t="array" ref="S99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3" s="47">
        <v>159.005</v>
      </c>
      <c r="U993" s="34">
        <f>IF(Cobros[[#This Row],[Tipo]]="Credito",IF(60&gt;=Cobros[[#This Row],[Dias al pago]],1,0),IF(Cobros[[#This Row],[Dias al pago]]&lt;=3,1,0))</f>
        <v>1</v>
      </c>
      <c r="V993" s="46">
        <f>(Cobros[[#This Row],[% A pagar Vendedor]]/100)*Cobros[[#This Row],[Valor Pagado]]*Cobros[[#This Row],[Vencido]]*(Cobros[[#This Row],[% aplicar]]/100)*IF(Cobros[[#This Row],[% A pagar Vendedor]]&gt;0,1,0)</f>
        <v>0.59375</v>
      </c>
      <c r="W993" s="46">
        <f>0.5%*Cobros[[#This Row],[Valor Pagado]]</f>
        <v>0.2375</v>
      </c>
      <c r="X993" s="69"/>
    </row>
    <row r="994" ht="30" spans="1:24">
      <c r="A994" s="49" t="s">
        <v>3931</v>
      </c>
      <c r="B994" s="49" t="s">
        <v>5386</v>
      </c>
      <c r="C994" s="49" t="s">
        <v>813</v>
      </c>
      <c r="D994" s="49" t="s">
        <v>814</v>
      </c>
      <c r="E994" s="49" t="s">
        <v>5381</v>
      </c>
      <c r="F994" s="51">
        <v>46233</v>
      </c>
      <c r="G994" s="49">
        <v>381.24</v>
      </c>
      <c r="H994" s="49" t="s">
        <v>1355</v>
      </c>
      <c r="I994" s="51">
        <v>46234</v>
      </c>
      <c r="J994" s="54">
        <f>INT(Cobros[[#This Row],[Fecha Cargo]])</f>
        <v>46233</v>
      </c>
      <c r="K994" s="54">
        <f>INT(Cobros[[#This Row],[Fecha Aplicacion]])</f>
        <v>46234</v>
      </c>
      <c r="L994" s="55">
        <f>INDEX(Clientes[Días Plazo],MATCH(Cobros[[#This Row],[Cod. Cliente]],Clientes[Codigo],0),1)</f>
        <v>0</v>
      </c>
      <c r="M994" s="45" t="str">
        <f>IF(Cobros[[#This Row],[Dias de Credito]]&lt;=0,"Contado","Credito")</f>
        <v>Contado</v>
      </c>
      <c r="N994" s="45">
        <f>Cobros[[#This Row],[Fecha Aplicación S]]-Cobros[[#This Row],[Fecha Cargo S]]</f>
        <v>1</v>
      </c>
      <c r="O994" s="45">
        <f>Cobros[[#This Row],[Dias al pago]]-Cobros[[#This Row],[Dias de Credito]]</f>
        <v>1</v>
      </c>
      <c r="P994" s="45">
        <f>SUMIFS(TablaDias[Porcentaje],TablaDias[Tipo],Cobros[[#This Row],[Tipo]],TablaDias[Desde ],"&lt;="&amp;MAX(0,Cobros[[#This Row],[Dias pasado]]),TablaDias[Hasta ],"&gt;="&amp;Cobros[[#This Row],[Dias pasado]])</f>
        <v>100</v>
      </c>
      <c r="Q99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4" s="34">
        <f>IF(COUNTIF(PAPEL[Numero],Cobros[[#This Row],[Doc. Cargo]])&gt;0,1,0)</f>
        <v>0</v>
      </c>
      <c r="S994" s="46">
        <v>1</v>
      </c>
      <c r="T994" s="47">
        <v>160.005</v>
      </c>
      <c r="U994" s="34">
        <f>IF(Cobros[[#This Row],[Tipo]]="Credito",IF(60&gt;=Cobros[[#This Row],[Dias al pago]],1,0),IF(Cobros[[#This Row],[Dias al pago]]&lt;=3,1,0))</f>
        <v>1</v>
      </c>
      <c r="V994" s="46">
        <f>(Cobros[[#This Row],[% A pagar Vendedor]]/100)*Cobros[[#This Row],[Valor Pagado]]*Cobros[[#This Row],[Vencido]]*(Cobros[[#This Row],[% aplicar]]/100)*IF(Cobros[[#This Row],[% A pagar Vendedor]]&gt;0,1,0)</f>
        <v>3.8124</v>
      </c>
      <c r="W994" s="46">
        <f>0.5%*Cobros[[#This Row],[Valor Pagado]]</f>
        <v>1.9062</v>
      </c>
      <c r="X994" s="69"/>
    </row>
    <row r="995" ht="30" spans="1:24">
      <c r="A995" s="49" t="s">
        <v>3860</v>
      </c>
      <c r="B995" s="49" t="s">
        <v>5387</v>
      </c>
      <c r="C995" s="49" t="s">
        <v>1125</v>
      </c>
      <c r="D995" s="49" t="s">
        <v>1126</v>
      </c>
      <c r="E995" s="49" t="s">
        <v>5388</v>
      </c>
      <c r="F995" s="51">
        <v>46234</v>
      </c>
      <c r="G995" s="49">
        <v>230</v>
      </c>
      <c r="H995" s="49" t="s">
        <v>3865</v>
      </c>
      <c r="I995" s="51">
        <v>46234</v>
      </c>
      <c r="J995" s="54">
        <f>INT(Cobros[[#This Row],[Fecha Cargo]])</f>
        <v>46234</v>
      </c>
      <c r="K995" s="54">
        <f>INT(Cobros[[#This Row],[Fecha Aplicacion]])</f>
        <v>46234</v>
      </c>
      <c r="L995" s="55">
        <f>INDEX(Clientes[Días Plazo],MATCH(Cobros[[#This Row],[Cod. Cliente]],Clientes[Codigo],0),1)</f>
        <v>0</v>
      </c>
      <c r="M995" s="45" t="str">
        <f>IF(Cobros[[#This Row],[Dias de Credito]]&lt;=0,"Contado","Credito")</f>
        <v>Contado</v>
      </c>
      <c r="N995" s="45">
        <f>Cobros[[#This Row],[Fecha Aplicación S]]-Cobros[[#This Row],[Fecha Cargo S]]</f>
        <v>0</v>
      </c>
      <c r="O995" s="45">
        <f>Cobros[[#This Row],[Dias al pago]]-Cobros[[#This Row],[Dias de Credito]]</f>
        <v>0</v>
      </c>
      <c r="P995" s="45">
        <f>SUMIFS(TablaDias[Porcentaje],TablaDias[Tipo],Cobros[[#This Row],[Tipo]],TablaDias[Desde ],"&lt;="&amp;MAX(0,Cobros[[#This Row],[Dias pasado]]),TablaDias[Hasta ],"&gt;="&amp;Cobros[[#This Row],[Dias pasado]])</f>
        <v>100</v>
      </c>
      <c r="Q99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5" s="34">
        <f>IF(COUNTIF(PAPEL[Numero],Cobros[[#This Row],[Doc. Cargo]])&gt;0,1,0)</f>
        <v>0</v>
      </c>
      <c r="S995" s="46">
        <v>1</v>
      </c>
      <c r="T995" s="47">
        <v>161.005</v>
      </c>
      <c r="U995" s="34">
        <f>IF(Cobros[[#This Row],[Tipo]]="Credito",IF(60&gt;=Cobros[[#This Row],[Dias al pago]],1,0),IF(Cobros[[#This Row],[Dias al pago]]&lt;=3,1,0))</f>
        <v>1</v>
      </c>
      <c r="V995" s="46">
        <f>(Cobros[[#This Row],[% A pagar Vendedor]]/100)*Cobros[[#This Row],[Valor Pagado]]*Cobros[[#This Row],[Vencido]]*(Cobros[[#This Row],[% aplicar]]/100)*IF(Cobros[[#This Row],[% A pagar Vendedor]]&gt;0,1,0)</f>
        <v>2.3</v>
      </c>
      <c r="W995" s="46">
        <f>0.5%*Cobros[[#This Row],[Valor Pagado]]</f>
        <v>1.15</v>
      </c>
      <c r="X995" s="69"/>
    </row>
    <row r="996" spans="1:24">
      <c r="A996" s="49" t="s">
        <v>3860</v>
      </c>
      <c r="B996" s="49" t="s">
        <v>5389</v>
      </c>
      <c r="C996" s="49" t="s">
        <v>455</v>
      </c>
      <c r="D996" s="49" t="s">
        <v>456</v>
      </c>
      <c r="E996" s="49" t="s">
        <v>4193</v>
      </c>
      <c r="F996" s="51">
        <v>46204</v>
      </c>
      <c r="G996" s="49">
        <v>46</v>
      </c>
      <c r="H996" s="49" t="s">
        <v>19</v>
      </c>
      <c r="I996" s="51">
        <v>46234</v>
      </c>
      <c r="J996" s="54">
        <f>INT(Cobros[[#This Row],[Fecha Cargo]])</f>
        <v>46204</v>
      </c>
      <c r="K996" s="54">
        <f>INT(Cobros[[#This Row],[Fecha Aplicacion]])</f>
        <v>46234</v>
      </c>
      <c r="L996" s="55" t="str">
        <f>INDEX(Clientes[Días Plazo],MATCH(Cobros[[#This Row],[Cod. Cliente]],Clientes[Codigo],0),1)</f>
        <v>7</v>
      </c>
      <c r="M996" s="45" t="str">
        <f>IF(Cobros[[#This Row],[Dias de Credito]]&lt;=0,"Contado","Credito")</f>
        <v>Credito</v>
      </c>
      <c r="N996" s="45">
        <f>Cobros[[#This Row],[Fecha Aplicación S]]-Cobros[[#This Row],[Fecha Cargo S]]</f>
        <v>30</v>
      </c>
      <c r="O996" s="45">
        <f>Cobros[[#This Row],[Dias al pago]]-Cobros[[#This Row],[Dias de Credito]]</f>
        <v>23</v>
      </c>
      <c r="P996" s="45">
        <f>SUMIFS(TablaDias[Porcentaje],TablaDias[Tipo],Cobros[[#This Row],[Tipo]],TablaDias[Desde ],"&lt;="&amp;MAX(0,Cobros[[#This Row],[Dias pasado]]),TablaDias[Hasta ],"&gt;="&amp;Cobros[[#This Row],[Dias pasado]])</f>
        <v>50</v>
      </c>
      <c r="Q99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6" s="34">
        <f>IF(COUNTIF(PAPEL[Numero],Cobros[[#This Row],[Doc. Cargo]])&gt;0,1,0)</f>
        <v>0</v>
      </c>
      <c r="S996" s="46">
        <f t="array" ref="S99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6" s="47">
        <v>162.005</v>
      </c>
      <c r="U996" s="34">
        <f>IF(Cobros[[#This Row],[Tipo]]="Credito",IF(60&gt;=Cobros[[#This Row],[Dias al pago]],1,0),IF(Cobros[[#This Row],[Dias al pago]]&lt;=3,1,0))</f>
        <v>1</v>
      </c>
      <c r="V996" s="46">
        <f>(Cobros[[#This Row],[% A pagar Vendedor]]/100)*Cobros[[#This Row],[Valor Pagado]]*Cobros[[#This Row],[Vencido]]*(Cobros[[#This Row],[% aplicar]]/100)*IF(Cobros[[#This Row],[% A pagar Vendedor]]&gt;0,1,0)</f>
        <v>0.2875</v>
      </c>
      <c r="W996" s="46">
        <f>0.5%*Cobros[[#This Row],[Valor Pagado]]</f>
        <v>0.23</v>
      </c>
      <c r="X996" s="69"/>
    </row>
    <row r="997" spans="1:24">
      <c r="A997" s="49" t="s">
        <v>3860</v>
      </c>
      <c r="B997" s="49" t="s">
        <v>5390</v>
      </c>
      <c r="C997" s="49" t="s">
        <v>3120</v>
      </c>
      <c r="D997" s="49" t="s">
        <v>3121</v>
      </c>
      <c r="E997" s="49" t="s">
        <v>5391</v>
      </c>
      <c r="F997" s="51">
        <v>46234</v>
      </c>
      <c r="G997" s="49">
        <v>300</v>
      </c>
      <c r="H997" s="49" t="s">
        <v>20</v>
      </c>
      <c r="I997" s="51">
        <v>46234</v>
      </c>
      <c r="J997" s="54">
        <f>INT(Cobros[[#This Row],[Fecha Cargo]])</f>
        <v>46234</v>
      </c>
      <c r="K997" s="54">
        <f>INT(Cobros[[#This Row],[Fecha Aplicacion]])</f>
        <v>46234</v>
      </c>
      <c r="L997" s="55">
        <f>INDEX(Clientes[Días Plazo],MATCH(Cobros[[#This Row],[Cod. Cliente]],Clientes[Codigo],0),1)</f>
        <v>0</v>
      </c>
      <c r="M997" s="45" t="str">
        <f>IF(Cobros[[#This Row],[Dias de Credito]]&lt;=0,"Contado","Credito")</f>
        <v>Contado</v>
      </c>
      <c r="N997" s="45">
        <f>Cobros[[#This Row],[Fecha Aplicación S]]-Cobros[[#This Row],[Fecha Cargo S]]</f>
        <v>0</v>
      </c>
      <c r="O997" s="45">
        <f>Cobros[[#This Row],[Dias al pago]]-Cobros[[#This Row],[Dias de Credito]]</f>
        <v>0</v>
      </c>
      <c r="P997" s="45">
        <f>SUMIFS(TablaDias[Porcentaje],TablaDias[Tipo],Cobros[[#This Row],[Tipo]],TablaDias[Desde ],"&lt;="&amp;MAX(0,Cobros[[#This Row],[Dias pasado]]),TablaDias[Hasta ],"&gt;="&amp;Cobros[[#This Row],[Dias pasado]])</f>
        <v>100</v>
      </c>
      <c r="Q99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7" s="34">
        <f>IF(COUNTIF(PAPEL[Numero],Cobros[[#This Row],[Doc. Cargo]])&gt;0,1,0)</f>
        <v>0</v>
      </c>
      <c r="S997" s="46">
        <f t="array" ref="S99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7" s="47">
        <v>163.005</v>
      </c>
      <c r="U997" s="34">
        <f>IF(Cobros[[#This Row],[Tipo]]="Credito",IF(60&gt;=Cobros[[#This Row],[Dias al pago]],1,0),IF(Cobros[[#This Row],[Dias al pago]]&lt;=3,1,0))</f>
        <v>1</v>
      </c>
      <c r="V997" s="46">
        <f>(Cobros[[#This Row],[% A pagar Vendedor]]/100)*Cobros[[#This Row],[Valor Pagado]]*Cobros[[#This Row],[Vencido]]*(Cobros[[#This Row],[% aplicar]]/100)*IF(Cobros[[#This Row],[% A pagar Vendedor]]&gt;0,1,0)</f>
        <v>3.75</v>
      </c>
      <c r="W997" s="46">
        <f>0.5%*Cobros[[#This Row],[Valor Pagado]]</f>
        <v>1.5</v>
      </c>
      <c r="X997" s="69"/>
    </row>
    <row r="998" spans="1:24">
      <c r="A998" s="49" t="s">
        <v>3884</v>
      </c>
      <c r="B998" s="49" t="s">
        <v>5392</v>
      </c>
      <c r="C998" s="49" t="s">
        <v>3782</v>
      </c>
      <c r="D998" s="49" t="s">
        <v>3783</v>
      </c>
      <c r="E998" s="49" t="s">
        <v>5393</v>
      </c>
      <c r="F998" s="51">
        <v>46234</v>
      </c>
      <c r="G998" s="49">
        <v>247.38</v>
      </c>
      <c r="H998" s="49" t="s">
        <v>20</v>
      </c>
      <c r="I998" s="51">
        <v>46234</v>
      </c>
      <c r="J998" s="54">
        <f>INT(Cobros[[#This Row],[Fecha Cargo]])</f>
        <v>46234</v>
      </c>
      <c r="K998" s="54">
        <f>INT(Cobros[[#This Row],[Fecha Aplicacion]])</f>
        <v>46234</v>
      </c>
      <c r="L998" s="55">
        <f>INDEX(Clientes[Días Plazo],MATCH(Cobros[[#This Row],[Cod. Cliente]],Clientes[Codigo],0),1)</f>
        <v>0</v>
      </c>
      <c r="M998" s="45" t="str">
        <f>IF(Cobros[[#This Row],[Dias de Credito]]&lt;=0,"Contado","Credito")</f>
        <v>Contado</v>
      </c>
      <c r="N998" s="45">
        <f>Cobros[[#This Row],[Fecha Aplicación S]]-Cobros[[#This Row],[Fecha Cargo S]]</f>
        <v>0</v>
      </c>
      <c r="O998" s="45">
        <f>Cobros[[#This Row],[Dias al pago]]-Cobros[[#This Row],[Dias de Credito]]</f>
        <v>0</v>
      </c>
      <c r="P998" s="45">
        <f>SUMIFS(TablaDias[Porcentaje],TablaDias[Tipo],Cobros[[#This Row],[Tipo]],TablaDias[Desde ],"&lt;="&amp;MAX(0,Cobros[[#This Row],[Dias pasado]]),TablaDias[Hasta ],"&gt;="&amp;Cobros[[#This Row],[Dias pasado]])</f>
        <v>100</v>
      </c>
      <c r="Q99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8" s="34">
        <f>IF(COUNTIF(PAPEL[Numero],Cobros[[#This Row],[Doc. Cargo]])&gt;0,1,0)</f>
        <v>0</v>
      </c>
      <c r="S998" s="46">
        <f t="array" ref="S99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998" s="47">
        <v>164.005</v>
      </c>
      <c r="U998" s="34">
        <f>IF(Cobros[[#This Row],[Tipo]]="Credito",IF(60&gt;=Cobros[[#This Row],[Dias al pago]],1,0),IF(Cobros[[#This Row],[Dias al pago]]&lt;=3,1,0))</f>
        <v>1</v>
      </c>
      <c r="V998" s="46">
        <f>(Cobros[[#This Row],[% A pagar Vendedor]]/100)*Cobros[[#This Row],[Valor Pagado]]*Cobros[[#This Row],[Vencido]]*(Cobros[[#This Row],[% aplicar]]/100)*IF(Cobros[[#This Row],[% A pagar Vendedor]]&gt;0,1,0)</f>
        <v>3.09225</v>
      </c>
      <c r="W998" s="46">
        <f>0.5%*Cobros[[#This Row],[Valor Pagado]]</f>
        <v>1.2369</v>
      </c>
      <c r="X998" s="69"/>
    </row>
    <row r="999" ht="30" spans="1:24">
      <c r="A999" s="49" t="s">
        <v>3904</v>
      </c>
      <c r="B999" s="49" t="s">
        <v>5394</v>
      </c>
      <c r="C999" s="49" t="s">
        <v>1792</v>
      </c>
      <c r="D999" s="49" t="s">
        <v>1793</v>
      </c>
      <c r="E999" s="49" t="s">
        <v>5395</v>
      </c>
      <c r="F999" s="51">
        <v>46234</v>
      </c>
      <c r="G999" s="49">
        <v>119</v>
      </c>
      <c r="H999" s="49" t="s">
        <v>22</v>
      </c>
      <c r="I999" s="51">
        <v>46234</v>
      </c>
      <c r="J999" s="54">
        <f>INT(Cobros[[#This Row],[Fecha Cargo]])</f>
        <v>46234</v>
      </c>
      <c r="K999" s="54">
        <f>INT(Cobros[[#This Row],[Fecha Aplicacion]])</f>
        <v>46234</v>
      </c>
      <c r="L999" s="55">
        <f>INDEX(Clientes[Días Plazo],MATCH(Cobros[[#This Row],[Cod. Cliente]],Clientes[Codigo],0),1)</f>
        <v>0</v>
      </c>
      <c r="M999" s="45" t="str">
        <f>IF(Cobros[[#This Row],[Dias de Credito]]&lt;=0,"Contado","Credito")</f>
        <v>Contado</v>
      </c>
      <c r="N999" s="45">
        <f>Cobros[[#This Row],[Fecha Aplicación S]]-Cobros[[#This Row],[Fecha Cargo S]]</f>
        <v>0</v>
      </c>
      <c r="O999" s="45">
        <f>Cobros[[#This Row],[Dias al pago]]-Cobros[[#This Row],[Dias de Credito]]</f>
        <v>0</v>
      </c>
      <c r="P999" s="45">
        <f>SUMIFS(TablaDias[Porcentaje],TablaDias[Tipo],Cobros[[#This Row],[Tipo]],TablaDias[Desde ],"&lt;="&amp;MAX(0,Cobros[[#This Row],[Dias pasado]]),TablaDias[Hasta ],"&gt;="&amp;Cobros[[#This Row],[Dias pasado]])</f>
        <v>100</v>
      </c>
      <c r="Q99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999" s="34">
        <f>IF(COUNTIF(PAPEL[Numero],Cobros[[#This Row],[Doc. Cargo]])&gt;0,1,0)</f>
        <v>0</v>
      </c>
      <c r="S999" s="46">
        <f t="array" ref="S99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999" s="47">
        <v>165.005</v>
      </c>
      <c r="U999" s="34">
        <f>IF(Cobros[[#This Row],[Tipo]]="Credito",IF(60&gt;=Cobros[[#This Row],[Dias al pago]],1,0),IF(Cobros[[#This Row],[Dias al pago]]&lt;=3,1,0))</f>
        <v>1</v>
      </c>
      <c r="V999" s="46">
        <f>(Cobros[[#This Row],[% A pagar Vendedor]]/100)*Cobros[[#This Row],[Valor Pagado]]*Cobros[[#This Row],[Vencido]]*(Cobros[[#This Row],[% aplicar]]/100)*IF(Cobros[[#This Row],[% A pagar Vendedor]]&gt;0,1,0)</f>
        <v>1.19</v>
      </c>
      <c r="W999" s="46">
        <f>0.5%*Cobros[[#This Row],[Valor Pagado]]</f>
        <v>0.595</v>
      </c>
      <c r="X999" s="69"/>
    </row>
    <row r="1000" ht="30" spans="1:24">
      <c r="A1000" s="49" t="s">
        <v>3884</v>
      </c>
      <c r="B1000" s="49" t="s">
        <v>5396</v>
      </c>
      <c r="C1000" s="49" t="s">
        <v>160</v>
      </c>
      <c r="D1000" s="49" t="s">
        <v>161</v>
      </c>
      <c r="E1000" s="49" t="s">
        <v>5397</v>
      </c>
      <c r="F1000" s="51">
        <v>46234</v>
      </c>
      <c r="G1000" s="49">
        <v>646</v>
      </c>
      <c r="H1000" s="49" t="s">
        <v>22</v>
      </c>
      <c r="I1000" s="51">
        <v>46234</v>
      </c>
      <c r="J1000" s="54">
        <f>INT(Cobros[[#This Row],[Fecha Cargo]])</f>
        <v>46234</v>
      </c>
      <c r="K1000" s="54">
        <f>INT(Cobros[[#This Row],[Fecha Aplicacion]])</f>
        <v>46234</v>
      </c>
      <c r="L1000" s="55">
        <f>INDEX(Clientes[Días Plazo],MATCH(Cobros[[#This Row],[Cod. Cliente]],Clientes[Codigo],0),1)</f>
        <v>0</v>
      </c>
      <c r="M1000" s="45" t="str">
        <f>IF(Cobros[[#This Row],[Dias de Credito]]&lt;=0,"Contado","Credito")</f>
        <v>Contado</v>
      </c>
      <c r="N1000" s="45">
        <f>Cobros[[#This Row],[Fecha Aplicación S]]-Cobros[[#This Row],[Fecha Cargo S]]</f>
        <v>0</v>
      </c>
      <c r="O1000" s="45">
        <f>Cobros[[#This Row],[Dias al pago]]-Cobros[[#This Row],[Dias de Credito]]</f>
        <v>0</v>
      </c>
      <c r="P1000" s="45">
        <f>SUMIFS(TablaDias[Porcentaje],TablaDias[Tipo],Cobros[[#This Row],[Tipo]],TablaDias[Desde ],"&lt;="&amp;MAX(0,Cobros[[#This Row],[Dias pasado]]),TablaDias[Hasta ],"&gt;="&amp;Cobros[[#This Row],[Dias pasado]])</f>
        <v>100</v>
      </c>
      <c r="Q100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0" s="34">
        <f>IF(COUNTIF(PAPEL[Numero],Cobros[[#This Row],[Doc. Cargo]])&gt;0,1,0)</f>
        <v>0</v>
      </c>
      <c r="S1000" s="46">
        <f t="array" ref="S100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00" s="47">
        <v>166.005</v>
      </c>
      <c r="U1000" s="34">
        <f>IF(Cobros[[#This Row],[Tipo]]="Credito",IF(60&gt;=Cobros[[#This Row],[Dias al pago]],1,0),IF(Cobros[[#This Row],[Dias al pago]]&lt;=3,1,0))</f>
        <v>1</v>
      </c>
      <c r="V1000" s="46">
        <v>6.46</v>
      </c>
      <c r="W1000" s="46">
        <f>0.5%*Cobros[[#This Row],[Valor Pagado]]</f>
        <v>3.23</v>
      </c>
      <c r="X1000" s="69"/>
    </row>
    <row r="1001" ht="30" spans="1:24">
      <c r="A1001" s="49" t="s">
        <v>3904</v>
      </c>
      <c r="B1001" s="49" t="s">
        <v>5398</v>
      </c>
      <c r="C1001" s="49" t="s">
        <v>160</v>
      </c>
      <c r="D1001" s="49" t="s">
        <v>161</v>
      </c>
      <c r="E1001" s="49" t="s">
        <v>5399</v>
      </c>
      <c r="F1001" s="51">
        <v>46220</v>
      </c>
      <c r="G1001" s="49">
        <v>260</v>
      </c>
      <c r="H1001" s="49" t="s">
        <v>22</v>
      </c>
      <c r="I1001" s="51">
        <v>46220</v>
      </c>
      <c r="J1001" s="54">
        <f>INT(Cobros[[#This Row],[Fecha Cargo]])</f>
        <v>46220</v>
      </c>
      <c r="K1001" s="54">
        <f>INT(Cobros[[#This Row],[Fecha Aplicacion]])</f>
        <v>46220</v>
      </c>
      <c r="L1001" s="55">
        <f>INDEX(Clientes[Días Plazo],MATCH(Cobros[[#This Row],[Cod. Cliente]],Clientes[Codigo],0),1)</f>
        <v>0</v>
      </c>
      <c r="M1001" s="45" t="str">
        <f>IF(Cobros[[#This Row],[Dias de Credito]]&lt;=0,"Contado","Credito")</f>
        <v>Contado</v>
      </c>
      <c r="N1001" s="45">
        <f>Cobros[[#This Row],[Fecha Aplicación S]]-Cobros[[#This Row],[Fecha Cargo S]]</f>
        <v>0</v>
      </c>
      <c r="O1001" s="45">
        <f>Cobros[[#This Row],[Dias al pago]]-Cobros[[#This Row],[Dias de Credito]]</f>
        <v>0</v>
      </c>
      <c r="P1001" s="45">
        <f>SUMIFS(TablaDias[Porcentaje],TablaDias[Tipo],Cobros[[#This Row],[Tipo]],TablaDias[Desde ],"&lt;="&amp;MAX(0,Cobros[[#This Row],[Dias pasado]]),TablaDias[Hasta ],"&gt;="&amp;Cobros[[#This Row],[Dias pasado]])</f>
        <v>100</v>
      </c>
      <c r="Q100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1" s="34">
        <f>IF(COUNTIF(PAPEL[Numero],Cobros[[#This Row],[Doc. Cargo]])&gt;0,1,0)</f>
        <v>0</v>
      </c>
      <c r="S1001" s="46">
        <f t="array" ref="S100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01" s="47">
        <v>167.005</v>
      </c>
      <c r="U1001" s="34">
        <f>IF(Cobros[[#This Row],[Tipo]]="Credito",IF(60&gt;=Cobros[[#This Row],[Dias al pago]],1,0),IF(Cobros[[#This Row],[Dias al pago]]&lt;=3,1,0))</f>
        <v>1</v>
      </c>
      <c r="V1001" s="46">
        <f>(Cobros[[#This Row],[% A pagar Vendedor]]/100)*Cobros[[#This Row],[Valor Pagado]]*Cobros[[#This Row],[Vencido]]*(Cobros[[#This Row],[% aplicar]]/100)*IF(Cobros[[#This Row],[% A pagar Vendedor]]&gt;0,1,0)</f>
        <v>2.6</v>
      </c>
      <c r="W1001" s="46">
        <f>0.5%*Cobros[[#This Row],[Valor Pagado]]</f>
        <v>1.3</v>
      </c>
      <c r="X1001" s="69"/>
    </row>
    <row r="1002" ht="30" spans="1:24">
      <c r="A1002" s="49" t="s">
        <v>3860</v>
      </c>
      <c r="B1002" s="49" t="s">
        <v>5400</v>
      </c>
      <c r="C1002" s="49" t="s">
        <v>641</v>
      </c>
      <c r="D1002" s="49" t="s">
        <v>642</v>
      </c>
      <c r="E1002" s="49" t="s">
        <v>5401</v>
      </c>
      <c r="F1002" s="51">
        <v>46213</v>
      </c>
      <c r="G1002" s="49">
        <v>490</v>
      </c>
      <c r="H1002" s="49" t="s">
        <v>1355</v>
      </c>
      <c r="I1002" s="51">
        <v>46211</v>
      </c>
      <c r="J1002" s="54">
        <f>INT(Cobros[[#This Row],[Fecha Cargo]])</f>
        <v>46213</v>
      </c>
      <c r="K1002" s="54">
        <f>INT(Cobros[[#This Row],[Fecha Aplicacion]])</f>
        <v>46211</v>
      </c>
      <c r="L1002" s="55">
        <f>INDEX(Clientes[Días Plazo],MATCH(Cobros[[#This Row],[Cod. Cliente]],Clientes[Codigo],0),1)</f>
        <v>0</v>
      </c>
      <c r="M1002" s="45" t="str">
        <f>IF(Cobros[[#This Row],[Dias de Credito]]&lt;=0,"Contado","Credito")</f>
        <v>Contado</v>
      </c>
      <c r="N1002" s="45">
        <f>Cobros[[#This Row],[Fecha Aplicación S]]-Cobros[[#This Row],[Fecha Cargo S]]</f>
        <v>-2</v>
      </c>
      <c r="O1002" s="45">
        <f>Cobros[[#This Row],[Dias al pago]]-Cobros[[#This Row],[Dias de Credito]]</f>
        <v>-2</v>
      </c>
      <c r="P1002" s="45">
        <f>SUMIFS(TablaDias[Porcentaje],TablaDias[Tipo],Cobros[[#This Row],[Tipo]],TablaDias[Desde ],"&lt;="&amp;MAX(0,Cobros[[#This Row],[Dias pasado]]),TablaDias[Hasta ],"&gt;="&amp;Cobros[[#This Row],[Dias pasado]])</f>
        <v>100</v>
      </c>
      <c r="Q100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2" s="34">
        <f>IF(COUNTIF(PAPEL[Numero],Cobros[[#This Row],[Doc. Cargo]])&gt;0,1,0)</f>
        <v>0</v>
      </c>
      <c r="S1002" s="46">
        <v>1</v>
      </c>
      <c r="T1002" s="47">
        <v>168.005</v>
      </c>
      <c r="U1002" s="34">
        <f>IF(Cobros[[#This Row],[Tipo]]="Credito",IF(60&gt;=Cobros[[#This Row],[Dias al pago]],1,0),IF(Cobros[[#This Row],[Dias al pago]]&lt;=3,1,0))</f>
        <v>1</v>
      </c>
      <c r="V1002" s="46">
        <f>(Cobros[[#This Row],[% A pagar Vendedor]]/100)*Cobros[[#This Row],[Valor Pagado]]*Cobros[[#This Row],[Vencido]]*(Cobros[[#This Row],[% aplicar]]/100)*IF(Cobros[[#This Row],[% A pagar Vendedor]]&gt;0,1,0)</f>
        <v>4.9</v>
      </c>
      <c r="W1002" s="46">
        <f>0.5%*Cobros[[#This Row],[Valor Pagado]]</f>
        <v>2.45</v>
      </c>
      <c r="X1002" s="69"/>
    </row>
    <row r="1003" spans="1:24">
      <c r="A1003" s="49" t="s">
        <v>3875</v>
      </c>
      <c r="B1003" s="49" t="s">
        <v>5402</v>
      </c>
      <c r="C1003" s="49" t="s">
        <v>3029</v>
      </c>
      <c r="D1003" s="49" t="s">
        <v>3030</v>
      </c>
      <c r="E1003" s="49" t="s">
        <v>5403</v>
      </c>
      <c r="F1003" s="51">
        <v>46234</v>
      </c>
      <c r="G1003" s="49">
        <v>56.85</v>
      </c>
      <c r="H1003" s="49" t="s">
        <v>16</v>
      </c>
      <c r="I1003" s="51">
        <v>46234</v>
      </c>
      <c r="J1003" s="54">
        <f>INT(Cobros[[#This Row],[Fecha Cargo]])</f>
        <v>46234</v>
      </c>
      <c r="K1003" s="54">
        <f>INT(Cobros[[#This Row],[Fecha Aplicacion]])</f>
        <v>46234</v>
      </c>
      <c r="L1003" s="55">
        <f>INDEX(Clientes[Días Plazo],MATCH(Cobros[[#This Row],[Cod. Cliente]],Clientes[Codigo],0),1)</f>
        <v>0</v>
      </c>
      <c r="M1003" s="45" t="str">
        <f>IF(Cobros[[#This Row],[Dias de Credito]]&lt;=0,"Contado","Credito")</f>
        <v>Contado</v>
      </c>
      <c r="N1003" s="45">
        <f>Cobros[[#This Row],[Fecha Aplicación S]]-Cobros[[#This Row],[Fecha Cargo S]]</f>
        <v>0</v>
      </c>
      <c r="O1003" s="45">
        <f>Cobros[[#This Row],[Dias al pago]]-Cobros[[#This Row],[Dias de Credito]]</f>
        <v>0</v>
      </c>
      <c r="P1003" s="45">
        <f>SUMIFS(TablaDias[Porcentaje],TablaDias[Tipo],Cobros[[#This Row],[Tipo]],TablaDias[Desde ],"&lt;="&amp;MAX(0,Cobros[[#This Row],[Dias pasado]]),TablaDias[Hasta ],"&gt;="&amp;Cobros[[#This Row],[Dias pasado]])</f>
        <v>100</v>
      </c>
      <c r="Q100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3" s="34">
        <f>IF(COUNTIF(PAPEL[Numero],Cobros[[#This Row],[Doc. Cargo]])&gt;0,1,0)</f>
        <v>0</v>
      </c>
      <c r="S1003" s="46">
        <f t="array" ref="S100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03" s="47">
        <v>169.005</v>
      </c>
      <c r="U1003" s="34">
        <f>IF(Cobros[[#This Row],[Tipo]]="Credito",IF(60&gt;=Cobros[[#This Row],[Dias al pago]],1,0),IF(Cobros[[#This Row],[Dias al pago]]&lt;=3,1,0))</f>
        <v>1</v>
      </c>
      <c r="V1003" s="46">
        <f>(Cobros[[#This Row],[% A pagar Vendedor]]/100)*Cobros[[#This Row],[Valor Pagado]]*Cobros[[#This Row],[Vencido]]*(Cobros[[#This Row],[% aplicar]]/100)*IF(Cobros[[#This Row],[% A pagar Vendedor]]&gt;0,1,0)</f>
        <v>0.710625</v>
      </c>
      <c r="W1003" s="46">
        <f>0.5%*Cobros[[#This Row],[Valor Pagado]]</f>
        <v>0.28425</v>
      </c>
      <c r="X1003" s="69"/>
    </row>
    <row r="1004" ht="30" spans="1:24">
      <c r="A1004" s="49" t="s">
        <v>3904</v>
      </c>
      <c r="B1004" s="49" t="s">
        <v>5404</v>
      </c>
      <c r="C1004" s="49" t="s">
        <v>395</v>
      </c>
      <c r="D1004" s="49" t="s">
        <v>396</v>
      </c>
      <c r="E1004" s="49" t="s">
        <v>5405</v>
      </c>
      <c r="F1004" s="51">
        <v>46234</v>
      </c>
      <c r="G1004" s="49">
        <v>186.34</v>
      </c>
      <c r="H1004" s="49" t="s">
        <v>1355</v>
      </c>
      <c r="I1004" s="51">
        <v>46234</v>
      </c>
      <c r="J1004" s="54">
        <f>INT(Cobros[[#This Row],[Fecha Cargo]])</f>
        <v>46234</v>
      </c>
      <c r="K1004" s="54">
        <f>INT(Cobros[[#This Row],[Fecha Aplicacion]])</f>
        <v>46234</v>
      </c>
      <c r="L1004" s="55">
        <f>INDEX(Clientes[Días Plazo],MATCH(Cobros[[#This Row],[Cod. Cliente]],Clientes[Codigo],0),1)</f>
        <v>0</v>
      </c>
      <c r="M1004" s="45" t="str">
        <f>IF(Cobros[[#This Row],[Dias de Credito]]&lt;=0,"Contado","Credito")</f>
        <v>Contado</v>
      </c>
      <c r="N1004" s="45">
        <f>Cobros[[#This Row],[Fecha Aplicación S]]-Cobros[[#This Row],[Fecha Cargo S]]</f>
        <v>0</v>
      </c>
      <c r="O1004" s="45">
        <f>Cobros[[#This Row],[Dias al pago]]-Cobros[[#This Row],[Dias de Credito]]</f>
        <v>0</v>
      </c>
      <c r="P1004" s="45">
        <f>SUMIFS(TablaDias[Porcentaje],TablaDias[Tipo],Cobros[[#This Row],[Tipo]],TablaDias[Desde ],"&lt;="&amp;MAX(0,Cobros[[#This Row],[Dias pasado]]),TablaDias[Hasta ],"&gt;="&amp;Cobros[[#This Row],[Dias pasado]])</f>
        <v>100</v>
      </c>
      <c r="Q100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4" s="34">
        <f>IF(COUNTIF(PAPEL[Numero],Cobros[[#This Row],[Doc. Cargo]])&gt;0,1,0)</f>
        <v>0</v>
      </c>
      <c r="S1004" s="46">
        <v>1</v>
      </c>
      <c r="T1004" s="47">
        <v>170.005</v>
      </c>
      <c r="U1004" s="34">
        <f>IF(Cobros[[#This Row],[Tipo]]="Credito",IF(60&gt;=Cobros[[#This Row],[Dias al pago]],1,0),IF(Cobros[[#This Row],[Dias al pago]]&lt;=3,1,0))</f>
        <v>1</v>
      </c>
      <c r="V1004" s="46">
        <f>(Cobros[[#This Row],[% A pagar Vendedor]]/100)*Cobros[[#This Row],[Valor Pagado]]*Cobros[[#This Row],[Vencido]]*(Cobros[[#This Row],[% aplicar]]/100)*IF(Cobros[[#This Row],[% A pagar Vendedor]]&gt;0,1,0)</f>
        <v>1.8634</v>
      </c>
      <c r="W1004" s="46">
        <f>0.5%*Cobros[[#This Row],[Valor Pagado]]</f>
        <v>0.9317</v>
      </c>
      <c r="X1004" s="69"/>
    </row>
    <row r="1005" ht="30" spans="1:24">
      <c r="A1005" s="49" t="s">
        <v>3875</v>
      </c>
      <c r="B1005" s="49" t="s">
        <v>5406</v>
      </c>
      <c r="C1005" s="49" t="s">
        <v>1159</v>
      </c>
      <c r="D1005" s="49" t="s">
        <v>1160</v>
      </c>
      <c r="E1005" s="49" t="s">
        <v>5407</v>
      </c>
      <c r="F1005" s="51">
        <v>46234</v>
      </c>
      <c r="G1005" s="49">
        <v>1103.76</v>
      </c>
      <c r="H1005" s="49" t="s">
        <v>1355</v>
      </c>
      <c r="I1005" s="51">
        <v>46234</v>
      </c>
      <c r="J1005" s="54">
        <f>INT(Cobros[[#This Row],[Fecha Cargo]])</f>
        <v>46234</v>
      </c>
      <c r="K1005" s="54">
        <f>INT(Cobros[[#This Row],[Fecha Aplicacion]])</f>
        <v>46234</v>
      </c>
      <c r="L1005" s="55">
        <f>INDEX(Clientes[Días Plazo],MATCH(Cobros[[#This Row],[Cod. Cliente]],Clientes[Codigo],0),1)</f>
        <v>0</v>
      </c>
      <c r="M1005" s="45" t="str">
        <f>IF(Cobros[[#This Row],[Dias de Credito]]&lt;=0,"Contado","Credito")</f>
        <v>Contado</v>
      </c>
      <c r="N1005" s="45">
        <f>Cobros[[#This Row],[Fecha Aplicación S]]-Cobros[[#This Row],[Fecha Cargo S]]</f>
        <v>0</v>
      </c>
      <c r="O1005" s="45">
        <f>Cobros[[#This Row],[Dias al pago]]-Cobros[[#This Row],[Dias de Credito]]</f>
        <v>0</v>
      </c>
      <c r="P1005" s="45">
        <f>SUMIFS(TablaDias[Porcentaje],TablaDias[Tipo],Cobros[[#This Row],[Tipo]],TablaDias[Desde ],"&lt;="&amp;MAX(0,Cobros[[#This Row],[Dias pasado]]),TablaDias[Hasta ],"&gt;="&amp;Cobros[[#This Row],[Dias pasado]])</f>
        <v>100</v>
      </c>
      <c r="Q100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5" s="34">
        <f>IF(COUNTIF(PAPEL[Numero],Cobros[[#This Row],[Doc. Cargo]])&gt;0,1,0)</f>
        <v>0</v>
      </c>
      <c r="S1005" s="46">
        <v>1</v>
      </c>
      <c r="T1005" s="47">
        <v>171.005</v>
      </c>
      <c r="U1005" s="34">
        <f>IF(Cobros[[#This Row],[Tipo]]="Credito",IF(60&gt;=Cobros[[#This Row],[Dias al pago]],1,0),IF(Cobros[[#This Row],[Dias al pago]]&lt;=3,1,0))</f>
        <v>1</v>
      </c>
      <c r="V1005" s="46">
        <f>(Cobros[[#This Row],[% A pagar Vendedor]]/100)*Cobros[[#This Row],[Valor Pagado]]*Cobros[[#This Row],[Vencido]]*(Cobros[[#This Row],[% aplicar]]/100)*IF(Cobros[[#This Row],[% A pagar Vendedor]]&gt;0,1,0)</f>
        <v>11.0376</v>
      </c>
      <c r="W1005" s="46">
        <f>0.5%*Cobros[[#This Row],[Valor Pagado]]</f>
        <v>5.5188</v>
      </c>
      <c r="X1005" s="69"/>
    </row>
    <row r="1006" ht="30" spans="1:24">
      <c r="A1006" s="49" t="s">
        <v>3860</v>
      </c>
      <c r="B1006" s="49" t="s">
        <v>5408</v>
      </c>
      <c r="C1006" s="49" t="s">
        <v>641</v>
      </c>
      <c r="D1006" s="49" t="s">
        <v>642</v>
      </c>
      <c r="E1006" s="49" t="s">
        <v>5409</v>
      </c>
      <c r="F1006" s="51">
        <v>46234</v>
      </c>
      <c r="G1006" s="49">
        <v>165.1</v>
      </c>
      <c r="H1006" s="49" t="s">
        <v>1355</v>
      </c>
      <c r="I1006" s="51">
        <v>46234</v>
      </c>
      <c r="J1006" s="54">
        <f>INT(Cobros[[#This Row],[Fecha Cargo]])</f>
        <v>46234</v>
      </c>
      <c r="K1006" s="54">
        <f>INT(Cobros[[#This Row],[Fecha Aplicacion]])</f>
        <v>46234</v>
      </c>
      <c r="L1006" s="55">
        <f>INDEX(Clientes[Días Plazo],MATCH(Cobros[[#This Row],[Cod. Cliente]],Clientes[Codigo],0),1)</f>
        <v>0</v>
      </c>
      <c r="M1006" s="45" t="str">
        <f>IF(Cobros[[#This Row],[Dias de Credito]]&lt;=0,"Contado","Credito")</f>
        <v>Contado</v>
      </c>
      <c r="N1006" s="45">
        <f>Cobros[[#This Row],[Fecha Aplicación S]]-Cobros[[#This Row],[Fecha Cargo S]]</f>
        <v>0</v>
      </c>
      <c r="O1006" s="45">
        <f>Cobros[[#This Row],[Dias al pago]]-Cobros[[#This Row],[Dias de Credito]]</f>
        <v>0</v>
      </c>
      <c r="P1006" s="45">
        <f>SUMIFS(TablaDias[Porcentaje],TablaDias[Tipo],Cobros[[#This Row],[Tipo]],TablaDias[Desde ],"&lt;="&amp;MAX(0,Cobros[[#This Row],[Dias pasado]]),TablaDias[Hasta ],"&gt;="&amp;Cobros[[#This Row],[Dias pasado]])</f>
        <v>100</v>
      </c>
      <c r="Q100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6" s="34">
        <f>IF(COUNTIF(PAPEL[Numero],Cobros[[#This Row],[Doc. Cargo]])&gt;0,1,0)</f>
        <v>0</v>
      </c>
      <c r="S1006" s="46">
        <v>1</v>
      </c>
      <c r="T1006" s="47">
        <v>172.005</v>
      </c>
      <c r="U1006" s="34">
        <f>IF(Cobros[[#This Row],[Tipo]]="Credito",IF(60&gt;=Cobros[[#This Row],[Dias al pago]],1,0),IF(Cobros[[#This Row],[Dias al pago]]&lt;=3,1,0))</f>
        <v>1</v>
      </c>
      <c r="V1006" s="46">
        <f>(Cobros[[#This Row],[% A pagar Vendedor]]/100)*Cobros[[#This Row],[Valor Pagado]]*Cobros[[#This Row],[Vencido]]*(Cobros[[#This Row],[% aplicar]]/100)*IF(Cobros[[#This Row],[% A pagar Vendedor]]&gt;0,1,0)</f>
        <v>1.651</v>
      </c>
      <c r="W1006" s="46">
        <f>0.5%*Cobros[[#This Row],[Valor Pagado]]</f>
        <v>0.8255</v>
      </c>
      <c r="X1006" s="69"/>
    </row>
    <row r="1007" ht="30" spans="1:24">
      <c r="A1007" s="49" t="s">
        <v>3860</v>
      </c>
      <c r="B1007" s="49" t="s">
        <v>5410</v>
      </c>
      <c r="C1007" s="49" t="s">
        <v>2525</v>
      </c>
      <c r="D1007" s="49" t="s">
        <v>2526</v>
      </c>
      <c r="E1007" s="49" t="s">
        <v>5411</v>
      </c>
      <c r="F1007" s="51">
        <v>46234</v>
      </c>
      <c r="G1007" s="49">
        <v>40.7</v>
      </c>
      <c r="H1007" s="49" t="s">
        <v>22</v>
      </c>
      <c r="I1007" s="51">
        <v>46234</v>
      </c>
      <c r="J1007" s="54">
        <f>INT(Cobros[[#This Row],[Fecha Cargo]])</f>
        <v>46234</v>
      </c>
      <c r="K1007" s="54">
        <f>INT(Cobros[[#This Row],[Fecha Aplicacion]])</f>
        <v>46234</v>
      </c>
      <c r="L1007" s="55">
        <f>INDEX(Clientes[Días Plazo],MATCH(Cobros[[#This Row],[Cod. Cliente]],Clientes[Codigo],0),1)</f>
        <v>0</v>
      </c>
      <c r="M1007" s="45" t="str">
        <f>IF(Cobros[[#This Row],[Dias de Credito]]&lt;=0,"Contado","Credito")</f>
        <v>Contado</v>
      </c>
      <c r="N1007" s="45">
        <f>Cobros[[#This Row],[Fecha Aplicación S]]-Cobros[[#This Row],[Fecha Cargo S]]</f>
        <v>0</v>
      </c>
      <c r="O1007" s="45">
        <f>Cobros[[#This Row],[Dias al pago]]-Cobros[[#This Row],[Dias de Credito]]</f>
        <v>0</v>
      </c>
      <c r="P1007" s="45">
        <f>SUMIFS(TablaDias[Porcentaje],TablaDias[Tipo],Cobros[[#This Row],[Tipo]],TablaDias[Desde ],"&lt;="&amp;MAX(0,Cobros[[#This Row],[Dias pasado]]),TablaDias[Hasta ],"&gt;="&amp;Cobros[[#This Row],[Dias pasado]])</f>
        <v>100</v>
      </c>
      <c r="Q100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7" s="34">
        <f>IF(COUNTIF(PAPEL[Numero],Cobros[[#This Row],[Doc. Cargo]])&gt;0,1,0)</f>
        <v>0</v>
      </c>
      <c r="S1007" s="46">
        <f t="array" ref="S100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07" s="47">
        <v>173.005</v>
      </c>
      <c r="U1007" s="34">
        <f>IF(Cobros[[#This Row],[Tipo]]="Credito",IF(60&gt;=Cobros[[#This Row],[Dias al pago]],1,0),IF(Cobros[[#This Row],[Dias al pago]]&lt;=3,1,0))</f>
        <v>1</v>
      </c>
      <c r="V1007" s="46">
        <f>(Cobros[[#This Row],[% A pagar Vendedor]]/100)*Cobros[[#This Row],[Valor Pagado]]*Cobros[[#This Row],[Vencido]]*(Cobros[[#This Row],[% aplicar]]/100)*IF(Cobros[[#This Row],[% A pagar Vendedor]]&gt;0,1,0)</f>
        <v>0.407</v>
      </c>
      <c r="W1007" s="46">
        <f>0.5%*Cobros[[#This Row],[Valor Pagado]]</f>
        <v>0.2035</v>
      </c>
      <c r="X1007" s="69"/>
    </row>
    <row r="1008" spans="1:24">
      <c r="A1008" s="49" t="s">
        <v>3860</v>
      </c>
      <c r="B1008" s="49" t="s">
        <v>5412</v>
      </c>
      <c r="C1008" s="49" t="s">
        <v>1220</v>
      </c>
      <c r="D1008" s="49" t="s">
        <v>1221</v>
      </c>
      <c r="E1008" s="49" t="s">
        <v>5413</v>
      </c>
      <c r="F1008" s="51">
        <v>46234</v>
      </c>
      <c r="G1008" s="49">
        <v>49.95</v>
      </c>
      <c r="H1008" s="49" t="s">
        <v>20</v>
      </c>
      <c r="I1008" s="51">
        <v>46234</v>
      </c>
      <c r="J1008" s="54">
        <f>INT(Cobros[[#This Row],[Fecha Cargo]])</f>
        <v>46234</v>
      </c>
      <c r="K1008" s="54">
        <f>INT(Cobros[[#This Row],[Fecha Aplicacion]])</f>
        <v>46234</v>
      </c>
      <c r="L1008" s="55">
        <f>INDEX(Clientes[Días Plazo],MATCH(Cobros[[#This Row],[Cod. Cliente]],Clientes[Codigo],0),1)</f>
        <v>0</v>
      </c>
      <c r="M1008" s="45" t="str">
        <f>IF(Cobros[[#This Row],[Dias de Credito]]&lt;=0,"Contado","Credito")</f>
        <v>Contado</v>
      </c>
      <c r="N1008" s="45">
        <f>Cobros[[#This Row],[Fecha Aplicación S]]-Cobros[[#This Row],[Fecha Cargo S]]</f>
        <v>0</v>
      </c>
      <c r="O1008" s="45">
        <f>Cobros[[#This Row],[Dias al pago]]-Cobros[[#This Row],[Dias de Credito]]</f>
        <v>0</v>
      </c>
      <c r="P1008" s="45">
        <f>SUMIFS(TablaDias[Porcentaje],TablaDias[Tipo],Cobros[[#This Row],[Tipo]],TablaDias[Desde ],"&lt;="&amp;MAX(0,Cobros[[#This Row],[Dias pasado]]),TablaDias[Hasta ],"&gt;="&amp;Cobros[[#This Row],[Dias pasado]])</f>
        <v>100</v>
      </c>
      <c r="Q100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8" s="34">
        <f>IF(COUNTIF(PAPEL[Numero],Cobros[[#This Row],[Doc. Cargo]])&gt;0,1,0)</f>
        <v>0</v>
      </c>
      <c r="S1008" s="46">
        <f t="array" ref="S100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08" s="47">
        <v>174.005</v>
      </c>
      <c r="U1008" s="34">
        <f>IF(Cobros[[#This Row],[Tipo]]="Credito",IF(60&gt;=Cobros[[#This Row],[Dias al pago]],1,0),IF(Cobros[[#This Row],[Dias al pago]]&lt;=3,1,0))</f>
        <v>1</v>
      </c>
      <c r="V1008" s="46">
        <f>(Cobros[[#This Row],[% A pagar Vendedor]]/100)*Cobros[[#This Row],[Valor Pagado]]*Cobros[[#This Row],[Vencido]]*(Cobros[[#This Row],[% aplicar]]/100)*IF(Cobros[[#This Row],[% A pagar Vendedor]]&gt;0,1,0)</f>
        <v>0.624375</v>
      </c>
      <c r="W1008" s="46">
        <f>0.5%*Cobros[[#This Row],[Valor Pagado]]</f>
        <v>0.24975</v>
      </c>
      <c r="X1008" s="69"/>
    </row>
    <row r="1009" spans="1:24">
      <c r="A1009" s="49" t="s">
        <v>3860</v>
      </c>
      <c r="B1009" s="49" t="s">
        <v>5414</v>
      </c>
      <c r="C1009" s="49" t="s">
        <v>2960</v>
      </c>
      <c r="D1009" s="49" t="s">
        <v>2961</v>
      </c>
      <c r="E1009" s="49" t="s">
        <v>5415</v>
      </c>
      <c r="F1009" s="51">
        <v>46230</v>
      </c>
      <c r="G1009" s="49">
        <v>170</v>
      </c>
      <c r="H1009" s="49" t="s">
        <v>16</v>
      </c>
      <c r="I1009" s="51">
        <v>46234</v>
      </c>
      <c r="J1009" s="54">
        <f>INT(Cobros[[#This Row],[Fecha Cargo]])</f>
        <v>46230</v>
      </c>
      <c r="K1009" s="54">
        <f>INT(Cobros[[#This Row],[Fecha Aplicacion]])</f>
        <v>46234</v>
      </c>
      <c r="L1009" s="55" t="str">
        <f>INDEX(Clientes[Días Plazo],MATCH(Cobros[[#This Row],[Cod. Cliente]],Clientes[Codigo],0),1)</f>
        <v>7</v>
      </c>
      <c r="M1009" s="45" t="str">
        <f>IF(Cobros[[#This Row],[Dias de Credito]]&lt;=0,"Contado","Credito")</f>
        <v>Credito</v>
      </c>
      <c r="N1009" s="45">
        <f>Cobros[[#This Row],[Fecha Aplicación S]]-Cobros[[#This Row],[Fecha Cargo S]]</f>
        <v>4</v>
      </c>
      <c r="O1009" s="45">
        <f>Cobros[[#This Row],[Dias al pago]]-Cobros[[#This Row],[Dias de Credito]]</f>
        <v>-3</v>
      </c>
      <c r="P1009" s="45">
        <f>SUMIFS(TablaDias[Porcentaje],TablaDias[Tipo],Cobros[[#This Row],[Tipo]],TablaDias[Desde ],"&lt;="&amp;MAX(0,Cobros[[#This Row],[Dias pasado]]),TablaDias[Hasta ],"&gt;="&amp;Cobros[[#This Row],[Dias pasado]])</f>
        <v>100</v>
      </c>
      <c r="Q100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09" s="34">
        <f>IF(COUNTIF(PAPEL[Numero],Cobros[[#This Row],[Doc. Cargo]])&gt;0,1,0)</f>
        <v>0</v>
      </c>
      <c r="S1009" s="46">
        <f t="array" ref="S100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09" s="47">
        <v>175.005</v>
      </c>
      <c r="U1009" s="34">
        <f>IF(Cobros[[#This Row],[Tipo]]="Credito",IF(60&gt;=Cobros[[#This Row],[Dias al pago]],1,0),IF(Cobros[[#This Row],[Dias al pago]]&lt;=3,1,0))</f>
        <v>1</v>
      </c>
      <c r="V1009" s="46">
        <f>(Cobros[[#This Row],[% A pagar Vendedor]]/100)*Cobros[[#This Row],[Valor Pagado]]*Cobros[[#This Row],[Vencido]]*(Cobros[[#This Row],[% aplicar]]/100)*IF(Cobros[[#This Row],[% A pagar Vendedor]]&gt;0,1,0)</f>
        <v>2.125</v>
      </c>
      <c r="W1009" s="46">
        <f>0.5%*Cobros[[#This Row],[Valor Pagado]]</f>
        <v>0.85</v>
      </c>
      <c r="X1009" s="69"/>
    </row>
    <row r="1010" spans="1:24">
      <c r="A1010" s="49" t="s">
        <v>3904</v>
      </c>
      <c r="B1010" s="49" t="s">
        <v>5416</v>
      </c>
      <c r="C1010" s="49" t="s">
        <v>2147</v>
      </c>
      <c r="D1010" s="49" t="s">
        <v>3981</v>
      </c>
      <c r="E1010" s="49" t="s">
        <v>4541</v>
      </c>
      <c r="F1010" s="51">
        <v>46212</v>
      </c>
      <c r="G1010" s="49">
        <v>1092.26</v>
      </c>
      <c r="H1010" s="49" t="s">
        <v>19</v>
      </c>
      <c r="I1010" s="51">
        <v>46234</v>
      </c>
      <c r="J1010" s="54">
        <f>INT(Cobros[[#This Row],[Fecha Cargo]])</f>
        <v>46212</v>
      </c>
      <c r="K1010" s="54">
        <f>INT(Cobros[[#This Row],[Fecha Aplicacion]])</f>
        <v>46234</v>
      </c>
      <c r="L1010" s="55" t="str">
        <f>INDEX(Clientes[Días Plazo],MATCH(Cobros[[#This Row],[Cod. Cliente]],Clientes[Codigo],0),1)</f>
        <v>30 Días</v>
      </c>
      <c r="M1010" s="45" t="str">
        <f>IF(Cobros[[#This Row],[Dias de Credito]]&lt;=0,"Contado","Credito")</f>
        <v>Credito</v>
      </c>
      <c r="N1010" s="45">
        <f>Cobros[[#This Row],[Fecha Aplicación S]]-Cobros[[#This Row],[Fecha Cargo S]]</f>
        <v>22</v>
      </c>
      <c r="O1010" s="45" t="e">
        <f>Cobros[[#This Row],[Dias al pago]]-Cobros[[#This Row],[Dias de Credito]]</f>
        <v>#VALUE!</v>
      </c>
      <c r="P1010" s="45">
        <f>SUMIFS(TablaDias[Porcentaje],TablaDias[Tipo],Cobros[[#This Row],[Tipo]],TablaDias[Desde ],"&lt;="&amp;MAX(0,Cobros[[#This Row],[Dias pasado]]),TablaDias[Hasta ],"&gt;="&amp;Cobros[[#This Row],[Dias pasado]])</f>
        <v>0</v>
      </c>
      <c r="Q101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0" s="34">
        <f>IF(COUNTIF(PAPEL[Numero],Cobros[[#This Row],[Doc. Cargo]])&gt;0,1,0)</f>
        <v>0</v>
      </c>
      <c r="S1010" s="46">
        <f t="array" ref="S101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10" s="47">
        <v>176.005</v>
      </c>
      <c r="U1010" s="34">
        <f>IF(Cobros[[#This Row],[Tipo]]="Credito",IF(60&gt;=Cobros[[#This Row],[Dias al pago]],1,0),IF(Cobros[[#This Row],[Dias al pago]]&lt;=3,1,0))</f>
        <v>1</v>
      </c>
      <c r="V1010" s="46">
        <f>(Cobros[[#This Row],[% A pagar Vendedor]]/100)*Cobros[[#This Row],[Valor Pagado]]*Cobros[[#This Row],[Vencido]]*(Cobros[[#This Row],[% aplicar]]/100)*IF(Cobros[[#This Row],[% A pagar Vendedor]]&gt;0,1,0)</f>
        <v>0</v>
      </c>
      <c r="W1010" s="46">
        <f>0.5%*Cobros[[#This Row],[Valor Pagado]]</f>
        <v>5.4613</v>
      </c>
      <c r="X1010" s="69"/>
    </row>
    <row r="1011" ht="30" spans="1:24">
      <c r="A1011" s="49" t="s">
        <v>3860</v>
      </c>
      <c r="B1011" s="49" t="s">
        <v>5417</v>
      </c>
      <c r="C1011" s="49" t="s">
        <v>1906</v>
      </c>
      <c r="D1011" s="49" t="s">
        <v>1907</v>
      </c>
      <c r="E1011" s="49" t="s">
        <v>5418</v>
      </c>
      <c r="F1011" s="51">
        <v>46234</v>
      </c>
      <c r="G1011" s="49">
        <v>26</v>
      </c>
      <c r="H1011" s="49" t="s">
        <v>22</v>
      </c>
      <c r="I1011" s="51">
        <v>46234</v>
      </c>
      <c r="J1011" s="54">
        <f>INT(Cobros[[#This Row],[Fecha Cargo]])</f>
        <v>46234</v>
      </c>
      <c r="K1011" s="54">
        <f>INT(Cobros[[#This Row],[Fecha Aplicacion]])</f>
        <v>46234</v>
      </c>
      <c r="L1011" s="55">
        <f>INDEX(Clientes[Días Plazo],MATCH(Cobros[[#This Row],[Cod. Cliente]],Clientes[Codigo],0),1)</f>
        <v>0</v>
      </c>
      <c r="M1011" s="45" t="str">
        <f>IF(Cobros[[#This Row],[Dias de Credito]]&lt;=0,"Contado","Credito")</f>
        <v>Contado</v>
      </c>
      <c r="N1011" s="45">
        <f>Cobros[[#This Row],[Fecha Aplicación S]]-Cobros[[#This Row],[Fecha Cargo S]]</f>
        <v>0</v>
      </c>
      <c r="O1011" s="45">
        <f>Cobros[[#This Row],[Dias al pago]]-Cobros[[#This Row],[Dias de Credito]]</f>
        <v>0</v>
      </c>
      <c r="P1011" s="45">
        <f>SUMIFS(TablaDias[Porcentaje],TablaDias[Tipo],Cobros[[#This Row],[Tipo]],TablaDias[Desde ],"&lt;="&amp;MAX(0,Cobros[[#This Row],[Dias pasado]]),TablaDias[Hasta ],"&gt;="&amp;Cobros[[#This Row],[Dias pasado]])</f>
        <v>100</v>
      </c>
      <c r="Q101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1" s="34">
        <f>IF(COUNTIF(PAPEL[Numero],Cobros[[#This Row],[Doc. Cargo]])&gt;0,1,0)</f>
        <v>0</v>
      </c>
      <c r="S1011" s="46">
        <f t="array" ref="S101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1" s="47">
        <v>177.005</v>
      </c>
      <c r="U1011" s="34">
        <f>IF(Cobros[[#This Row],[Tipo]]="Credito",IF(60&gt;=Cobros[[#This Row],[Dias al pago]],1,0),IF(Cobros[[#This Row],[Dias al pago]]&lt;=3,1,0))</f>
        <v>1</v>
      </c>
      <c r="V1011" s="46">
        <f>(Cobros[[#This Row],[% A pagar Vendedor]]/100)*Cobros[[#This Row],[Valor Pagado]]*Cobros[[#This Row],[Vencido]]*(Cobros[[#This Row],[% aplicar]]/100)*IF(Cobros[[#This Row],[% A pagar Vendedor]]&gt;0,1,0)</f>
        <v>0.26</v>
      </c>
      <c r="W1011" s="46">
        <f>0.5%*Cobros[[#This Row],[Valor Pagado]]</f>
        <v>0.13</v>
      </c>
      <c r="X1011" s="69"/>
    </row>
    <row r="1012" ht="30" spans="1:24">
      <c r="A1012" s="49" t="s">
        <v>3860</v>
      </c>
      <c r="B1012" s="49" t="s">
        <v>5419</v>
      </c>
      <c r="C1012" s="49" t="s">
        <v>864</v>
      </c>
      <c r="D1012" s="49" t="s">
        <v>865</v>
      </c>
      <c r="E1012" s="49" t="s">
        <v>5420</v>
      </c>
      <c r="F1012" s="51">
        <v>46216</v>
      </c>
      <c r="G1012" s="49">
        <v>120</v>
      </c>
      <c r="H1012" s="49" t="s">
        <v>22</v>
      </c>
      <c r="I1012" s="51">
        <v>46234</v>
      </c>
      <c r="J1012" s="54">
        <f>INT(Cobros[[#This Row],[Fecha Cargo]])</f>
        <v>46216</v>
      </c>
      <c r="K1012" s="54">
        <f>INT(Cobros[[#This Row],[Fecha Aplicacion]])</f>
        <v>46234</v>
      </c>
      <c r="L1012" s="55" t="str">
        <f>INDEX(Clientes[Días Plazo],MATCH(Cobros[[#This Row],[Cod. Cliente]],Clientes[Codigo],0),1)</f>
        <v>15</v>
      </c>
      <c r="M1012" s="45" t="str">
        <f>IF(Cobros[[#This Row],[Dias de Credito]]&lt;=0,"Contado","Credito")</f>
        <v>Credito</v>
      </c>
      <c r="N1012" s="45">
        <f>Cobros[[#This Row],[Fecha Aplicación S]]-Cobros[[#This Row],[Fecha Cargo S]]</f>
        <v>18</v>
      </c>
      <c r="O1012" s="45">
        <f>Cobros[[#This Row],[Dias al pago]]-Cobros[[#This Row],[Dias de Credito]]</f>
        <v>3</v>
      </c>
      <c r="P1012" s="45">
        <f>SUMIFS(TablaDias[Porcentaje],TablaDias[Tipo],Cobros[[#This Row],[Tipo]],TablaDias[Desde ],"&lt;="&amp;MAX(0,Cobros[[#This Row],[Dias pasado]]),TablaDias[Hasta ],"&gt;="&amp;Cobros[[#This Row],[Dias pasado]])</f>
        <v>100</v>
      </c>
      <c r="Q101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2" s="34">
        <f>IF(COUNTIF(PAPEL[Numero],Cobros[[#This Row],[Doc. Cargo]])&gt;0,1,0)</f>
        <v>0</v>
      </c>
      <c r="S1012" s="46">
        <f t="array" ref="S101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2" s="47">
        <v>178.005</v>
      </c>
      <c r="U1012" s="34">
        <f>IF(Cobros[[#This Row],[Tipo]]="Credito",IF(60&gt;=Cobros[[#This Row],[Dias al pago]],1,0),IF(Cobros[[#This Row],[Dias al pago]]&lt;=3,1,0))</f>
        <v>1</v>
      </c>
      <c r="V1012" s="46">
        <f>(Cobros[[#This Row],[% A pagar Vendedor]]/100)*Cobros[[#This Row],[Valor Pagado]]*Cobros[[#This Row],[Vencido]]*(Cobros[[#This Row],[% aplicar]]/100)*IF(Cobros[[#This Row],[% A pagar Vendedor]]&gt;0,1,0)</f>
        <v>1.2</v>
      </c>
      <c r="W1012" s="46">
        <f>0.5%*Cobros[[#This Row],[Valor Pagado]]</f>
        <v>0.6</v>
      </c>
      <c r="X1012" s="69"/>
    </row>
    <row r="1013" ht="30" spans="1:24">
      <c r="A1013" s="49" t="s">
        <v>3860</v>
      </c>
      <c r="B1013" s="49" t="s">
        <v>5419</v>
      </c>
      <c r="C1013" s="49" t="s">
        <v>864</v>
      </c>
      <c r="D1013" s="49" t="s">
        <v>865</v>
      </c>
      <c r="E1013" s="49" t="s">
        <v>5421</v>
      </c>
      <c r="F1013" s="51">
        <v>46217</v>
      </c>
      <c r="G1013" s="49">
        <v>233.13</v>
      </c>
      <c r="H1013" s="49" t="s">
        <v>22</v>
      </c>
      <c r="I1013" s="51">
        <v>46234</v>
      </c>
      <c r="J1013" s="54">
        <f>INT(Cobros[[#This Row],[Fecha Cargo]])</f>
        <v>46217</v>
      </c>
      <c r="K1013" s="54">
        <f>INT(Cobros[[#This Row],[Fecha Aplicacion]])</f>
        <v>46234</v>
      </c>
      <c r="L1013" s="55" t="str">
        <f>INDEX(Clientes[Días Plazo],MATCH(Cobros[[#This Row],[Cod. Cliente]],Clientes[Codigo],0),1)</f>
        <v>15</v>
      </c>
      <c r="M1013" s="45" t="str">
        <f>IF(Cobros[[#This Row],[Dias de Credito]]&lt;=0,"Contado","Credito")</f>
        <v>Credito</v>
      </c>
      <c r="N1013" s="45">
        <f>Cobros[[#This Row],[Fecha Aplicación S]]-Cobros[[#This Row],[Fecha Cargo S]]</f>
        <v>17</v>
      </c>
      <c r="O1013" s="45">
        <f>Cobros[[#This Row],[Dias al pago]]-Cobros[[#This Row],[Dias de Credito]]</f>
        <v>2</v>
      </c>
      <c r="P1013" s="45">
        <f>SUMIFS(TablaDias[Porcentaje],TablaDias[Tipo],Cobros[[#This Row],[Tipo]],TablaDias[Desde ],"&lt;="&amp;MAX(0,Cobros[[#This Row],[Dias pasado]]),TablaDias[Hasta ],"&gt;="&amp;Cobros[[#This Row],[Dias pasado]])</f>
        <v>100</v>
      </c>
      <c r="Q101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3" s="34">
        <f>IF(COUNTIF(PAPEL[Numero],Cobros[[#This Row],[Doc. Cargo]])&gt;0,1,0)</f>
        <v>0</v>
      </c>
      <c r="S1013" s="46">
        <f t="array" ref="S101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3" s="47">
        <v>179.005</v>
      </c>
      <c r="U1013" s="34">
        <f>IF(Cobros[[#This Row],[Tipo]]="Credito",IF(60&gt;=Cobros[[#This Row],[Dias al pago]],1,0),IF(Cobros[[#This Row],[Dias al pago]]&lt;=3,1,0))</f>
        <v>1</v>
      </c>
      <c r="V1013" s="46">
        <f>(Cobros[[#This Row],[% A pagar Vendedor]]/100)*Cobros[[#This Row],[Valor Pagado]]*Cobros[[#This Row],[Vencido]]*(Cobros[[#This Row],[% aplicar]]/100)*IF(Cobros[[#This Row],[% A pagar Vendedor]]&gt;0,1,0)</f>
        <v>2.3313</v>
      </c>
      <c r="W1013" s="46">
        <f>0.5%*Cobros[[#This Row],[Valor Pagado]]</f>
        <v>1.16565</v>
      </c>
      <c r="X1013" s="69"/>
    </row>
    <row r="1014" ht="30" spans="1:24">
      <c r="A1014" s="49" t="s">
        <v>3954</v>
      </c>
      <c r="B1014" s="49" t="s">
        <v>5422</v>
      </c>
      <c r="C1014" s="49" t="s">
        <v>864</v>
      </c>
      <c r="D1014" s="49" t="s">
        <v>865</v>
      </c>
      <c r="E1014" s="49" t="s">
        <v>5423</v>
      </c>
      <c r="F1014" s="51">
        <v>46191</v>
      </c>
      <c r="G1014" s="49">
        <v>29696.94</v>
      </c>
      <c r="H1014" s="49" t="s">
        <v>22</v>
      </c>
      <c r="I1014" s="51">
        <v>46234</v>
      </c>
      <c r="J1014" s="54">
        <f>INT(Cobros[[#This Row],[Fecha Cargo]])</f>
        <v>46191</v>
      </c>
      <c r="K1014" s="54">
        <f>INT(Cobros[[#This Row],[Fecha Aplicacion]])</f>
        <v>46234</v>
      </c>
      <c r="L1014" s="55" t="str">
        <f>INDEX(Clientes[Días Plazo],MATCH(Cobros[[#This Row],[Cod. Cliente]],Clientes[Codigo],0),1)</f>
        <v>15</v>
      </c>
      <c r="M1014" s="45" t="str">
        <f>IF(Cobros[[#This Row],[Dias de Credito]]&lt;=0,"Contado","Credito")</f>
        <v>Credito</v>
      </c>
      <c r="N1014" s="45">
        <f>Cobros[[#This Row],[Fecha Aplicación S]]-Cobros[[#This Row],[Fecha Cargo S]]</f>
        <v>43</v>
      </c>
      <c r="O1014" s="45">
        <f>Cobros[[#This Row],[Dias al pago]]-Cobros[[#This Row],[Dias de Credito]]</f>
        <v>28</v>
      </c>
      <c r="P1014" s="45">
        <f>SUMIFS(TablaDias[Porcentaje],TablaDias[Tipo],Cobros[[#This Row],[Tipo]],TablaDias[Desde ],"&lt;="&amp;MAX(0,Cobros[[#This Row],[Dias pasado]]),TablaDias[Hasta ],"&gt;="&amp;Cobros[[#This Row],[Dias pasado]])</f>
        <v>50</v>
      </c>
      <c r="Q101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14" s="34">
        <f>IF(COUNTIF(PAPEL[Numero],Cobros[[#This Row],[Doc. Cargo]])&gt;0,1,0)</f>
        <v>0</v>
      </c>
      <c r="S1014" s="46">
        <f t="array" ref="S101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4" s="47">
        <v>180.005</v>
      </c>
      <c r="U1014" s="34">
        <f>IF(Cobros[[#This Row],[Tipo]]="Credito",IF(60&gt;=Cobros[[#This Row],[Dias al pago]],1,0),IF(Cobros[[#This Row],[Dias al pago]]&lt;=3,1,0))</f>
        <v>1</v>
      </c>
      <c r="V1014" s="46">
        <f>(Cobros[[#This Row],[% A pagar Vendedor]]/100)*Cobros[[#This Row],[Valor Pagado]]*Cobros[[#This Row],[Vencido]]*(Cobros[[#This Row],[% aplicar]]/100)*IF(Cobros[[#This Row],[% A pagar Vendedor]]&gt;0,1,0)</f>
        <v>148.4847</v>
      </c>
      <c r="W1014" s="46">
        <f>0.5%*Cobros[[#This Row],[Valor Pagado]]</f>
        <v>148.4847</v>
      </c>
      <c r="X1014" s="69"/>
    </row>
    <row r="1015" ht="30" spans="1:24">
      <c r="A1015" s="49" t="s">
        <v>3860</v>
      </c>
      <c r="B1015" s="49" t="s">
        <v>5419</v>
      </c>
      <c r="C1015" s="49" t="s">
        <v>864</v>
      </c>
      <c r="D1015" s="49" t="s">
        <v>865</v>
      </c>
      <c r="E1015" s="49" t="s">
        <v>5421</v>
      </c>
      <c r="F1015" s="51">
        <v>46217</v>
      </c>
      <c r="G1015" s="49">
        <v>103.87</v>
      </c>
      <c r="H1015" s="49" t="s">
        <v>22</v>
      </c>
      <c r="I1015" s="51">
        <v>46234</v>
      </c>
      <c r="J1015" s="54">
        <f>INT(Cobros[[#This Row],[Fecha Cargo]])</f>
        <v>46217</v>
      </c>
      <c r="K1015" s="54">
        <f>INT(Cobros[[#This Row],[Fecha Aplicacion]])</f>
        <v>46234</v>
      </c>
      <c r="L1015" s="55" t="str">
        <f>INDEX(Clientes[Días Plazo],MATCH(Cobros[[#This Row],[Cod. Cliente]],Clientes[Codigo],0),1)</f>
        <v>15</v>
      </c>
      <c r="M1015" s="45" t="str">
        <f>IF(Cobros[[#This Row],[Dias de Credito]]&lt;=0,"Contado","Credito")</f>
        <v>Credito</v>
      </c>
      <c r="N1015" s="45">
        <f>Cobros[[#This Row],[Fecha Aplicación S]]-Cobros[[#This Row],[Fecha Cargo S]]</f>
        <v>17</v>
      </c>
      <c r="O1015" s="45">
        <f>Cobros[[#This Row],[Dias al pago]]-Cobros[[#This Row],[Dias de Credito]]</f>
        <v>2</v>
      </c>
      <c r="P1015" s="45">
        <f>SUMIFS(TablaDias[Porcentaje],TablaDias[Tipo],Cobros[[#This Row],[Tipo]],TablaDias[Desde ],"&lt;="&amp;MAX(0,Cobros[[#This Row],[Dias pasado]]),TablaDias[Hasta ],"&gt;="&amp;Cobros[[#This Row],[Dias pasado]])</f>
        <v>100</v>
      </c>
      <c r="Q101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5" s="34">
        <f>IF(COUNTIF(PAPEL[Numero],Cobros[[#This Row],[Doc. Cargo]])&gt;0,1,0)</f>
        <v>0</v>
      </c>
      <c r="S1015" s="46">
        <f t="array" ref="S101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15" s="47">
        <v>181.005</v>
      </c>
      <c r="U1015" s="34">
        <f>IF(Cobros[[#This Row],[Tipo]]="Credito",IF(60&gt;=Cobros[[#This Row],[Dias al pago]],1,0),IF(Cobros[[#This Row],[Dias al pago]]&lt;=3,1,0))</f>
        <v>1</v>
      </c>
      <c r="V1015" s="46">
        <f>(Cobros[[#This Row],[% A pagar Vendedor]]/100)*Cobros[[#This Row],[Valor Pagado]]*Cobros[[#This Row],[Vencido]]*(Cobros[[#This Row],[% aplicar]]/100)*IF(Cobros[[#This Row],[% A pagar Vendedor]]&gt;0,1,0)</f>
        <v>1.0387</v>
      </c>
      <c r="W1015" s="46">
        <f>0.5%*Cobros[[#This Row],[Valor Pagado]]</f>
        <v>0.51935</v>
      </c>
      <c r="X1015" s="69"/>
    </row>
    <row r="1016" ht="30" spans="1:24">
      <c r="A1016" s="49" t="s">
        <v>3860</v>
      </c>
      <c r="B1016" s="49" t="s">
        <v>5424</v>
      </c>
      <c r="C1016" s="49" t="s">
        <v>2515</v>
      </c>
      <c r="D1016" s="49" t="s">
        <v>2516</v>
      </c>
      <c r="E1016" s="49" t="s">
        <v>5425</v>
      </c>
      <c r="F1016" s="51">
        <v>46234</v>
      </c>
      <c r="G1016" s="49">
        <v>500</v>
      </c>
      <c r="H1016" s="49" t="s">
        <v>1355</v>
      </c>
      <c r="I1016" s="51">
        <v>46233</v>
      </c>
      <c r="J1016" s="54">
        <f>INT(Cobros[[#This Row],[Fecha Cargo]])</f>
        <v>46234</v>
      </c>
      <c r="K1016" s="54">
        <f>INT(Cobros[[#This Row],[Fecha Aplicacion]])</f>
        <v>46233</v>
      </c>
      <c r="L1016" s="55">
        <f>INDEX(Clientes[Días Plazo],MATCH(Cobros[[#This Row],[Cod. Cliente]],Clientes[Codigo],0),1)</f>
        <v>0</v>
      </c>
      <c r="M1016" s="45" t="str">
        <f>IF(Cobros[[#This Row],[Dias de Credito]]&lt;=0,"Contado","Credito")</f>
        <v>Contado</v>
      </c>
      <c r="N1016" s="45">
        <f>Cobros[[#This Row],[Fecha Aplicación S]]-Cobros[[#This Row],[Fecha Cargo S]]</f>
        <v>-1</v>
      </c>
      <c r="O1016" s="45">
        <f>Cobros[[#This Row],[Dias al pago]]-Cobros[[#This Row],[Dias de Credito]]</f>
        <v>-1</v>
      </c>
      <c r="P1016" s="45">
        <f>SUMIFS(TablaDias[Porcentaje],TablaDias[Tipo],Cobros[[#This Row],[Tipo]],TablaDias[Desde ],"&lt;="&amp;MAX(0,Cobros[[#This Row],[Dias pasado]]),TablaDias[Hasta ],"&gt;="&amp;Cobros[[#This Row],[Dias pasado]])</f>
        <v>100</v>
      </c>
      <c r="Q101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6" s="34">
        <f>IF(COUNTIF(PAPEL[Numero],Cobros[[#This Row],[Doc. Cargo]])&gt;0,1,0)</f>
        <v>0</v>
      </c>
      <c r="S1016" s="46">
        <v>1</v>
      </c>
      <c r="T1016" s="47">
        <v>182.005</v>
      </c>
      <c r="U1016" s="34">
        <f>IF(Cobros[[#This Row],[Tipo]]="Credito",IF(60&gt;=Cobros[[#This Row],[Dias al pago]],1,0),IF(Cobros[[#This Row],[Dias al pago]]&lt;=3,1,0))</f>
        <v>1</v>
      </c>
      <c r="V1016" s="46">
        <f>(Cobros[[#This Row],[% A pagar Vendedor]]/100)*Cobros[[#This Row],[Valor Pagado]]*Cobros[[#This Row],[Vencido]]*(Cobros[[#This Row],[% aplicar]]/100)*IF(Cobros[[#This Row],[% A pagar Vendedor]]&gt;0,1,0)</f>
        <v>5</v>
      </c>
      <c r="W1016" s="46">
        <f>0.5%*Cobros[[#This Row],[Valor Pagado]]</f>
        <v>2.5</v>
      </c>
      <c r="X1016" s="69"/>
    </row>
    <row r="1017" ht="30" spans="1:24">
      <c r="A1017" s="49" t="s">
        <v>3954</v>
      </c>
      <c r="B1017" s="49" t="s">
        <v>5426</v>
      </c>
      <c r="C1017" s="49" t="s">
        <v>2515</v>
      </c>
      <c r="D1017" s="49" t="s">
        <v>2516</v>
      </c>
      <c r="E1017" s="49" t="s">
        <v>5425</v>
      </c>
      <c r="F1017" s="51">
        <v>46234</v>
      </c>
      <c r="G1017" s="49">
        <v>57</v>
      </c>
      <c r="H1017" s="49" t="s">
        <v>1355</v>
      </c>
      <c r="I1017" s="51">
        <v>46234</v>
      </c>
      <c r="J1017" s="54">
        <f>INT(Cobros[[#This Row],[Fecha Cargo]])</f>
        <v>46234</v>
      </c>
      <c r="K1017" s="54">
        <f>INT(Cobros[[#This Row],[Fecha Aplicacion]])</f>
        <v>46234</v>
      </c>
      <c r="L1017" s="55">
        <f>INDEX(Clientes[Días Plazo],MATCH(Cobros[[#This Row],[Cod. Cliente]],Clientes[Codigo],0),1)</f>
        <v>0</v>
      </c>
      <c r="M1017" s="45" t="str">
        <f>IF(Cobros[[#This Row],[Dias de Credito]]&lt;=0,"Contado","Credito")</f>
        <v>Contado</v>
      </c>
      <c r="N1017" s="45">
        <f>Cobros[[#This Row],[Fecha Aplicación S]]-Cobros[[#This Row],[Fecha Cargo S]]</f>
        <v>0</v>
      </c>
      <c r="O1017" s="45">
        <f>Cobros[[#This Row],[Dias al pago]]-Cobros[[#This Row],[Dias de Credito]]</f>
        <v>0</v>
      </c>
      <c r="P1017" s="45">
        <f>SUMIFS(TablaDias[Porcentaje],TablaDias[Tipo],Cobros[[#This Row],[Tipo]],TablaDias[Desde ],"&lt;="&amp;MAX(0,Cobros[[#This Row],[Dias pasado]]),TablaDias[Hasta ],"&gt;="&amp;Cobros[[#This Row],[Dias pasado]])</f>
        <v>100</v>
      </c>
      <c r="Q101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7" s="34">
        <f>IF(COUNTIF(PAPEL[Numero],Cobros[[#This Row],[Doc. Cargo]])&gt;0,1,0)</f>
        <v>0</v>
      </c>
      <c r="S1017" s="46">
        <v>1</v>
      </c>
      <c r="T1017" s="47">
        <v>183.005</v>
      </c>
      <c r="U1017" s="34">
        <f>IF(Cobros[[#This Row],[Tipo]]="Credito",IF(60&gt;=Cobros[[#This Row],[Dias al pago]],1,0),IF(Cobros[[#This Row],[Dias al pago]]&lt;=3,1,0))</f>
        <v>1</v>
      </c>
      <c r="V1017" s="46">
        <f>(Cobros[[#This Row],[% A pagar Vendedor]]/100)*Cobros[[#This Row],[Valor Pagado]]*Cobros[[#This Row],[Vencido]]*(Cobros[[#This Row],[% aplicar]]/100)*IF(Cobros[[#This Row],[% A pagar Vendedor]]&gt;0,1,0)</f>
        <v>0.57</v>
      </c>
      <c r="W1017" s="46">
        <f>0.5%*Cobros[[#This Row],[Valor Pagado]]</f>
        <v>0.285</v>
      </c>
      <c r="X1017" s="69"/>
    </row>
    <row r="1018" ht="30" spans="1:24">
      <c r="A1018" s="49" t="s">
        <v>3954</v>
      </c>
      <c r="B1018" s="49" t="s">
        <v>5427</v>
      </c>
      <c r="C1018" s="49" t="s">
        <v>2914</v>
      </c>
      <c r="D1018" s="49" t="s">
        <v>2915</v>
      </c>
      <c r="E1018" s="49" t="s">
        <v>5428</v>
      </c>
      <c r="F1018" s="51">
        <v>46234</v>
      </c>
      <c r="G1018" s="49">
        <v>335</v>
      </c>
      <c r="H1018" s="49" t="s">
        <v>3865</v>
      </c>
      <c r="I1018" s="51">
        <v>46234</v>
      </c>
      <c r="J1018" s="54">
        <f>INT(Cobros[[#This Row],[Fecha Cargo]])</f>
        <v>46234</v>
      </c>
      <c r="K1018" s="54">
        <f>INT(Cobros[[#This Row],[Fecha Aplicacion]])</f>
        <v>46234</v>
      </c>
      <c r="L1018" s="55">
        <f>INDEX(Clientes[Días Plazo],MATCH(Cobros[[#This Row],[Cod. Cliente]],Clientes[Codigo],0),1)</f>
        <v>0</v>
      </c>
      <c r="M1018" s="45" t="str">
        <f>IF(Cobros[[#This Row],[Dias de Credito]]&lt;=0,"Contado","Credito")</f>
        <v>Contado</v>
      </c>
      <c r="N1018" s="45">
        <f>Cobros[[#This Row],[Fecha Aplicación S]]-Cobros[[#This Row],[Fecha Cargo S]]</f>
        <v>0</v>
      </c>
      <c r="O1018" s="45">
        <f>Cobros[[#This Row],[Dias al pago]]-Cobros[[#This Row],[Dias de Credito]]</f>
        <v>0</v>
      </c>
      <c r="P1018" s="45">
        <f>SUMIFS(TablaDias[Porcentaje],TablaDias[Tipo],Cobros[[#This Row],[Tipo]],TablaDias[Desde ],"&lt;="&amp;MAX(0,Cobros[[#This Row],[Dias pasado]]),TablaDias[Hasta ],"&gt;="&amp;Cobros[[#This Row],[Dias pasado]])</f>
        <v>100</v>
      </c>
      <c r="Q101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8" s="34">
        <f>IF(COUNTIF(PAPEL[Numero],Cobros[[#This Row],[Doc. Cargo]])&gt;0,1,0)</f>
        <v>0</v>
      </c>
      <c r="S1018" s="46">
        <v>1</v>
      </c>
      <c r="T1018" s="47">
        <v>185.005</v>
      </c>
      <c r="U1018" s="34">
        <f>IF(Cobros[[#This Row],[Tipo]]="Credito",IF(60&gt;=Cobros[[#This Row],[Dias al pago]],1,0),IF(Cobros[[#This Row],[Dias al pago]]&lt;=3,1,0))</f>
        <v>1</v>
      </c>
      <c r="V1018" s="46">
        <f>(Cobros[[#This Row],[% A pagar Vendedor]]/100)*Cobros[[#This Row],[Valor Pagado]]*Cobros[[#This Row],[Vencido]]*(Cobros[[#This Row],[% aplicar]]/100)*IF(Cobros[[#This Row],[% A pagar Vendedor]]&gt;0,1,0)</f>
        <v>3.35</v>
      </c>
      <c r="W1018" s="46">
        <f>0.5%*Cobros[[#This Row],[Valor Pagado]]</f>
        <v>1.675</v>
      </c>
      <c r="X1018" s="69"/>
    </row>
    <row r="1019" spans="1:24">
      <c r="A1019" s="49" t="s">
        <v>3884</v>
      </c>
      <c r="B1019" s="49" t="s">
        <v>5429</v>
      </c>
      <c r="C1019" s="49" t="s">
        <v>1220</v>
      </c>
      <c r="D1019" s="49" t="s">
        <v>1221</v>
      </c>
      <c r="E1019" s="49" t="s">
        <v>5430</v>
      </c>
      <c r="F1019" s="51">
        <v>46234</v>
      </c>
      <c r="G1019" s="49">
        <v>52</v>
      </c>
      <c r="H1019" s="49" t="s">
        <v>20</v>
      </c>
      <c r="I1019" s="51">
        <v>46234</v>
      </c>
      <c r="J1019" s="54">
        <f>INT(Cobros[[#This Row],[Fecha Cargo]])</f>
        <v>46234</v>
      </c>
      <c r="K1019" s="54">
        <f>INT(Cobros[[#This Row],[Fecha Aplicacion]])</f>
        <v>46234</v>
      </c>
      <c r="L1019" s="55">
        <f>INDEX(Clientes[Días Plazo],MATCH(Cobros[[#This Row],[Cod. Cliente]],Clientes[Codigo],0),1)</f>
        <v>0</v>
      </c>
      <c r="M1019" s="45" t="str">
        <f>IF(Cobros[[#This Row],[Dias de Credito]]&lt;=0,"Contado","Credito")</f>
        <v>Contado</v>
      </c>
      <c r="N1019" s="45">
        <f>Cobros[[#This Row],[Fecha Aplicación S]]-Cobros[[#This Row],[Fecha Cargo S]]</f>
        <v>0</v>
      </c>
      <c r="O1019" s="45">
        <f>Cobros[[#This Row],[Dias al pago]]-Cobros[[#This Row],[Dias de Credito]]</f>
        <v>0</v>
      </c>
      <c r="P1019" s="45">
        <f>SUMIFS(TablaDias[Porcentaje],TablaDias[Tipo],Cobros[[#This Row],[Tipo]],TablaDias[Desde ],"&lt;="&amp;MAX(0,Cobros[[#This Row],[Dias pasado]]),TablaDias[Hasta ],"&gt;="&amp;Cobros[[#This Row],[Dias pasado]])</f>
        <v>100</v>
      </c>
      <c r="Q101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19" s="34">
        <f>IF(COUNTIF(PAPEL[Numero],Cobros[[#This Row],[Doc. Cargo]])&gt;0,1,0)</f>
        <v>0</v>
      </c>
      <c r="S1019" s="46">
        <f t="array" ref="S101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19" s="47">
        <v>186.005</v>
      </c>
      <c r="U1019" s="34">
        <f>IF(Cobros[[#This Row],[Tipo]]="Credito",IF(60&gt;=Cobros[[#This Row],[Dias al pago]],1,0),IF(Cobros[[#This Row],[Dias al pago]]&lt;=3,1,0))</f>
        <v>1</v>
      </c>
      <c r="V1019" s="46">
        <f>(Cobros[[#This Row],[% A pagar Vendedor]]/100)*Cobros[[#This Row],[Valor Pagado]]*Cobros[[#This Row],[Vencido]]*(Cobros[[#This Row],[% aplicar]]/100)*IF(Cobros[[#This Row],[% A pagar Vendedor]]&gt;0,1,0)</f>
        <v>0.65</v>
      </c>
      <c r="W1019" s="46">
        <f>0.5%*Cobros[[#This Row],[Valor Pagado]]</f>
        <v>0.26</v>
      </c>
      <c r="X1019" s="69"/>
    </row>
    <row r="1020" spans="1:24">
      <c r="A1020" s="49" t="s">
        <v>3860</v>
      </c>
      <c r="B1020" s="49" t="s">
        <v>5431</v>
      </c>
      <c r="C1020" s="49" t="s">
        <v>3120</v>
      </c>
      <c r="D1020" s="49" t="s">
        <v>3121</v>
      </c>
      <c r="E1020" s="49" t="s">
        <v>5432</v>
      </c>
      <c r="F1020" s="51">
        <v>46234</v>
      </c>
      <c r="G1020" s="49">
        <v>1260</v>
      </c>
      <c r="H1020" s="49" t="s">
        <v>20</v>
      </c>
      <c r="I1020" s="51">
        <v>46234</v>
      </c>
      <c r="J1020" s="54">
        <f>INT(Cobros[[#This Row],[Fecha Cargo]])</f>
        <v>46234</v>
      </c>
      <c r="K1020" s="54">
        <f>INT(Cobros[[#This Row],[Fecha Aplicacion]])</f>
        <v>46234</v>
      </c>
      <c r="L1020" s="55">
        <f>INDEX(Clientes[Días Plazo],MATCH(Cobros[[#This Row],[Cod. Cliente]],Clientes[Codigo],0),1)</f>
        <v>0</v>
      </c>
      <c r="M1020" s="45" t="str">
        <f>IF(Cobros[[#This Row],[Dias de Credito]]&lt;=0,"Contado","Credito")</f>
        <v>Contado</v>
      </c>
      <c r="N1020" s="45">
        <f>Cobros[[#This Row],[Fecha Aplicación S]]-Cobros[[#This Row],[Fecha Cargo S]]</f>
        <v>0</v>
      </c>
      <c r="O1020" s="45">
        <f>Cobros[[#This Row],[Dias al pago]]-Cobros[[#This Row],[Dias de Credito]]</f>
        <v>0</v>
      </c>
      <c r="P1020" s="45">
        <f>SUMIFS(TablaDias[Porcentaje],TablaDias[Tipo],Cobros[[#This Row],[Tipo]],TablaDias[Desde ],"&lt;="&amp;MAX(0,Cobros[[#This Row],[Dias pasado]]),TablaDias[Hasta ],"&gt;="&amp;Cobros[[#This Row],[Dias pasado]])</f>
        <v>100</v>
      </c>
      <c r="Q102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0" s="34">
        <f>IF(COUNTIF(PAPEL[Numero],Cobros[[#This Row],[Doc. Cargo]])&gt;0,1,0)</f>
        <v>0</v>
      </c>
      <c r="S1020" s="46">
        <f t="array" ref="S102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0" s="47">
        <v>187.005</v>
      </c>
      <c r="U1020" s="34">
        <f>IF(Cobros[[#This Row],[Tipo]]="Credito",IF(60&gt;=Cobros[[#This Row],[Dias al pago]],1,0),IF(Cobros[[#This Row],[Dias al pago]]&lt;=3,1,0))</f>
        <v>1</v>
      </c>
      <c r="V1020" s="46">
        <f>(Cobros[[#This Row],[% A pagar Vendedor]]/100)*Cobros[[#This Row],[Valor Pagado]]*Cobros[[#This Row],[Vencido]]*(Cobros[[#This Row],[% aplicar]]/100)*IF(Cobros[[#This Row],[% A pagar Vendedor]]&gt;0,1,0)</f>
        <v>15.75</v>
      </c>
      <c r="W1020" s="46">
        <f>0.5%*Cobros[[#This Row],[Valor Pagado]]</f>
        <v>6.3</v>
      </c>
      <c r="X1020" s="69"/>
    </row>
    <row r="1021" spans="1:24">
      <c r="A1021" s="49" t="s">
        <v>3904</v>
      </c>
      <c r="B1021" s="49" t="s">
        <v>5433</v>
      </c>
      <c r="C1021" s="49" t="s">
        <v>2147</v>
      </c>
      <c r="D1021" s="49" t="s">
        <v>3981</v>
      </c>
      <c r="E1021" s="49" t="s">
        <v>4541</v>
      </c>
      <c r="F1021" s="51">
        <v>46212</v>
      </c>
      <c r="G1021" s="49">
        <v>1294.68</v>
      </c>
      <c r="H1021" s="49" t="s">
        <v>19</v>
      </c>
      <c r="I1021" s="51">
        <v>46234</v>
      </c>
      <c r="J1021" s="54">
        <f>INT(Cobros[[#This Row],[Fecha Cargo]])</f>
        <v>46212</v>
      </c>
      <c r="K1021" s="54">
        <f>INT(Cobros[[#This Row],[Fecha Aplicacion]])</f>
        <v>46234</v>
      </c>
      <c r="L1021" s="55">
        <v>30</v>
      </c>
      <c r="M1021" s="45" t="str">
        <f>IF(Cobros[[#This Row],[Dias de Credito]]&lt;=0,"Contado","Credito")</f>
        <v>Credito</v>
      </c>
      <c r="N1021" s="45">
        <f>Cobros[[#This Row],[Fecha Aplicación S]]-Cobros[[#This Row],[Fecha Cargo S]]</f>
        <v>22</v>
      </c>
      <c r="O1021" s="45">
        <f>Cobros[[#This Row],[Dias al pago]]-Cobros[[#This Row],[Dias de Credito]]</f>
        <v>-8</v>
      </c>
      <c r="P1021" s="45">
        <f>SUMIFS(TablaDias[Porcentaje],TablaDias[Tipo],Cobros[[#This Row],[Tipo]],TablaDias[Desde ],"&lt;="&amp;MAX(0,Cobros[[#This Row],[Dias pasado]]),TablaDias[Hasta ],"&gt;="&amp;Cobros[[#This Row],[Dias pasado]])</f>
        <v>100</v>
      </c>
      <c r="Q102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1" s="34">
        <f>IF(COUNTIF(PAPEL[Numero],Cobros[[#This Row],[Doc. Cargo]])&gt;0,1,0)</f>
        <v>0</v>
      </c>
      <c r="S1021" s="46">
        <f t="array" ref="S102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1" s="47">
        <v>188.005</v>
      </c>
      <c r="U1021" s="34">
        <f>IF(Cobros[[#This Row],[Tipo]]="Credito",IF(60&gt;=Cobros[[#This Row],[Dias al pago]],1,0),IF(Cobros[[#This Row],[Dias al pago]]&lt;=3,1,0))</f>
        <v>1</v>
      </c>
      <c r="V1021" s="46">
        <f>(Cobros[[#This Row],[% A pagar Vendedor]]/100)*Cobros[[#This Row],[Valor Pagado]]*Cobros[[#This Row],[Vencido]]*(Cobros[[#This Row],[% aplicar]]/100)*IF(Cobros[[#This Row],[% A pagar Vendedor]]&gt;0,1,0)</f>
        <v>16.1835</v>
      </c>
      <c r="W1021" s="46">
        <f>0.5%*Cobros[[#This Row],[Valor Pagado]]</f>
        <v>6.4734</v>
      </c>
      <c r="X1021" s="69"/>
    </row>
    <row r="1022" ht="30" spans="1:24">
      <c r="A1022" s="49" t="s">
        <v>3922</v>
      </c>
      <c r="B1022" s="49" t="s">
        <v>5434</v>
      </c>
      <c r="C1022" s="49" t="s">
        <v>1921</v>
      </c>
      <c r="D1022" s="49" t="s">
        <v>1922</v>
      </c>
      <c r="E1022" s="49" t="s">
        <v>5435</v>
      </c>
      <c r="F1022" s="51">
        <v>46210</v>
      </c>
      <c r="G1022" s="49">
        <v>480</v>
      </c>
      <c r="H1022" s="49" t="s">
        <v>3865</v>
      </c>
      <c r="I1022" s="51">
        <v>46212</v>
      </c>
      <c r="J1022" s="54">
        <f>INT(Cobros[[#This Row],[Fecha Cargo]])</f>
        <v>46210</v>
      </c>
      <c r="K1022" s="54">
        <f>INT(Cobros[[#This Row],[Fecha Aplicacion]])</f>
        <v>46212</v>
      </c>
      <c r="L1022" s="55" t="str">
        <f>INDEX(Clientes[Días Plazo],MATCH(Cobros[[#This Row],[Cod. Cliente]],Clientes[Codigo],0),1)</f>
        <v>21</v>
      </c>
      <c r="M1022" s="45" t="str">
        <f>IF(Cobros[[#This Row],[Dias de Credito]]&lt;=0,"Contado","Credito")</f>
        <v>Credito</v>
      </c>
      <c r="N1022" s="45">
        <f>Cobros[[#This Row],[Fecha Aplicación S]]-Cobros[[#This Row],[Fecha Cargo S]]</f>
        <v>2</v>
      </c>
      <c r="O1022" s="45">
        <f>Cobros[[#This Row],[Dias al pago]]-Cobros[[#This Row],[Dias de Credito]]</f>
        <v>-19</v>
      </c>
      <c r="P1022" s="45">
        <f>SUMIFS(TablaDias[Porcentaje],TablaDias[Tipo],Cobros[[#This Row],[Tipo]],TablaDias[Desde ],"&lt;="&amp;MAX(0,Cobros[[#This Row],[Dias pasado]]),TablaDias[Hasta ],"&gt;="&amp;Cobros[[#This Row],[Dias pasado]])</f>
        <v>100</v>
      </c>
      <c r="Q102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2" s="34">
        <f>IF(COUNTIF(PAPEL[Numero],Cobros[[#This Row],[Doc. Cargo]])&gt;0,1,0)</f>
        <v>0</v>
      </c>
      <c r="S1022" s="46">
        <v>1</v>
      </c>
      <c r="T1022" s="47">
        <v>189.005</v>
      </c>
      <c r="U1022" s="34">
        <f>IF(Cobros[[#This Row],[Tipo]]="Credito",IF(60&gt;=Cobros[[#This Row],[Dias al pago]],1,0),IF(Cobros[[#This Row],[Dias al pago]]&lt;=3,1,0))</f>
        <v>1</v>
      </c>
      <c r="V1022" s="46">
        <f>(Cobros[[#This Row],[% A pagar Vendedor]]/100)*Cobros[[#This Row],[Valor Pagado]]*Cobros[[#This Row],[Vencido]]*(Cobros[[#This Row],[% aplicar]]/100)*IF(Cobros[[#This Row],[% A pagar Vendedor]]&gt;0,1,0)</f>
        <v>4.8</v>
      </c>
      <c r="W1022" s="46">
        <f>0.5%*Cobros[[#This Row],[Valor Pagado]]</f>
        <v>2.4</v>
      </c>
      <c r="X1022" s="69"/>
    </row>
    <row r="1023" ht="30" spans="1:24">
      <c r="A1023" s="49" t="s">
        <v>3860</v>
      </c>
      <c r="B1023" s="49" t="s">
        <v>5289</v>
      </c>
      <c r="C1023" s="49" t="s">
        <v>1921</v>
      </c>
      <c r="D1023" s="49" t="s">
        <v>1922</v>
      </c>
      <c r="E1023" s="49" t="s">
        <v>4201</v>
      </c>
      <c r="F1023" s="51">
        <v>46196</v>
      </c>
      <c r="G1023" s="49">
        <v>0.71</v>
      </c>
      <c r="H1023" s="49" t="s">
        <v>3865</v>
      </c>
      <c r="I1023" s="51">
        <v>46233</v>
      </c>
      <c r="J1023" s="54">
        <f>INT(Cobros[[#This Row],[Fecha Cargo]])</f>
        <v>46196</v>
      </c>
      <c r="K1023" s="54">
        <f>INT(Cobros[[#This Row],[Fecha Aplicacion]])</f>
        <v>46233</v>
      </c>
      <c r="L1023" s="55" t="str">
        <f>INDEX(Clientes[Días Plazo],MATCH(Cobros[[#This Row],[Cod. Cliente]],Clientes[Codigo],0),1)</f>
        <v>21</v>
      </c>
      <c r="M1023" s="45" t="str">
        <f>IF(Cobros[[#This Row],[Dias de Credito]]&lt;=0,"Contado","Credito")</f>
        <v>Credito</v>
      </c>
      <c r="N1023" s="45">
        <f>Cobros[[#This Row],[Fecha Aplicación S]]-Cobros[[#This Row],[Fecha Cargo S]]</f>
        <v>37</v>
      </c>
      <c r="O1023" s="45">
        <f>Cobros[[#This Row],[Dias al pago]]-Cobros[[#This Row],[Dias de Credito]]</f>
        <v>16</v>
      </c>
      <c r="P1023" s="45">
        <f>SUMIFS(TablaDias[Porcentaje],TablaDias[Tipo],Cobros[[#This Row],[Tipo]],TablaDias[Desde ],"&lt;="&amp;MAX(0,Cobros[[#This Row],[Dias pasado]]),TablaDias[Hasta ],"&gt;="&amp;Cobros[[#This Row],[Dias pasado]])</f>
        <v>50</v>
      </c>
      <c r="Q102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23" s="34">
        <f>IF(COUNTIF(PAPEL[Numero],Cobros[[#This Row],[Doc. Cargo]])&gt;0,1,0)</f>
        <v>0</v>
      </c>
      <c r="S1023" s="46">
        <v>1</v>
      </c>
      <c r="T1023" s="47">
        <v>190.005</v>
      </c>
      <c r="U1023" s="34">
        <f>IF(Cobros[[#This Row],[Tipo]]="Credito",IF(60&gt;=Cobros[[#This Row],[Dias al pago]],1,0),IF(Cobros[[#This Row],[Dias al pago]]&lt;=3,1,0))</f>
        <v>1</v>
      </c>
      <c r="V1023" s="46">
        <f>(Cobros[[#This Row],[% A pagar Vendedor]]/100)*Cobros[[#This Row],[Valor Pagado]]*Cobros[[#This Row],[Vencido]]*(Cobros[[#This Row],[% aplicar]]/100)*IF(Cobros[[#This Row],[% A pagar Vendedor]]&gt;0,1,0)</f>
        <v>0.00355</v>
      </c>
      <c r="W1023" s="46">
        <f>0.5%*Cobros[[#This Row],[Valor Pagado]]</f>
        <v>0.00355</v>
      </c>
      <c r="X1023" s="69"/>
    </row>
    <row r="1024" ht="30" spans="1:24">
      <c r="A1024" s="49" t="s">
        <v>3860</v>
      </c>
      <c r="B1024" s="49" t="s">
        <v>5436</v>
      </c>
      <c r="C1024" s="49" t="s">
        <v>3531</v>
      </c>
      <c r="D1024" s="49" t="s">
        <v>3532</v>
      </c>
      <c r="E1024" s="49" t="s">
        <v>5437</v>
      </c>
      <c r="F1024" s="51">
        <v>46218</v>
      </c>
      <c r="G1024" s="49">
        <v>535</v>
      </c>
      <c r="H1024" s="49" t="s">
        <v>3865</v>
      </c>
      <c r="I1024" s="51">
        <v>46234</v>
      </c>
      <c r="J1024" s="54">
        <f>INT(Cobros[[#This Row],[Fecha Cargo]])</f>
        <v>46218</v>
      </c>
      <c r="K1024" s="54">
        <f>INT(Cobros[[#This Row],[Fecha Aplicacion]])</f>
        <v>46234</v>
      </c>
      <c r="L1024" s="55" t="str">
        <f>INDEX(Clientes[Días Plazo],MATCH(Cobros[[#This Row],[Cod. Cliente]],Clientes[Codigo],0),1)</f>
        <v>15</v>
      </c>
      <c r="M1024" s="45" t="str">
        <f>IF(Cobros[[#This Row],[Dias de Credito]]&lt;=0,"Contado","Credito")</f>
        <v>Credito</v>
      </c>
      <c r="N1024" s="45">
        <f>Cobros[[#This Row],[Fecha Aplicación S]]-Cobros[[#This Row],[Fecha Cargo S]]</f>
        <v>16</v>
      </c>
      <c r="O1024" s="45">
        <f>Cobros[[#This Row],[Dias al pago]]-Cobros[[#This Row],[Dias de Credito]]</f>
        <v>1</v>
      </c>
      <c r="P1024" s="45">
        <f>SUMIFS(TablaDias[Porcentaje],TablaDias[Tipo],Cobros[[#This Row],[Tipo]],TablaDias[Desde ],"&lt;="&amp;MAX(0,Cobros[[#This Row],[Dias pasado]]),TablaDias[Hasta ],"&gt;="&amp;Cobros[[#This Row],[Dias pasado]])</f>
        <v>100</v>
      </c>
      <c r="Q102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4" s="34">
        <f>IF(COUNTIF(PAPEL[Numero],Cobros[[#This Row],[Doc. Cargo]])&gt;0,1,0)</f>
        <v>0</v>
      </c>
      <c r="S1024" s="46">
        <v>1</v>
      </c>
      <c r="T1024" s="47">
        <v>191.005</v>
      </c>
      <c r="U1024" s="34">
        <f>IF(Cobros[[#This Row],[Tipo]]="Credito",IF(60&gt;=Cobros[[#This Row],[Dias al pago]],1,0),IF(Cobros[[#This Row],[Dias al pago]]&lt;=3,1,0))</f>
        <v>1</v>
      </c>
      <c r="V1024" s="46">
        <f>(Cobros[[#This Row],[% A pagar Vendedor]]/100)*Cobros[[#This Row],[Valor Pagado]]*Cobros[[#This Row],[Vencido]]*(Cobros[[#This Row],[% aplicar]]/100)*IF(Cobros[[#This Row],[% A pagar Vendedor]]&gt;0,1,0)</f>
        <v>5.35</v>
      </c>
      <c r="W1024" s="46">
        <f>0.5%*Cobros[[#This Row],[Valor Pagado]]</f>
        <v>2.675</v>
      </c>
      <c r="X1024" s="69"/>
    </row>
    <row r="1025" ht="30" spans="1:24">
      <c r="A1025" s="49" t="s">
        <v>3860</v>
      </c>
      <c r="B1025" s="49" t="s">
        <v>5436</v>
      </c>
      <c r="C1025" s="49" t="s">
        <v>3531</v>
      </c>
      <c r="D1025" s="49" t="s">
        <v>3532</v>
      </c>
      <c r="E1025" s="49" t="s">
        <v>5438</v>
      </c>
      <c r="F1025" s="51">
        <v>46219</v>
      </c>
      <c r="G1025" s="49">
        <v>615.95</v>
      </c>
      <c r="H1025" s="49" t="s">
        <v>3865</v>
      </c>
      <c r="I1025" s="51">
        <v>46234</v>
      </c>
      <c r="J1025" s="54">
        <f>INT(Cobros[[#This Row],[Fecha Cargo]])</f>
        <v>46219</v>
      </c>
      <c r="K1025" s="54">
        <f>INT(Cobros[[#This Row],[Fecha Aplicacion]])</f>
        <v>46234</v>
      </c>
      <c r="L1025" s="55" t="str">
        <f>INDEX(Clientes[Días Plazo],MATCH(Cobros[[#This Row],[Cod. Cliente]],Clientes[Codigo],0),1)</f>
        <v>15</v>
      </c>
      <c r="M1025" s="45" t="str">
        <f>IF(Cobros[[#This Row],[Dias de Credito]]&lt;=0,"Contado","Credito")</f>
        <v>Credito</v>
      </c>
      <c r="N1025" s="45">
        <f>Cobros[[#This Row],[Fecha Aplicación S]]-Cobros[[#This Row],[Fecha Cargo S]]</f>
        <v>15</v>
      </c>
      <c r="O1025" s="45">
        <f>Cobros[[#This Row],[Dias al pago]]-Cobros[[#This Row],[Dias de Credito]]</f>
        <v>0</v>
      </c>
      <c r="P1025" s="45">
        <f>SUMIFS(TablaDias[Porcentaje],TablaDias[Tipo],Cobros[[#This Row],[Tipo]],TablaDias[Desde ],"&lt;="&amp;MAX(0,Cobros[[#This Row],[Dias pasado]]),TablaDias[Hasta ],"&gt;="&amp;Cobros[[#This Row],[Dias pasado]])</f>
        <v>100</v>
      </c>
      <c r="Q102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5" s="34">
        <f>IF(COUNTIF(PAPEL[Numero],Cobros[[#This Row],[Doc. Cargo]])&gt;0,1,0)</f>
        <v>0</v>
      </c>
      <c r="S1025" s="46">
        <v>1</v>
      </c>
      <c r="T1025" s="47">
        <v>192.005</v>
      </c>
      <c r="U1025" s="34">
        <f>IF(Cobros[[#This Row],[Tipo]]="Credito",IF(60&gt;=Cobros[[#This Row],[Dias al pago]],1,0),IF(Cobros[[#This Row],[Dias al pago]]&lt;=3,1,0))</f>
        <v>1</v>
      </c>
      <c r="V1025" s="46">
        <f>(Cobros[[#This Row],[% A pagar Vendedor]]/100)*Cobros[[#This Row],[Valor Pagado]]*Cobros[[#This Row],[Vencido]]*(Cobros[[#This Row],[% aplicar]]/100)*IF(Cobros[[#This Row],[% A pagar Vendedor]]&gt;0,1,0)</f>
        <v>6.1595</v>
      </c>
      <c r="W1025" s="46">
        <f>0.5%*Cobros[[#This Row],[Valor Pagado]]</f>
        <v>3.07975</v>
      </c>
      <c r="X1025" s="69"/>
    </row>
    <row r="1026" spans="1:24">
      <c r="A1026" s="49" t="s">
        <v>3860</v>
      </c>
      <c r="B1026" s="49" t="s">
        <v>4689</v>
      </c>
      <c r="C1026" s="49" t="s">
        <v>1915</v>
      </c>
      <c r="D1026" s="49" t="s">
        <v>1916</v>
      </c>
      <c r="E1026" s="49" t="s">
        <v>5439</v>
      </c>
      <c r="F1026" s="51">
        <v>46219</v>
      </c>
      <c r="G1026" s="49">
        <v>17</v>
      </c>
      <c r="H1026" s="49" t="s">
        <v>19</v>
      </c>
      <c r="I1026" s="51">
        <v>46219</v>
      </c>
      <c r="J1026" s="54">
        <f>INT(Cobros[[#This Row],[Fecha Cargo]])</f>
        <v>46219</v>
      </c>
      <c r="K1026" s="54">
        <f>INT(Cobros[[#This Row],[Fecha Aplicacion]])</f>
        <v>46219</v>
      </c>
      <c r="L1026" s="55">
        <f>INDEX(Clientes[Días Plazo],MATCH(Cobros[[#This Row],[Cod. Cliente]],Clientes[Codigo],0),1)</f>
        <v>0</v>
      </c>
      <c r="M1026" s="45" t="str">
        <f>IF(Cobros[[#This Row],[Dias de Credito]]&lt;=0,"Contado","Credito")</f>
        <v>Contado</v>
      </c>
      <c r="N1026" s="45">
        <f>Cobros[[#This Row],[Fecha Aplicación S]]-Cobros[[#This Row],[Fecha Cargo S]]</f>
        <v>0</v>
      </c>
      <c r="O1026" s="45">
        <f>Cobros[[#This Row],[Dias al pago]]-Cobros[[#This Row],[Dias de Credito]]</f>
        <v>0</v>
      </c>
      <c r="P1026" s="45">
        <f>SUMIFS(TablaDias[Porcentaje],TablaDias[Tipo],Cobros[[#This Row],[Tipo]],TablaDias[Desde ],"&lt;="&amp;MAX(0,Cobros[[#This Row],[Dias pasado]]),TablaDias[Hasta ],"&gt;="&amp;Cobros[[#This Row],[Dias pasado]])</f>
        <v>100</v>
      </c>
      <c r="Q102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6" s="34">
        <f>IF(COUNTIF(PAPEL[Numero],Cobros[[#This Row],[Doc. Cargo]])&gt;0,1,0)</f>
        <v>0</v>
      </c>
      <c r="S1026" s="46">
        <f t="array" ref="S102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6" s="47">
        <v>193.005</v>
      </c>
      <c r="U1026" s="34">
        <f>IF(Cobros[[#This Row],[Tipo]]="Credito",IF(60&gt;=Cobros[[#This Row],[Dias al pago]],1,0),IF(Cobros[[#This Row],[Dias al pago]]&lt;=3,1,0))</f>
        <v>1</v>
      </c>
      <c r="V1026" s="46">
        <f>(Cobros[[#This Row],[% A pagar Vendedor]]/100)*Cobros[[#This Row],[Valor Pagado]]*Cobros[[#This Row],[Vencido]]*(Cobros[[#This Row],[% aplicar]]/100)*IF(Cobros[[#This Row],[% A pagar Vendedor]]&gt;0,1,0)</f>
        <v>0.2125</v>
      </c>
      <c r="W1026" s="46">
        <f>0.5%*Cobros[[#This Row],[Valor Pagado]]</f>
        <v>0.085</v>
      </c>
      <c r="X1026" s="69"/>
    </row>
    <row r="1027" spans="1:24">
      <c r="A1027" s="49" t="s">
        <v>3860</v>
      </c>
      <c r="B1027" s="49" t="s">
        <v>5186</v>
      </c>
      <c r="C1027" s="49" t="s">
        <v>390</v>
      </c>
      <c r="D1027" s="49" t="s">
        <v>391</v>
      </c>
      <c r="E1027" s="49" t="s">
        <v>5440</v>
      </c>
      <c r="F1027" s="51">
        <v>46238</v>
      </c>
      <c r="G1027" s="49">
        <v>426</v>
      </c>
      <c r="H1027" s="49" t="s">
        <v>20</v>
      </c>
      <c r="I1027" s="51">
        <v>46231</v>
      </c>
      <c r="J1027" s="54">
        <f>INT(Cobros[[#This Row],[Fecha Cargo]])</f>
        <v>46238</v>
      </c>
      <c r="K1027" s="54">
        <f>INT(Cobros[[#This Row],[Fecha Aplicacion]])</f>
        <v>46231</v>
      </c>
      <c r="L1027" s="55">
        <f>INDEX(Clientes[Días Plazo],MATCH(Cobros[[#This Row],[Cod. Cliente]],Clientes[Codigo],0),1)</f>
        <v>0</v>
      </c>
      <c r="M1027" s="45" t="str">
        <f>IF(Cobros[[#This Row],[Dias de Credito]]&lt;=0,"Contado","Credito")</f>
        <v>Contado</v>
      </c>
      <c r="N1027" s="45">
        <f>Cobros[[#This Row],[Fecha Aplicación S]]-Cobros[[#This Row],[Fecha Cargo S]]</f>
        <v>-7</v>
      </c>
      <c r="O1027" s="45">
        <f>Cobros[[#This Row],[Dias al pago]]-Cobros[[#This Row],[Dias de Credito]]</f>
        <v>-7</v>
      </c>
      <c r="P1027" s="45">
        <f>SUMIFS(TablaDias[Porcentaje],TablaDias[Tipo],Cobros[[#This Row],[Tipo]],TablaDias[Desde ],"&lt;="&amp;MAX(0,Cobros[[#This Row],[Dias pasado]]),TablaDias[Hasta ],"&gt;="&amp;Cobros[[#This Row],[Dias pasado]])</f>
        <v>100</v>
      </c>
      <c r="Q102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7" s="34">
        <f>IF(COUNTIF(PAPEL[Numero],Cobros[[#This Row],[Doc. Cargo]])&gt;0,1,0)</f>
        <v>0</v>
      </c>
      <c r="S1027" s="46">
        <f t="array" ref="S1027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7" s="47">
        <v>194.005</v>
      </c>
      <c r="U1027" s="34">
        <f>IF(Cobros[[#This Row],[Tipo]]="Credito",IF(60&gt;=Cobros[[#This Row],[Dias al pago]],1,0),IF(Cobros[[#This Row],[Dias al pago]]&lt;=3,1,0))</f>
        <v>1</v>
      </c>
      <c r="V1027" s="46">
        <f>(Cobros[[#This Row],[% A pagar Vendedor]]/100)*Cobros[[#This Row],[Valor Pagado]]*Cobros[[#This Row],[Vencido]]*(Cobros[[#This Row],[% aplicar]]/100)*IF(Cobros[[#This Row],[% A pagar Vendedor]]&gt;0,1,0)</f>
        <v>5.325</v>
      </c>
      <c r="W1027" s="46">
        <f>0.5%*Cobros[[#This Row],[Valor Pagado]]</f>
        <v>2.13</v>
      </c>
      <c r="X1027" s="69"/>
    </row>
    <row r="1028" spans="1:24">
      <c r="A1028" s="49" t="s">
        <v>3860</v>
      </c>
      <c r="B1028" s="49" t="s">
        <v>5186</v>
      </c>
      <c r="C1028" s="49" t="s">
        <v>390</v>
      </c>
      <c r="D1028" s="49" t="s">
        <v>391</v>
      </c>
      <c r="E1028" s="49" t="s">
        <v>5441</v>
      </c>
      <c r="F1028" s="51">
        <v>46232</v>
      </c>
      <c r="G1028" s="49">
        <v>23.2</v>
      </c>
      <c r="H1028" s="49" t="s">
        <v>20</v>
      </c>
      <c r="I1028" s="51">
        <v>46231</v>
      </c>
      <c r="J1028" s="54">
        <f>INT(Cobros[[#This Row],[Fecha Cargo]])</f>
        <v>46232</v>
      </c>
      <c r="K1028" s="54">
        <f>INT(Cobros[[#This Row],[Fecha Aplicacion]])</f>
        <v>46231</v>
      </c>
      <c r="L1028" s="55">
        <f>INDEX(Clientes[Días Plazo],MATCH(Cobros[[#This Row],[Cod. Cliente]],Clientes[Codigo],0),1)</f>
        <v>0</v>
      </c>
      <c r="M1028" s="45" t="str">
        <f>IF(Cobros[[#This Row],[Dias de Credito]]&lt;=0,"Contado","Credito")</f>
        <v>Contado</v>
      </c>
      <c r="N1028" s="45">
        <f>Cobros[[#This Row],[Fecha Aplicación S]]-Cobros[[#This Row],[Fecha Cargo S]]</f>
        <v>-1</v>
      </c>
      <c r="O1028" s="45">
        <f>Cobros[[#This Row],[Dias al pago]]-Cobros[[#This Row],[Dias de Credito]]</f>
        <v>-1</v>
      </c>
      <c r="P1028" s="45">
        <f>SUMIFS(TablaDias[Porcentaje],TablaDias[Tipo],Cobros[[#This Row],[Tipo]],TablaDias[Desde ],"&lt;="&amp;MAX(0,Cobros[[#This Row],[Dias pasado]]),TablaDias[Hasta ],"&gt;="&amp;Cobros[[#This Row],[Dias pasado]])</f>
        <v>100</v>
      </c>
      <c r="Q102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8" s="34">
        <f>IF(COUNTIF(PAPEL[Numero],Cobros[[#This Row],[Doc. Cargo]])&gt;0,1,0)</f>
        <v>0</v>
      </c>
      <c r="S1028" s="46">
        <f t="array" ref="S102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8" s="47">
        <v>195.005</v>
      </c>
      <c r="U1028" s="34">
        <f>IF(Cobros[[#This Row],[Tipo]]="Credito",IF(60&gt;=Cobros[[#This Row],[Dias al pago]],1,0),IF(Cobros[[#This Row],[Dias al pago]]&lt;=3,1,0))</f>
        <v>1</v>
      </c>
      <c r="V1028" s="46">
        <f>(Cobros[[#This Row],[% A pagar Vendedor]]/100)*Cobros[[#This Row],[Valor Pagado]]*Cobros[[#This Row],[Vencido]]*(Cobros[[#This Row],[% aplicar]]/100)*IF(Cobros[[#This Row],[% A pagar Vendedor]]&gt;0,1,0)</f>
        <v>0.29</v>
      </c>
      <c r="W1028" s="46">
        <f>0.5%*Cobros[[#This Row],[Valor Pagado]]</f>
        <v>0.116</v>
      </c>
      <c r="X1028" s="69"/>
    </row>
    <row r="1029" spans="1:24">
      <c r="A1029" s="49" t="s">
        <v>3860</v>
      </c>
      <c r="B1029" s="49" t="s">
        <v>5442</v>
      </c>
      <c r="C1029" s="49" t="s">
        <v>2849</v>
      </c>
      <c r="D1029" s="49" t="s">
        <v>2850</v>
      </c>
      <c r="E1029" s="49" t="s">
        <v>5443</v>
      </c>
      <c r="F1029" s="51">
        <v>46223</v>
      </c>
      <c r="G1029" s="49">
        <v>650</v>
      </c>
      <c r="H1029" s="49" t="s">
        <v>18</v>
      </c>
      <c r="I1029" s="51">
        <v>46220</v>
      </c>
      <c r="J1029" s="54">
        <f>INT(Cobros[[#This Row],[Fecha Cargo]])</f>
        <v>46223</v>
      </c>
      <c r="K1029" s="54">
        <f>INT(Cobros[[#This Row],[Fecha Aplicacion]])</f>
        <v>46220</v>
      </c>
      <c r="L1029" s="55" t="str">
        <f>INDEX(Clientes[Días Plazo],MATCH(Cobros[[#This Row],[Cod. Cliente]],Clientes[Codigo],0),1)</f>
        <v>21</v>
      </c>
      <c r="M1029" s="45" t="str">
        <f>IF(Cobros[[#This Row],[Dias de Credito]]&lt;=0,"Contado","Credito")</f>
        <v>Credito</v>
      </c>
      <c r="N1029" s="45">
        <f>Cobros[[#This Row],[Fecha Aplicación S]]-Cobros[[#This Row],[Fecha Cargo S]]</f>
        <v>-3</v>
      </c>
      <c r="O1029" s="45">
        <f>Cobros[[#This Row],[Dias al pago]]-Cobros[[#This Row],[Dias de Credito]]</f>
        <v>-24</v>
      </c>
      <c r="P1029" s="45">
        <f>SUMIFS(TablaDias[Porcentaje],TablaDias[Tipo],Cobros[[#This Row],[Tipo]],TablaDias[Desde ],"&lt;="&amp;MAX(0,Cobros[[#This Row],[Dias pasado]]),TablaDias[Hasta ],"&gt;="&amp;Cobros[[#This Row],[Dias pasado]])</f>
        <v>100</v>
      </c>
      <c r="Q102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29" s="34">
        <f>IF(COUNTIF(PAPEL[Numero],Cobros[[#This Row],[Doc. Cargo]])&gt;0,1,0)</f>
        <v>0</v>
      </c>
      <c r="S1029" s="46">
        <f t="array" ref="S1029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29" s="47">
        <v>196.005</v>
      </c>
      <c r="U1029" s="34">
        <f>IF(Cobros[[#This Row],[Tipo]]="Credito",IF(60&gt;=Cobros[[#This Row],[Dias al pago]],1,0),IF(Cobros[[#This Row],[Dias al pago]]&lt;=3,1,0))</f>
        <v>1</v>
      </c>
      <c r="V1029" s="46">
        <f>(Cobros[[#This Row],[% A pagar Vendedor]]/100)*Cobros[[#This Row],[Valor Pagado]]*Cobros[[#This Row],[Vencido]]*(Cobros[[#This Row],[% aplicar]]/100)*IF(Cobros[[#This Row],[% A pagar Vendedor]]&gt;0,1,0)</f>
        <v>8.125</v>
      </c>
      <c r="W1029" s="46">
        <f>0.5%*Cobros[[#This Row],[Valor Pagado]]</f>
        <v>3.25</v>
      </c>
      <c r="X1029" s="69"/>
    </row>
    <row r="1030" spans="1:24">
      <c r="A1030" s="49" t="s">
        <v>3860</v>
      </c>
      <c r="B1030" s="49" t="s">
        <v>5444</v>
      </c>
      <c r="C1030" s="49" t="s">
        <v>600</v>
      </c>
      <c r="D1030" s="49" t="s">
        <v>601</v>
      </c>
      <c r="E1030" s="49" t="s">
        <v>5445</v>
      </c>
      <c r="F1030" s="51">
        <v>46220</v>
      </c>
      <c r="G1030" s="49">
        <v>420</v>
      </c>
      <c r="H1030" s="49" t="s">
        <v>18</v>
      </c>
      <c r="I1030" s="51">
        <v>46219</v>
      </c>
      <c r="J1030" s="54">
        <f>INT(Cobros[[#This Row],[Fecha Cargo]])</f>
        <v>46220</v>
      </c>
      <c r="K1030" s="54">
        <f>INT(Cobros[[#This Row],[Fecha Aplicacion]])</f>
        <v>46219</v>
      </c>
      <c r="L1030" s="55">
        <f>INDEX(Clientes[Días Plazo],MATCH(Cobros[[#This Row],[Cod. Cliente]],Clientes[Codigo],0),1)</f>
        <v>0</v>
      </c>
      <c r="M1030" s="45" t="str">
        <f>IF(Cobros[[#This Row],[Dias de Credito]]&lt;=0,"Contado","Credito")</f>
        <v>Contado</v>
      </c>
      <c r="N1030" s="45">
        <f>Cobros[[#This Row],[Fecha Aplicación S]]-Cobros[[#This Row],[Fecha Cargo S]]</f>
        <v>-1</v>
      </c>
      <c r="O1030" s="45">
        <f>Cobros[[#This Row],[Dias al pago]]-Cobros[[#This Row],[Dias de Credito]]</f>
        <v>-1</v>
      </c>
      <c r="P1030" s="45">
        <f>SUMIFS(TablaDias[Porcentaje],TablaDias[Tipo],Cobros[[#This Row],[Tipo]],TablaDias[Desde ],"&lt;="&amp;MAX(0,Cobros[[#This Row],[Dias pasado]]),TablaDias[Hasta ],"&gt;="&amp;Cobros[[#This Row],[Dias pasado]])</f>
        <v>100</v>
      </c>
      <c r="Q103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0" s="34">
        <f>IF(COUNTIF(PAPEL[Numero],Cobros[[#This Row],[Doc. Cargo]])&gt;0,1,0)</f>
        <v>0</v>
      </c>
      <c r="S1030" s="46">
        <f t="array" ref="S103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0" s="47">
        <v>197.005</v>
      </c>
      <c r="U1030" s="34">
        <f>IF(Cobros[[#This Row],[Tipo]]="Credito",IF(60&gt;=Cobros[[#This Row],[Dias al pago]],1,0),IF(Cobros[[#This Row],[Dias al pago]]&lt;=3,1,0))</f>
        <v>1</v>
      </c>
      <c r="V1030" s="46">
        <f>(Cobros[[#This Row],[% A pagar Vendedor]]/100)*Cobros[[#This Row],[Valor Pagado]]*Cobros[[#This Row],[Vencido]]*(Cobros[[#This Row],[% aplicar]]/100)*IF(Cobros[[#This Row],[% A pagar Vendedor]]&gt;0,1,0)</f>
        <v>5.25</v>
      </c>
      <c r="W1030" s="46">
        <f>0.5%*Cobros[[#This Row],[Valor Pagado]]</f>
        <v>2.1</v>
      </c>
      <c r="X1030" s="69"/>
    </row>
    <row r="1031" spans="1:24">
      <c r="A1031" s="49" t="s">
        <v>3860</v>
      </c>
      <c r="B1031" s="49" t="s">
        <v>5446</v>
      </c>
      <c r="C1031" s="49" t="s">
        <v>600</v>
      </c>
      <c r="D1031" s="49" t="s">
        <v>601</v>
      </c>
      <c r="E1031" s="49" t="s">
        <v>5447</v>
      </c>
      <c r="F1031" s="51">
        <v>46232</v>
      </c>
      <c r="G1031" s="49">
        <v>630</v>
      </c>
      <c r="H1031" s="49" t="s">
        <v>18</v>
      </c>
      <c r="I1031" s="51">
        <v>46232</v>
      </c>
      <c r="J1031" s="54">
        <f>INT(Cobros[[#This Row],[Fecha Cargo]])</f>
        <v>46232</v>
      </c>
      <c r="K1031" s="54">
        <f>INT(Cobros[[#This Row],[Fecha Aplicacion]])</f>
        <v>46232</v>
      </c>
      <c r="L1031" s="55">
        <f>INDEX(Clientes[Días Plazo],MATCH(Cobros[[#This Row],[Cod. Cliente]],Clientes[Codigo],0),1)</f>
        <v>0</v>
      </c>
      <c r="M1031" s="45" t="str">
        <f>IF(Cobros[[#This Row],[Dias de Credito]]&lt;=0,"Contado","Credito")</f>
        <v>Contado</v>
      </c>
      <c r="N1031" s="45">
        <f>Cobros[[#This Row],[Fecha Aplicación S]]-Cobros[[#This Row],[Fecha Cargo S]]</f>
        <v>0</v>
      </c>
      <c r="O1031" s="45">
        <f>Cobros[[#This Row],[Dias al pago]]-Cobros[[#This Row],[Dias de Credito]]</f>
        <v>0</v>
      </c>
      <c r="P1031" s="45">
        <f>SUMIFS(TablaDias[Porcentaje],TablaDias[Tipo],Cobros[[#This Row],[Tipo]],TablaDias[Desde ],"&lt;="&amp;MAX(0,Cobros[[#This Row],[Dias pasado]]),TablaDias[Hasta ],"&gt;="&amp;Cobros[[#This Row],[Dias pasado]])</f>
        <v>100</v>
      </c>
      <c r="Q103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1" s="34">
        <f>IF(COUNTIF(PAPEL[Numero],Cobros[[#This Row],[Doc. Cargo]])&gt;0,1,0)</f>
        <v>0</v>
      </c>
      <c r="S1031" s="46">
        <f t="array" ref="S103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1" s="47">
        <v>198.005</v>
      </c>
      <c r="U1031" s="34">
        <f>IF(Cobros[[#This Row],[Tipo]]="Credito",IF(60&gt;=Cobros[[#This Row],[Dias al pago]],1,0),IF(Cobros[[#This Row],[Dias al pago]]&lt;=3,1,0))</f>
        <v>1</v>
      </c>
      <c r="V1031" s="46">
        <f>(Cobros[[#This Row],[% A pagar Vendedor]]/100)*Cobros[[#This Row],[Valor Pagado]]*Cobros[[#This Row],[Vencido]]*(Cobros[[#This Row],[% aplicar]]/100)*IF(Cobros[[#This Row],[% A pagar Vendedor]]&gt;0,1,0)</f>
        <v>7.875</v>
      </c>
      <c r="W1031" s="46">
        <f>0.5%*Cobros[[#This Row],[Valor Pagado]]</f>
        <v>3.15</v>
      </c>
      <c r="X1031" s="69"/>
    </row>
    <row r="1032" spans="1:24">
      <c r="A1032" s="49" t="s">
        <v>3860</v>
      </c>
      <c r="B1032" s="49" t="s">
        <v>5186</v>
      </c>
      <c r="C1032" s="49" t="s">
        <v>390</v>
      </c>
      <c r="D1032" s="49" t="s">
        <v>391</v>
      </c>
      <c r="E1032" s="49" t="s">
        <v>5448</v>
      </c>
      <c r="F1032" s="51">
        <v>46238</v>
      </c>
      <c r="G1032" s="49">
        <v>0.4</v>
      </c>
      <c r="H1032" s="49" t="s">
        <v>20</v>
      </c>
      <c r="I1032" s="51">
        <v>46231</v>
      </c>
      <c r="J1032" s="54">
        <f>INT(Cobros[[#This Row],[Fecha Cargo]])</f>
        <v>46238</v>
      </c>
      <c r="K1032" s="54">
        <f>INT(Cobros[[#This Row],[Fecha Aplicacion]])</f>
        <v>46231</v>
      </c>
      <c r="L1032" s="55">
        <f>INDEX(Clientes[Días Plazo],MATCH(Cobros[[#This Row],[Cod. Cliente]],Clientes[Codigo],0),1)</f>
        <v>0</v>
      </c>
      <c r="M1032" s="45" t="str">
        <f>IF(Cobros[[#This Row],[Dias de Credito]]&lt;=0,"Contado","Credito")</f>
        <v>Contado</v>
      </c>
      <c r="N1032" s="45">
        <f>Cobros[[#This Row],[Fecha Aplicación S]]-Cobros[[#This Row],[Fecha Cargo S]]</f>
        <v>-7</v>
      </c>
      <c r="O1032" s="45">
        <f>Cobros[[#This Row],[Dias al pago]]-Cobros[[#This Row],[Dias de Credito]]</f>
        <v>-7</v>
      </c>
      <c r="P1032" s="45">
        <f>SUMIFS(TablaDias[Porcentaje],TablaDias[Tipo],Cobros[[#This Row],[Tipo]],TablaDias[Desde ],"&lt;="&amp;MAX(0,Cobros[[#This Row],[Dias pasado]]),TablaDias[Hasta ],"&gt;="&amp;Cobros[[#This Row],[Dias pasado]])</f>
        <v>100</v>
      </c>
      <c r="Q103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2" s="34">
        <f>IF(COUNTIF(PAPEL[Numero],Cobros[[#This Row],[Doc. Cargo]])&gt;0,1,0)</f>
        <v>0</v>
      </c>
      <c r="S1032" s="46">
        <f t="array" ref="S1032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2" s="47">
        <v>199.005</v>
      </c>
      <c r="U1032" s="34">
        <f>IF(Cobros[[#This Row],[Tipo]]="Credito",IF(60&gt;=Cobros[[#This Row],[Dias al pago]],1,0),IF(Cobros[[#This Row],[Dias al pago]]&lt;=3,1,0))</f>
        <v>1</v>
      </c>
      <c r="V1032" s="46">
        <f>(Cobros[[#This Row],[% A pagar Vendedor]]/100)*Cobros[[#This Row],[Valor Pagado]]*Cobros[[#This Row],[Vencido]]*(Cobros[[#This Row],[% aplicar]]/100)*IF(Cobros[[#This Row],[% A pagar Vendedor]]&gt;0,1,0)</f>
        <v>0.005</v>
      </c>
      <c r="W1032" s="46">
        <f>0.5%*Cobros[[#This Row],[Valor Pagado]]</f>
        <v>0.002</v>
      </c>
      <c r="X1032" s="69"/>
    </row>
    <row r="1033" spans="1:24">
      <c r="A1033" s="49" t="s">
        <v>3860</v>
      </c>
      <c r="B1033" s="49" t="s">
        <v>5306</v>
      </c>
      <c r="C1033" s="49" t="s">
        <v>1478</v>
      </c>
      <c r="D1033" s="49" t="s">
        <v>1479</v>
      </c>
      <c r="E1033" s="49" t="s">
        <v>5449</v>
      </c>
      <c r="F1033" s="51">
        <v>46233</v>
      </c>
      <c r="G1033" s="49">
        <v>14.7</v>
      </c>
      <c r="H1033" s="49" t="s">
        <v>18</v>
      </c>
      <c r="I1033" s="51">
        <v>46233</v>
      </c>
      <c r="J1033" s="54">
        <f>INT(Cobros[[#This Row],[Fecha Cargo]])</f>
        <v>46233</v>
      </c>
      <c r="K1033" s="54">
        <f>INT(Cobros[[#This Row],[Fecha Aplicacion]])</f>
        <v>46233</v>
      </c>
      <c r="L1033" s="55" t="str">
        <f>INDEX(Clientes[Días Plazo],MATCH(Cobros[[#This Row],[Cod. Cliente]],Clientes[Codigo],0),1)</f>
        <v>3</v>
      </c>
      <c r="M1033" s="45" t="str">
        <f>IF(Cobros[[#This Row],[Dias de Credito]]&lt;=0,"Contado","Credito")</f>
        <v>Credito</v>
      </c>
      <c r="N1033" s="45">
        <f>Cobros[[#This Row],[Fecha Aplicación S]]-Cobros[[#This Row],[Fecha Cargo S]]</f>
        <v>0</v>
      </c>
      <c r="O1033" s="45">
        <f>Cobros[[#This Row],[Dias al pago]]-Cobros[[#This Row],[Dias de Credito]]</f>
        <v>-3</v>
      </c>
      <c r="P1033" s="45">
        <f>SUMIFS(TablaDias[Porcentaje],TablaDias[Tipo],Cobros[[#This Row],[Tipo]],TablaDias[Desde ],"&lt;="&amp;MAX(0,Cobros[[#This Row],[Dias pasado]]),TablaDias[Hasta ],"&gt;="&amp;Cobros[[#This Row],[Dias pasado]])</f>
        <v>100</v>
      </c>
      <c r="Q103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3" s="34">
        <f>IF(COUNTIF(PAPEL[Numero],Cobros[[#This Row],[Doc. Cargo]])&gt;0,1,0)</f>
        <v>0</v>
      </c>
      <c r="S1033" s="46">
        <f t="array" ref="S103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3" s="47">
        <v>200.005</v>
      </c>
      <c r="U1033" s="34">
        <f>IF(Cobros[[#This Row],[Tipo]]="Credito",IF(60&gt;=Cobros[[#This Row],[Dias al pago]],1,0),IF(Cobros[[#This Row],[Dias al pago]]&lt;=3,1,0))</f>
        <v>1</v>
      </c>
      <c r="V1033" s="46">
        <f>(Cobros[[#This Row],[% A pagar Vendedor]]/100)*Cobros[[#This Row],[Valor Pagado]]*Cobros[[#This Row],[Vencido]]*(Cobros[[#This Row],[% aplicar]]/100)*IF(Cobros[[#This Row],[% A pagar Vendedor]]&gt;0,1,0)</f>
        <v>0.18375</v>
      </c>
      <c r="W1033" s="46">
        <f>0.5%*Cobros[[#This Row],[Valor Pagado]]</f>
        <v>0.0735</v>
      </c>
      <c r="X1033" s="69"/>
    </row>
    <row r="1034" spans="1:24">
      <c r="A1034" s="49" t="s">
        <v>3875</v>
      </c>
      <c r="B1034" s="49" t="s">
        <v>4646</v>
      </c>
      <c r="C1034" s="49" t="s">
        <v>1220</v>
      </c>
      <c r="D1034" s="49" t="s">
        <v>1221</v>
      </c>
      <c r="E1034" s="49" t="s">
        <v>5450</v>
      </c>
      <c r="F1034" s="51">
        <v>46238</v>
      </c>
      <c r="G1034" s="49">
        <v>1.85</v>
      </c>
      <c r="H1034" s="49" t="s">
        <v>20</v>
      </c>
      <c r="I1034" s="51">
        <v>46218</v>
      </c>
      <c r="J1034" s="54">
        <f>INT(Cobros[[#This Row],[Fecha Cargo]])</f>
        <v>46238</v>
      </c>
      <c r="K1034" s="54">
        <f>INT(Cobros[[#This Row],[Fecha Aplicacion]])</f>
        <v>46218</v>
      </c>
      <c r="L1034" s="55">
        <f>INDEX(Clientes[Días Plazo],MATCH(Cobros[[#This Row],[Cod. Cliente]],Clientes[Codigo],0),1)</f>
        <v>0</v>
      </c>
      <c r="M1034" s="45" t="str">
        <f>IF(Cobros[[#This Row],[Dias de Credito]]&lt;=0,"Contado","Credito")</f>
        <v>Contado</v>
      </c>
      <c r="N1034" s="45">
        <f>Cobros[[#This Row],[Fecha Aplicación S]]-Cobros[[#This Row],[Fecha Cargo S]]</f>
        <v>-20</v>
      </c>
      <c r="O1034" s="45">
        <f>Cobros[[#This Row],[Dias al pago]]-Cobros[[#This Row],[Dias de Credito]]</f>
        <v>-20</v>
      </c>
      <c r="P1034" s="45">
        <f>SUMIFS(TablaDias[Porcentaje],TablaDias[Tipo],Cobros[[#This Row],[Tipo]],TablaDias[Desde ],"&lt;="&amp;MAX(0,Cobros[[#This Row],[Dias pasado]]),TablaDias[Hasta ],"&gt;="&amp;Cobros[[#This Row],[Dias pasado]])</f>
        <v>100</v>
      </c>
      <c r="Q103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4" s="34">
        <f>IF(COUNTIF(PAPEL[Numero],Cobros[[#This Row],[Doc. Cargo]])&gt;0,1,0)</f>
        <v>0</v>
      </c>
      <c r="S1034" s="46">
        <f t="array" ref="S103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34" s="47">
        <v>201.005</v>
      </c>
      <c r="U1034" s="34">
        <f>IF(Cobros[[#This Row],[Tipo]]="Credito",IF(60&gt;=Cobros[[#This Row],[Dias al pago]],1,0),IF(Cobros[[#This Row],[Dias al pago]]&lt;=3,1,0))</f>
        <v>1</v>
      </c>
      <c r="V1034" s="46">
        <f>(Cobros[[#This Row],[% A pagar Vendedor]]/100)*Cobros[[#This Row],[Valor Pagado]]*Cobros[[#This Row],[Vencido]]*(Cobros[[#This Row],[% aplicar]]/100)*IF(Cobros[[#This Row],[% A pagar Vendedor]]&gt;0,1,0)</f>
        <v>0.023125</v>
      </c>
      <c r="W1034" s="46">
        <f>0.5%*Cobros[[#This Row],[Valor Pagado]]</f>
        <v>0.00925</v>
      </c>
      <c r="X1034" s="69"/>
    </row>
    <row r="1035" ht="30" spans="1:24">
      <c r="A1035" s="49" t="s">
        <v>3875</v>
      </c>
      <c r="B1035" s="49" t="s">
        <v>5274</v>
      </c>
      <c r="C1035" s="49" t="s">
        <v>2628</v>
      </c>
      <c r="D1035" s="49" t="s">
        <v>2629</v>
      </c>
      <c r="E1035" s="49" t="s">
        <v>5451</v>
      </c>
      <c r="F1035" s="51">
        <v>46232</v>
      </c>
      <c r="G1035" s="49">
        <v>144.02</v>
      </c>
      <c r="H1035" s="49" t="s">
        <v>3865</v>
      </c>
      <c r="I1035" s="51">
        <v>46232</v>
      </c>
      <c r="J1035" s="54">
        <f>INT(Cobros[[#This Row],[Fecha Cargo]])</f>
        <v>46232</v>
      </c>
      <c r="K1035" s="54">
        <f>INT(Cobros[[#This Row],[Fecha Aplicacion]])</f>
        <v>46232</v>
      </c>
      <c r="L1035" s="55" t="str">
        <f>INDEX(Clientes[Días Plazo],MATCH(Cobros[[#This Row],[Cod. Cliente]],Clientes[Codigo],0),1)</f>
        <v>7</v>
      </c>
      <c r="M1035" s="45" t="str">
        <f>IF(Cobros[[#This Row],[Dias de Credito]]&lt;=0,"Contado","Credito")</f>
        <v>Credito</v>
      </c>
      <c r="N1035" s="45">
        <f>Cobros[[#This Row],[Fecha Aplicación S]]-Cobros[[#This Row],[Fecha Cargo S]]</f>
        <v>0</v>
      </c>
      <c r="O1035" s="45">
        <f>Cobros[[#This Row],[Dias al pago]]-Cobros[[#This Row],[Dias de Credito]]</f>
        <v>-7</v>
      </c>
      <c r="P1035" s="45">
        <f>SUMIFS(TablaDias[Porcentaje],TablaDias[Tipo],Cobros[[#This Row],[Tipo]],TablaDias[Desde ],"&lt;="&amp;MAX(0,Cobros[[#This Row],[Dias pasado]]),TablaDias[Hasta ],"&gt;="&amp;Cobros[[#This Row],[Dias pasado]])</f>
        <v>100</v>
      </c>
      <c r="Q103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5" s="34">
        <f>IF(COUNTIF(PAPEL[Numero],Cobros[[#This Row],[Doc. Cargo]])&gt;0,1,0)</f>
        <v>0</v>
      </c>
      <c r="S1035" s="46">
        <v>1</v>
      </c>
      <c r="T1035" s="47">
        <v>202.005</v>
      </c>
      <c r="U1035" s="34">
        <f>IF(Cobros[[#This Row],[Tipo]]="Credito",IF(60&gt;=Cobros[[#This Row],[Dias al pago]],1,0),IF(Cobros[[#This Row],[Dias al pago]]&lt;=3,1,0))</f>
        <v>1</v>
      </c>
      <c r="V1035" s="46">
        <f>(Cobros[[#This Row],[% A pagar Vendedor]]/100)*Cobros[[#This Row],[Valor Pagado]]*Cobros[[#This Row],[Vencido]]*(Cobros[[#This Row],[% aplicar]]/100)*IF(Cobros[[#This Row],[% A pagar Vendedor]]&gt;0,1,0)</f>
        <v>1.4402</v>
      </c>
      <c r="W1035" s="46">
        <f>0.5%*Cobros[[#This Row],[Valor Pagado]]</f>
        <v>0.7201</v>
      </c>
      <c r="X1035" s="69"/>
    </row>
    <row r="1036" ht="30" spans="1:24">
      <c r="A1036" s="49" t="s">
        <v>3860</v>
      </c>
      <c r="B1036" s="49" t="s">
        <v>4508</v>
      </c>
      <c r="C1036" s="49" t="s">
        <v>2826</v>
      </c>
      <c r="D1036" s="49" t="s">
        <v>2827</v>
      </c>
      <c r="E1036" s="49" t="s">
        <v>5452</v>
      </c>
      <c r="F1036" s="51">
        <v>46225</v>
      </c>
      <c r="G1036" s="49">
        <v>212.2</v>
      </c>
      <c r="H1036" s="49" t="s">
        <v>1355</v>
      </c>
      <c r="I1036" s="51">
        <v>46205</v>
      </c>
      <c r="J1036" s="54">
        <f>INT(Cobros[[#This Row],[Fecha Cargo]])</f>
        <v>46225</v>
      </c>
      <c r="K1036" s="54">
        <f>INT(Cobros[[#This Row],[Fecha Aplicacion]])</f>
        <v>46205</v>
      </c>
      <c r="L1036" s="55" t="str">
        <f>INDEX(Clientes[Días Plazo],MATCH(Cobros[[#This Row],[Cod. Cliente]],Clientes[Codigo],0),1)</f>
        <v>7</v>
      </c>
      <c r="M1036" s="45" t="str">
        <f>IF(Cobros[[#This Row],[Dias de Credito]]&lt;=0,"Contado","Credito")</f>
        <v>Credito</v>
      </c>
      <c r="N1036" s="45">
        <f>Cobros[[#This Row],[Fecha Aplicación S]]-Cobros[[#This Row],[Fecha Cargo S]]</f>
        <v>-20</v>
      </c>
      <c r="O1036" s="45">
        <f>Cobros[[#This Row],[Dias al pago]]-Cobros[[#This Row],[Dias de Credito]]</f>
        <v>-27</v>
      </c>
      <c r="P1036" s="45">
        <f>SUMIFS(TablaDias[Porcentaje],TablaDias[Tipo],Cobros[[#This Row],[Tipo]],TablaDias[Desde ],"&lt;="&amp;MAX(0,Cobros[[#This Row],[Dias pasado]]),TablaDias[Hasta ],"&gt;="&amp;Cobros[[#This Row],[Dias pasado]])</f>
        <v>100</v>
      </c>
      <c r="Q103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6" s="34">
        <f>IF(COUNTIF(PAPEL[Numero],Cobros[[#This Row],[Doc. Cargo]])&gt;0,1,0)</f>
        <v>0</v>
      </c>
      <c r="S1036" s="46">
        <v>1</v>
      </c>
      <c r="T1036" s="47">
        <v>203.005</v>
      </c>
      <c r="U1036" s="34">
        <f>IF(Cobros[[#This Row],[Tipo]]="Credito",IF(60&gt;=Cobros[[#This Row],[Dias al pago]],1,0),IF(Cobros[[#This Row],[Dias al pago]]&lt;=3,1,0))</f>
        <v>1</v>
      </c>
      <c r="V1036" s="46">
        <f>(Cobros[[#This Row],[% A pagar Vendedor]]/100)*Cobros[[#This Row],[Valor Pagado]]*Cobros[[#This Row],[Vencido]]*(Cobros[[#This Row],[% aplicar]]/100)*IF(Cobros[[#This Row],[% A pagar Vendedor]]&gt;0,1,0)</f>
        <v>2.122</v>
      </c>
      <c r="W1036" s="46">
        <f>0.5%*Cobros[[#This Row],[Valor Pagado]]</f>
        <v>1.061</v>
      </c>
      <c r="X1036" s="69"/>
    </row>
    <row r="1037" ht="30" spans="1:24">
      <c r="A1037" s="49" t="s">
        <v>3875</v>
      </c>
      <c r="B1037" s="49" t="s">
        <v>5453</v>
      </c>
      <c r="C1037" s="49" t="s">
        <v>996</v>
      </c>
      <c r="D1037" s="49" t="s">
        <v>997</v>
      </c>
      <c r="E1037" s="49" t="s">
        <v>4789</v>
      </c>
      <c r="F1037" s="51">
        <v>46220</v>
      </c>
      <c r="G1037" s="49">
        <v>89.17</v>
      </c>
      <c r="H1037" s="49" t="s">
        <v>3865</v>
      </c>
      <c r="I1037" s="51">
        <v>46220</v>
      </c>
      <c r="J1037" s="54">
        <f>INT(Cobros[[#This Row],[Fecha Cargo]])</f>
        <v>46220</v>
      </c>
      <c r="K1037" s="54">
        <f>INT(Cobros[[#This Row],[Fecha Aplicacion]])</f>
        <v>46220</v>
      </c>
      <c r="L1037" s="55" t="str">
        <f>INDEX(Clientes[Días Plazo],MATCH(Cobros[[#This Row],[Cod. Cliente]],Clientes[Codigo],0),1)</f>
        <v>15</v>
      </c>
      <c r="M1037" s="45" t="str">
        <f>IF(Cobros[[#This Row],[Dias de Credito]]&lt;=0,"Contado","Credito")</f>
        <v>Credito</v>
      </c>
      <c r="N1037" s="45">
        <f>Cobros[[#This Row],[Fecha Aplicación S]]-Cobros[[#This Row],[Fecha Cargo S]]</f>
        <v>0</v>
      </c>
      <c r="O1037" s="45">
        <f>Cobros[[#This Row],[Dias al pago]]-Cobros[[#This Row],[Dias de Credito]]</f>
        <v>-15</v>
      </c>
      <c r="P1037" s="45">
        <f>SUMIFS(TablaDias[Porcentaje],TablaDias[Tipo],Cobros[[#This Row],[Tipo]],TablaDias[Desde ],"&lt;="&amp;MAX(0,Cobros[[#This Row],[Dias pasado]]),TablaDias[Hasta ],"&gt;="&amp;Cobros[[#This Row],[Dias pasado]])</f>
        <v>100</v>
      </c>
      <c r="Q103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7" s="34">
        <f>IF(COUNTIF(PAPEL[Numero],Cobros[[#This Row],[Doc. Cargo]])&gt;0,1,0)</f>
        <v>0</v>
      </c>
      <c r="S1037" s="46">
        <v>1</v>
      </c>
      <c r="T1037" s="47">
        <v>204.005</v>
      </c>
      <c r="U1037" s="34">
        <f>IF(Cobros[[#This Row],[Tipo]]="Credito",IF(60&gt;=Cobros[[#This Row],[Dias al pago]],1,0),IF(Cobros[[#This Row],[Dias al pago]]&lt;=3,1,0))</f>
        <v>1</v>
      </c>
      <c r="V1037" s="46">
        <f>(Cobros[[#This Row],[% A pagar Vendedor]]/100)*Cobros[[#This Row],[Valor Pagado]]*Cobros[[#This Row],[Vencido]]*(Cobros[[#This Row],[% aplicar]]/100)*IF(Cobros[[#This Row],[% A pagar Vendedor]]&gt;0,1,0)</f>
        <v>0.8917</v>
      </c>
      <c r="W1037" s="46">
        <f>0.5%*Cobros[[#This Row],[Valor Pagado]]</f>
        <v>0.44585</v>
      </c>
      <c r="X1037" s="69"/>
    </row>
    <row r="1038" spans="1:24">
      <c r="A1038" s="49" t="s">
        <v>3860</v>
      </c>
      <c r="B1038" s="49" t="s">
        <v>4881</v>
      </c>
      <c r="C1038" s="49" t="s">
        <v>3672</v>
      </c>
      <c r="D1038" s="49" t="s">
        <v>3673</v>
      </c>
      <c r="E1038" s="49" t="s">
        <v>5454</v>
      </c>
      <c r="F1038" s="51">
        <v>46192</v>
      </c>
      <c r="G1038" s="49">
        <v>2</v>
      </c>
      <c r="H1038" s="49" t="s">
        <v>18</v>
      </c>
      <c r="I1038" s="51">
        <v>46223</v>
      </c>
      <c r="J1038" s="54">
        <f>INT(Cobros[[#This Row],[Fecha Cargo]])</f>
        <v>46192</v>
      </c>
      <c r="K1038" s="54">
        <f>INT(Cobros[[#This Row],[Fecha Aplicacion]])</f>
        <v>46223</v>
      </c>
      <c r="L1038" s="55">
        <f>INDEX(Clientes[Días Plazo],MATCH(Cobros[[#This Row],[Cod. Cliente]],Clientes[Codigo],0),1)</f>
        <v>0</v>
      </c>
      <c r="M1038" s="45" t="str">
        <f>IF(Cobros[[#This Row],[Dias de Credito]]&lt;=0,"Contado","Credito")</f>
        <v>Contado</v>
      </c>
      <c r="N1038" s="45">
        <f>Cobros[[#This Row],[Fecha Aplicación S]]-Cobros[[#This Row],[Fecha Cargo S]]</f>
        <v>31</v>
      </c>
      <c r="O1038" s="45">
        <f>Cobros[[#This Row],[Dias al pago]]-Cobros[[#This Row],[Dias de Credito]]</f>
        <v>31</v>
      </c>
      <c r="P1038" s="45">
        <f>SUMIFS(TablaDias[Porcentaje],TablaDias[Tipo],Cobros[[#This Row],[Tipo]],TablaDias[Desde ],"&lt;="&amp;MAX(0,Cobros[[#This Row],[Dias pasado]]),TablaDias[Hasta ],"&gt;="&amp;Cobros[[#This Row],[Dias pasado]])</f>
        <v>0</v>
      </c>
      <c r="Q103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38" s="34">
        <f>IF(COUNTIF(PAPEL[Numero],Cobros[[#This Row],[Doc. Cargo]])&gt;0,1,0)</f>
        <v>0</v>
      </c>
      <c r="S1038" s="46">
        <f t="array" ref="S1038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38" s="47">
        <v>205.005</v>
      </c>
      <c r="U1038" s="34">
        <f>IF(Cobros[[#This Row],[Tipo]]="Credito",IF(60&gt;=Cobros[[#This Row],[Dias al pago]],1,0),IF(Cobros[[#This Row],[Dias al pago]]&lt;=3,1,0))</f>
        <v>0</v>
      </c>
      <c r="V1038" s="46">
        <f>(Cobros[[#This Row],[% A pagar Vendedor]]/100)*Cobros[[#This Row],[Valor Pagado]]*Cobros[[#This Row],[Vencido]]*(Cobros[[#This Row],[% aplicar]]/100)*IF(Cobros[[#This Row],[% A pagar Vendedor]]&gt;0,1,0)</f>
        <v>0</v>
      </c>
      <c r="W1038" s="46">
        <f>0.5%*Cobros[[#This Row],[Valor Pagado]]</f>
        <v>0.01</v>
      </c>
      <c r="X1038" s="69"/>
    </row>
    <row r="1039" ht="30" spans="1:24">
      <c r="A1039" s="49" t="s">
        <v>3884</v>
      </c>
      <c r="B1039" s="49" t="s">
        <v>5034</v>
      </c>
      <c r="C1039" s="49" t="s">
        <v>1008</v>
      </c>
      <c r="D1039" s="49" t="s">
        <v>1009</v>
      </c>
      <c r="E1039" s="49" t="s">
        <v>5455</v>
      </c>
      <c r="F1039" s="51">
        <v>46220</v>
      </c>
      <c r="G1039" s="49">
        <v>1</v>
      </c>
      <c r="H1039" s="49" t="s">
        <v>3865</v>
      </c>
      <c r="I1039" s="51">
        <v>46226</v>
      </c>
      <c r="J1039" s="54">
        <f>INT(Cobros[[#This Row],[Fecha Cargo]])</f>
        <v>46220</v>
      </c>
      <c r="K1039" s="54">
        <f>INT(Cobros[[#This Row],[Fecha Aplicacion]])</f>
        <v>46226</v>
      </c>
      <c r="L1039" s="55" t="str">
        <f>INDEX(Clientes[Días Plazo],MATCH(Cobros[[#This Row],[Cod. Cliente]],Clientes[Codigo],0),1)</f>
        <v>15</v>
      </c>
      <c r="M1039" s="45" t="str">
        <f>IF(Cobros[[#This Row],[Dias de Credito]]&lt;=0,"Contado","Credito")</f>
        <v>Credito</v>
      </c>
      <c r="N1039" s="45">
        <f>Cobros[[#This Row],[Fecha Aplicación S]]-Cobros[[#This Row],[Fecha Cargo S]]</f>
        <v>6</v>
      </c>
      <c r="O1039" s="45">
        <f>Cobros[[#This Row],[Dias al pago]]-Cobros[[#This Row],[Dias de Credito]]</f>
        <v>-9</v>
      </c>
      <c r="P1039" s="45">
        <f>SUMIFS(TablaDias[Porcentaje],TablaDias[Tipo],Cobros[[#This Row],[Tipo]],TablaDias[Desde ],"&lt;="&amp;MAX(0,Cobros[[#This Row],[Dias pasado]]),TablaDias[Hasta ],"&gt;="&amp;Cobros[[#This Row],[Dias pasado]])</f>
        <v>100</v>
      </c>
      <c r="Q103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39" s="34">
        <f>IF(COUNTIF(PAPEL[Numero],Cobros[[#This Row],[Doc. Cargo]])&gt;0,1,0)</f>
        <v>0</v>
      </c>
      <c r="S1039" s="46">
        <v>1</v>
      </c>
      <c r="T1039" s="47">
        <v>206.005</v>
      </c>
      <c r="U1039" s="34">
        <f>IF(Cobros[[#This Row],[Tipo]]="Credito",IF(60&gt;=Cobros[[#This Row],[Dias al pago]],1,0),IF(Cobros[[#This Row],[Dias al pago]]&lt;=3,1,0))</f>
        <v>1</v>
      </c>
      <c r="V1039" s="46">
        <f>(Cobros[[#This Row],[% A pagar Vendedor]]/100)*Cobros[[#This Row],[Valor Pagado]]*Cobros[[#This Row],[Vencido]]*(Cobros[[#This Row],[% aplicar]]/100)*IF(Cobros[[#This Row],[% A pagar Vendedor]]&gt;0,1,0)</f>
        <v>0.01</v>
      </c>
      <c r="W1039" s="46">
        <f>0.5%*Cobros[[#This Row],[Valor Pagado]]</f>
        <v>0.005</v>
      </c>
      <c r="X1039" s="69"/>
    </row>
    <row r="1040" spans="1:24">
      <c r="A1040" s="49" t="s">
        <v>3875</v>
      </c>
      <c r="B1040" s="49" t="s">
        <v>5456</v>
      </c>
      <c r="C1040" s="49" t="s">
        <v>3729</v>
      </c>
      <c r="D1040" s="49" t="s">
        <v>3730</v>
      </c>
      <c r="E1040" s="49" t="s">
        <v>5457</v>
      </c>
      <c r="F1040" s="51">
        <v>46211</v>
      </c>
      <c r="G1040" s="49">
        <v>1769.8</v>
      </c>
      <c r="H1040" s="49" t="s">
        <v>19</v>
      </c>
      <c r="I1040" s="51">
        <v>46210</v>
      </c>
      <c r="J1040" s="54">
        <f>INT(Cobros[[#This Row],[Fecha Cargo]])</f>
        <v>46211</v>
      </c>
      <c r="K1040" s="54">
        <f>INT(Cobros[[#This Row],[Fecha Aplicacion]])</f>
        <v>46210</v>
      </c>
      <c r="L1040" s="55">
        <f>INDEX(Clientes[Días Plazo],MATCH(Cobros[[#This Row],[Cod. Cliente]],Clientes[Codigo],0),1)</f>
        <v>0</v>
      </c>
      <c r="M1040" s="45" t="str">
        <f>IF(Cobros[[#This Row],[Dias de Credito]]&lt;=0,"Contado","Credito")</f>
        <v>Contado</v>
      </c>
      <c r="N1040" s="45">
        <f>Cobros[[#This Row],[Fecha Aplicación S]]-Cobros[[#This Row],[Fecha Cargo S]]</f>
        <v>-1</v>
      </c>
      <c r="O1040" s="45">
        <f>Cobros[[#This Row],[Dias al pago]]-Cobros[[#This Row],[Dias de Credito]]</f>
        <v>-1</v>
      </c>
      <c r="P1040" s="45">
        <f>SUMIFS(TablaDias[Porcentaje],TablaDias[Tipo],Cobros[[#This Row],[Tipo]],TablaDias[Desde ],"&lt;="&amp;MAX(0,Cobros[[#This Row],[Dias pasado]]),TablaDias[Hasta ],"&gt;="&amp;Cobros[[#This Row],[Dias pasado]])</f>
        <v>100</v>
      </c>
      <c r="Q1040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0" s="34">
        <f>IF(COUNTIF(PAPEL[Numero],Cobros[[#This Row],[Doc. Cargo]])&gt;0,1,0)</f>
        <v>0</v>
      </c>
      <c r="S1040" s="46">
        <f t="array" ref="S1040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0" s="47">
        <v>207.005</v>
      </c>
      <c r="U1040" s="34">
        <f>IF(Cobros[[#This Row],[Tipo]]="Credito",IF(60&gt;=Cobros[[#This Row],[Dias al pago]],1,0),IF(Cobros[[#This Row],[Dias al pago]]&lt;=3,1,0))</f>
        <v>1</v>
      </c>
      <c r="V1040" s="46">
        <f>(Cobros[[#This Row],[% A pagar Vendedor]]/100)*Cobros[[#This Row],[Valor Pagado]]*Cobros[[#This Row],[Vencido]]*(Cobros[[#This Row],[% aplicar]]/100)*IF(Cobros[[#This Row],[% A pagar Vendedor]]&gt;0,1,0)</f>
        <v>22.1225</v>
      </c>
      <c r="W1040" s="46">
        <f>0.5%*Cobros[[#This Row],[Valor Pagado]]</f>
        <v>8.849</v>
      </c>
      <c r="X1040" s="69"/>
    </row>
    <row r="1041" ht="30" spans="1:24">
      <c r="A1041" s="49" t="s">
        <v>3922</v>
      </c>
      <c r="B1041" s="49" t="s">
        <v>5458</v>
      </c>
      <c r="C1041" s="49" t="s">
        <v>664</v>
      </c>
      <c r="D1041" s="49" t="s">
        <v>665</v>
      </c>
      <c r="E1041" s="49" t="s">
        <v>5459</v>
      </c>
      <c r="F1041" s="51">
        <v>46212</v>
      </c>
      <c r="G1041" s="49">
        <v>2916.24</v>
      </c>
      <c r="H1041" s="49" t="s">
        <v>22</v>
      </c>
      <c r="I1041" s="51">
        <v>46213</v>
      </c>
      <c r="J1041" s="54">
        <f>INT(Cobros[[#This Row],[Fecha Cargo]])</f>
        <v>46212</v>
      </c>
      <c r="K1041" s="54">
        <f>INT(Cobros[[#This Row],[Fecha Aplicacion]])</f>
        <v>46213</v>
      </c>
      <c r="L1041" s="55">
        <f>INDEX(Clientes[Días Plazo],MATCH(Cobros[[#This Row],[Cod. Cliente]],Clientes[Codigo],0),1)</f>
        <v>0</v>
      </c>
      <c r="M1041" s="45" t="str">
        <f>IF(Cobros[[#This Row],[Dias de Credito]]&lt;=0,"Contado","Credito")</f>
        <v>Contado</v>
      </c>
      <c r="N1041" s="45">
        <f>Cobros[[#This Row],[Fecha Aplicación S]]-Cobros[[#This Row],[Fecha Cargo S]]</f>
        <v>1</v>
      </c>
      <c r="O1041" s="45">
        <f>Cobros[[#This Row],[Dias al pago]]-Cobros[[#This Row],[Dias de Credito]]</f>
        <v>1</v>
      </c>
      <c r="P1041" s="45">
        <f>SUMIFS(TablaDias[Porcentaje],TablaDias[Tipo],Cobros[[#This Row],[Tipo]],TablaDias[Desde ],"&lt;="&amp;MAX(0,Cobros[[#This Row],[Dias pasado]]),TablaDias[Hasta ],"&gt;="&amp;Cobros[[#This Row],[Dias pasado]])</f>
        <v>100</v>
      </c>
      <c r="Q1041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1" s="34">
        <f>IF(COUNTIF(PAPEL[Numero],Cobros[[#This Row],[Doc. Cargo]])&gt;0,1,0)</f>
        <v>0</v>
      </c>
      <c r="S1041" s="46">
        <f t="array" ref="S1041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</v>
      </c>
      <c r="T1041" s="47">
        <v>208.005</v>
      </c>
      <c r="U1041" s="34">
        <f>IF(Cobros[[#This Row],[Tipo]]="Credito",IF(60&gt;=Cobros[[#This Row],[Dias al pago]],1,0),IF(Cobros[[#This Row],[Dias al pago]]&lt;=3,1,0))</f>
        <v>1</v>
      </c>
      <c r="V1041" s="46">
        <f>(Cobros[[#This Row],[% A pagar Vendedor]]/100)*Cobros[[#This Row],[Valor Pagado]]*Cobros[[#This Row],[Vencido]]*(Cobros[[#This Row],[% aplicar]]/100)*IF(Cobros[[#This Row],[% A pagar Vendedor]]&gt;0,1,0)</f>
        <v>29.1624</v>
      </c>
      <c r="W1041" s="46">
        <f>0.5%*Cobros[[#This Row],[Valor Pagado]]</f>
        <v>14.5812</v>
      </c>
      <c r="X1041" s="69"/>
    </row>
    <row r="1042" ht="30" spans="1:24">
      <c r="A1042" s="49" t="s">
        <v>3860</v>
      </c>
      <c r="B1042" s="49" t="s">
        <v>4943</v>
      </c>
      <c r="C1042" s="49" t="s">
        <v>1260</v>
      </c>
      <c r="D1042" s="49" t="s">
        <v>1261</v>
      </c>
      <c r="E1042" s="49" t="s">
        <v>5460</v>
      </c>
      <c r="F1042" s="51">
        <v>46225</v>
      </c>
      <c r="G1042" s="49">
        <v>381.6</v>
      </c>
      <c r="H1042" s="49" t="s">
        <v>3865</v>
      </c>
      <c r="I1042" s="51">
        <v>46224</v>
      </c>
      <c r="J1042" s="54">
        <f>INT(Cobros[[#This Row],[Fecha Cargo]])</f>
        <v>46225</v>
      </c>
      <c r="K1042" s="54">
        <f>INT(Cobros[[#This Row],[Fecha Aplicacion]])</f>
        <v>46224</v>
      </c>
      <c r="L1042" s="55" t="str">
        <f>INDEX(Clientes[Días Plazo],MATCH(Cobros[[#This Row],[Cod. Cliente]],Clientes[Codigo],0),1)</f>
        <v>21</v>
      </c>
      <c r="M1042" s="45" t="str">
        <f>IF(Cobros[[#This Row],[Dias de Credito]]&lt;=0,"Contado","Credito")</f>
        <v>Credito</v>
      </c>
      <c r="N1042" s="45">
        <f>Cobros[[#This Row],[Fecha Aplicación S]]-Cobros[[#This Row],[Fecha Cargo S]]</f>
        <v>-1</v>
      </c>
      <c r="O1042" s="45">
        <f>Cobros[[#This Row],[Dias al pago]]-Cobros[[#This Row],[Dias de Credito]]</f>
        <v>-22</v>
      </c>
      <c r="P1042" s="45">
        <f>SUMIFS(TablaDias[Porcentaje],TablaDias[Tipo],Cobros[[#This Row],[Tipo]],TablaDias[Desde ],"&lt;="&amp;MAX(0,Cobros[[#This Row],[Dias pasado]]),TablaDias[Hasta ],"&gt;="&amp;Cobros[[#This Row],[Dias pasado]])</f>
        <v>100</v>
      </c>
      <c r="Q1042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2" s="34">
        <f>IF(COUNTIF(PAPEL[Numero],Cobros[[#This Row],[Doc. Cargo]])&gt;0,1,0)</f>
        <v>0</v>
      </c>
      <c r="S1042" s="46">
        <v>1</v>
      </c>
      <c r="T1042" s="47">
        <v>209.005</v>
      </c>
      <c r="U1042" s="34">
        <f>IF(Cobros[[#This Row],[Tipo]]="Credito",IF(60&gt;=Cobros[[#This Row],[Dias al pago]],1,0),IF(Cobros[[#This Row],[Dias al pago]]&lt;=3,1,0))</f>
        <v>1</v>
      </c>
      <c r="V1042" s="46">
        <f>(Cobros[[#This Row],[% A pagar Vendedor]]/100)*Cobros[[#This Row],[Valor Pagado]]*Cobros[[#This Row],[Vencido]]*(Cobros[[#This Row],[% aplicar]]/100)*IF(Cobros[[#This Row],[% A pagar Vendedor]]&gt;0,1,0)</f>
        <v>3.816</v>
      </c>
      <c r="W1042" s="46">
        <f>0.5%*Cobros[[#This Row],[Valor Pagado]]</f>
        <v>1.908</v>
      </c>
      <c r="X1042" s="69"/>
    </row>
    <row r="1043" spans="1:24">
      <c r="A1043" s="49" t="s">
        <v>3922</v>
      </c>
      <c r="B1043" s="49" t="s">
        <v>5461</v>
      </c>
      <c r="C1043" s="49" t="s">
        <v>2380</v>
      </c>
      <c r="D1043" s="49" t="s">
        <v>2381</v>
      </c>
      <c r="E1043" s="49" t="s">
        <v>5462</v>
      </c>
      <c r="F1043" s="51">
        <v>46226</v>
      </c>
      <c r="G1043" s="49">
        <v>875.54</v>
      </c>
      <c r="H1043" s="49" t="s">
        <v>19</v>
      </c>
      <c r="I1043" s="51">
        <v>46232</v>
      </c>
      <c r="J1043" s="54">
        <f>INT(Cobros[[#This Row],[Fecha Cargo]])</f>
        <v>46226</v>
      </c>
      <c r="K1043" s="54">
        <f>INT(Cobros[[#This Row],[Fecha Aplicacion]])</f>
        <v>46232</v>
      </c>
      <c r="L1043" s="55" t="str">
        <f>INDEX(Clientes[Días Plazo],MATCH(Cobros[[#This Row],[Cod. Cliente]],Clientes[Codigo],0),1)</f>
        <v>15</v>
      </c>
      <c r="M1043" s="45" t="str">
        <f>IF(Cobros[[#This Row],[Dias de Credito]]&lt;=0,"Contado","Credito")</f>
        <v>Credito</v>
      </c>
      <c r="N1043" s="45">
        <f>Cobros[[#This Row],[Fecha Aplicación S]]-Cobros[[#This Row],[Fecha Cargo S]]</f>
        <v>6</v>
      </c>
      <c r="O1043" s="45">
        <f>Cobros[[#This Row],[Dias al pago]]-Cobros[[#This Row],[Dias de Credito]]</f>
        <v>-9</v>
      </c>
      <c r="P1043" s="45">
        <f>SUMIFS(TablaDias[Porcentaje],TablaDias[Tipo],Cobros[[#This Row],[Tipo]],TablaDias[Desde ],"&lt;="&amp;MAX(0,Cobros[[#This Row],[Dias pasado]]),TablaDias[Hasta ],"&gt;="&amp;Cobros[[#This Row],[Dias pasado]])</f>
        <v>100</v>
      </c>
      <c r="Q1043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3" s="34">
        <f>IF(COUNTIF(PAPEL[Numero],Cobros[[#This Row],[Doc. Cargo]])&gt;0,1,0)</f>
        <v>0</v>
      </c>
      <c r="S1043" s="46">
        <f t="array" ref="S1043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3" s="47">
        <v>210.005</v>
      </c>
      <c r="U1043" s="34">
        <f>IF(Cobros[[#This Row],[Tipo]]="Credito",IF(60&gt;=Cobros[[#This Row],[Dias al pago]],1,0),IF(Cobros[[#This Row],[Dias al pago]]&lt;=3,1,0))</f>
        <v>1</v>
      </c>
      <c r="V1043" s="46">
        <f>(Cobros[[#This Row],[% A pagar Vendedor]]/100)*Cobros[[#This Row],[Valor Pagado]]*Cobros[[#This Row],[Vencido]]*(Cobros[[#This Row],[% aplicar]]/100)*IF(Cobros[[#This Row],[% A pagar Vendedor]]&gt;0,1,0)</f>
        <v>10.94425</v>
      </c>
      <c r="W1043" s="46">
        <f>0.5%*Cobros[[#This Row],[Valor Pagado]]</f>
        <v>4.3777</v>
      </c>
      <c r="X1043" s="69"/>
    </row>
    <row r="1044" spans="1:24">
      <c r="A1044" s="49" t="s">
        <v>3922</v>
      </c>
      <c r="B1044" s="49" t="s">
        <v>5462</v>
      </c>
      <c r="C1044" s="49" t="s">
        <v>2380</v>
      </c>
      <c r="D1044" s="49" t="s">
        <v>2381</v>
      </c>
      <c r="E1044" s="49" t="s">
        <v>5461</v>
      </c>
      <c r="F1044" s="51">
        <v>46232</v>
      </c>
      <c r="G1044" s="49">
        <v>22.07</v>
      </c>
      <c r="H1044" s="49" t="s">
        <v>19</v>
      </c>
      <c r="I1044" s="51">
        <v>46226</v>
      </c>
      <c r="J1044" s="54">
        <f>INT(Cobros[[#This Row],[Fecha Cargo]])</f>
        <v>46232</v>
      </c>
      <c r="K1044" s="54">
        <f>INT(Cobros[[#This Row],[Fecha Aplicacion]])</f>
        <v>46226</v>
      </c>
      <c r="L1044" s="55" t="str">
        <f>INDEX(Clientes[Días Plazo],MATCH(Cobros[[#This Row],[Cod. Cliente]],Clientes[Codigo],0),1)</f>
        <v>15</v>
      </c>
      <c r="M1044" s="45" t="str">
        <f>IF(Cobros[[#This Row],[Dias de Credito]]&lt;=0,"Contado","Credito")</f>
        <v>Credito</v>
      </c>
      <c r="N1044" s="45">
        <f>Cobros[[#This Row],[Fecha Aplicación S]]-Cobros[[#This Row],[Fecha Cargo S]]</f>
        <v>-6</v>
      </c>
      <c r="O1044" s="45">
        <f>Cobros[[#This Row],[Dias al pago]]-Cobros[[#This Row],[Dias de Credito]]</f>
        <v>-21</v>
      </c>
      <c r="P1044" s="45">
        <f>SUMIFS(TablaDias[Porcentaje],TablaDias[Tipo],Cobros[[#This Row],[Tipo]],TablaDias[Desde ],"&lt;="&amp;MAX(0,Cobros[[#This Row],[Dias pasado]]),TablaDias[Hasta ],"&gt;="&amp;Cobros[[#This Row],[Dias pasado]])</f>
        <v>100</v>
      </c>
      <c r="Q1044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4" s="34">
        <f>IF(COUNTIF(PAPEL[Numero],Cobros[[#This Row],[Doc. Cargo]])&gt;0,1,0)</f>
        <v>0</v>
      </c>
      <c r="S1044" s="46">
        <f t="array" ref="S1044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4" s="47">
        <v>211.005</v>
      </c>
      <c r="U1044" s="34">
        <f>IF(Cobros[[#This Row],[Tipo]]="Credito",IF(60&gt;=Cobros[[#This Row],[Dias al pago]],1,0),IF(Cobros[[#This Row],[Dias al pago]]&lt;=3,1,0))</f>
        <v>1</v>
      </c>
      <c r="V1044" s="46">
        <f>(Cobros[[#This Row],[% A pagar Vendedor]]/100)*Cobros[[#This Row],[Valor Pagado]]*Cobros[[#This Row],[Vencido]]*(Cobros[[#This Row],[% aplicar]]/100)*IF(Cobros[[#This Row],[% A pagar Vendedor]]&gt;0,1,0)</f>
        <v>0.275875</v>
      </c>
      <c r="W1044" s="46">
        <f>0.5%*Cobros[[#This Row],[Valor Pagado]]</f>
        <v>0.11035</v>
      </c>
      <c r="X1044" s="69"/>
    </row>
    <row r="1045" spans="1:24">
      <c r="A1045" s="49" t="s">
        <v>3860</v>
      </c>
      <c r="B1045" s="49" t="s">
        <v>5306</v>
      </c>
      <c r="C1045" s="49" t="s">
        <v>1478</v>
      </c>
      <c r="D1045" s="49" t="s">
        <v>1479</v>
      </c>
      <c r="E1045" s="49" t="s">
        <v>5463</v>
      </c>
      <c r="F1045" s="51">
        <v>46238</v>
      </c>
      <c r="G1045" s="49">
        <v>0.3</v>
      </c>
      <c r="H1045" s="49" t="s">
        <v>18</v>
      </c>
      <c r="I1045" s="51">
        <v>46233</v>
      </c>
      <c r="J1045" s="54">
        <f>INT(Cobros[[#This Row],[Fecha Cargo]])</f>
        <v>46238</v>
      </c>
      <c r="K1045" s="54">
        <f>INT(Cobros[[#This Row],[Fecha Aplicacion]])</f>
        <v>46233</v>
      </c>
      <c r="L1045" s="55" t="str">
        <f>INDEX(Clientes[Días Plazo],MATCH(Cobros[[#This Row],[Cod. Cliente]],Clientes[Codigo],0),1)</f>
        <v>3</v>
      </c>
      <c r="M1045" s="45" t="str">
        <f>IF(Cobros[[#This Row],[Dias de Credito]]&lt;=0,"Contado","Credito")</f>
        <v>Credito</v>
      </c>
      <c r="N1045" s="45">
        <f>Cobros[[#This Row],[Fecha Aplicación S]]-Cobros[[#This Row],[Fecha Cargo S]]</f>
        <v>-5</v>
      </c>
      <c r="O1045" s="45">
        <f>Cobros[[#This Row],[Dias al pago]]-Cobros[[#This Row],[Dias de Credito]]</f>
        <v>-8</v>
      </c>
      <c r="P1045" s="45">
        <f>SUMIFS(TablaDias[Porcentaje],TablaDias[Tipo],Cobros[[#This Row],[Tipo]],TablaDias[Desde ],"&lt;="&amp;MAX(0,Cobros[[#This Row],[Dias pasado]]),TablaDias[Hasta ],"&gt;="&amp;Cobros[[#This Row],[Dias pasado]])</f>
        <v>100</v>
      </c>
      <c r="Q1045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5" s="34">
        <f>IF(COUNTIF(PAPEL[Numero],Cobros[[#This Row],[Doc. Cargo]])&gt;0,1,0)</f>
        <v>0</v>
      </c>
      <c r="S1045" s="46">
        <f t="array" ref="S1045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5" s="47">
        <v>212.005</v>
      </c>
      <c r="U1045" s="34">
        <f>IF(Cobros[[#This Row],[Tipo]]="Credito",IF(60&gt;=Cobros[[#This Row],[Dias al pago]],1,0),IF(Cobros[[#This Row],[Dias al pago]]&lt;=3,1,0))</f>
        <v>1</v>
      </c>
      <c r="V1045" s="46">
        <f>(Cobros[[#This Row],[% A pagar Vendedor]]/100)*Cobros[[#This Row],[Valor Pagado]]*Cobros[[#This Row],[Vencido]]*(Cobros[[#This Row],[% aplicar]]/100)*IF(Cobros[[#This Row],[% A pagar Vendedor]]&gt;0,1,0)</f>
        <v>0.00375</v>
      </c>
      <c r="W1045" s="46">
        <f>0.5%*Cobros[[#This Row],[Valor Pagado]]</f>
        <v>0.0015</v>
      </c>
      <c r="X1045" s="69"/>
    </row>
    <row r="1046" spans="1:24">
      <c r="A1046" s="49" t="s">
        <v>3860</v>
      </c>
      <c r="B1046" s="49" t="s">
        <v>5266</v>
      </c>
      <c r="C1046" s="49" t="s">
        <v>1478</v>
      </c>
      <c r="D1046" s="49" t="s">
        <v>1479</v>
      </c>
      <c r="E1046" s="49" t="s">
        <v>5463</v>
      </c>
      <c r="F1046" s="51">
        <v>46238</v>
      </c>
      <c r="G1046" s="49">
        <v>0.05</v>
      </c>
      <c r="H1046" s="49" t="s">
        <v>18</v>
      </c>
      <c r="I1046" s="51">
        <v>46232</v>
      </c>
      <c r="J1046" s="54">
        <f>INT(Cobros[[#This Row],[Fecha Cargo]])</f>
        <v>46238</v>
      </c>
      <c r="K1046" s="54">
        <f>INT(Cobros[[#This Row],[Fecha Aplicacion]])</f>
        <v>46232</v>
      </c>
      <c r="L1046" s="55" t="str">
        <f>INDEX(Clientes[Días Plazo],MATCH(Cobros[[#This Row],[Cod. Cliente]],Clientes[Codigo],0),1)</f>
        <v>3</v>
      </c>
      <c r="M1046" s="45" t="str">
        <f>IF(Cobros[[#This Row],[Dias de Credito]]&lt;=0,"Contado","Credito")</f>
        <v>Credito</v>
      </c>
      <c r="N1046" s="45">
        <f>Cobros[[#This Row],[Fecha Aplicación S]]-Cobros[[#This Row],[Fecha Cargo S]]</f>
        <v>-6</v>
      </c>
      <c r="O1046" s="45">
        <f>Cobros[[#This Row],[Dias al pago]]-Cobros[[#This Row],[Dias de Credito]]</f>
        <v>-9</v>
      </c>
      <c r="P1046" s="45">
        <f>SUMIFS(TablaDias[Porcentaje],TablaDias[Tipo],Cobros[[#This Row],[Tipo]],TablaDias[Desde ],"&lt;="&amp;MAX(0,Cobros[[#This Row],[Dias pasado]]),TablaDias[Hasta ],"&gt;="&amp;Cobros[[#This Row],[Dias pasado]])</f>
        <v>100</v>
      </c>
      <c r="Q1046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6" s="34">
        <f>IF(COUNTIF(PAPEL[Numero],Cobros[[#This Row],[Doc. Cargo]])&gt;0,1,0)</f>
        <v>0</v>
      </c>
      <c r="S1046" s="46">
        <f t="array" ref="S1046">IF(AND(INDEX(Ventas[[Unidades]:[2]],MATCH(Cobros[[#This Row],[Vendedor]],Ventas[Vendedor %],0),6+Cobros[[#This Row],[Mes]])&gt;1,Cobros[[#This Row],[Papel]]=1),Cobros[[#This Row],[Papel]],INDEX(Ventas[[Unidades]:[2]],MATCH(Cobros[[#This Row],[Vendedor]],Ventas[Vendedor %],0),6+Cobros[[#This Row],[Mes]]))</f>
        <v>1.25</v>
      </c>
      <c r="T1046" s="47">
        <v>213.005</v>
      </c>
      <c r="U1046" s="34">
        <f>IF(Cobros[[#This Row],[Tipo]]="Credito",IF(60&gt;=Cobros[[#This Row],[Dias al pago]],1,0),IF(Cobros[[#This Row],[Dias al pago]]&lt;=3,1,0))</f>
        <v>1</v>
      </c>
      <c r="V1046" s="46">
        <f>(Cobros[[#This Row],[% A pagar Vendedor]]/100)*Cobros[[#This Row],[Valor Pagado]]*Cobros[[#This Row],[Vencido]]*(Cobros[[#This Row],[% aplicar]]/100)*IF(Cobros[[#This Row],[% A pagar Vendedor]]&gt;0,1,0)</f>
        <v>0.000625</v>
      </c>
      <c r="W1046" s="46">
        <f>0.5%*Cobros[[#This Row],[Valor Pagado]]</f>
        <v>0.00025</v>
      </c>
      <c r="X1046" s="69"/>
    </row>
    <row r="1047" ht="30" spans="1:24">
      <c r="A1047" s="49" t="s">
        <v>3931</v>
      </c>
      <c r="B1047" s="49" t="s">
        <v>4734</v>
      </c>
      <c r="C1047" s="49" t="s">
        <v>3182</v>
      </c>
      <c r="D1047" s="49" t="s">
        <v>4003</v>
      </c>
      <c r="E1047" s="49" t="s">
        <v>5464</v>
      </c>
      <c r="F1047" s="51">
        <v>46178</v>
      </c>
      <c r="G1047" s="49">
        <v>376</v>
      </c>
      <c r="H1047" s="49" t="s">
        <v>1355</v>
      </c>
      <c r="I1047" s="51">
        <v>46220</v>
      </c>
      <c r="J1047" s="54">
        <f>INT(Cobros[[#This Row],[Fecha Cargo]])</f>
        <v>46178</v>
      </c>
      <c r="K1047" s="54">
        <f>INT(Cobros[[#This Row],[Fecha Aplicacion]])</f>
        <v>46220</v>
      </c>
      <c r="L1047" s="55">
        <f>INDEX(Clientes[Días Plazo],MATCH(Cobros[[#This Row],[Cod. Cliente]],Clientes[Codigo],0),1)</f>
        <v>30</v>
      </c>
      <c r="M1047" s="45" t="str">
        <f>IF(Cobros[[#This Row],[Dias de Credito]]&lt;=0,"Contado","Credito")</f>
        <v>Credito</v>
      </c>
      <c r="N1047" s="45">
        <f>Cobros[[#This Row],[Fecha Aplicación S]]-Cobros[[#This Row],[Fecha Cargo S]]</f>
        <v>42</v>
      </c>
      <c r="O1047" s="45">
        <f>Cobros[[#This Row],[Dias al pago]]-Cobros[[#This Row],[Dias de Credito]]</f>
        <v>12</v>
      </c>
      <c r="P1047" s="45">
        <f>SUMIFS(TablaDias[Porcentaje],TablaDias[Tipo],Cobros[[#This Row],[Tipo]],TablaDias[Desde ],"&lt;="&amp;MAX(0,Cobros[[#This Row],[Dias pasado]]),TablaDias[Hasta ],"&gt;="&amp;Cobros[[#This Row],[Dias pasado]])</f>
        <v>100</v>
      </c>
      <c r="Q1047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1</v>
      </c>
      <c r="R1047" s="34">
        <f>IF(COUNTIF(PAPEL[Numero],Cobros[[#This Row],[Doc. Cargo]])&gt;0,1,0)</f>
        <v>0</v>
      </c>
      <c r="S1047" s="46">
        <v>1</v>
      </c>
      <c r="T1047" s="47">
        <v>214.005</v>
      </c>
      <c r="U1047" s="34">
        <f>IF(Cobros[[#This Row],[Tipo]]="Credito",IF(60&gt;=Cobros[[#This Row],[Dias al pago]],1,0),IF(Cobros[[#This Row],[Dias al pago]]&lt;=3,1,0))</f>
        <v>1</v>
      </c>
      <c r="V1047" s="46">
        <f>(Cobros[[#This Row],[% A pagar Vendedor]]/100)*Cobros[[#This Row],[Valor Pagado]]*Cobros[[#This Row],[Vencido]]*(Cobros[[#This Row],[% aplicar]]/100)*IF(Cobros[[#This Row],[% A pagar Vendedor]]&gt;0,1,0)</f>
        <v>3.76</v>
      </c>
      <c r="W1047" s="46">
        <f>0.5%*Cobros[[#This Row],[Valor Pagado]]</f>
        <v>1.88</v>
      </c>
      <c r="X1047" s="69"/>
    </row>
    <row r="1048" ht="30" spans="1:24">
      <c r="A1048" s="49" t="s">
        <v>3931</v>
      </c>
      <c r="B1048" s="49" t="s">
        <v>4734</v>
      </c>
      <c r="C1048" s="49" t="s">
        <v>3182</v>
      </c>
      <c r="D1048" s="49" t="s">
        <v>4003</v>
      </c>
      <c r="E1048" s="49" t="s">
        <v>4736</v>
      </c>
      <c r="F1048" s="51">
        <v>46157</v>
      </c>
      <c r="G1048" s="49">
        <v>71.44</v>
      </c>
      <c r="H1048" s="49" t="s">
        <v>1355</v>
      </c>
      <c r="I1048" s="51">
        <v>46220</v>
      </c>
      <c r="J1048" s="54">
        <f>INT(Cobros[[#This Row],[Fecha Cargo]])</f>
        <v>46157</v>
      </c>
      <c r="K1048" s="54">
        <f>INT(Cobros[[#This Row],[Fecha Aplicacion]])</f>
        <v>46220</v>
      </c>
      <c r="L1048" s="55">
        <f>INDEX(Clientes[Días Plazo],MATCH(Cobros[[#This Row],[Cod. Cliente]],Clientes[Codigo],0),1)</f>
        <v>30</v>
      </c>
      <c r="M1048" s="45" t="str">
        <f>IF(Cobros[[#This Row],[Dias de Credito]]&lt;=0,"Contado","Credito")</f>
        <v>Credito</v>
      </c>
      <c r="N1048" s="45">
        <f>Cobros[[#This Row],[Fecha Aplicación S]]-Cobros[[#This Row],[Fecha Cargo S]]</f>
        <v>63</v>
      </c>
      <c r="O1048" s="45">
        <f>Cobros[[#This Row],[Dias al pago]]-Cobros[[#This Row],[Dias de Credito]]</f>
        <v>33</v>
      </c>
      <c r="P1048" s="45">
        <f>SUMIFS(TablaDias[Porcentaje],TablaDias[Tipo],Cobros[[#This Row],[Tipo]],TablaDias[Desde ],"&lt;="&amp;MAX(0,Cobros[[#This Row],[Dias pasado]]),TablaDias[Hasta ],"&gt;="&amp;Cobros[[#This Row],[Dias pasado]])</f>
        <v>30</v>
      </c>
      <c r="Q1048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2</v>
      </c>
      <c r="R1048" s="34">
        <f>IF(COUNTIF(PAPEL[Numero],Cobros[[#This Row],[Doc. Cargo]])&gt;0,1,0)</f>
        <v>0</v>
      </c>
      <c r="S1048" s="46">
        <v>1</v>
      </c>
      <c r="T1048" s="47">
        <v>215.005</v>
      </c>
      <c r="U1048" s="34">
        <v>1</v>
      </c>
      <c r="V1048" s="46">
        <f>(Cobros[[#This Row],[% A pagar Vendedor]]/100)*Cobros[[#This Row],[Valor Pagado]]*Cobros[[#This Row],[Vencido]]*(Cobros[[#This Row],[% aplicar]]/100)*IF(Cobros[[#This Row],[% A pagar Vendedor]]&gt;0,1,0)</f>
        <v>0.21432</v>
      </c>
      <c r="W1048" s="46">
        <f>0.5%*Cobros[[#This Row],[Valor Pagado]]</f>
        <v>0.3572</v>
      </c>
      <c r="X1048" s="69"/>
    </row>
    <row r="1049" ht="30" spans="1:24">
      <c r="A1049" s="49" t="s">
        <v>3931</v>
      </c>
      <c r="B1049" s="49" t="s">
        <v>5386</v>
      </c>
      <c r="C1049" s="49" t="s">
        <v>813</v>
      </c>
      <c r="D1049" s="49" t="s">
        <v>814</v>
      </c>
      <c r="E1049" s="49" t="s">
        <v>5465</v>
      </c>
      <c r="F1049" s="51">
        <v>46241</v>
      </c>
      <c r="G1049" s="49">
        <v>77.53</v>
      </c>
      <c r="H1049" s="49" t="s">
        <v>1355</v>
      </c>
      <c r="I1049" s="51">
        <v>46234</v>
      </c>
      <c r="J1049" s="54">
        <f>INT(Cobros[[#This Row],[Fecha Cargo]])</f>
        <v>46241</v>
      </c>
      <c r="K1049" s="54">
        <f>INT(Cobros[[#This Row],[Fecha Aplicacion]])</f>
        <v>46234</v>
      </c>
      <c r="L1049" s="55">
        <f>INDEX(Clientes[Días Plazo],MATCH(Cobros[[#This Row],[Cod. Cliente]],Clientes[Codigo],0),1)</f>
        <v>0</v>
      </c>
      <c r="M1049" s="45" t="str">
        <f>IF(Cobros[[#This Row],[Dias de Credito]]&lt;=0,"Contado","Credito")</f>
        <v>Contado</v>
      </c>
      <c r="N1049" s="45">
        <f>Cobros[[#This Row],[Fecha Aplicación S]]-Cobros[[#This Row],[Fecha Cargo S]]</f>
        <v>-7</v>
      </c>
      <c r="O1049" s="45">
        <f>Cobros[[#This Row],[Dias al pago]]-Cobros[[#This Row],[Dias de Credito]]</f>
        <v>-7</v>
      </c>
      <c r="P1049" s="45">
        <f>SUMIFS(TablaDias[Porcentaje],TablaDias[Tipo],Cobros[[#This Row],[Tipo]],TablaDias[Desde ],"&lt;="&amp;MAX(0,Cobros[[#This Row],[Dias pasado]]),TablaDias[Hasta ],"&gt;="&amp;Cobros[[#This Row],[Dias pasado]])</f>
        <v>100</v>
      </c>
      <c r="Q1049" s="34">
        <f>IF(AND(MONTH(Cobros[[#This Row],[Fecha Aplicacion]])-MONTH(Cobros[[#This Row],[Fecha Cargo S]])&gt;=0,MONTH(Cobros[[#This Row],[Fecha Aplicacion]])-MONTH(Cobros[[#This Row],[Fecha Cargo S]])&lt;=2),MONTH(Cobros[[#This Row],[Fecha Aplicacion]])-MONTH(Cobros[[#This Row],[Fecha Cargo S]]),0)</f>
        <v>0</v>
      </c>
      <c r="R1049" s="34">
        <f>IF(COUNTIF(PAPEL[Numero],Cobros[[#This Row],[Doc. Cargo]])&gt;0,1,0)</f>
        <v>0</v>
      </c>
      <c r="S1049" s="46">
        <v>1</v>
      </c>
      <c r="T1049" s="47">
        <v>216.005</v>
      </c>
      <c r="U1049" s="34">
        <f>IF(Cobros[[#This Row],[Tipo]]="Credito",IF(60&gt;=Cobros[[#This Row],[Dias al pago]],1,0),IF(Cobros[[#This Row],[Dias al pago]]&lt;=3,1,0))</f>
        <v>1</v>
      </c>
      <c r="V1049" s="46">
        <f>(Cobros[[#This Row],[% A pagar Vendedor]]/100)*Cobros[[#This Row],[Valor Pagado]]*Cobros[[#This Row],[Vencido]]*(Cobros[[#This Row],[% aplicar]]/100)*IF(Cobros[[#This Row],[% A pagar Vendedor]]&gt;0,1,0)</f>
        <v>0.7753</v>
      </c>
      <c r="W1049" s="46">
        <f>0.5%*Cobros[[#This Row],[Valor Pagado]]</f>
        <v>0.38765</v>
      </c>
      <c r="X1049" s="69"/>
    </row>
    <row r="1050" spans="1:24">
      <c r="A1050" s="70"/>
      <c r="B1050" s="71"/>
      <c r="C1050" s="72"/>
      <c r="D1050" s="72"/>
      <c r="E1050" s="71"/>
      <c r="F1050" s="72"/>
      <c r="G1050" s="73"/>
      <c r="H1050" s="72"/>
      <c r="I1050" s="72"/>
      <c r="J1050" s="74"/>
      <c r="K1050" s="74"/>
      <c r="L1050" s="75"/>
      <c r="M1050" s="75"/>
      <c r="N1050" s="75"/>
      <c r="O1050" s="75"/>
      <c r="P1050" s="75"/>
      <c r="Q1050" s="70"/>
      <c r="R1050" s="70"/>
      <c r="S1050" s="75"/>
      <c r="T1050" s="75"/>
      <c r="U1050" s="70"/>
      <c r="V1050" s="76">
        <f>SUBTOTAL(109,Cobros[Pago Comision])</f>
        <v>12480.8336525</v>
      </c>
      <c r="W1050" s="76">
        <f>SUBTOTAL(109,Cobros[Pago Gerente])</f>
        <v>6658.73095</v>
      </c>
      <c r="X1050" s="70"/>
    </row>
  </sheetData>
  <conditionalFormatting sqref="V1">
    <cfRule type="cellIs" dxfId="58" priority="5" operator="equal">
      <formula>0</formula>
    </cfRule>
  </conditionalFormatting>
  <conditionalFormatting sqref="V1051:X1048576;U1:W1049">
    <cfRule type="cellIs" dxfId="58" priority="1" operator="equal">
      <formula>0</formula>
    </cfRule>
    <cfRule type="cellIs" dxfId="59" priority="2" operator="greaterThan">
      <formula>0</formula>
    </cfRule>
  </conditionalFormatting>
  <pageMargins left="0.7" right="0.7" top="0.75" bottom="0.75" header="0.3" footer="0.3"/>
  <pageSetup paperSize="1" orientation="portrait"/>
  <headerFooter/>
  <ignoredErrors>
    <ignoredError sqref="U16;L1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09"/>
  <sheetViews>
    <sheetView workbookViewId="0">
      <selection activeCell="A11" sqref="A11"/>
    </sheetView>
  </sheetViews>
  <sheetFormatPr defaultColWidth="11" defaultRowHeight="15"/>
  <cols>
    <col min="1" max="1" width="31.0833333333333"/>
    <col min="2" max="2" width="20.875" style="34"/>
    <col min="3" max="3" width="20" style="34"/>
    <col min="4" max="4" width="7" customWidth="1"/>
    <col min="5" max="5" width="8" customWidth="1"/>
    <col min="6" max="6" width="7" customWidth="1"/>
    <col min="7" max="7" width="9.425" customWidth="1"/>
    <col min="8" max="8" width="7" customWidth="1"/>
    <col min="9" max="9" width="6" customWidth="1"/>
    <col min="10" max="10" width="8" customWidth="1"/>
    <col min="11" max="11" width="6" customWidth="1"/>
    <col min="12" max="12" width="8" customWidth="1"/>
    <col min="13" max="13" width="6" customWidth="1"/>
    <col min="14" max="14" width="9" customWidth="1"/>
    <col min="15" max="15" width="7" customWidth="1"/>
    <col min="16" max="17" width="8" customWidth="1"/>
    <col min="18" max="18" width="9" customWidth="1"/>
    <col min="19" max="19" width="7" customWidth="1"/>
    <col min="20" max="20" width="4.56666666666667" customWidth="1"/>
    <col min="21" max="21" width="6" customWidth="1"/>
    <col min="22" max="22" width="8" customWidth="1"/>
    <col min="23" max="23" width="9" customWidth="1"/>
    <col min="24" max="24" width="7" customWidth="1"/>
    <col min="25" max="26" width="8" customWidth="1"/>
    <col min="27" max="27" width="6" customWidth="1"/>
    <col min="28" max="28" width="9" customWidth="1"/>
    <col min="29" max="29" width="7" customWidth="1"/>
    <col min="30" max="30" width="8" customWidth="1"/>
    <col min="31" max="31" width="6" customWidth="1"/>
    <col min="32" max="32" width="8" customWidth="1"/>
    <col min="33" max="33" width="5" customWidth="1"/>
    <col min="34" max="34" width="9" customWidth="1"/>
    <col min="35" max="35" width="8" customWidth="1"/>
    <col min="36" max="36" width="5" customWidth="1"/>
    <col min="37" max="37" width="6" customWidth="1"/>
    <col min="38" max="38" width="7" customWidth="1"/>
    <col min="39" max="39" width="6" customWidth="1"/>
    <col min="40" max="40" width="9" customWidth="1"/>
    <col min="41" max="41" width="6" customWidth="1"/>
    <col min="42" max="43" width="7" customWidth="1"/>
    <col min="44" max="44" width="8" customWidth="1"/>
    <col min="45" max="45" width="9" customWidth="1"/>
    <col min="46" max="46" width="8" customWidth="1"/>
    <col min="47" max="47" width="7" customWidth="1"/>
    <col min="48" max="48" width="5" customWidth="1"/>
    <col min="49" max="49" width="7" customWidth="1"/>
    <col min="50" max="50" width="6" customWidth="1"/>
    <col min="51" max="51" width="4.56666666666667" customWidth="1"/>
    <col min="52" max="52" width="8" customWidth="1"/>
    <col min="53" max="54" width="7" customWidth="1"/>
    <col min="55" max="55" width="8" customWidth="1"/>
    <col min="56" max="57" width="7" customWidth="1"/>
    <col min="58" max="58" width="9" customWidth="1"/>
    <col min="59" max="59" width="6" customWidth="1"/>
    <col min="60" max="60" width="4.56666666666667" customWidth="1"/>
    <col min="61" max="61" width="6" customWidth="1"/>
    <col min="62" max="62" width="5" customWidth="1"/>
    <col min="63" max="63" width="7" customWidth="1"/>
    <col min="64" max="64" width="4.56666666666667" customWidth="1"/>
    <col min="65" max="65" width="8" customWidth="1"/>
    <col min="66" max="67" width="5" customWidth="1"/>
    <col min="68" max="68" width="8" customWidth="1"/>
    <col min="69" max="69" width="6" customWidth="1"/>
    <col min="70" max="70" width="8" customWidth="1"/>
    <col min="71" max="71" width="6" customWidth="1"/>
    <col min="72" max="73" width="8" customWidth="1"/>
    <col min="74" max="74" width="5" customWidth="1"/>
    <col min="75" max="75" width="6" customWidth="1"/>
    <col min="76" max="76" width="7" customWidth="1"/>
    <col min="77" max="77" width="4.56666666666667" customWidth="1"/>
    <col min="78" max="78" width="8" customWidth="1"/>
    <col min="79" max="79" width="6" customWidth="1"/>
    <col min="80" max="80" width="9" customWidth="1"/>
    <col min="81" max="81" width="6" customWidth="1"/>
    <col min="82" max="82" width="7" customWidth="1"/>
    <col min="83" max="83" width="8" customWidth="1"/>
    <col min="84" max="84" width="5" customWidth="1"/>
    <col min="85" max="85" width="9" customWidth="1"/>
    <col min="86" max="86" width="8" customWidth="1"/>
    <col min="87" max="87" width="9" customWidth="1"/>
    <col min="88" max="88" width="7" customWidth="1"/>
    <col min="89" max="90" width="4.56666666666667" customWidth="1"/>
    <col min="91" max="91" width="8" customWidth="1"/>
    <col min="92" max="94" width="7" customWidth="1"/>
    <col min="95" max="95" width="6" customWidth="1"/>
    <col min="96" max="96" width="7" customWidth="1"/>
    <col min="97" max="97" width="4.56666666666667" customWidth="1"/>
    <col min="98" max="98" width="8" customWidth="1"/>
    <col min="99" max="99" width="6" customWidth="1"/>
    <col min="100" max="100" width="8" customWidth="1"/>
    <col min="101" max="101" width="7" customWidth="1"/>
    <col min="102" max="102" width="6" customWidth="1"/>
    <col min="103" max="103" width="8" customWidth="1"/>
    <col min="104" max="105" width="6" customWidth="1"/>
    <col min="106" max="106" width="4.56666666666667" customWidth="1"/>
    <col min="107" max="107" width="7" customWidth="1"/>
    <col min="108" max="108" width="5" customWidth="1"/>
    <col min="109" max="109" width="7" customWidth="1"/>
    <col min="110" max="111" width="6" customWidth="1"/>
    <col min="112" max="113" width="8" customWidth="1"/>
    <col min="114" max="115" width="7" customWidth="1"/>
    <col min="116" max="116" width="6" customWidth="1"/>
    <col min="117" max="117" width="9" customWidth="1"/>
    <col min="118" max="118" width="7" customWidth="1"/>
    <col min="119" max="120" width="9" customWidth="1"/>
    <col min="121" max="121" width="5.56666666666667" customWidth="1"/>
    <col min="122" max="122" width="9" customWidth="1"/>
    <col min="123" max="126" width="8" customWidth="1"/>
    <col min="127" max="128" width="5.56666666666667" customWidth="1"/>
    <col min="129" max="129" width="8" customWidth="1"/>
    <col min="130" max="130" width="7" customWidth="1"/>
    <col min="131" max="131" width="10" customWidth="1"/>
    <col min="132" max="132" width="20.2833333333333" customWidth="1"/>
    <col min="133" max="133" width="8" customWidth="1"/>
    <col min="134" max="134" width="7" customWidth="1"/>
    <col min="135" max="135" width="8" customWidth="1"/>
    <col min="136" max="136" width="7" customWidth="1"/>
    <col min="137" max="137" width="8" customWidth="1"/>
    <col min="138" max="138" width="7" customWidth="1"/>
    <col min="139" max="139" width="6" customWidth="1"/>
    <col min="140" max="140" width="8" customWidth="1"/>
    <col min="141" max="141" width="6" customWidth="1"/>
    <col min="142" max="142" width="8" customWidth="1"/>
    <col min="143" max="143" width="6" customWidth="1"/>
    <col min="144" max="144" width="9" customWidth="1"/>
    <col min="145" max="145" width="7" customWidth="1"/>
    <col min="146" max="147" width="8" customWidth="1"/>
    <col min="148" max="148" width="9" customWidth="1"/>
    <col min="149" max="149" width="7" customWidth="1"/>
    <col min="150" max="150" width="4.56666666666667" customWidth="1"/>
    <col min="151" max="151" width="6" customWidth="1"/>
    <col min="152" max="152" width="8" customWidth="1"/>
    <col min="153" max="153" width="9" customWidth="1"/>
    <col min="154" max="154" width="7" customWidth="1"/>
    <col min="155" max="156" width="8" customWidth="1"/>
    <col min="157" max="157" width="6" customWidth="1"/>
    <col min="158" max="158" width="9" customWidth="1"/>
    <col min="159" max="159" width="7" customWidth="1"/>
    <col min="160" max="160" width="8" customWidth="1"/>
    <col min="161" max="161" width="6" customWidth="1"/>
    <col min="162" max="162" width="8" customWidth="1"/>
    <col min="163" max="163" width="5" customWidth="1"/>
    <col min="164" max="164" width="9" customWidth="1"/>
    <col min="165" max="165" width="8" customWidth="1"/>
    <col min="166" max="166" width="5" customWidth="1"/>
    <col min="167" max="167" width="6" customWidth="1"/>
    <col min="168" max="168" width="7" customWidth="1"/>
    <col min="169" max="169" width="6" customWidth="1"/>
    <col min="170" max="170" width="9" customWidth="1"/>
    <col min="171" max="171" width="6" customWidth="1"/>
    <col min="172" max="173" width="7" customWidth="1"/>
    <col min="174" max="174" width="8" customWidth="1"/>
    <col min="175" max="175" width="9" customWidth="1"/>
    <col min="176" max="176" width="8" customWidth="1"/>
    <col min="177" max="177" width="7" customWidth="1"/>
    <col min="178" max="178" width="5" customWidth="1"/>
    <col min="179" max="179" width="7" customWidth="1"/>
    <col min="180" max="180" width="6" customWidth="1"/>
    <col min="181" max="181" width="4.56666666666667" customWidth="1"/>
    <col min="182" max="182" width="8" customWidth="1"/>
    <col min="183" max="184" width="7" customWidth="1"/>
    <col min="185" max="185" width="8" customWidth="1"/>
    <col min="186" max="187" width="7" customWidth="1"/>
    <col min="188" max="188" width="9" customWidth="1"/>
    <col min="189" max="189" width="6" customWidth="1"/>
    <col min="190" max="190" width="4.56666666666667" customWidth="1"/>
    <col min="191" max="191" width="6" customWidth="1"/>
    <col min="192" max="192" width="5" customWidth="1"/>
    <col min="193" max="193" width="7" customWidth="1"/>
    <col min="194" max="194" width="4.56666666666667" customWidth="1"/>
    <col min="195" max="195" width="8" customWidth="1"/>
    <col min="196" max="197" width="5" customWidth="1"/>
    <col min="198" max="198" width="8" customWidth="1"/>
    <col min="199" max="199" width="6" customWidth="1"/>
    <col min="200" max="200" width="8" customWidth="1"/>
    <col min="201" max="201" width="6" customWidth="1"/>
    <col min="202" max="203" width="8" customWidth="1"/>
    <col min="204" max="204" width="5" customWidth="1"/>
    <col min="205" max="205" width="6" customWidth="1"/>
    <col min="206" max="206" width="7" customWidth="1"/>
    <col min="207" max="207" width="4.56666666666667" customWidth="1"/>
    <col min="208" max="208" width="8" customWidth="1"/>
    <col min="209" max="209" width="6" customWidth="1"/>
    <col min="210" max="210" width="9" customWidth="1"/>
    <col min="211" max="211" width="6" customWidth="1"/>
    <col min="212" max="212" width="7" customWidth="1"/>
    <col min="213" max="213" width="8" customWidth="1"/>
    <col min="214" max="214" width="5" customWidth="1"/>
    <col min="215" max="215" width="9" customWidth="1"/>
    <col min="216" max="216" width="8" customWidth="1"/>
    <col min="217" max="217" width="9" customWidth="1"/>
    <col min="218" max="218" width="7" customWidth="1"/>
    <col min="219" max="220" width="4.56666666666667" customWidth="1"/>
    <col min="221" max="221" width="8" customWidth="1"/>
    <col min="222" max="224" width="7" customWidth="1"/>
    <col min="225" max="225" width="6" customWidth="1"/>
    <col min="226" max="226" width="7" customWidth="1"/>
    <col min="227" max="227" width="4.56666666666667" customWidth="1"/>
    <col min="228" max="228" width="8" customWidth="1"/>
    <col min="229" max="229" width="6" customWidth="1"/>
    <col min="230" max="230" width="8" customWidth="1"/>
    <col min="231" max="231" width="7" customWidth="1"/>
    <col min="232" max="232" width="6" customWidth="1"/>
    <col min="233" max="233" width="8" customWidth="1"/>
    <col min="234" max="235" width="6" customWidth="1"/>
    <col min="236" max="236" width="4.56666666666667" customWidth="1"/>
    <col min="237" max="237" width="7" customWidth="1"/>
    <col min="238" max="238" width="5" customWidth="1"/>
    <col min="239" max="239" width="7" customWidth="1"/>
    <col min="240" max="241" width="6" customWidth="1"/>
    <col min="242" max="243" width="8" customWidth="1"/>
    <col min="244" max="245" width="7" customWidth="1"/>
    <col min="246" max="246" width="6" customWidth="1"/>
    <col min="247" max="247" width="9" customWidth="1"/>
    <col min="248" max="248" width="7" customWidth="1"/>
    <col min="249" max="250" width="9" customWidth="1"/>
    <col min="251" max="251" width="4.56666666666667" customWidth="1"/>
    <col min="252" max="252" width="9" customWidth="1"/>
    <col min="253" max="256" width="8" customWidth="1"/>
    <col min="257" max="258" width="4.56666666666667" customWidth="1"/>
    <col min="259" max="259" width="8" customWidth="1"/>
    <col min="260" max="260" width="7" customWidth="1"/>
    <col min="261" max="261" width="10" customWidth="1"/>
    <col min="262" max="262" width="21.5666666666667" customWidth="1"/>
    <col min="263" max="263" width="25" customWidth="1"/>
  </cols>
  <sheetData>
    <row r="3" spans="1:3">
      <c r="A3" t="s">
        <v>5466</v>
      </c>
      <c r="B3" s="35" t="s">
        <v>5467</v>
      </c>
      <c r="C3" s="35" t="s">
        <v>5468</v>
      </c>
    </row>
    <row r="4" spans="1:7">
      <c r="A4" s="36" t="s">
        <v>19</v>
      </c>
      <c r="B4" s="37">
        <v>1389.4564625</v>
      </c>
      <c r="C4" s="37">
        <v>627.1421</v>
      </c>
      <c r="G4" s="39"/>
    </row>
    <row r="5" spans="1:7">
      <c r="A5" s="36" t="s">
        <v>22</v>
      </c>
      <c r="B5" s="37">
        <v>1791.08979</v>
      </c>
      <c r="C5" s="37">
        <v>1202.0929</v>
      </c>
      <c r="G5" s="39"/>
    </row>
    <row r="6" spans="1:7">
      <c r="A6" s="36" t="s">
        <v>18</v>
      </c>
      <c r="B6" s="37">
        <v>1237.411005</v>
      </c>
      <c r="C6" s="37">
        <v>740.67255</v>
      </c>
      <c r="G6" s="39"/>
    </row>
    <row r="7" spans="1:7">
      <c r="A7" s="36" t="s">
        <v>16</v>
      </c>
      <c r="B7" s="37">
        <v>4761.056665</v>
      </c>
      <c r="C7" s="37">
        <v>2371.70765</v>
      </c>
      <c r="G7" s="39"/>
    </row>
    <row r="8" spans="1:7">
      <c r="A8" s="36" t="s">
        <v>20</v>
      </c>
      <c r="B8" s="37">
        <v>1284.99275</v>
      </c>
      <c r="C8" s="37">
        <v>520.75205</v>
      </c>
      <c r="G8" s="39"/>
    </row>
    <row r="9" spans="1:7">
      <c r="A9" s="36" t="s">
        <v>3865</v>
      </c>
      <c r="B9" s="37">
        <v>1148.29391</v>
      </c>
      <c r="C9" s="37">
        <v>712.575</v>
      </c>
      <c r="G9" s="39"/>
    </row>
    <row r="10" spans="1:7">
      <c r="A10" s="36" t="s">
        <v>1355</v>
      </c>
      <c r="B10" s="37">
        <v>868.53307</v>
      </c>
      <c r="C10" s="37">
        <v>483.7887</v>
      </c>
      <c r="G10" s="39"/>
    </row>
    <row r="11" spans="1:7">
      <c r="A11" s="38" t="s">
        <v>3978</v>
      </c>
      <c r="B11" s="37">
        <v>31.236</v>
      </c>
      <c r="C11" s="37">
        <v>15.618</v>
      </c>
      <c r="G11" s="39"/>
    </row>
    <row r="12" spans="1:7">
      <c r="A12" s="38" t="s">
        <v>4002</v>
      </c>
      <c r="B12" s="37">
        <v>36.5349</v>
      </c>
      <c r="C12" s="37">
        <v>36.5349</v>
      </c>
      <c r="G12" s="39"/>
    </row>
    <row r="13" spans="1:7">
      <c r="A13" s="38" t="s">
        <v>4042</v>
      </c>
      <c r="B13" s="37">
        <v>10.57</v>
      </c>
      <c r="C13" s="37">
        <v>5.285</v>
      </c>
      <c r="G13" s="39"/>
    </row>
    <row r="14" spans="1:3">
      <c r="A14" s="38" t="s">
        <v>4044</v>
      </c>
      <c r="B14" s="37">
        <v>110.4155</v>
      </c>
      <c r="C14" s="37">
        <v>55.20775</v>
      </c>
    </row>
    <row r="15" spans="1:3">
      <c r="A15" s="38" t="s">
        <v>4212</v>
      </c>
      <c r="B15" s="37">
        <v>3.467</v>
      </c>
      <c r="C15" s="37">
        <v>1.7335</v>
      </c>
    </row>
    <row r="16" spans="1:3">
      <c r="A16" s="38" t="s">
        <v>4222</v>
      </c>
      <c r="B16" s="37">
        <v>1.84</v>
      </c>
      <c r="C16" s="37">
        <v>1.84</v>
      </c>
    </row>
    <row r="17" spans="1:3">
      <c r="A17" s="38" t="s">
        <v>4287</v>
      </c>
      <c r="B17" s="37">
        <v>2.0995</v>
      </c>
      <c r="C17" s="37">
        <v>1.04975</v>
      </c>
    </row>
    <row r="18" spans="1:3">
      <c r="A18" s="38" t="s">
        <v>4289</v>
      </c>
      <c r="B18" s="37">
        <v>14.925</v>
      </c>
      <c r="C18" s="37">
        <v>14.925</v>
      </c>
    </row>
    <row r="19" spans="1:3">
      <c r="A19" s="38" t="s">
        <v>4291</v>
      </c>
      <c r="B19" s="37">
        <v>0.567</v>
      </c>
      <c r="C19" s="37">
        <v>0.2835</v>
      </c>
    </row>
    <row r="20" spans="1:3">
      <c r="A20" s="38" t="s">
        <v>4293</v>
      </c>
      <c r="B20" s="37">
        <v>0.4455</v>
      </c>
      <c r="C20" s="37">
        <v>0.22275</v>
      </c>
    </row>
    <row r="21" spans="1:11">
      <c r="A21" s="38" t="s">
        <v>4295</v>
      </c>
      <c r="B21" s="37">
        <v>0.92</v>
      </c>
      <c r="C21" s="37">
        <v>0.46</v>
      </c>
      <c r="K21" s="40" t="s">
        <v>5469</v>
      </c>
    </row>
    <row r="22" spans="1:3">
      <c r="A22" s="38" t="s">
        <v>4366</v>
      </c>
      <c r="B22" s="37">
        <v>11.85</v>
      </c>
      <c r="C22" s="37">
        <v>5.925</v>
      </c>
    </row>
    <row r="23" spans="1:3">
      <c r="A23" s="38" t="s">
        <v>4374</v>
      </c>
      <c r="B23" s="37">
        <v>3.663</v>
      </c>
      <c r="C23" s="37">
        <v>1.8315</v>
      </c>
    </row>
    <row r="24" spans="1:3">
      <c r="A24" s="38" t="s">
        <v>4392</v>
      </c>
      <c r="B24" s="37">
        <v>7.80375</v>
      </c>
      <c r="C24" s="37">
        <v>7.80375</v>
      </c>
    </row>
    <row r="25" spans="1:3">
      <c r="A25" s="38" t="s">
        <v>4490</v>
      </c>
      <c r="B25" s="37">
        <v>11.2515</v>
      </c>
      <c r="C25" s="37">
        <v>5.62575</v>
      </c>
    </row>
    <row r="26" spans="1:3">
      <c r="A26" s="38" t="s">
        <v>4506</v>
      </c>
      <c r="B26" s="37">
        <v>3.99</v>
      </c>
      <c r="C26" s="37">
        <v>1.995</v>
      </c>
    </row>
    <row r="27" spans="1:3">
      <c r="A27" s="38" t="s">
        <v>4508</v>
      </c>
      <c r="B27" s="37">
        <v>18.03</v>
      </c>
      <c r="C27" s="37">
        <v>9.015</v>
      </c>
    </row>
    <row r="28" spans="1:3">
      <c r="A28" s="38" t="s">
        <v>4509</v>
      </c>
      <c r="B28" s="37">
        <v>5.025</v>
      </c>
      <c r="C28" s="37">
        <v>5</v>
      </c>
    </row>
    <row r="29" spans="1:3">
      <c r="A29" s="38" t="s">
        <v>4614</v>
      </c>
      <c r="B29" s="37">
        <v>1.7045</v>
      </c>
      <c r="C29" s="37">
        <v>0.85225</v>
      </c>
    </row>
    <row r="30" spans="1:3">
      <c r="A30" s="38" t="s">
        <v>4642</v>
      </c>
      <c r="B30" s="37">
        <v>13.3725</v>
      </c>
      <c r="C30" s="37">
        <v>6.68625</v>
      </c>
    </row>
    <row r="31" spans="1:3">
      <c r="A31" s="38" t="s">
        <v>4670</v>
      </c>
      <c r="B31" s="37">
        <v>49.779</v>
      </c>
      <c r="C31" s="37">
        <v>24.8895</v>
      </c>
    </row>
    <row r="32" spans="1:3">
      <c r="A32" s="38" t="s">
        <v>4734</v>
      </c>
      <c r="B32" s="37">
        <v>68.36432</v>
      </c>
      <c r="C32" s="37">
        <v>39.975</v>
      </c>
    </row>
    <row r="33" spans="1:3">
      <c r="A33" s="38" t="s">
        <v>4811</v>
      </c>
      <c r="B33" s="37">
        <v>1.7097</v>
      </c>
      <c r="C33" s="37">
        <v>0.85485</v>
      </c>
    </row>
    <row r="34" spans="1:3">
      <c r="A34" s="38" t="s">
        <v>4813</v>
      </c>
      <c r="B34" s="37">
        <v>3.4741</v>
      </c>
      <c r="C34" s="37">
        <v>1.73705</v>
      </c>
    </row>
    <row r="35" spans="1:3">
      <c r="A35" s="38" t="s">
        <v>4815</v>
      </c>
      <c r="B35" s="37">
        <v>12.38</v>
      </c>
      <c r="C35" s="37">
        <v>6.19</v>
      </c>
    </row>
    <row r="36" spans="1:3">
      <c r="A36" s="38" t="s">
        <v>4864</v>
      </c>
      <c r="B36" s="37">
        <v>9.9935</v>
      </c>
      <c r="C36" s="37">
        <v>4.99675</v>
      </c>
    </row>
    <row r="37" spans="1:3">
      <c r="A37" s="38" t="s">
        <v>4957</v>
      </c>
      <c r="B37" s="37">
        <v>8.001</v>
      </c>
      <c r="C37" s="37">
        <v>4.0005</v>
      </c>
    </row>
    <row r="38" spans="1:3">
      <c r="A38" s="38" t="s">
        <v>4959</v>
      </c>
      <c r="B38" s="37">
        <v>6.3</v>
      </c>
      <c r="C38" s="37">
        <v>3.15</v>
      </c>
    </row>
    <row r="39" spans="1:3">
      <c r="A39" s="38" t="s">
        <v>4981</v>
      </c>
      <c r="B39" s="37">
        <v>38.3835</v>
      </c>
      <c r="C39" s="37">
        <v>19.19175</v>
      </c>
    </row>
    <row r="40" spans="1:3">
      <c r="A40" s="38" t="s">
        <v>4997</v>
      </c>
      <c r="B40" s="37">
        <v>15</v>
      </c>
      <c r="C40" s="37">
        <v>7.5</v>
      </c>
    </row>
    <row r="41" spans="1:3">
      <c r="A41" s="38" t="s">
        <v>5028</v>
      </c>
      <c r="B41" s="37">
        <v>1.761</v>
      </c>
      <c r="C41" s="37">
        <v>0.8805</v>
      </c>
    </row>
    <row r="42" spans="1:3">
      <c r="A42" s="38" t="s">
        <v>5032</v>
      </c>
      <c r="B42" s="37">
        <v>5.68</v>
      </c>
      <c r="C42" s="37">
        <v>2.84</v>
      </c>
    </row>
    <row r="43" spans="1:3">
      <c r="A43" s="38" t="s">
        <v>5061</v>
      </c>
      <c r="B43" s="37">
        <v>7.215</v>
      </c>
      <c r="C43" s="37">
        <v>3.6075</v>
      </c>
    </row>
    <row r="44" spans="1:3">
      <c r="A44" s="38" t="s">
        <v>5105</v>
      </c>
      <c r="B44" s="37">
        <v>39.171</v>
      </c>
      <c r="C44" s="37">
        <v>19.5855</v>
      </c>
    </row>
    <row r="45" spans="1:3">
      <c r="A45" s="38" t="s">
        <v>5117</v>
      </c>
      <c r="B45" s="37">
        <v>3.3221</v>
      </c>
      <c r="C45" s="37">
        <v>1.66105</v>
      </c>
    </row>
    <row r="46" spans="1:3">
      <c r="A46" s="38" t="s">
        <v>5119</v>
      </c>
      <c r="B46" s="37">
        <v>1.509</v>
      </c>
      <c r="C46" s="37">
        <v>0.7545</v>
      </c>
    </row>
    <row r="47" spans="1:3">
      <c r="A47" s="38" t="s">
        <v>5121</v>
      </c>
      <c r="B47" s="37">
        <v>3.1664</v>
      </c>
      <c r="C47" s="37">
        <v>1.5832</v>
      </c>
    </row>
    <row r="48" spans="1:3">
      <c r="A48" s="38" t="s">
        <v>5202</v>
      </c>
      <c r="B48" s="37">
        <v>6.3</v>
      </c>
      <c r="C48" s="37">
        <v>3.15</v>
      </c>
    </row>
    <row r="49" spans="1:3">
      <c r="A49" s="38" t="s">
        <v>5209</v>
      </c>
      <c r="B49" s="37">
        <v>5</v>
      </c>
      <c r="C49" s="37">
        <v>5</v>
      </c>
    </row>
    <row r="50" spans="1:3">
      <c r="A50" s="38" t="s">
        <v>5241</v>
      </c>
      <c r="B50" s="37">
        <v>24.94</v>
      </c>
      <c r="C50" s="37">
        <v>12.47</v>
      </c>
    </row>
    <row r="51" spans="1:3">
      <c r="A51" s="38" t="s">
        <v>5246</v>
      </c>
      <c r="B51" s="37">
        <v>3.219</v>
      </c>
      <c r="C51" s="37">
        <v>1.6095</v>
      </c>
    </row>
    <row r="52" spans="1:3">
      <c r="A52" s="38" t="s">
        <v>5264</v>
      </c>
      <c r="B52" s="37">
        <v>41.538</v>
      </c>
      <c r="C52" s="37">
        <v>20.769</v>
      </c>
    </row>
    <row r="53" spans="1:3">
      <c r="A53" s="38" t="s">
        <v>5292</v>
      </c>
      <c r="B53" s="37">
        <v>60.745</v>
      </c>
      <c r="C53" s="37">
        <v>30.3725</v>
      </c>
    </row>
    <row r="54" spans="1:3">
      <c r="A54" s="38" t="s">
        <v>5294</v>
      </c>
      <c r="B54" s="37">
        <v>7.02</v>
      </c>
      <c r="C54" s="37">
        <v>11.7</v>
      </c>
    </row>
    <row r="55" spans="1:3">
      <c r="A55" s="38" t="s">
        <v>5296</v>
      </c>
      <c r="B55" s="37">
        <v>6.3</v>
      </c>
      <c r="C55" s="37">
        <v>3.15</v>
      </c>
    </row>
    <row r="56" spans="1:3">
      <c r="A56" s="38" t="s">
        <v>5298</v>
      </c>
      <c r="B56" s="37">
        <v>4.2105</v>
      </c>
      <c r="C56" s="37">
        <v>2.10525</v>
      </c>
    </row>
    <row r="57" spans="1:3">
      <c r="A57" s="38" t="s">
        <v>5338</v>
      </c>
      <c r="B57" s="37">
        <v>19</v>
      </c>
      <c r="C57" s="37">
        <v>9.5</v>
      </c>
    </row>
    <row r="58" spans="1:3">
      <c r="A58" s="38" t="s">
        <v>5340</v>
      </c>
      <c r="B58" s="37">
        <v>2.1</v>
      </c>
      <c r="C58" s="37">
        <v>1.05</v>
      </c>
    </row>
    <row r="59" spans="1:3">
      <c r="A59" s="38" t="s">
        <v>5346</v>
      </c>
      <c r="B59" s="37">
        <v>46.356</v>
      </c>
      <c r="C59" s="37">
        <v>23.178</v>
      </c>
    </row>
    <row r="60" spans="1:3">
      <c r="A60" s="38" t="s">
        <v>5348</v>
      </c>
      <c r="B60" s="37">
        <v>35.828</v>
      </c>
      <c r="C60" s="37">
        <v>17.914</v>
      </c>
    </row>
    <row r="61" spans="1:3">
      <c r="A61" s="38" t="s">
        <v>5350</v>
      </c>
      <c r="B61" s="37">
        <v>4.46</v>
      </c>
      <c r="C61" s="37">
        <v>2.23</v>
      </c>
    </row>
    <row r="62" spans="1:3">
      <c r="A62" s="38" t="s">
        <v>5352</v>
      </c>
      <c r="B62" s="37">
        <v>2.399</v>
      </c>
      <c r="C62" s="37">
        <v>1.1995</v>
      </c>
    </row>
    <row r="63" spans="1:3">
      <c r="A63" s="38" t="s">
        <v>5380</v>
      </c>
      <c r="B63" s="37">
        <v>4.5876</v>
      </c>
      <c r="C63" s="37">
        <v>2.2938</v>
      </c>
    </row>
    <row r="64" spans="1:3">
      <c r="A64" s="38" t="s">
        <v>5386</v>
      </c>
      <c r="B64" s="37">
        <v>4.5877</v>
      </c>
      <c r="C64" s="37">
        <v>2.29385</v>
      </c>
    </row>
    <row r="65" spans="1:3">
      <c r="A65" s="38" t="s">
        <v>5400</v>
      </c>
      <c r="B65" s="37">
        <v>4.9</v>
      </c>
      <c r="C65" s="37">
        <v>2.45</v>
      </c>
    </row>
    <row r="66" spans="1:3">
      <c r="A66" s="38" t="s">
        <v>5404</v>
      </c>
      <c r="B66" s="37">
        <v>1.8634</v>
      </c>
      <c r="C66" s="37">
        <v>0.9317</v>
      </c>
    </row>
    <row r="67" spans="1:3">
      <c r="A67" s="38" t="s">
        <v>5406</v>
      </c>
      <c r="B67" s="37">
        <v>11.0376</v>
      </c>
      <c r="C67" s="37">
        <v>5.5188</v>
      </c>
    </row>
    <row r="68" spans="1:3">
      <c r="A68" s="38" t="s">
        <v>5408</v>
      </c>
      <c r="B68" s="37">
        <v>1.651</v>
      </c>
      <c r="C68" s="37">
        <v>0.8255</v>
      </c>
    </row>
    <row r="69" spans="1:3">
      <c r="A69" s="38" t="s">
        <v>5424</v>
      </c>
      <c r="B69" s="37">
        <v>5</v>
      </c>
      <c r="C69" s="37">
        <v>2.5</v>
      </c>
    </row>
    <row r="70" spans="1:3">
      <c r="A70" s="38" t="s">
        <v>5426</v>
      </c>
      <c r="B70" s="37">
        <v>0.57</v>
      </c>
      <c r="C70" s="37">
        <v>0.285</v>
      </c>
    </row>
    <row r="71" spans="1:3">
      <c r="A71" s="36" t="s">
        <v>5470</v>
      </c>
      <c r="B71" s="37">
        <v>12480.8336525</v>
      </c>
      <c r="C71" s="37">
        <v>6658.73095</v>
      </c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</sheetData>
  <hyperlinks>
    <hyperlink ref="K21" r:id="rId2" display="https://satpcs.com.co/catalogos/CatalogoPOS_SAT.pdf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64"/>
  <sheetViews>
    <sheetView workbookViewId="0">
      <selection activeCell="B4" sqref="B4"/>
    </sheetView>
  </sheetViews>
  <sheetFormatPr defaultColWidth="11" defaultRowHeight="15"/>
  <cols>
    <col min="1" max="1" width="9.28333333333333" customWidth="1"/>
    <col min="2" max="2" width="8.28333333333333" customWidth="1"/>
    <col min="3" max="3" width="10.2833333333333" customWidth="1"/>
    <col min="4" max="4" width="8.70833333333333" customWidth="1"/>
    <col min="6" max="6" width="29" customWidth="1"/>
    <col min="7" max="7" width="18.425" customWidth="1"/>
  </cols>
  <sheetData>
    <row r="3" spans="1:13">
      <c r="A3" s="16" t="s">
        <v>5471</v>
      </c>
      <c r="B3" s="17" t="s">
        <v>5472</v>
      </c>
      <c r="C3" s="17" t="s">
        <v>5473</v>
      </c>
      <c r="D3" s="17" t="s">
        <v>3841</v>
      </c>
      <c r="E3" s="17" t="s">
        <v>49</v>
      </c>
      <c r="F3" s="17" t="s">
        <v>5474</v>
      </c>
      <c r="G3" s="17" t="s">
        <v>3845</v>
      </c>
      <c r="H3" s="17" t="s">
        <v>41</v>
      </c>
      <c r="I3" s="17" t="s">
        <v>5475</v>
      </c>
      <c r="J3" s="17" t="s">
        <v>42</v>
      </c>
      <c r="K3" s="17" t="s">
        <v>5476</v>
      </c>
      <c r="L3" s="30" t="s">
        <v>5477</v>
      </c>
      <c r="M3" s="17" t="s">
        <v>51</v>
      </c>
    </row>
    <row r="4" ht="60" spans="1:13">
      <c r="A4" s="18">
        <v>46169</v>
      </c>
      <c r="B4" s="19"/>
      <c r="C4" s="20"/>
      <c r="D4" s="21"/>
      <c r="E4" s="20" t="s">
        <v>5478</v>
      </c>
      <c r="F4" s="21" t="s">
        <v>5478</v>
      </c>
      <c r="G4" s="21"/>
      <c r="H4" s="27"/>
      <c r="I4" s="27"/>
      <c r="J4" s="27"/>
      <c r="K4" s="27"/>
      <c r="L4" s="31"/>
      <c r="M4" s="33"/>
    </row>
    <row r="5" spans="1:13">
      <c r="A5" s="22"/>
      <c r="B5" s="23"/>
      <c r="C5" s="24"/>
      <c r="D5" s="25"/>
      <c r="E5" s="24"/>
      <c r="F5" s="25"/>
      <c r="G5" s="25"/>
      <c r="H5" s="28"/>
      <c r="I5" s="28"/>
      <c r="J5" s="28"/>
      <c r="K5" s="28"/>
      <c r="L5" s="32"/>
      <c r="M5" s="27"/>
    </row>
    <row r="6" spans="1:13">
      <c r="A6" s="18"/>
      <c r="B6" s="19"/>
      <c r="C6" s="20"/>
      <c r="D6" s="21"/>
      <c r="E6" s="20"/>
      <c r="F6" s="21"/>
      <c r="G6" s="21"/>
      <c r="H6" s="27"/>
      <c r="I6" s="27"/>
      <c r="J6" s="27"/>
      <c r="K6" s="27"/>
      <c r="L6" s="31"/>
      <c r="M6" s="27"/>
    </row>
    <row r="7" spans="1:13">
      <c r="A7" s="22"/>
      <c r="B7" s="23"/>
      <c r="C7" s="24"/>
      <c r="D7" s="25"/>
      <c r="E7" s="24"/>
      <c r="F7" s="25"/>
      <c r="G7" s="25"/>
      <c r="H7" s="28"/>
      <c r="I7" s="28"/>
      <c r="J7" s="28"/>
      <c r="K7" s="28"/>
      <c r="L7" s="32"/>
      <c r="M7" s="27"/>
    </row>
    <row r="8" spans="1:13">
      <c r="A8" s="18"/>
      <c r="B8" s="19"/>
      <c r="C8" s="20"/>
      <c r="D8" s="21"/>
      <c r="E8" s="20"/>
      <c r="F8" s="21"/>
      <c r="G8" s="21"/>
      <c r="H8" s="27"/>
      <c r="I8" s="27"/>
      <c r="J8" s="27"/>
      <c r="K8" s="27"/>
      <c r="L8" s="31"/>
      <c r="M8" s="27"/>
    </row>
    <row r="9" spans="1:13">
      <c r="A9" s="22"/>
      <c r="B9" s="23"/>
      <c r="C9" s="24"/>
      <c r="D9" s="25"/>
      <c r="E9" s="24"/>
      <c r="F9" s="25"/>
      <c r="G9" s="25"/>
      <c r="H9" s="28"/>
      <c r="I9" s="28"/>
      <c r="J9" s="28"/>
      <c r="K9" s="28"/>
      <c r="L9" s="32"/>
      <c r="M9" s="27"/>
    </row>
    <row r="10" spans="1:13">
      <c r="A10" s="18"/>
      <c r="B10" s="19"/>
      <c r="C10" s="20"/>
      <c r="D10" s="21"/>
      <c r="E10" s="20"/>
      <c r="F10" s="21"/>
      <c r="G10" s="21"/>
      <c r="H10" s="27"/>
      <c r="I10" s="27"/>
      <c r="J10" s="27"/>
      <c r="K10" s="27"/>
      <c r="L10" s="31"/>
      <c r="M10" s="27"/>
    </row>
    <row r="11" spans="1:13">
      <c r="A11" s="22"/>
      <c r="B11" s="23"/>
      <c r="C11" s="24"/>
      <c r="D11" s="25"/>
      <c r="E11" s="24"/>
      <c r="F11" s="25"/>
      <c r="G11" s="25"/>
      <c r="H11" s="28"/>
      <c r="I11" s="28"/>
      <c r="J11" s="28"/>
      <c r="K11" s="28"/>
      <c r="L11" s="32"/>
      <c r="M11" s="27"/>
    </row>
    <row r="12" spans="1:13">
      <c r="A12" s="18"/>
      <c r="B12" s="19"/>
      <c r="C12" s="20"/>
      <c r="D12" s="21"/>
      <c r="E12" s="20"/>
      <c r="F12" s="21"/>
      <c r="G12" s="21"/>
      <c r="H12" s="27"/>
      <c r="I12" s="27"/>
      <c r="J12" s="27"/>
      <c r="K12" s="27"/>
      <c r="L12" s="31"/>
      <c r="M12" s="27"/>
    </row>
    <row r="13" spans="1:13">
      <c r="A13" s="22"/>
      <c r="B13" s="23"/>
      <c r="C13" s="24"/>
      <c r="D13" s="25"/>
      <c r="E13" s="24"/>
      <c r="F13" s="25"/>
      <c r="G13" s="25"/>
      <c r="H13" s="28"/>
      <c r="I13" s="28"/>
      <c r="J13" s="28"/>
      <c r="K13" s="28"/>
      <c r="L13" s="32"/>
      <c r="M13" s="27"/>
    </row>
    <row r="14" spans="1:13">
      <c r="A14" s="18"/>
      <c r="B14" s="19"/>
      <c r="C14" s="20"/>
      <c r="D14" s="21"/>
      <c r="E14" s="20"/>
      <c r="F14" s="21"/>
      <c r="G14" s="21"/>
      <c r="H14" s="27"/>
      <c r="I14" s="27"/>
      <c r="J14" s="27"/>
      <c r="K14" s="27"/>
      <c r="L14" s="31"/>
      <c r="M14" s="27"/>
    </row>
    <row r="15" spans="1:13">
      <c r="A15" s="22"/>
      <c r="B15" s="23"/>
      <c r="C15" s="24"/>
      <c r="D15" s="25"/>
      <c r="E15" s="24"/>
      <c r="F15" s="25"/>
      <c r="G15" s="25"/>
      <c r="H15" s="28"/>
      <c r="I15" s="28"/>
      <c r="J15" s="28"/>
      <c r="K15" s="28"/>
      <c r="L15" s="32"/>
      <c r="M15" s="27"/>
    </row>
    <row r="16" spans="1:13">
      <c r="A16" s="18"/>
      <c r="B16" s="19"/>
      <c r="C16" s="20"/>
      <c r="D16" s="21"/>
      <c r="E16" s="20"/>
      <c r="F16" s="21"/>
      <c r="G16" s="21"/>
      <c r="H16" s="27"/>
      <c r="I16" s="27"/>
      <c r="J16" s="27"/>
      <c r="K16" s="27"/>
      <c r="L16" s="31"/>
      <c r="M16" s="27"/>
    </row>
    <row r="17" spans="1:13">
      <c r="A17" s="22"/>
      <c r="B17" s="23"/>
      <c r="C17" s="24"/>
      <c r="D17" s="25"/>
      <c r="E17" s="24"/>
      <c r="F17" s="25"/>
      <c r="G17" s="25"/>
      <c r="H17" s="28"/>
      <c r="I17" s="28"/>
      <c r="J17" s="28"/>
      <c r="K17" s="28"/>
      <c r="L17" s="32"/>
      <c r="M17" s="27"/>
    </row>
    <row r="18" spans="1:13">
      <c r="A18" s="18"/>
      <c r="B18" s="19"/>
      <c r="C18" s="20"/>
      <c r="D18" s="21"/>
      <c r="E18" s="20"/>
      <c r="F18" s="21"/>
      <c r="G18" s="21"/>
      <c r="H18" s="27"/>
      <c r="I18" s="27"/>
      <c r="J18" s="27"/>
      <c r="K18" s="27"/>
      <c r="L18" s="31"/>
      <c r="M18" s="27"/>
    </row>
    <row r="19" spans="1:13">
      <c r="A19" s="22"/>
      <c r="B19" s="23"/>
      <c r="C19" s="24"/>
      <c r="D19" s="25"/>
      <c r="E19" s="24"/>
      <c r="F19" s="25"/>
      <c r="G19" s="25"/>
      <c r="H19" s="28"/>
      <c r="I19" s="28"/>
      <c r="J19" s="28"/>
      <c r="K19" s="28"/>
      <c r="L19" s="32"/>
      <c r="M19" s="27"/>
    </row>
    <row r="20" spans="1:13">
      <c r="A20" s="18"/>
      <c r="B20" s="19"/>
      <c r="C20" s="20"/>
      <c r="D20" s="21"/>
      <c r="E20" s="20"/>
      <c r="F20" s="21"/>
      <c r="G20" s="21"/>
      <c r="H20" s="27"/>
      <c r="I20" s="27"/>
      <c r="J20" s="27"/>
      <c r="K20" s="27"/>
      <c r="L20" s="31"/>
      <c r="M20" s="27"/>
    </row>
    <row r="21" spans="1:13">
      <c r="A21" s="22"/>
      <c r="B21" s="23"/>
      <c r="C21" s="24"/>
      <c r="D21" s="25"/>
      <c r="E21" s="24"/>
      <c r="F21" s="25"/>
      <c r="G21" s="25"/>
      <c r="H21" s="28"/>
      <c r="I21" s="28"/>
      <c r="J21" s="28"/>
      <c r="K21" s="28"/>
      <c r="L21" s="32"/>
      <c r="M21" s="27"/>
    </row>
    <row r="22" spans="1:13">
      <c r="A22" s="18"/>
      <c r="B22" s="19"/>
      <c r="C22" s="20"/>
      <c r="D22" s="21"/>
      <c r="E22" s="20"/>
      <c r="F22" s="21"/>
      <c r="G22" s="21"/>
      <c r="H22" s="27"/>
      <c r="I22" s="27"/>
      <c r="J22" s="27"/>
      <c r="K22" s="27"/>
      <c r="L22" s="31"/>
      <c r="M22" s="27"/>
    </row>
    <row r="23" spans="1:13">
      <c r="A23" s="22"/>
      <c r="B23" s="23"/>
      <c r="C23" s="24"/>
      <c r="D23" s="25"/>
      <c r="E23" s="24"/>
      <c r="F23" s="25"/>
      <c r="G23" s="25"/>
      <c r="H23" s="28"/>
      <c r="I23" s="28"/>
      <c r="J23" s="28"/>
      <c r="K23" s="28"/>
      <c r="L23" s="32"/>
      <c r="M23" s="27"/>
    </row>
    <row r="24" spans="1:13">
      <c r="A24" s="18"/>
      <c r="B24" s="19"/>
      <c r="C24" s="20"/>
      <c r="D24" s="21"/>
      <c r="E24" s="20"/>
      <c r="F24" s="21"/>
      <c r="G24" s="21"/>
      <c r="H24" s="27"/>
      <c r="I24" s="27"/>
      <c r="J24" s="27"/>
      <c r="K24" s="27"/>
      <c r="L24" s="31"/>
      <c r="M24" s="27"/>
    </row>
    <row r="25" spans="1:13">
      <c r="A25" s="22"/>
      <c r="B25" s="23"/>
      <c r="C25" s="24"/>
      <c r="D25" s="25"/>
      <c r="E25" s="24"/>
      <c r="F25" s="25"/>
      <c r="G25" s="25"/>
      <c r="H25" s="28"/>
      <c r="I25" s="28"/>
      <c r="J25" s="28"/>
      <c r="K25" s="28"/>
      <c r="L25" s="32"/>
      <c r="M25" s="27"/>
    </row>
    <row r="26" spans="1:13">
      <c r="A26" s="18"/>
      <c r="B26" s="19"/>
      <c r="C26" s="20"/>
      <c r="D26" s="21"/>
      <c r="E26" s="20"/>
      <c r="F26" s="21"/>
      <c r="G26" s="21"/>
      <c r="H26" s="27"/>
      <c r="I26" s="27"/>
      <c r="J26" s="27"/>
      <c r="K26" s="27"/>
      <c r="L26" s="31"/>
      <c r="M26" s="27"/>
    </row>
    <row r="27" spans="1:13">
      <c r="A27" s="22"/>
      <c r="B27" s="23"/>
      <c r="C27" s="24"/>
      <c r="D27" s="25"/>
      <c r="E27" s="24"/>
      <c r="F27" s="25"/>
      <c r="G27" s="25"/>
      <c r="H27" s="28"/>
      <c r="I27" s="28"/>
      <c r="J27" s="28"/>
      <c r="K27" s="28"/>
      <c r="L27" s="32"/>
      <c r="M27" s="27"/>
    </row>
    <row r="28" spans="1:13">
      <c r="A28" s="18"/>
      <c r="B28" s="19"/>
      <c r="C28" s="20"/>
      <c r="D28" s="21"/>
      <c r="E28" s="20"/>
      <c r="F28" s="21"/>
      <c r="G28" s="21"/>
      <c r="H28" s="27"/>
      <c r="I28" s="27"/>
      <c r="J28" s="27"/>
      <c r="K28" s="27"/>
      <c r="L28" s="31"/>
      <c r="M28" s="27"/>
    </row>
    <row r="29" spans="1:13">
      <c r="A29" s="22"/>
      <c r="B29" s="23"/>
      <c r="C29" s="24"/>
      <c r="D29" s="25"/>
      <c r="E29" s="24"/>
      <c r="F29" s="25"/>
      <c r="G29" s="25"/>
      <c r="H29" s="28"/>
      <c r="I29" s="28"/>
      <c r="J29" s="28"/>
      <c r="K29" s="28"/>
      <c r="L29" s="32"/>
      <c r="M29" s="27"/>
    </row>
    <row r="30" spans="1:13">
      <c r="A30" s="18"/>
      <c r="B30" s="19"/>
      <c r="C30" s="20"/>
      <c r="D30" s="21"/>
      <c r="E30" s="20"/>
      <c r="F30" s="21"/>
      <c r="G30" s="21"/>
      <c r="H30" s="27"/>
      <c r="I30" s="27"/>
      <c r="J30" s="27"/>
      <c r="K30" s="27"/>
      <c r="L30" s="31"/>
      <c r="M30" s="27"/>
    </row>
    <row r="31" spans="1:13">
      <c r="A31" s="22"/>
      <c r="B31" s="23"/>
      <c r="C31" s="24"/>
      <c r="D31" s="25"/>
      <c r="E31" s="24"/>
      <c r="F31" s="25"/>
      <c r="G31" s="25"/>
      <c r="H31" s="28"/>
      <c r="I31" s="28"/>
      <c r="J31" s="28"/>
      <c r="K31" s="28"/>
      <c r="L31" s="32"/>
      <c r="M31" s="27"/>
    </row>
    <row r="32" spans="1:13">
      <c r="A32" s="18"/>
      <c r="B32" s="19"/>
      <c r="C32" s="20"/>
      <c r="D32" s="21"/>
      <c r="E32" s="20"/>
      <c r="F32" s="21"/>
      <c r="G32" s="21"/>
      <c r="H32" s="27"/>
      <c r="I32" s="27"/>
      <c r="J32" s="27"/>
      <c r="K32" s="27"/>
      <c r="L32" s="31"/>
      <c r="M32" s="27"/>
    </row>
    <row r="33" spans="1:13">
      <c r="A33" s="22"/>
      <c r="B33" s="23"/>
      <c r="C33" s="24"/>
      <c r="D33" s="25"/>
      <c r="E33" s="24"/>
      <c r="F33" s="25"/>
      <c r="G33" s="25"/>
      <c r="H33" s="28"/>
      <c r="I33" s="28"/>
      <c r="J33" s="28"/>
      <c r="K33" s="28"/>
      <c r="L33" s="32"/>
      <c r="M33" s="27"/>
    </row>
    <row r="34" spans="1:13">
      <c r="A34" s="18"/>
      <c r="B34" s="19"/>
      <c r="C34" s="20"/>
      <c r="D34" s="21"/>
      <c r="E34" s="20"/>
      <c r="F34" s="21"/>
      <c r="G34" s="21"/>
      <c r="H34" s="27"/>
      <c r="I34" s="27"/>
      <c r="J34" s="27"/>
      <c r="K34" s="27"/>
      <c r="L34" s="31"/>
      <c r="M34" s="27"/>
    </row>
    <row r="35" spans="1:13">
      <c r="A35" s="22"/>
      <c r="B35" s="23"/>
      <c r="C35" s="24"/>
      <c r="D35" s="25"/>
      <c r="E35" s="24"/>
      <c r="F35" s="25"/>
      <c r="G35" s="25"/>
      <c r="H35" s="28"/>
      <c r="I35" s="28"/>
      <c r="J35" s="28"/>
      <c r="K35" s="28"/>
      <c r="L35" s="32"/>
      <c r="M35" s="27"/>
    </row>
    <row r="36" spans="1:13">
      <c r="A36" s="18"/>
      <c r="B36" s="19"/>
      <c r="C36" s="20"/>
      <c r="D36" s="21"/>
      <c r="E36" s="20"/>
      <c r="F36" s="21"/>
      <c r="G36" s="21"/>
      <c r="H36" s="27"/>
      <c r="I36" s="27"/>
      <c r="J36" s="27"/>
      <c r="K36" s="27"/>
      <c r="L36" s="31"/>
      <c r="M36" s="27"/>
    </row>
    <row r="37" spans="1:13">
      <c r="A37" s="22"/>
      <c r="B37" s="23"/>
      <c r="C37" s="24"/>
      <c r="D37" s="25"/>
      <c r="E37" s="24"/>
      <c r="F37" s="25"/>
      <c r="G37" s="25"/>
      <c r="H37" s="28"/>
      <c r="I37" s="28"/>
      <c r="J37" s="28"/>
      <c r="K37" s="28"/>
      <c r="L37" s="32"/>
      <c r="M37" s="27"/>
    </row>
    <row r="38" spans="1:13">
      <c r="A38" s="18"/>
      <c r="B38" s="19"/>
      <c r="C38" s="20"/>
      <c r="D38" s="21"/>
      <c r="E38" s="20"/>
      <c r="F38" s="21"/>
      <c r="G38" s="21"/>
      <c r="H38" s="27"/>
      <c r="I38" s="27"/>
      <c r="J38" s="27"/>
      <c r="K38" s="27"/>
      <c r="L38" s="31"/>
      <c r="M38" s="27"/>
    </row>
    <row r="39" spans="1:13">
      <c r="A39" s="22"/>
      <c r="B39" s="23"/>
      <c r="C39" s="24"/>
      <c r="D39" s="25"/>
      <c r="E39" s="24"/>
      <c r="F39" s="25"/>
      <c r="G39" s="25"/>
      <c r="H39" s="28"/>
      <c r="I39" s="28"/>
      <c r="J39" s="28"/>
      <c r="K39" s="28"/>
      <c r="L39" s="32"/>
      <c r="M39" s="27"/>
    </row>
    <row r="40" spans="1:13">
      <c r="A40" s="18"/>
      <c r="B40" s="19"/>
      <c r="C40" s="20"/>
      <c r="D40" s="21"/>
      <c r="E40" s="20"/>
      <c r="F40" s="21"/>
      <c r="G40" s="21"/>
      <c r="H40" s="27"/>
      <c r="I40" s="27"/>
      <c r="J40" s="27"/>
      <c r="K40" s="27"/>
      <c r="L40" s="31"/>
      <c r="M40" s="27"/>
    </row>
    <row r="41" spans="1:13">
      <c r="A41" s="22"/>
      <c r="B41" s="23"/>
      <c r="C41" s="24"/>
      <c r="D41" s="25"/>
      <c r="E41" s="24"/>
      <c r="F41" s="25"/>
      <c r="G41" s="25"/>
      <c r="H41" s="28"/>
      <c r="I41" s="28"/>
      <c r="J41" s="28"/>
      <c r="K41" s="28"/>
      <c r="L41" s="32"/>
      <c r="M41" s="27"/>
    </row>
    <row r="42" spans="1:13">
      <c r="A42" s="18"/>
      <c r="B42" s="19"/>
      <c r="C42" s="20"/>
      <c r="D42" s="21"/>
      <c r="E42" s="20"/>
      <c r="F42" s="21"/>
      <c r="G42" s="21"/>
      <c r="H42" s="27"/>
      <c r="I42" s="27"/>
      <c r="J42" s="27"/>
      <c r="K42" s="27"/>
      <c r="L42" s="31"/>
      <c r="M42" s="27"/>
    </row>
    <row r="43" spans="1:13">
      <c r="A43" s="22"/>
      <c r="B43" s="23"/>
      <c r="C43" s="24"/>
      <c r="D43" s="25"/>
      <c r="E43" s="24"/>
      <c r="F43" s="25"/>
      <c r="G43" s="25"/>
      <c r="H43" s="28"/>
      <c r="I43" s="28"/>
      <c r="J43" s="28"/>
      <c r="K43" s="28"/>
      <c r="L43" s="32"/>
      <c r="M43" s="27"/>
    </row>
    <row r="44" spans="1:13">
      <c r="A44" s="18"/>
      <c r="B44" s="19"/>
      <c r="C44" s="20"/>
      <c r="D44" s="21"/>
      <c r="E44" s="20"/>
      <c r="F44" s="21"/>
      <c r="G44" s="21"/>
      <c r="H44" s="27"/>
      <c r="I44" s="27"/>
      <c r="J44" s="27"/>
      <c r="K44" s="27"/>
      <c r="L44" s="31"/>
      <c r="M44" s="27"/>
    </row>
    <row r="45" spans="1:13">
      <c r="A45" s="18"/>
      <c r="B45" s="19"/>
      <c r="C45" s="20"/>
      <c r="D45" s="26"/>
      <c r="E45" s="20"/>
      <c r="F45" s="26"/>
      <c r="G45" s="29"/>
      <c r="H45" s="27"/>
      <c r="I45" s="27"/>
      <c r="J45" s="27"/>
      <c r="K45" s="27"/>
      <c r="L45" s="31"/>
      <c r="M45" s="27"/>
    </row>
    <row r="46" spans="1:13">
      <c r="A46" s="18"/>
      <c r="B46" s="19"/>
      <c r="C46" s="20"/>
      <c r="D46" s="26"/>
      <c r="E46" s="20"/>
      <c r="F46" s="26"/>
      <c r="G46" s="29"/>
      <c r="H46" s="27"/>
      <c r="I46" s="27"/>
      <c r="J46" s="27"/>
      <c r="K46" s="27"/>
      <c r="L46" s="31"/>
      <c r="M46" s="27"/>
    </row>
    <row r="47" spans="1:13">
      <c r="A47" s="18"/>
      <c r="B47" s="19"/>
      <c r="C47" s="20"/>
      <c r="D47" s="26"/>
      <c r="E47" s="20"/>
      <c r="F47" s="26"/>
      <c r="G47" s="29"/>
      <c r="H47" s="27"/>
      <c r="I47" s="27"/>
      <c r="J47" s="27"/>
      <c r="K47" s="27"/>
      <c r="L47" s="31"/>
      <c r="M47" s="27"/>
    </row>
    <row r="48" spans="1:13">
      <c r="A48" s="18"/>
      <c r="B48" s="19"/>
      <c r="C48" s="20"/>
      <c r="D48" s="26"/>
      <c r="E48" s="20"/>
      <c r="F48" s="26"/>
      <c r="G48" s="29"/>
      <c r="H48" s="27"/>
      <c r="I48" s="27"/>
      <c r="J48" s="27"/>
      <c r="K48" s="27"/>
      <c r="L48" s="31"/>
      <c r="M48" s="27"/>
    </row>
    <row r="49" spans="1:13">
      <c r="A49" s="18"/>
      <c r="B49" s="19"/>
      <c r="C49" s="20"/>
      <c r="D49" s="26"/>
      <c r="E49" s="20"/>
      <c r="F49" s="26"/>
      <c r="G49" s="29"/>
      <c r="H49" s="27"/>
      <c r="I49" s="27"/>
      <c r="J49" s="27"/>
      <c r="K49" s="27"/>
      <c r="L49" s="31"/>
      <c r="M49" s="27"/>
    </row>
    <row r="50" spans="1:13">
      <c r="A50" s="18"/>
      <c r="B50" s="19"/>
      <c r="C50" s="20"/>
      <c r="D50" s="26"/>
      <c r="E50" s="20"/>
      <c r="F50" s="26"/>
      <c r="G50" s="29"/>
      <c r="H50" s="27"/>
      <c r="I50" s="27"/>
      <c r="J50" s="27"/>
      <c r="K50" s="27"/>
      <c r="L50" s="31"/>
      <c r="M50" s="27"/>
    </row>
    <row r="51" spans="1:13">
      <c r="A51" s="21"/>
      <c r="B51" s="19"/>
      <c r="C51" s="20"/>
      <c r="D51" s="26"/>
      <c r="E51" s="20"/>
      <c r="F51" s="26"/>
      <c r="G51" s="29"/>
      <c r="H51" s="27"/>
      <c r="I51" s="27"/>
      <c r="J51" s="27"/>
      <c r="K51" s="27"/>
      <c r="L51" s="31"/>
      <c r="M51" s="27"/>
    </row>
    <row r="52" spans="1:13">
      <c r="A52" s="21"/>
      <c r="B52" s="19"/>
      <c r="C52" s="20"/>
      <c r="D52" s="26"/>
      <c r="E52" s="20"/>
      <c r="F52" s="26"/>
      <c r="G52" s="29"/>
      <c r="H52" s="27"/>
      <c r="I52" s="27"/>
      <c r="J52" s="27"/>
      <c r="K52" s="27"/>
      <c r="L52" s="31"/>
      <c r="M52" s="27"/>
    </row>
    <row r="53" spans="1:13">
      <c r="A53" s="21"/>
      <c r="B53" s="19"/>
      <c r="C53" s="20"/>
      <c r="D53" s="26"/>
      <c r="E53" s="20"/>
      <c r="F53" s="26"/>
      <c r="G53" s="29"/>
      <c r="H53" s="27"/>
      <c r="I53" s="27"/>
      <c r="J53" s="27"/>
      <c r="K53" s="27"/>
      <c r="L53" s="31"/>
      <c r="M53" s="27"/>
    </row>
    <row r="54" spans="1:13">
      <c r="A54" s="21"/>
      <c r="B54" s="19"/>
      <c r="C54" s="20"/>
      <c r="D54" s="26"/>
      <c r="E54" s="20"/>
      <c r="F54" s="26"/>
      <c r="G54" s="29"/>
      <c r="H54" s="27"/>
      <c r="I54" s="27"/>
      <c r="J54" s="27"/>
      <c r="K54" s="27"/>
      <c r="L54" s="31"/>
      <c r="M54" s="27"/>
    </row>
    <row r="55" spans="1:13">
      <c r="A55" s="21"/>
      <c r="B55" s="19"/>
      <c r="C55" s="20"/>
      <c r="D55" s="26"/>
      <c r="E55" s="20"/>
      <c r="F55" s="26"/>
      <c r="G55" s="29"/>
      <c r="H55" s="27"/>
      <c r="I55" s="27"/>
      <c r="J55" s="27"/>
      <c r="K55" s="27"/>
      <c r="L55" s="31"/>
      <c r="M55" s="27"/>
    </row>
    <row r="56" spans="1:13">
      <c r="A56" s="21"/>
      <c r="B56" s="19"/>
      <c r="C56" s="20"/>
      <c r="D56" s="26"/>
      <c r="E56" s="20"/>
      <c r="F56" s="26"/>
      <c r="G56" s="29"/>
      <c r="H56" s="27"/>
      <c r="I56" s="27"/>
      <c r="J56" s="27"/>
      <c r="K56" s="27"/>
      <c r="L56" s="31"/>
      <c r="M56" s="27"/>
    </row>
    <row r="57" spans="1:13">
      <c r="A57" s="21"/>
      <c r="B57" s="19"/>
      <c r="C57" s="20"/>
      <c r="D57" s="26"/>
      <c r="E57" s="20"/>
      <c r="F57" s="26"/>
      <c r="G57" s="29"/>
      <c r="H57" s="27"/>
      <c r="I57" s="27"/>
      <c r="J57" s="27"/>
      <c r="K57" s="27"/>
      <c r="L57" s="31"/>
      <c r="M57" s="27"/>
    </row>
    <row r="58" spans="1:13">
      <c r="A58" s="21"/>
      <c r="B58" s="19"/>
      <c r="C58" s="20"/>
      <c r="D58" s="26"/>
      <c r="E58" s="20"/>
      <c r="F58" s="26"/>
      <c r="G58" s="29"/>
      <c r="H58" s="27"/>
      <c r="I58" s="27"/>
      <c r="J58" s="27"/>
      <c r="K58" s="27"/>
      <c r="L58" s="31"/>
      <c r="M58" s="27"/>
    </row>
    <row r="59" spans="1:13">
      <c r="A59" s="21"/>
      <c r="B59" s="19"/>
      <c r="C59" s="20"/>
      <c r="D59" s="26"/>
      <c r="E59" s="20"/>
      <c r="F59" s="26"/>
      <c r="G59" s="29"/>
      <c r="H59" s="27"/>
      <c r="I59" s="27"/>
      <c r="J59" s="27"/>
      <c r="K59" s="27"/>
      <c r="L59" s="31"/>
      <c r="M59" s="27"/>
    </row>
    <row r="60" spans="1:13">
      <c r="A60" s="21"/>
      <c r="B60" s="19"/>
      <c r="C60" s="20"/>
      <c r="D60" s="26"/>
      <c r="E60" s="20"/>
      <c r="F60" s="26"/>
      <c r="G60" s="29"/>
      <c r="H60" s="27"/>
      <c r="I60" s="27"/>
      <c r="J60" s="27"/>
      <c r="K60" s="27"/>
      <c r="L60" s="31"/>
      <c r="M60" s="27"/>
    </row>
    <row r="61" spans="1:13">
      <c r="A61" s="21"/>
      <c r="B61" s="19"/>
      <c r="C61" s="20"/>
      <c r="D61" s="26"/>
      <c r="E61" s="20"/>
      <c r="F61" s="26"/>
      <c r="G61" s="29"/>
      <c r="H61" s="27"/>
      <c r="I61" s="27"/>
      <c r="J61" s="27"/>
      <c r="K61" s="27"/>
      <c r="L61" s="31"/>
      <c r="M61" s="27"/>
    </row>
    <row r="62" spans="1:13">
      <c r="A62" s="21"/>
      <c r="B62" s="19"/>
      <c r="C62" s="20"/>
      <c r="D62" s="26"/>
      <c r="E62" s="20"/>
      <c r="F62" s="26"/>
      <c r="G62" s="29"/>
      <c r="H62" s="27"/>
      <c r="I62" s="27"/>
      <c r="J62" s="27"/>
      <c r="K62" s="27"/>
      <c r="L62" s="31"/>
      <c r="M62" s="27"/>
    </row>
    <row r="63" spans="1:13">
      <c r="A63" s="21"/>
      <c r="B63" s="19"/>
      <c r="C63" s="20"/>
      <c r="D63" s="26"/>
      <c r="E63" s="20"/>
      <c r="F63" s="26"/>
      <c r="G63" s="29"/>
      <c r="H63" s="27"/>
      <c r="I63" s="27"/>
      <c r="J63" s="27"/>
      <c r="K63" s="27"/>
      <c r="L63" s="31"/>
      <c r="M63" s="27"/>
    </row>
    <row r="64" spans="1:13">
      <c r="A64" s="21"/>
      <c r="B64" s="19"/>
      <c r="C64" s="20"/>
      <c r="D64" s="26"/>
      <c r="E64" s="20"/>
      <c r="F64" s="26"/>
      <c r="G64" s="29"/>
      <c r="H64" s="27"/>
      <c r="I64" s="27"/>
      <c r="J64" s="27"/>
      <c r="K64" s="27"/>
      <c r="L64" s="31"/>
      <c r="M64" s="27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B1:AL73"/>
  <sheetViews>
    <sheetView showGridLines="0" showOutlineSymbols="0" workbookViewId="0">
      <selection activeCell="D19" sqref="D19:H19"/>
    </sheetView>
  </sheetViews>
  <sheetFormatPr defaultColWidth="11" defaultRowHeight="12.75" customHeight="1"/>
  <cols>
    <col min="1" max="1" width="1.14166666666667" style="1" customWidth="1"/>
    <col min="2" max="2" width="9.85833333333333" style="1" customWidth="1"/>
    <col min="3" max="3" width="1.56666666666667" style="1" customWidth="1"/>
    <col min="4" max="4" width="1.28333333333333" style="1" customWidth="1"/>
    <col min="5" max="5" width="3" style="1" customWidth="1"/>
    <col min="6" max="6" width="4.425" style="1" customWidth="1"/>
    <col min="7" max="7" width="17.2833333333333" style="1" customWidth="1"/>
    <col min="8" max="8" width="3.56666666666667" style="1" customWidth="1"/>
    <col min="9" max="9" width="1.14166666666667" style="1" customWidth="1"/>
    <col min="10" max="10" width="6.56666666666667" style="1" customWidth="1"/>
    <col min="11" max="11" width="3.70833333333333" style="1" customWidth="1"/>
    <col min="12" max="12" width="2.85833333333333" style="1" customWidth="1"/>
    <col min="13" max="13" width="6.28333333333333" style="1" customWidth="1"/>
    <col min="14" max="15" width="2.28333333333333" style="1" customWidth="1"/>
    <col min="16" max="16" width="6.70833333333333" style="1" customWidth="1"/>
    <col min="17" max="17" width="1.28333333333333" style="1" customWidth="1"/>
    <col min="18" max="18" width="1.14166666666667" style="1" customWidth="1"/>
    <col min="19" max="19" width="11" style="1" customWidth="1"/>
    <col min="20" max="20" width="1.56666666666667" style="1" customWidth="1"/>
    <col min="21" max="21" width="9.14166666666667" style="1" customWidth="1"/>
    <col min="22" max="22" width="1.14166666666667" style="1" customWidth="1"/>
    <col min="23" max="23" width="9.14166666666667" style="1" customWidth="1"/>
    <col min="24" max="24" width="1.14166666666667" style="1" customWidth="1"/>
    <col min="25" max="25" width="2.85833333333333" style="1" customWidth="1"/>
    <col min="26" max="26" width="5.85833333333333" style="1" customWidth="1"/>
    <col min="27" max="27" width="1.56666666666667" style="1" customWidth="1"/>
    <col min="28" max="29" width="1.14166666666667" style="1" customWidth="1"/>
    <col min="30" max="30" width="3.14166666666667" style="1" customWidth="1"/>
    <col min="31" max="31" width="1.425" style="1" customWidth="1"/>
    <col min="32" max="32" width="2.28333333333333" style="1" customWidth="1"/>
    <col min="33" max="33" width="1.14166666666667" style="1" customWidth="1"/>
    <col min="34" max="35" width="2.28333333333333" style="1" customWidth="1"/>
    <col min="36" max="36" width="3.14166666666667" style="1" customWidth="1"/>
    <col min="37" max="37" width="1" style="1" customWidth="1"/>
    <col min="38" max="256" width="6.85833333333333" style="1" customWidth="1"/>
    <col min="257" max="257" width="1.14166666666667" style="1" customWidth="1"/>
    <col min="258" max="258" width="9.85833333333333" style="1" customWidth="1"/>
    <col min="259" max="259" width="1.56666666666667" style="1" customWidth="1"/>
    <col min="260" max="260" width="1.28333333333333" style="1" customWidth="1"/>
    <col min="261" max="261" width="3" style="1" customWidth="1"/>
    <col min="262" max="262" width="4.425" style="1" customWidth="1"/>
    <col min="263" max="263" width="17.2833333333333" style="1" customWidth="1"/>
    <col min="264" max="264" width="3.56666666666667" style="1" customWidth="1"/>
    <col min="265" max="265" width="1.14166666666667" style="1" customWidth="1"/>
    <col min="266" max="266" width="6.56666666666667" style="1" customWidth="1"/>
    <col min="267" max="267" width="3.70833333333333" style="1" customWidth="1"/>
    <col min="268" max="268" width="2.85833333333333" style="1" customWidth="1"/>
    <col min="269" max="269" width="6.28333333333333" style="1" customWidth="1"/>
    <col min="270" max="271" width="2.28333333333333" style="1" customWidth="1"/>
    <col min="272" max="272" width="6.70833333333333" style="1" customWidth="1"/>
    <col min="273" max="273" width="1.28333333333333" style="1" customWidth="1"/>
    <col min="274" max="274" width="1.14166666666667" style="1" customWidth="1"/>
    <col min="275" max="275" width="11" style="1" customWidth="1"/>
    <col min="276" max="276" width="1.56666666666667" style="1" customWidth="1"/>
    <col min="277" max="277" width="9.14166666666667" style="1" customWidth="1"/>
    <col min="278" max="278" width="1.14166666666667" style="1" customWidth="1"/>
    <col min="279" max="279" width="9.14166666666667" style="1" customWidth="1"/>
    <col min="280" max="280" width="1.14166666666667" style="1" customWidth="1"/>
    <col min="281" max="281" width="2.85833333333333" style="1" customWidth="1"/>
    <col min="282" max="282" width="5.85833333333333" style="1" customWidth="1"/>
    <col min="283" max="283" width="1.56666666666667" style="1" customWidth="1"/>
    <col min="284" max="285" width="1.14166666666667" style="1" customWidth="1"/>
    <col min="286" max="286" width="3.14166666666667" style="1" customWidth="1"/>
    <col min="287" max="287" width="1.425" style="1" customWidth="1"/>
    <col min="288" max="288" width="2.28333333333333" style="1" customWidth="1"/>
    <col min="289" max="289" width="1.14166666666667" style="1" customWidth="1"/>
    <col min="290" max="291" width="2.28333333333333" style="1" customWidth="1"/>
    <col min="292" max="292" width="3.14166666666667" style="1" customWidth="1"/>
    <col min="293" max="293" width="1" style="1" customWidth="1"/>
    <col min="294" max="512" width="6.85833333333333" style="1" customWidth="1"/>
    <col min="513" max="513" width="1.14166666666667" style="1" customWidth="1"/>
    <col min="514" max="514" width="9.85833333333333" style="1" customWidth="1"/>
    <col min="515" max="515" width="1.56666666666667" style="1" customWidth="1"/>
    <col min="516" max="516" width="1.28333333333333" style="1" customWidth="1"/>
    <col min="517" max="517" width="3" style="1" customWidth="1"/>
    <col min="518" max="518" width="4.425" style="1" customWidth="1"/>
    <col min="519" max="519" width="17.2833333333333" style="1" customWidth="1"/>
    <col min="520" max="520" width="3.56666666666667" style="1" customWidth="1"/>
    <col min="521" max="521" width="1.14166666666667" style="1" customWidth="1"/>
    <col min="522" max="522" width="6.56666666666667" style="1" customWidth="1"/>
    <col min="523" max="523" width="3.70833333333333" style="1" customWidth="1"/>
    <col min="524" max="524" width="2.85833333333333" style="1" customWidth="1"/>
    <col min="525" max="525" width="6.28333333333333" style="1" customWidth="1"/>
    <col min="526" max="527" width="2.28333333333333" style="1" customWidth="1"/>
    <col min="528" max="528" width="6.70833333333333" style="1" customWidth="1"/>
    <col min="529" max="529" width="1.28333333333333" style="1" customWidth="1"/>
    <col min="530" max="530" width="1.14166666666667" style="1" customWidth="1"/>
    <col min="531" max="531" width="11" style="1" customWidth="1"/>
    <col min="532" max="532" width="1.56666666666667" style="1" customWidth="1"/>
    <col min="533" max="533" width="9.14166666666667" style="1" customWidth="1"/>
    <col min="534" max="534" width="1.14166666666667" style="1" customWidth="1"/>
    <col min="535" max="535" width="9.14166666666667" style="1" customWidth="1"/>
    <col min="536" max="536" width="1.14166666666667" style="1" customWidth="1"/>
    <col min="537" max="537" width="2.85833333333333" style="1" customWidth="1"/>
    <col min="538" max="538" width="5.85833333333333" style="1" customWidth="1"/>
    <col min="539" max="539" width="1.56666666666667" style="1" customWidth="1"/>
    <col min="540" max="541" width="1.14166666666667" style="1" customWidth="1"/>
    <col min="542" max="542" width="3.14166666666667" style="1" customWidth="1"/>
    <col min="543" max="543" width="1.425" style="1" customWidth="1"/>
    <col min="544" max="544" width="2.28333333333333" style="1" customWidth="1"/>
    <col min="545" max="545" width="1.14166666666667" style="1" customWidth="1"/>
    <col min="546" max="547" width="2.28333333333333" style="1" customWidth="1"/>
    <col min="548" max="548" width="3.14166666666667" style="1" customWidth="1"/>
    <col min="549" max="549" width="1" style="1" customWidth="1"/>
    <col min="550" max="768" width="6.85833333333333" style="1" customWidth="1"/>
    <col min="769" max="769" width="1.14166666666667" style="1" customWidth="1"/>
    <col min="770" max="770" width="9.85833333333333" style="1" customWidth="1"/>
    <col min="771" max="771" width="1.56666666666667" style="1" customWidth="1"/>
    <col min="772" max="772" width="1.28333333333333" style="1" customWidth="1"/>
    <col min="773" max="773" width="3" style="1" customWidth="1"/>
    <col min="774" max="774" width="4.425" style="1" customWidth="1"/>
    <col min="775" max="775" width="17.2833333333333" style="1" customWidth="1"/>
    <col min="776" max="776" width="3.56666666666667" style="1" customWidth="1"/>
    <col min="777" max="777" width="1.14166666666667" style="1" customWidth="1"/>
    <col min="778" max="778" width="6.56666666666667" style="1" customWidth="1"/>
    <col min="779" max="779" width="3.70833333333333" style="1" customWidth="1"/>
    <col min="780" max="780" width="2.85833333333333" style="1" customWidth="1"/>
    <col min="781" max="781" width="6.28333333333333" style="1" customWidth="1"/>
    <col min="782" max="783" width="2.28333333333333" style="1" customWidth="1"/>
    <col min="784" max="784" width="6.70833333333333" style="1" customWidth="1"/>
    <col min="785" max="785" width="1.28333333333333" style="1" customWidth="1"/>
    <col min="786" max="786" width="1.14166666666667" style="1" customWidth="1"/>
    <col min="787" max="787" width="11" style="1" customWidth="1"/>
    <col min="788" max="788" width="1.56666666666667" style="1" customWidth="1"/>
    <col min="789" max="789" width="9.14166666666667" style="1" customWidth="1"/>
    <col min="790" max="790" width="1.14166666666667" style="1" customWidth="1"/>
    <col min="791" max="791" width="9.14166666666667" style="1" customWidth="1"/>
    <col min="792" max="792" width="1.14166666666667" style="1" customWidth="1"/>
    <col min="793" max="793" width="2.85833333333333" style="1" customWidth="1"/>
    <col min="794" max="794" width="5.85833333333333" style="1" customWidth="1"/>
    <col min="795" max="795" width="1.56666666666667" style="1" customWidth="1"/>
    <col min="796" max="797" width="1.14166666666667" style="1" customWidth="1"/>
    <col min="798" max="798" width="3.14166666666667" style="1" customWidth="1"/>
    <col min="799" max="799" width="1.425" style="1" customWidth="1"/>
    <col min="800" max="800" width="2.28333333333333" style="1" customWidth="1"/>
    <col min="801" max="801" width="1.14166666666667" style="1" customWidth="1"/>
    <col min="802" max="803" width="2.28333333333333" style="1" customWidth="1"/>
    <col min="804" max="804" width="3.14166666666667" style="1" customWidth="1"/>
    <col min="805" max="805" width="1" style="1" customWidth="1"/>
    <col min="806" max="1024" width="6.85833333333333" style="1" customWidth="1"/>
    <col min="1025" max="1025" width="1.14166666666667" style="1" customWidth="1"/>
    <col min="1026" max="1026" width="9.85833333333333" style="1" customWidth="1"/>
    <col min="1027" max="1027" width="1.56666666666667" style="1" customWidth="1"/>
    <col min="1028" max="1028" width="1.28333333333333" style="1" customWidth="1"/>
    <col min="1029" max="1029" width="3" style="1" customWidth="1"/>
    <col min="1030" max="1030" width="4.425" style="1" customWidth="1"/>
    <col min="1031" max="1031" width="17.2833333333333" style="1" customWidth="1"/>
    <col min="1032" max="1032" width="3.56666666666667" style="1" customWidth="1"/>
    <col min="1033" max="1033" width="1.14166666666667" style="1" customWidth="1"/>
    <col min="1034" max="1034" width="6.56666666666667" style="1" customWidth="1"/>
    <col min="1035" max="1035" width="3.70833333333333" style="1" customWidth="1"/>
    <col min="1036" max="1036" width="2.85833333333333" style="1" customWidth="1"/>
    <col min="1037" max="1037" width="6.28333333333333" style="1" customWidth="1"/>
    <col min="1038" max="1039" width="2.28333333333333" style="1" customWidth="1"/>
    <col min="1040" max="1040" width="6.70833333333333" style="1" customWidth="1"/>
    <col min="1041" max="1041" width="1.28333333333333" style="1" customWidth="1"/>
    <col min="1042" max="1042" width="1.14166666666667" style="1" customWidth="1"/>
    <col min="1043" max="1043" width="11" style="1" customWidth="1"/>
    <col min="1044" max="1044" width="1.56666666666667" style="1" customWidth="1"/>
    <col min="1045" max="1045" width="9.14166666666667" style="1" customWidth="1"/>
    <col min="1046" max="1046" width="1.14166666666667" style="1" customWidth="1"/>
    <col min="1047" max="1047" width="9.14166666666667" style="1" customWidth="1"/>
    <col min="1048" max="1048" width="1.14166666666667" style="1" customWidth="1"/>
    <col min="1049" max="1049" width="2.85833333333333" style="1" customWidth="1"/>
    <col min="1050" max="1050" width="5.85833333333333" style="1" customWidth="1"/>
    <col min="1051" max="1051" width="1.56666666666667" style="1" customWidth="1"/>
    <col min="1052" max="1053" width="1.14166666666667" style="1" customWidth="1"/>
    <col min="1054" max="1054" width="3.14166666666667" style="1" customWidth="1"/>
    <col min="1055" max="1055" width="1.425" style="1" customWidth="1"/>
    <col min="1056" max="1056" width="2.28333333333333" style="1" customWidth="1"/>
    <col min="1057" max="1057" width="1.14166666666667" style="1" customWidth="1"/>
    <col min="1058" max="1059" width="2.28333333333333" style="1" customWidth="1"/>
    <col min="1060" max="1060" width="3.14166666666667" style="1" customWidth="1"/>
    <col min="1061" max="1061" width="1" style="1" customWidth="1"/>
    <col min="1062" max="1280" width="6.85833333333333" style="1" customWidth="1"/>
    <col min="1281" max="1281" width="1.14166666666667" style="1" customWidth="1"/>
    <col min="1282" max="1282" width="9.85833333333333" style="1" customWidth="1"/>
    <col min="1283" max="1283" width="1.56666666666667" style="1" customWidth="1"/>
    <col min="1284" max="1284" width="1.28333333333333" style="1" customWidth="1"/>
    <col min="1285" max="1285" width="3" style="1" customWidth="1"/>
    <col min="1286" max="1286" width="4.425" style="1" customWidth="1"/>
    <col min="1287" max="1287" width="17.2833333333333" style="1" customWidth="1"/>
    <col min="1288" max="1288" width="3.56666666666667" style="1" customWidth="1"/>
    <col min="1289" max="1289" width="1.14166666666667" style="1" customWidth="1"/>
    <col min="1290" max="1290" width="6.56666666666667" style="1" customWidth="1"/>
    <col min="1291" max="1291" width="3.70833333333333" style="1" customWidth="1"/>
    <col min="1292" max="1292" width="2.85833333333333" style="1" customWidth="1"/>
    <col min="1293" max="1293" width="6.28333333333333" style="1" customWidth="1"/>
    <col min="1294" max="1295" width="2.28333333333333" style="1" customWidth="1"/>
    <col min="1296" max="1296" width="6.70833333333333" style="1" customWidth="1"/>
    <col min="1297" max="1297" width="1.28333333333333" style="1" customWidth="1"/>
    <col min="1298" max="1298" width="1.14166666666667" style="1" customWidth="1"/>
    <col min="1299" max="1299" width="11" style="1" customWidth="1"/>
    <col min="1300" max="1300" width="1.56666666666667" style="1" customWidth="1"/>
    <col min="1301" max="1301" width="9.14166666666667" style="1" customWidth="1"/>
    <col min="1302" max="1302" width="1.14166666666667" style="1" customWidth="1"/>
    <col min="1303" max="1303" width="9.14166666666667" style="1" customWidth="1"/>
    <col min="1304" max="1304" width="1.14166666666667" style="1" customWidth="1"/>
    <col min="1305" max="1305" width="2.85833333333333" style="1" customWidth="1"/>
    <col min="1306" max="1306" width="5.85833333333333" style="1" customWidth="1"/>
    <col min="1307" max="1307" width="1.56666666666667" style="1" customWidth="1"/>
    <col min="1308" max="1309" width="1.14166666666667" style="1" customWidth="1"/>
    <col min="1310" max="1310" width="3.14166666666667" style="1" customWidth="1"/>
    <col min="1311" max="1311" width="1.425" style="1" customWidth="1"/>
    <col min="1312" max="1312" width="2.28333333333333" style="1" customWidth="1"/>
    <col min="1313" max="1313" width="1.14166666666667" style="1" customWidth="1"/>
    <col min="1314" max="1315" width="2.28333333333333" style="1" customWidth="1"/>
    <col min="1316" max="1316" width="3.14166666666667" style="1" customWidth="1"/>
    <col min="1317" max="1317" width="1" style="1" customWidth="1"/>
    <col min="1318" max="1536" width="6.85833333333333" style="1" customWidth="1"/>
    <col min="1537" max="1537" width="1.14166666666667" style="1" customWidth="1"/>
    <col min="1538" max="1538" width="9.85833333333333" style="1" customWidth="1"/>
    <col min="1539" max="1539" width="1.56666666666667" style="1" customWidth="1"/>
    <col min="1540" max="1540" width="1.28333333333333" style="1" customWidth="1"/>
    <col min="1541" max="1541" width="3" style="1" customWidth="1"/>
    <col min="1542" max="1542" width="4.425" style="1" customWidth="1"/>
    <col min="1543" max="1543" width="17.2833333333333" style="1" customWidth="1"/>
    <col min="1544" max="1544" width="3.56666666666667" style="1" customWidth="1"/>
    <col min="1545" max="1545" width="1.14166666666667" style="1" customWidth="1"/>
    <col min="1546" max="1546" width="6.56666666666667" style="1" customWidth="1"/>
    <col min="1547" max="1547" width="3.70833333333333" style="1" customWidth="1"/>
    <col min="1548" max="1548" width="2.85833333333333" style="1" customWidth="1"/>
    <col min="1549" max="1549" width="6.28333333333333" style="1" customWidth="1"/>
    <col min="1550" max="1551" width="2.28333333333333" style="1" customWidth="1"/>
    <col min="1552" max="1552" width="6.70833333333333" style="1" customWidth="1"/>
    <col min="1553" max="1553" width="1.28333333333333" style="1" customWidth="1"/>
    <col min="1554" max="1554" width="1.14166666666667" style="1" customWidth="1"/>
    <col min="1555" max="1555" width="11" style="1" customWidth="1"/>
    <col min="1556" max="1556" width="1.56666666666667" style="1" customWidth="1"/>
    <col min="1557" max="1557" width="9.14166666666667" style="1" customWidth="1"/>
    <col min="1558" max="1558" width="1.14166666666667" style="1" customWidth="1"/>
    <col min="1559" max="1559" width="9.14166666666667" style="1" customWidth="1"/>
    <col min="1560" max="1560" width="1.14166666666667" style="1" customWidth="1"/>
    <col min="1561" max="1561" width="2.85833333333333" style="1" customWidth="1"/>
    <col min="1562" max="1562" width="5.85833333333333" style="1" customWidth="1"/>
    <col min="1563" max="1563" width="1.56666666666667" style="1" customWidth="1"/>
    <col min="1564" max="1565" width="1.14166666666667" style="1" customWidth="1"/>
    <col min="1566" max="1566" width="3.14166666666667" style="1" customWidth="1"/>
    <col min="1567" max="1567" width="1.425" style="1" customWidth="1"/>
    <col min="1568" max="1568" width="2.28333333333333" style="1" customWidth="1"/>
    <col min="1569" max="1569" width="1.14166666666667" style="1" customWidth="1"/>
    <col min="1570" max="1571" width="2.28333333333333" style="1" customWidth="1"/>
    <col min="1572" max="1572" width="3.14166666666667" style="1" customWidth="1"/>
    <col min="1573" max="1573" width="1" style="1" customWidth="1"/>
    <col min="1574" max="1792" width="6.85833333333333" style="1" customWidth="1"/>
    <col min="1793" max="1793" width="1.14166666666667" style="1" customWidth="1"/>
    <col min="1794" max="1794" width="9.85833333333333" style="1" customWidth="1"/>
    <col min="1795" max="1795" width="1.56666666666667" style="1" customWidth="1"/>
    <col min="1796" max="1796" width="1.28333333333333" style="1" customWidth="1"/>
    <col min="1797" max="1797" width="3" style="1" customWidth="1"/>
    <col min="1798" max="1798" width="4.425" style="1" customWidth="1"/>
    <col min="1799" max="1799" width="17.2833333333333" style="1" customWidth="1"/>
    <col min="1800" max="1800" width="3.56666666666667" style="1" customWidth="1"/>
    <col min="1801" max="1801" width="1.14166666666667" style="1" customWidth="1"/>
    <col min="1802" max="1802" width="6.56666666666667" style="1" customWidth="1"/>
    <col min="1803" max="1803" width="3.70833333333333" style="1" customWidth="1"/>
    <col min="1804" max="1804" width="2.85833333333333" style="1" customWidth="1"/>
    <col min="1805" max="1805" width="6.28333333333333" style="1" customWidth="1"/>
    <col min="1806" max="1807" width="2.28333333333333" style="1" customWidth="1"/>
    <col min="1808" max="1808" width="6.70833333333333" style="1" customWidth="1"/>
    <col min="1809" max="1809" width="1.28333333333333" style="1" customWidth="1"/>
    <col min="1810" max="1810" width="1.14166666666667" style="1" customWidth="1"/>
    <col min="1811" max="1811" width="11" style="1" customWidth="1"/>
    <col min="1812" max="1812" width="1.56666666666667" style="1" customWidth="1"/>
    <col min="1813" max="1813" width="9.14166666666667" style="1" customWidth="1"/>
    <col min="1814" max="1814" width="1.14166666666667" style="1" customWidth="1"/>
    <col min="1815" max="1815" width="9.14166666666667" style="1" customWidth="1"/>
    <col min="1816" max="1816" width="1.14166666666667" style="1" customWidth="1"/>
    <col min="1817" max="1817" width="2.85833333333333" style="1" customWidth="1"/>
    <col min="1818" max="1818" width="5.85833333333333" style="1" customWidth="1"/>
    <col min="1819" max="1819" width="1.56666666666667" style="1" customWidth="1"/>
    <col min="1820" max="1821" width="1.14166666666667" style="1" customWidth="1"/>
    <col min="1822" max="1822" width="3.14166666666667" style="1" customWidth="1"/>
    <col min="1823" max="1823" width="1.425" style="1" customWidth="1"/>
    <col min="1824" max="1824" width="2.28333333333333" style="1" customWidth="1"/>
    <col min="1825" max="1825" width="1.14166666666667" style="1" customWidth="1"/>
    <col min="1826" max="1827" width="2.28333333333333" style="1" customWidth="1"/>
    <col min="1828" max="1828" width="3.14166666666667" style="1" customWidth="1"/>
    <col min="1829" max="1829" width="1" style="1" customWidth="1"/>
    <col min="1830" max="2048" width="6.85833333333333" style="1" customWidth="1"/>
    <col min="2049" max="2049" width="1.14166666666667" style="1" customWidth="1"/>
    <col min="2050" max="2050" width="9.85833333333333" style="1" customWidth="1"/>
    <col min="2051" max="2051" width="1.56666666666667" style="1" customWidth="1"/>
    <col min="2052" max="2052" width="1.28333333333333" style="1" customWidth="1"/>
    <col min="2053" max="2053" width="3" style="1" customWidth="1"/>
    <col min="2054" max="2054" width="4.425" style="1" customWidth="1"/>
    <col min="2055" max="2055" width="17.2833333333333" style="1" customWidth="1"/>
    <col min="2056" max="2056" width="3.56666666666667" style="1" customWidth="1"/>
    <col min="2057" max="2057" width="1.14166666666667" style="1" customWidth="1"/>
    <col min="2058" max="2058" width="6.56666666666667" style="1" customWidth="1"/>
    <col min="2059" max="2059" width="3.70833333333333" style="1" customWidth="1"/>
    <col min="2060" max="2060" width="2.85833333333333" style="1" customWidth="1"/>
    <col min="2061" max="2061" width="6.28333333333333" style="1" customWidth="1"/>
    <col min="2062" max="2063" width="2.28333333333333" style="1" customWidth="1"/>
    <col min="2064" max="2064" width="6.70833333333333" style="1" customWidth="1"/>
    <col min="2065" max="2065" width="1.28333333333333" style="1" customWidth="1"/>
    <col min="2066" max="2066" width="1.14166666666667" style="1" customWidth="1"/>
    <col min="2067" max="2067" width="11" style="1" customWidth="1"/>
    <col min="2068" max="2068" width="1.56666666666667" style="1" customWidth="1"/>
    <col min="2069" max="2069" width="9.14166666666667" style="1" customWidth="1"/>
    <col min="2070" max="2070" width="1.14166666666667" style="1" customWidth="1"/>
    <col min="2071" max="2071" width="9.14166666666667" style="1" customWidth="1"/>
    <col min="2072" max="2072" width="1.14166666666667" style="1" customWidth="1"/>
    <col min="2073" max="2073" width="2.85833333333333" style="1" customWidth="1"/>
    <col min="2074" max="2074" width="5.85833333333333" style="1" customWidth="1"/>
    <col min="2075" max="2075" width="1.56666666666667" style="1" customWidth="1"/>
    <col min="2076" max="2077" width="1.14166666666667" style="1" customWidth="1"/>
    <col min="2078" max="2078" width="3.14166666666667" style="1" customWidth="1"/>
    <col min="2079" max="2079" width="1.425" style="1" customWidth="1"/>
    <col min="2080" max="2080" width="2.28333333333333" style="1" customWidth="1"/>
    <col min="2081" max="2081" width="1.14166666666667" style="1" customWidth="1"/>
    <col min="2082" max="2083" width="2.28333333333333" style="1" customWidth="1"/>
    <col min="2084" max="2084" width="3.14166666666667" style="1" customWidth="1"/>
    <col min="2085" max="2085" width="1" style="1" customWidth="1"/>
    <col min="2086" max="2304" width="6.85833333333333" style="1" customWidth="1"/>
    <col min="2305" max="2305" width="1.14166666666667" style="1" customWidth="1"/>
    <col min="2306" max="2306" width="9.85833333333333" style="1" customWidth="1"/>
    <col min="2307" max="2307" width="1.56666666666667" style="1" customWidth="1"/>
    <col min="2308" max="2308" width="1.28333333333333" style="1" customWidth="1"/>
    <col min="2309" max="2309" width="3" style="1" customWidth="1"/>
    <col min="2310" max="2310" width="4.425" style="1" customWidth="1"/>
    <col min="2311" max="2311" width="17.2833333333333" style="1" customWidth="1"/>
    <col min="2312" max="2312" width="3.56666666666667" style="1" customWidth="1"/>
    <col min="2313" max="2313" width="1.14166666666667" style="1" customWidth="1"/>
    <col min="2314" max="2314" width="6.56666666666667" style="1" customWidth="1"/>
    <col min="2315" max="2315" width="3.70833333333333" style="1" customWidth="1"/>
    <col min="2316" max="2316" width="2.85833333333333" style="1" customWidth="1"/>
    <col min="2317" max="2317" width="6.28333333333333" style="1" customWidth="1"/>
    <col min="2318" max="2319" width="2.28333333333333" style="1" customWidth="1"/>
    <col min="2320" max="2320" width="6.70833333333333" style="1" customWidth="1"/>
    <col min="2321" max="2321" width="1.28333333333333" style="1" customWidth="1"/>
    <col min="2322" max="2322" width="1.14166666666667" style="1" customWidth="1"/>
    <col min="2323" max="2323" width="11" style="1" customWidth="1"/>
    <col min="2324" max="2324" width="1.56666666666667" style="1" customWidth="1"/>
    <col min="2325" max="2325" width="9.14166666666667" style="1" customWidth="1"/>
    <col min="2326" max="2326" width="1.14166666666667" style="1" customWidth="1"/>
    <col min="2327" max="2327" width="9.14166666666667" style="1" customWidth="1"/>
    <col min="2328" max="2328" width="1.14166666666667" style="1" customWidth="1"/>
    <col min="2329" max="2329" width="2.85833333333333" style="1" customWidth="1"/>
    <col min="2330" max="2330" width="5.85833333333333" style="1" customWidth="1"/>
    <col min="2331" max="2331" width="1.56666666666667" style="1" customWidth="1"/>
    <col min="2332" max="2333" width="1.14166666666667" style="1" customWidth="1"/>
    <col min="2334" max="2334" width="3.14166666666667" style="1" customWidth="1"/>
    <col min="2335" max="2335" width="1.425" style="1" customWidth="1"/>
    <col min="2336" max="2336" width="2.28333333333333" style="1" customWidth="1"/>
    <col min="2337" max="2337" width="1.14166666666667" style="1" customWidth="1"/>
    <col min="2338" max="2339" width="2.28333333333333" style="1" customWidth="1"/>
    <col min="2340" max="2340" width="3.14166666666667" style="1" customWidth="1"/>
    <col min="2341" max="2341" width="1" style="1" customWidth="1"/>
    <col min="2342" max="2560" width="6.85833333333333" style="1" customWidth="1"/>
    <col min="2561" max="2561" width="1.14166666666667" style="1" customWidth="1"/>
    <col min="2562" max="2562" width="9.85833333333333" style="1" customWidth="1"/>
    <col min="2563" max="2563" width="1.56666666666667" style="1" customWidth="1"/>
    <col min="2564" max="2564" width="1.28333333333333" style="1" customWidth="1"/>
    <col min="2565" max="2565" width="3" style="1" customWidth="1"/>
    <col min="2566" max="2566" width="4.425" style="1" customWidth="1"/>
    <col min="2567" max="2567" width="17.2833333333333" style="1" customWidth="1"/>
    <col min="2568" max="2568" width="3.56666666666667" style="1" customWidth="1"/>
    <col min="2569" max="2569" width="1.14166666666667" style="1" customWidth="1"/>
    <col min="2570" max="2570" width="6.56666666666667" style="1" customWidth="1"/>
    <col min="2571" max="2571" width="3.70833333333333" style="1" customWidth="1"/>
    <col min="2572" max="2572" width="2.85833333333333" style="1" customWidth="1"/>
    <col min="2573" max="2573" width="6.28333333333333" style="1" customWidth="1"/>
    <col min="2574" max="2575" width="2.28333333333333" style="1" customWidth="1"/>
    <col min="2576" max="2576" width="6.70833333333333" style="1" customWidth="1"/>
    <col min="2577" max="2577" width="1.28333333333333" style="1" customWidth="1"/>
    <col min="2578" max="2578" width="1.14166666666667" style="1" customWidth="1"/>
    <col min="2579" max="2579" width="11" style="1" customWidth="1"/>
    <col min="2580" max="2580" width="1.56666666666667" style="1" customWidth="1"/>
    <col min="2581" max="2581" width="9.14166666666667" style="1" customWidth="1"/>
    <col min="2582" max="2582" width="1.14166666666667" style="1" customWidth="1"/>
    <col min="2583" max="2583" width="9.14166666666667" style="1" customWidth="1"/>
    <col min="2584" max="2584" width="1.14166666666667" style="1" customWidth="1"/>
    <col min="2585" max="2585" width="2.85833333333333" style="1" customWidth="1"/>
    <col min="2586" max="2586" width="5.85833333333333" style="1" customWidth="1"/>
    <col min="2587" max="2587" width="1.56666666666667" style="1" customWidth="1"/>
    <col min="2588" max="2589" width="1.14166666666667" style="1" customWidth="1"/>
    <col min="2590" max="2590" width="3.14166666666667" style="1" customWidth="1"/>
    <col min="2591" max="2591" width="1.425" style="1" customWidth="1"/>
    <col min="2592" max="2592" width="2.28333333333333" style="1" customWidth="1"/>
    <col min="2593" max="2593" width="1.14166666666667" style="1" customWidth="1"/>
    <col min="2594" max="2595" width="2.28333333333333" style="1" customWidth="1"/>
    <col min="2596" max="2596" width="3.14166666666667" style="1" customWidth="1"/>
    <col min="2597" max="2597" width="1" style="1" customWidth="1"/>
    <col min="2598" max="2816" width="6.85833333333333" style="1" customWidth="1"/>
    <col min="2817" max="2817" width="1.14166666666667" style="1" customWidth="1"/>
    <col min="2818" max="2818" width="9.85833333333333" style="1" customWidth="1"/>
    <col min="2819" max="2819" width="1.56666666666667" style="1" customWidth="1"/>
    <col min="2820" max="2820" width="1.28333333333333" style="1" customWidth="1"/>
    <col min="2821" max="2821" width="3" style="1" customWidth="1"/>
    <col min="2822" max="2822" width="4.425" style="1" customWidth="1"/>
    <col min="2823" max="2823" width="17.2833333333333" style="1" customWidth="1"/>
    <col min="2824" max="2824" width="3.56666666666667" style="1" customWidth="1"/>
    <col min="2825" max="2825" width="1.14166666666667" style="1" customWidth="1"/>
    <col min="2826" max="2826" width="6.56666666666667" style="1" customWidth="1"/>
    <col min="2827" max="2827" width="3.70833333333333" style="1" customWidth="1"/>
    <col min="2828" max="2828" width="2.85833333333333" style="1" customWidth="1"/>
    <col min="2829" max="2829" width="6.28333333333333" style="1" customWidth="1"/>
    <col min="2830" max="2831" width="2.28333333333333" style="1" customWidth="1"/>
    <col min="2832" max="2832" width="6.70833333333333" style="1" customWidth="1"/>
    <col min="2833" max="2833" width="1.28333333333333" style="1" customWidth="1"/>
    <col min="2834" max="2834" width="1.14166666666667" style="1" customWidth="1"/>
    <col min="2835" max="2835" width="11" style="1" customWidth="1"/>
    <col min="2836" max="2836" width="1.56666666666667" style="1" customWidth="1"/>
    <col min="2837" max="2837" width="9.14166666666667" style="1" customWidth="1"/>
    <col min="2838" max="2838" width="1.14166666666667" style="1" customWidth="1"/>
    <col min="2839" max="2839" width="9.14166666666667" style="1" customWidth="1"/>
    <col min="2840" max="2840" width="1.14166666666667" style="1" customWidth="1"/>
    <col min="2841" max="2841" width="2.85833333333333" style="1" customWidth="1"/>
    <col min="2842" max="2842" width="5.85833333333333" style="1" customWidth="1"/>
    <col min="2843" max="2843" width="1.56666666666667" style="1" customWidth="1"/>
    <col min="2844" max="2845" width="1.14166666666667" style="1" customWidth="1"/>
    <col min="2846" max="2846" width="3.14166666666667" style="1" customWidth="1"/>
    <col min="2847" max="2847" width="1.425" style="1" customWidth="1"/>
    <col min="2848" max="2848" width="2.28333333333333" style="1" customWidth="1"/>
    <col min="2849" max="2849" width="1.14166666666667" style="1" customWidth="1"/>
    <col min="2850" max="2851" width="2.28333333333333" style="1" customWidth="1"/>
    <col min="2852" max="2852" width="3.14166666666667" style="1" customWidth="1"/>
    <col min="2853" max="2853" width="1" style="1" customWidth="1"/>
    <col min="2854" max="3072" width="6.85833333333333" style="1" customWidth="1"/>
    <col min="3073" max="3073" width="1.14166666666667" style="1" customWidth="1"/>
    <col min="3074" max="3074" width="9.85833333333333" style="1" customWidth="1"/>
    <col min="3075" max="3075" width="1.56666666666667" style="1" customWidth="1"/>
    <col min="3076" max="3076" width="1.28333333333333" style="1" customWidth="1"/>
    <col min="3077" max="3077" width="3" style="1" customWidth="1"/>
    <col min="3078" max="3078" width="4.425" style="1" customWidth="1"/>
    <col min="3079" max="3079" width="17.2833333333333" style="1" customWidth="1"/>
    <col min="3080" max="3080" width="3.56666666666667" style="1" customWidth="1"/>
    <col min="3081" max="3081" width="1.14166666666667" style="1" customWidth="1"/>
    <col min="3082" max="3082" width="6.56666666666667" style="1" customWidth="1"/>
    <col min="3083" max="3083" width="3.70833333333333" style="1" customWidth="1"/>
    <col min="3084" max="3084" width="2.85833333333333" style="1" customWidth="1"/>
    <col min="3085" max="3085" width="6.28333333333333" style="1" customWidth="1"/>
    <col min="3086" max="3087" width="2.28333333333333" style="1" customWidth="1"/>
    <col min="3088" max="3088" width="6.70833333333333" style="1" customWidth="1"/>
    <col min="3089" max="3089" width="1.28333333333333" style="1" customWidth="1"/>
    <col min="3090" max="3090" width="1.14166666666667" style="1" customWidth="1"/>
    <col min="3091" max="3091" width="11" style="1" customWidth="1"/>
    <col min="3092" max="3092" width="1.56666666666667" style="1" customWidth="1"/>
    <col min="3093" max="3093" width="9.14166666666667" style="1" customWidth="1"/>
    <col min="3094" max="3094" width="1.14166666666667" style="1" customWidth="1"/>
    <col min="3095" max="3095" width="9.14166666666667" style="1" customWidth="1"/>
    <col min="3096" max="3096" width="1.14166666666667" style="1" customWidth="1"/>
    <col min="3097" max="3097" width="2.85833333333333" style="1" customWidth="1"/>
    <col min="3098" max="3098" width="5.85833333333333" style="1" customWidth="1"/>
    <col min="3099" max="3099" width="1.56666666666667" style="1" customWidth="1"/>
    <col min="3100" max="3101" width="1.14166666666667" style="1" customWidth="1"/>
    <col min="3102" max="3102" width="3.14166666666667" style="1" customWidth="1"/>
    <col min="3103" max="3103" width="1.425" style="1" customWidth="1"/>
    <col min="3104" max="3104" width="2.28333333333333" style="1" customWidth="1"/>
    <col min="3105" max="3105" width="1.14166666666667" style="1" customWidth="1"/>
    <col min="3106" max="3107" width="2.28333333333333" style="1" customWidth="1"/>
    <col min="3108" max="3108" width="3.14166666666667" style="1" customWidth="1"/>
    <col min="3109" max="3109" width="1" style="1" customWidth="1"/>
    <col min="3110" max="3328" width="6.85833333333333" style="1" customWidth="1"/>
    <col min="3329" max="3329" width="1.14166666666667" style="1" customWidth="1"/>
    <col min="3330" max="3330" width="9.85833333333333" style="1" customWidth="1"/>
    <col min="3331" max="3331" width="1.56666666666667" style="1" customWidth="1"/>
    <col min="3332" max="3332" width="1.28333333333333" style="1" customWidth="1"/>
    <col min="3333" max="3333" width="3" style="1" customWidth="1"/>
    <col min="3334" max="3334" width="4.425" style="1" customWidth="1"/>
    <col min="3335" max="3335" width="17.2833333333333" style="1" customWidth="1"/>
    <col min="3336" max="3336" width="3.56666666666667" style="1" customWidth="1"/>
    <col min="3337" max="3337" width="1.14166666666667" style="1" customWidth="1"/>
    <col min="3338" max="3338" width="6.56666666666667" style="1" customWidth="1"/>
    <col min="3339" max="3339" width="3.70833333333333" style="1" customWidth="1"/>
    <col min="3340" max="3340" width="2.85833333333333" style="1" customWidth="1"/>
    <col min="3341" max="3341" width="6.28333333333333" style="1" customWidth="1"/>
    <col min="3342" max="3343" width="2.28333333333333" style="1" customWidth="1"/>
    <col min="3344" max="3344" width="6.70833333333333" style="1" customWidth="1"/>
    <col min="3345" max="3345" width="1.28333333333333" style="1" customWidth="1"/>
    <col min="3346" max="3346" width="1.14166666666667" style="1" customWidth="1"/>
    <col min="3347" max="3347" width="11" style="1" customWidth="1"/>
    <col min="3348" max="3348" width="1.56666666666667" style="1" customWidth="1"/>
    <col min="3349" max="3349" width="9.14166666666667" style="1" customWidth="1"/>
    <col min="3350" max="3350" width="1.14166666666667" style="1" customWidth="1"/>
    <col min="3351" max="3351" width="9.14166666666667" style="1" customWidth="1"/>
    <col min="3352" max="3352" width="1.14166666666667" style="1" customWidth="1"/>
    <col min="3353" max="3353" width="2.85833333333333" style="1" customWidth="1"/>
    <col min="3354" max="3354" width="5.85833333333333" style="1" customWidth="1"/>
    <col min="3355" max="3355" width="1.56666666666667" style="1" customWidth="1"/>
    <col min="3356" max="3357" width="1.14166666666667" style="1" customWidth="1"/>
    <col min="3358" max="3358" width="3.14166666666667" style="1" customWidth="1"/>
    <col min="3359" max="3359" width="1.425" style="1" customWidth="1"/>
    <col min="3360" max="3360" width="2.28333333333333" style="1" customWidth="1"/>
    <col min="3361" max="3361" width="1.14166666666667" style="1" customWidth="1"/>
    <col min="3362" max="3363" width="2.28333333333333" style="1" customWidth="1"/>
    <col min="3364" max="3364" width="3.14166666666667" style="1" customWidth="1"/>
    <col min="3365" max="3365" width="1" style="1" customWidth="1"/>
    <col min="3366" max="3584" width="6.85833333333333" style="1" customWidth="1"/>
    <col min="3585" max="3585" width="1.14166666666667" style="1" customWidth="1"/>
    <col min="3586" max="3586" width="9.85833333333333" style="1" customWidth="1"/>
    <col min="3587" max="3587" width="1.56666666666667" style="1" customWidth="1"/>
    <col min="3588" max="3588" width="1.28333333333333" style="1" customWidth="1"/>
    <col min="3589" max="3589" width="3" style="1" customWidth="1"/>
    <col min="3590" max="3590" width="4.425" style="1" customWidth="1"/>
    <col min="3591" max="3591" width="17.2833333333333" style="1" customWidth="1"/>
    <col min="3592" max="3592" width="3.56666666666667" style="1" customWidth="1"/>
    <col min="3593" max="3593" width="1.14166666666667" style="1" customWidth="1"/>
    <col min="3594" max="3594" width="6.56666666666667" style="1" customWidth="1"/>
    <col min="3595" max="3595" width="3.70833333333333" style="1" customWidth="1"/>
    <col min="3596" max="3596" width="2.85833333333333" style="1" customWidth="1"/>
    <col min="3597" max="3597" width="6.28333333333333" style="1" customWidth="1"/>
    <col min="3598" max="3599" width="2.28333333333333" style="1" customWidth="1"/>
    <col min="3600" max="3600" width="6.70833333333333" style="1" customWidth="1"/>
    <col min="3601" max="3601" width="1.28333333333333" style="1" customWidth="1"/>
    <col min="3602" max="3602" width="1.14166666666667" style="1" customWidth="1"/>
    <col min="3603" max="3603" width="11" style="1" customWidth="1"/>
    <col min="3604" max="3604" width="1.56666666666667" style="1" customWidth="1"/>
    <col min="3605" max="3605" width="9.14166666666667" style="1" customWidth="1"/>
    <col min="3606" max="3606" width="1.14166666666667" style="1" customWidth="1"/>
    <col min="3607" max="3607" width="9.14166666666667" style="1" customWidth="1"/>
    <col min="3608" max="3608" width="1.14166666666667" style="1" customWidth="1"/>
    <col min="3609" max="3609" width="2.85833333333333" style="1" customWidth="1"/>
    <col min="3610" max="3610" width="5.85833333333333" style="1" customWidth="1"/>
    <col min="3611" max="3611" width="1.56666666666667" style="1" customWidth="1"/>
    <col min="3612" max="3613" width="1.14166666666667" style="1" customWidth="1"/>
    <col min="3614" max="3614" width="3.14166666666667" style="1" customWidth="1"/>
    <col min="3615" max="3615" width="1.425" style="1" customWidth="1"/>
    <col min="3616" max="3616" width="2.28333333333333" style="1" customWidth="1"/>
    <col min="3617" max="3617" width="1.14166666666667" style="1" customWidth="1"/>
    <col min="3618" max="3619" width="2.28333333333333" style="1" customWidth="1"/>
    <col min="3620" max="3620" width="3.14166666666667" style="1" customWidth="1"/>
    <col min="3621" max="3621" width="1" style="1" customWidth="1"/>
    <col min="3622" max="3840" width="6.85833333333333" style="1" customWidth="1"/>
    <col min="3841" max="3841" width="1.14166666666667" style="1" customWidth="1"/>
    <col min="3842" max="3842" width="9.85833333333333" style="1" customWidth="1"/>
    <col min="3843" max="3843" width="1.56666666666667" style="1" customWidth="1"/>
    <col min="3844" max="3844" width="1.28333333333333" style="1" customWidth="1"/>
    <col min="3845" max="3845" width="3" style="1" customWidth="1"/>
    <col min="3846" max="3846" width="4.425" style="1" customWidth="1"/>
    <col min="3847" max="3847" width="17.2833333333333" style="1" customWidth="1"/>
    <col min="3848" max="3848" width="3.56666666666667" style="1" customWidth="1"/>
    <col min="3849" max="3849" width="1.14166666666667" style="1" customWidth="1"/>
    <col min="3850" max="3850" width="6.56666666666667" style="1" customWidth="1"/>
    <col min="3851" max="3851" width="3.70833333333333" style="1" customWidth="1"/>
    <col min="3852" max="3852" width="2.85833333333333" style="1" customWidth="1"/>
    <col min="3853" max="3853" width="6.28333333333333" style="1" customWidth="1"/>
    <col min="3854" max="3855" width="2.28333333333333" style="1" customWidth="1"/>
    <col min="3856" max="3856" width="6.70833333333333" style="1" customWidth="1"/>
    <col min="3857" max="3857" width="1.28333333333333" style="1" customWidth="1"/>
    <col min="3858" max="3858" width="1.14166666666667" style="1" customWidth="1"/>
    <col min="3859" max="3859" width="11" style="1" customWidth="1"/>
    <col min="3860" max="3860" width="1.56666666666667" style="1" customWidth="1"/>
    <col min="3861" max="3861" width="9.14166666666667" style="1" customWidth="1"/>
    <col min="3862" max="3862" width="1.14166666666667" style="1" customWidth="1"/>
    <col min="3863" max="3863" width="9.14166666666667" style="1" customWidth="1"/>
    <col min="3864" max="3864" width="1.14166666666667" style="1" customWidth="1"/>
    <col min="3865" max="3865" width="2.85833333333333" style="1" customWidth="1"/>
    <col min="3866" max="3866" width="5.85833333333333" style="1" customWidth="1"/>
    <col min="3867" max="3867" width="1.56666666666667" style="1" customWidth="1"/>
    <col min="3868" max="3869" width="1.14166666666667" style="1" customWidth="1"/>
    <col min="3870" max="3870" width="3.14166666666667" style="1" customWidth="1"/>
    <col min="3871" max="3871" width="1.425" style="1" customWidth="1"/>
    <col min="3872" max="3872" width="2.28333333333333" style="1" customWidth="1"/>
    <col min="3873" max="3873" width="1.14166666666667" style="1" customWidth="1"/>
    <col min="3874" max="3875" width="2.28333333333333" style="1" customWidth="1"/>
    <col min="3876" max="3876" width="3.14166666666667" style="1" customWidth="1"/>
    <col min="3877" max="3877" width="1" style="1" customWidth="1"/>
    <col min="3878" max="4096" width="6.85833333333333" style="1" customWidth="1"/>
    <col min="4097" max="4097" width="1.14166666666667" style="1" customWidth="1"/>
    <col min="4098" max="4098" width="9.85833333333333" style="1" customWidth="1"/>
    <col min="4099" max="4099" width="1.56666666666667" style="1" customWidth="1"/>
    <col min="4100" max="4100" width="1.28333333333333" style="1" customWidth="1"/>
    <col min="4101" max="4101" width="3" style="1" customWidth="1"/>
    <col min="4102" max="4102" width="4.425" style="1" customWidth="1"/>
    <col min="4103" max="4103" width="17.2833333333333" style="1" customWidth="1"/>
    <col min="4104" max="4104" width="3.56666666666667" style="1" customWidth="1"/>
    <col min="4105" max="4105" width="1.14166666666667" style="1" customWidth="1"/>
    <col min="4106" max="4106" width="6.56666666666667" style="1" customWidth="1"/>
    <col min="4107" max="4107" width="3.70833333333333" style="1" customWidth="1"/>
    <col min="4108" max="4108" width="2.85833333333333" style="1" customWidth="1"/>
    <col min="4109" max="4109" width="6.28333333333333" style="1" customWidth="1"/>
    <col min="4110" max="4111" width="2.28333333333333" style="1" customWidth="1"/>
    <col min="4112" max="4112" width="6.70833333333333" style="1" customWidth="1"/>
    <col min="4113" max="4113" width="1.28333333333333" style="1" customWidth="1"/>
    <col min="4114" max="4114" width="1.14166666666667" style="1" customWidth="1"/>
    <col min="4115" max="4115" width="11" style="1" customWidth="1"/>
    <col min="4116" max="4116" width="1.56666666666667" style="1" customWidth="1"/>
    <col min="4117" max="4117" width="9.14166666666667" style="1" customWidth="1"/>
    <col min="4118" max="4118" width="1.14166666666667" style="1" customWidth="1"/>
    <col min="4119" max="4119" width="9.14166666666667" style="1" customWidth="1"/>
    <col min="4120" max="4120" width="1.14166666666667" style="1" customWidth="1"/>
    <col min="4121" max="4121" width="2.85833333333333" style="1" customWidth="1"/>
    <col min="4122" max="4122" width="5.85833333333333" style="1" customWidth="1"/>
    <col min="4123" max="4123" width="1.56666666666667" style="1" customWidth="1"/>
    <col min="4124" max="4125" width="1.14166666666667" style="1" customWidth="1"/>
    <col min="4126" max="4126" width="3.14166666666667" style="1" customWidth="1"/>
    <col min="4127" max="4127" width="1.425" style="1" customWidth="1"/>
    <col min="4128" max="4128" width="2.28333333333333" style="1" customWidth="1"/>
    <col min="4129" max="4129" width="1.14166666666667" style="1" customWidth="1"/>
    <col min="4130" max="4131" width="2.28333333333333" style="1" customWidth="1"/>
    <col min="4132" max="4132" width="3.14166666666667" style="1" customWidth="1"/>
    <col min="4133" max="4133" width="1" style="1" customWidth="1"/>
    <col min="4134" max="4352" width="6.85833333333333" style="1" customWidth="1"/>
    <col min="4353" max="4353" width="1.14166666666667" style="1" customWidth="1"/>
    <col min="4354" max="4354" width="9.85833333333333" style="1" customWidth="1"/>
    <col min="4355" max="4355" width="1.56666666666667" style="1" customWidth="1"/>
    <col min="4356" max="4356" width="1.28333333333333" style="1" customWidth="1"/>
    <col min="4357" max="4357" width="3" style="1" customWidth="1"/>
    <col min="4358" max="4358" width="4.425" style="1" customWidth="1"/>
    <col min="4359" max="4359" width="17.2833333333333" style="1" customWidth="1"/>
    <col min="4360" max="4360" width="3.56666666666667" style="1" customWidth="1"/>
    <col min="4361" max="4361" width="1.14166666666667" style="1" customWidth="1"/>
    <col min="4362" max="4362" width="6.56666666666667" style="1" customWidth="1"/>
    <col min="4363" max="4363" width="3.70833333333333" style="1" customWidth="1"/>
    <col min="4364" max="4364" width="2.85833333333333" style="1" customWidth="1"/>
    <col min="4365" max="4365" width="6.28333333333333" style="1" customWidth="1"/>
    <col min="4366" max="4367" width="2.28333333333333" style="1" customWidth="1"/>
    <col min="4368" max="4368" width="6.70833333333333" style="1" customWidth="1"/>
    <col min="4369" max="4369" width="1.28333333333333" style="1" customWidth="1"/>
    <col min="4370" max="4370" width="1.14166666666667" style="1" customWidth="1"/>
    <col min="4371" max="4371" width="11" style="1" customWidth="1"/>
    <col min="4372" max="4372" width="1.56666666666667" style="1" customWidth="1"/>
    <col min="4373" max="4373" width="9.14166666666667" style="1" customWidth="1"/>
    <col min="4374" max="4374" width="1.14166666666667" style="1" customWidth="1"/>
    <col min="4375" max="4375" width="9.14166666666667" style="1" customWidth="1"/>
    <col min="4376" max="4376" width="1.14166666666667" style="1" customWidth="1"/>
    <col min="4377" max="4377" width="2.85833333333333" style="1" customWidth="1"/>
    <col min="4378" max="4378" width="5.85833333333333" style="1" customWidth="1"/>
    <col min="4379" max="4379" width="1.56666666666667" style="1" customWidth="1"/>
    <col min="4380" max="4381" width="1.14166666666667" style="1" customWidth="1"/>
    <col min="4382" max="4382" width="3.14166666666667" style="1" customWidth="1"/>
    <col min="4383" max="4383" width="1.425" style="1" customWidth="1"/>
    <col min="4384" max="4384" width="2.28333333333333" style="1" customWidth="1"/>
    <col min="4385" max="4385" width="1.14166666666667" style="1" customWidth="1"/>
    <col min="4386" max="4387" width="2.28333333333333" style="1" customWidth="1"/>
    <col min="4388" max="4388" width="3.14166666666667" style="1" customWidth="1"/>
    <col min="4389" max="4389" width="1" style="1" customWidth="1"/>
    <col min="4390" max="4608" width="6.85833333333333" style="1" customWidth="1"/>
    <col min="4609" max="4609" width="1.14166666666667" style="1" customWidth="1"/>
    <col min="4610" max="4610" width="9.85833333333333" style="1" customWidth="1"/>
    <col min="4611" max="4611" width="1.56666666666667" style="1" customWidth="1"/>
    <col min="4612" max="4612" width="1.28333333333333" style="1" customWidth="1"/>
    <col min="4613" max="4613" width="3" style="1" customWidth="1"/>
    <col min="4614" max="4614" width="4.425" style="1" customWidth="1"/>
    <col min="4615" max="4615" width="17.2833333333333" style="1" customWidth="1"/>
    <col min="4616" max="4616" width="3.56666666666667" style="1" customWidth="1"/>
    <col min="4617" max="4617" width="1.14166666666667" style="1" customWidth="1"/>
    <col min="4618" max="4618" width="6.56666666666667" style="1" customWidth="1"/>
    <col min="4619" max="4619" width="3.70833333333333" style="1" customWidth="1"/>
    <col min="4620" max="4620" width="2.85833333333333" style="1" customWidth="1"/>
    <col min="4621" max="4621" width="6.28333333333333" style="1" customWidth="1"/>
    <col min="4622" max="4623" width="2.28333333333333" style="1" customWidth="1"/>
    <col min="4624" max="4624" width="6.70833333333333" style="1" customWidth="1"/>
    <col min="4625" max="4625" width="1.28333333333333" style="1" customWidth="1"/>
    <col min="4626" max="4626" width="1.14166666666667" style="1" customWidth="1"/>
    <col min="4627" max="4627" width="11" style="1" customWidth="1"/>
    <col min="4628" max="4628" width="1.56666666666667" style="1" customWidth="1"/>
    <col min="4629" max="4629" width="9.14166666666667" style="1" customWidth="1"/>
    <col min="4630" max="4630" width="1.14166666666667" style="1" customWidth="1"/>
    <col min="4631" max="4631" width="9.14166666666667" style="1" customWidth="1"/>
    <col min="4632" max="4632" width="1.14166666666667" style="1" customWidth="1"/>
    <col min="4633" max="4633" width="2.85833333333333" style="1" customWidth="1"/>
    <col min="4634" max="4634" width="5.85833333333333" style="1" customWidth="1"/>
    <col min="4635" max="4635" width="1.56666666666667" style="1" customWidth="1"/>
    <col min="4636" max="4637" width="1.14166666666667" style="1" customWidth="1"/>
    <col min="4638" max="4638" width="3.14166666666667" style="1" customWidth="1"/>
    <col min="4639" max="4639" width="1.425" style="1" customWidth="1"/>
    <col min="4640" max="4640" width="2.28333333333333" style="1" customWidth="1"/>
    <col min="4641" max="4641" width="1.14166666666667" style="1" customWidth="1"/>
    <col min="4642" max="4643" width="2.28333333333333" style="1" customWidth="1"/>
    <col min="4644" max="4644" width="3.14166666666667" style="1" customWidth="1"/>
    <col min="4645" max="4645" width="1" style="1" customWidth="1"/>
    <col min="4646" max="4864" width="6.85833333333333" style="1" customWidth="1"/>
    <col min="4865" max="4865" width="1.14166666666667" style="1" customWidth="1"/>
    <col min="4866" max="4866" width="9.85833333333333" style="1" customWidth="1"/>
    <col min="4867" max="4867" width="1.56666666666667" style="1" customWidth="1"/>
    <col min="4868" max="4868" width="1.28333333333333" style="1" customWidth="1"/>
    <col min="4869" max="4869" width="3" style="1" customWidth="1"/>
    <col min="4870" max="4870" width="4.425" style="1" customWidth="1"/>
    <col min="4871" max="4871" width="17.2833333333333" style="1" customWidth="1"/>
    <col min="4872" max="4872" width="3.56666666666667" style="1" customWidth="1"/>
    <col min="4873" max="4873" width="1.14166666666667" style="1" customWidth="1"/>
    <col min="4874" max="4874" width="6.56666666666667" style="1" customWidth="1"/>
    <col min="4875" max="4875" width="3.70833333333333" style="1" customWidth="1"/>
    <col min="4876" max="4876" width="2.85833333333333" style="1" customWidth="1"/>
    <col min="4877" max="4877" width="6.28333333333333" style="1" customWidth="1"/>
    <col min="4878" max="4879" width="2.28333333333333" style="1" customWidth="1"/>
    <col min="4880" max="4880" width="6.70833333333333" style="1" customWidth="1"/>
    <col min="4881" max="4881" width="1.28333333333333" style="1" customWidth="1"/>
    <col min="4882" max="4882" width="1.14166666666667" style="1" customWidth="1"/>
    <col min="4883" max="4883" width="11" style="1" customWidth="1"/>
    <col min="4884" max="4884" width="1.56666666666667" style="1" customWidth="1"/>
    <col min="4885" max="4885" width="9.14166666666667" style="1" customWidth="1"/>
    <col min="4886" max="4886" width="1.14166666666667" style="1" customWidth="1"/>
    <col min="4887" max="4887" width="9.14166666666667" style="1" customWidth="1"/>
    <col min="4888" max="4888" width="1.14166666666667" style="1" customWidth="1"/>
    <col min="4889" max="4889" width="2.85833333333333" style="1" customWidth="1"/>
    <col min="4890" max="4890" width="5.85833333333333" style="1" customWidth="1"/>
    <col min="4891" max="4891" width="1.56666666666667" style="1" customWidth="1"/>
    <col min="4892" max="4893" width="1.14166666666667" style="1" customWidth="1"/>
    <col min="4894" max="4894" width="3.14166666666667" style="1" customWidth="1"/>
    <col min="4895" max="4895" width="1.425" style="1" customWidth="1"/>
    <col min="4896" max="4896" width="2.28333333333333" style="1" customWidth="1"/>
    <col min="4897" max="4897" width="1.14166666666667" style="1" customWidth="1"/>
    <col min="4898" max="4899" width="2.28333333333333" style="1" customWidth="1"/>
    <col min="4900" max="4900" width="3.14166666666667" style="1" customWidth="1"/>
    <col min="4901" max="4901" width="1" style="1" customWidth="1"/>
    <col min="4902" max="5120" width="6.85833333333333" style="1" customWidth="1"/>
    <col min="5121" max="5121" width="1.14166666666667" style="1" customWidth="1"/>
    <col min="5122" max="5122" width="9.85833333333333" style="1" customWidth="1"/>
    <col min="5123" max="5123" width="1.56666666666667" style="1" customWidth="1"/>
    <col min="5124" max="5124" width="1.28333333333333" style="1" customWidth="1"/>
    <col min="5125" max="5125" width="3" style="1" customWidth="1"/>
    <col min="5126" max="5126" width="4.425" style="1" customWidth="1"/>
    <col min="5127" max="5127" width="17.2833333333333" style="1" customWidth="1"/>
    <col min="5128" max="5128" width="3.56666666666667" style="1" customWidth="1"/>
    <col min="5129" max="5129" width="1.14166666666667" style="1" customWidth="1"/>
    <col min="5130" max="5130" width="6.56666666666667" style="1" customWidth="1"/>
    <col min="5131" max="5131" width="3.70833333333333" style="1" customWidth="1"/>
    <col min="5132" max="5132" width="2.85833333333333" style="1" customWidth="1"/>
    <col min="5133" max="5133" width="6.28333333333333" style="1" customWidth="1"/>
    <col min="5134" max="5135" width="2.28333333333333" style="1" customWidth="1"/>
    <col min="5136" max="5136" width="6.70833333333333" style="1" customWidth="1"/>
    <col min="5137" max="5137" width="1.28333333333333" style="1" customWidth="1"/>
    <col min="5138" max="5138" width="1.14166666666667" style="1" customWidth="1"/>
    <col min="5139" max="5139" width="11" style="1" customWidth="1"/>
    <col min="5140" max="5140" width="1.56666666666667" style="1" customWidth="1"/>
    <col min="5141" max="5141" width="9.14166666666667" style="1" customWidth="1"/>
    <col min="5142" max="5142" width="1.14166666666667" style="1" customWidth="1"/>
    <col min="5143" max="5143" width="9.14166666666667" style="1" customWidth="1"/>
    <col min="5144" max="5144" width="1.14166666666667" style="1" customWidth="1"/>
    <col min="5145" max="5145" width="2.85833333333333" style="1" customWidth="1"/>
    <col min="5146" max="5146" width="5.85833333333333" style="1" customWidth="1"/>
    <col min="5147" max="5147" width="1.56666666666667" style="1" customWidth="1"/>
    <col min="5148" max="5149" width="1.14166666666667" style="1" customWidth="1"/>
    <col min="5150" max="5150" width="3.14166666666667" style="1" customWidth="1"/>
    <col min="5151" max="5151" width="1.425" style="1" customWidth="1"/>
    <col min="5152" max="5152" width="2.28333333333333" style="1" customWidth="1"/>
    <col min="5153" max="5153" width="1.14166666666667" style="1" customWidth="1"/>
    <col min="5154" max="5155" width="2.28333333333333" style="1" customWidth="1"/>
    <col min="5156" max="5156" width="3.14166666666667" style="1" customWidth="1"/>
    <col min="5157" max="5157" width="1" style="1" customWidth="1"/>
    <col min="5158" max="5376" width="6.85833333333333" style="1" customWidth="1"/>
    <col min="5377" max="5377" width="1.14166666666667" style="1" customWidth="1"/>
    <col min="5378" max="5378" width="9.85833333333333" style="1" customWidth="1"/>
    <col min="5379" max="5379" width="1.56666666666667" style="1" customWidth="1"/>
    <col min="5380" max="5380" width="1.28333333333333" style="1" customWidth="1"/>
    <col min="5381" max="5381" width="3" style="1" customWidth="1"/>
    <col min="5382" max="5382" width="4.425" style="1" customWidth="1"/>
    <col min="5383" max="5383" width="17.2833333333333" style="1" customWidth="1"/>
    <col min="5384" max="5384" width="3.56666666666667" style="1" customWidth="1"/>
    <col min="5385" max="5385" width="1.14166666666667" style="1" customWidth="1"/>
    <col min="5386" max="5386" width="6.56666666666667" style="1" customWidth="1"/>
    <col min="5387" max="5387" width="3.70833333333333" style="1" customWidth="1"/>
    <col min="5388" max="5388" width="2.85833333333333" style="1" customWidth="1"/>
    <col min="5389" max="5389" width="6.28333333333333" style="1" customWidth="1"/>
    <col min="5390" max="5391" width="2.28333333333333" style="1" customWidth="1"/>
    <col min="5392" max="5392" width="6.70833333333333" style="1" customWidth="1"/>
    <col min="5393" max="5393" width="1.28333333333333" style="1" customWidth="1"/>
    <col min="5394" max="5394" width="1.14166666666667" style="1" customWidth="1"/>
    <col min="5395" max="5395" width="11" style="1" customWidth="1"/>
    <col min="5396" max="5396" width="1.56666666666667" style="1" customWidth="1"/>
    <col min="5397" max="5397" width="9.14166666666667" style="1" customWidth="1"/>
    <col min="5398" max="5398" width="1.14166666666667" style="1" customWidth="1"/>
    <col min="5399" max="5399" width="9.14166666666667" style="1" customWidth="1"/>
    <col min="5400" max="5400" width="1.14166666666667" style="1" customWidth="1"/>
    <col min="5401" max="5401" width="2.85833333333333" style="1" customWidth="1"/>
    <col min="5402" max="5402" width="5.85833333333333" style="1" customWidth="1"/>
    <col min="5403" max="5403" width="1.56666666666667" style="1" customWidth="1"/>
    <col min="5404" max="5405" width="1.14166666666667" style="1" customWidth="1"/>
    <col min="5406" max="5406" width="3.14166666666667" style="1" customWidth="1"/>
    <col min="5407" max="5407" width="1.425" style="1" customWidth="1"/>
    <col min="5408" max="5408" width="2.28333333333333" style="1" customWidth="1"/>
    <col min="5409" max="5409" width="1.14166666666667" style="1" customWidth="1"/>
    <col min="5410" max="5411" width="2.28333333333333" style="1" customWidth="1"/>
    <col min="5412" max="5412" width="3.14166666666667" style="1" customWidth="1"/>
    <col min="5413" max="5413" width="1" style="1" customWidth="1"/>
    <col min="5414" max="5632" width="6.85833333333333" style="1" customWidth="1"/>
    <col min="5633" max="5633" width="1.14166666666667" style="1" customWidth="1"/>
    <col min="5634" max="5634" width="9.85833333333333" style="1" customWidth="1"/>
    <col min="5635" max="5635" width="1.56666666666667" style="1" customWidth="1"/>
    <col min="5636" max="5636" width="1.28333333333333" style="1" customWidth="1"/>
    <col min="5637" max="5637" width="3" style="1" customWidth="1"/>
    <col min="5638" max="5638" width="4.425" style="1" customWidth="1"/>
    <col min="5639" max="5639" width="17.2833333333333" style="1" customWidth="1"/>
    <col min="5640" max="5640" width="3.56666666666667" style="1" customWidth="1"/>
    <col min="5641" max="5641" width="1.14166666666667" style="1" customWidth="1"/>
    <col min="5642" max="5642" width="6.56666666666667" style="1" customWidth="1"/>
    <col min="5643" max="5643" width="3.70833333333333" style="1" customWidth="1"/>
    <col min="5644" max="5644" width="2.85833333333333" style="1" customWidth="1"/>
    <col min="5645" max="5645" width="6.28333333333333" style="1" customWidth="1"/>
    <col min="5646" max="5647" width="2.28333333333333" style="1" customWidth="1"/>
    <col min="5648" max="5648" width="6.70833333333333" style="1" customWidth="1"/>
    <col min="5649" max="5649" width="1.28333333333333" style="1" customWidth="1"/>
    <col min="5650" max="5650" width="1.14166666666667" style="1" customWidth="1"/>
    <col min="5651" max="5651" width="11" style="1" customWidth="1"/>
    <col min="5652" max="5652" width="1.56666666666667" style="1" customWidth="1"/>
    <col min="5653" max="5653" width="9.14166666666667" style="1" customWidth="1"/>
    <col min="5654" max="5654" width="1.14166666666667" style="1" customWidth="1"/>
    <col min="5655" max="5655" width="9.14166666666667" style="1" customWidth="1"/>
    <col min="5656" max="5656" width="1.14166666666667" style="1" customWidth="1"/>
    <col min="5657" max="5657" width="2.85833333333333" style="1" customWidth="1"/>
    <col min="5658" max="5658" width="5.85833333333333" style="1" customWidth="1"/>
    <col min="5659" max="5659" width="1.56666666666667" style="1" customWidth="1"/>
    <col min="5660" max="5661" width="1.14166666666667" style="1" customWidth="1"/>
    <col min="5662" max="5662" width="3.14166666666667" style="1" customWidth="1"/>
    <col min="5663" max="5663" width="1.425" style="1" customWidth="1"/>
    <col min="5664" max="5664" width="2.28333333333333" style="1" customWidth="1"/>
    <col min="5665" max="5665" width="1.14166666666667" style="1" customWidth="1"/>
    <col min="5666" max="5667" width="2.28333333333333" style="1" customWidth="1"/>
    <col min="5668" max="5668" width="3.14166666666667" style="1" customWidth="1"/>
    <col min="5669" max="5669" width="1" style="1" customWidth="1"/>
    <col min="5670" max="5888" width="6.85833333333333" style="1" customWidth="1"/>
    <col min="5889" max="5889" width="1.14166666666667" style="1" customWidth="1"/>
    <col min="5890" max="5890" width="9.85833333333333" style="1" customWidth="1"/>
    <col min="5891" max="5891" width="1.56666666666667" style="1" customWidth="1"/>
    <col min="5892" max="5892" width="1.28333333333333" style="1" customWidth="1"/>
    <col min="5893" max="5893" width="3" style="1" customWidth="1"/>
    <col min="5894" max="5894" width="4.425" style="1" customWidth="1"/>
    <col min="5895" max="5895" width="17.2833333333333" style="1" customWidth="1"/>
    <col min="5896" max="5896" width="3.56666666666667" style="1" customWidth="1"/>
    <col min="5897" max="5897" width="1.14166666666667" style="1" customWidth="1"/>
    <col min="5898" max="5898" width="6.56666666666667" style="1" customWidth="1"/>
    <col min="5899" max="5899" width="3.70833333333333" style="1" customWidth="1"/>
    <col min="5900" max="5900" width="2.85833333333333" style="1" customWidth="1"/>
    <col min="5901" max="5901" width="6.28333333333333" style="1" customWidth="1"/>
    <col min="5902" max="5903" width="2.28333333333333" style="1" customWidth="1"/>
    <col min="5904" max="5904" width="6.70833333333333" style="1" customWidth="1"/>
    <col min="5905" max="5905" width="1.28333333333333" style="1" customWidth="1"/>
    <col min="5906" max="5906" width="1.14166666666667" style="1" customWidth="1"/>
    <col min="5907" max="5907" width="11" style="1" customWidth="1"/>
    <col min="5908" max="5908" width="1.56666666666667" style="1" customWidth="1"/>
    <col min="5909" max="5909" width="9.14166666666667" style="1" customWidth="1"/>
    <col min="5910" max="5910" width="1.14166666666667" style="1" customWidth="1"/>
    <col min="5911" max="5911" width="9.14166666666667" style="1" customWidth="1"/>
    <col min="5912" max="5912" width="1.14166666666667" style="1" customWidth="1"/>
    <col min="5913" max="5913" width="2.85833333333333" style="1" customWidth="1"/>
    <col min="5914" max="5914" width="5.85833333333333" style="1" customWidth="1"/>
    <col min="5915" max="5915" width="1.56666666666667" style="1" customWidth="1"/>
    <col min="5916" max="5917" width="1.14166666666667" style="1" customWidth="1"/>
    <col min="5918" max="5918" width="3.14166666666667" style="1" customWidth="1"/>
    <col min="5919" max="5919" width="1.425" style="1" customWidth="1"/>
    <col min="5920" max="5920" width="2.28333333333333" style="1" customWidth="1"/>
    <col min="5921" max="5921" width="1.14166666666667" style="1" customWidth="1"/>
    <col min="5922" max="5923" width="2.28333333333333" style="1" customWidth="1"/>
    <col min="5924" max="5924" width="3.14166666666667" style="1" customWidth="1"/>
    <col min="5925" max="5925" width="1" style="1" customWidth="1"/>
    <col min="5926" max="6144" width="6.85833333333333" style="1" customWidth="1"/>
    <col min="6145" max="6145" width="1.14166666666667" style="1" customWidth="1"/>
    <col min="6146" max="6146" width="9.85833333333333" style="1" customWidth="1"/>
    <col min="6147" max="6147" width="1.56666666666667" style="1" customWidth="1"/>
    <col min="6148" max="6148" width="1.28333333333333" style="1" customWidth="1"/>
    <col min="6149" max="6149" width="3" style="1" customWidth="1"/>
    <col min="6150" max="6150" width="4.425" style="1" customWidth="1"/>
    <col min="6151" max="6151" width="17.2833333333333" style="1" customWidth="1"/>
    <col min="6152" max="6152" width="3.56666666666667" style="1" customWidth="1"/>
    <col min="6153" max="6153" width="1.14166666666667" style="1" customWidth="1"/>
    <col min="6154" max="6154" width="6.56666666666667" style="1" customWidth="1"/>
    <col min="6155" max="6155" width="3.70833333333333" style="1" customWidth="1"/>
    <col min="6156" max="6156" width="2.85833333333333" style="1" customWidth="1"/>
    <col min="6157" max="6157" width="6.28333333333333" style="1" customWidth="1"/>
    <col min="6158" max="6159" width="2.28333333333333" style="1" customWidth="1"/>
    <col min="6160" max="6160" width="6.70833333333333" style="1" customWidth="1"/>
    <col min="6161" max="6161" width="1.28333333333333" style="1" customWidth="1"/>
    <col min="6162" max="6162" width="1.14166666666667" style="1" customWidth="1"/>
    <col min="6163" max="6163" width="11" style="1" customWidth="1"/>
    <col min="6164" max="6164" width="1.56666666666667" style="1" customWidth="1"/>
    <col min="6165" max="6165" width="9.14166666666667" style="1" customWidth="1"/>
    <col min="6166" max="6166" width="1.14166666666667" style="1" customWidth="1"/>
    <col min="6167" max="6167" width="9.14166666666667" style="1" customWidth="1"/>
    <col min="6168" max="6168" width="1.14166666666667" style="1" customWidth="1"/>
    <col min="6169" max="6169" width="2.85833333333333" style="1" customWidth="1"/>
    <col min="6170" max="6170" width="5.85833333333333" style="1" customWidth="1"/>
    <col min="6171" max="6171" width="1.56666666666667" style="1" customWidth="1"/>
    <col min="6172" max="6173" width="1.14166666666667" style="1" customWidth="1"/>
    <col min="6174" max="6174" width="3.14166666666667" style="1" customWidth="1"/>
    <col min="6175" max="6175" width="1.425" style="1" customWidth="1"/>
    <col min="6176" max="6176" width="2.28333333333333" style="1" customWidth="1"/>
    <col min="6177" max="6177" width="1.14166666666667" style="1" customWidth="1"/>
    <col min="6178" max="6179" width="2.28333333333333" style="1" customWidth="1"/>
    <col min="6180" max="6180" width="3.14166666666667" style="1" customWidth="1"/>
    <col min="6181" max="6181" width="1" style="1" customWidth="1"/>
    <col min="6182" max="6400" width="6.85833333333333" style="1" customWidth="1"/>
    <col min="6401" max="6401" width="1.14166666666667" style="1" customWidth="1"/>
    <col min="6402" max="6402" width="9.85833333333333" style="1" customWidth="1"/>
    <col min="6403" max="6403" width="1.56666666666667" style="1" customWidth="1"/>
    <col min="6404" max="6404" width="1.28333333333333" style="1" customWidth="1"/>
    <col min="6405" max="6405" width="3" style="1" customWidth="1"/>
    <col min="6406" max="6406" width="4.425" style="1" customWidth="1"/>
    <col min="6407" max="6407" width="17.2833333333333" style="1" customWidth="1"/>
    <col min="6408" max="6408" width="3.56666666666667" style="1" customWidth="1"/>
    <col min="6409" max="6409" width="1.14166666666667" style="1" customWidth="1"/>
    <col min="6410" max="6410" width="6.56666666666667" style="1" customWidth="1"/>
    <col min="6411" max="6411" width="3.70833333333333" style="1" customWidth="1"/>
    <col min="6412" max="6412" width="2.85833333333333" style="1" customWidth="1"/>
    <col min="6413" max="6413" width="6.28333333333333" style="1" customWidth="1"/>
    <col min="6414" max="6415" width="2.28333333333333" style="1" customWidth="1"/>
    <col min="6416" max="6416" width="6.70833333333333" style="1" customWidth="1"/>
    <col min="6417" max="6417" width="1.28333333333333" style="1" customWidth="1"/>
    <col min="6418" max="6418" width="1.14166666666667" style="1" customWidth="1"/>
    <col min="6419" max="6419" width="11" style="1" customWidth="1"/>
    <col min="6420" max="6420" width="1.56666666666667" style="1" customWidth="1"/>
    <col min="6421" max="6421" width="9.14166666666667" style="1" customWidth="1"/>
    <col min="6422" max="6422" width="1.14166666666667" style="1" customWidth="1"/>
    <col min="6423" max="6423" width="9.14166666666667" style="1" customWidth="1"/>
    <col min="6424" max="6424" width="1.14166666666667" style="1" customWidth="1"/>
    <col min="6425" max="6425" width="2.85833333333333" style="1" customWidth="1"/>
    <col min="6426" max="6426" width="5.85833333333333" style="1" customWidth="1"/>
    <col min="6427" max="6427" width="1.56666666666667" style="1" customWidth="1"/>
    <col min="6428" max="6429" width="1.14166666666667" style="1" customWidth="1"/>
    <col min="6430" max="6430" width="3.14166666666667" style="1" customWidth="1"/>
    <col min="6431" max="6431" width="1.425" style="1" customWidth="1"/>
    <col min="6432" max="6432" width="2.28333333333333" style="1" customWidth="1"/>
    <col min="6433" max="6433" width="1.14166666666667" style="1" customWidth="1"/>
    <col min="6434" max="6435" width="2.28333333333333" style="1" customWidth="1"/>
    <col min="6436" max="6436" width="3.14166666666667" style="1" customWidth="1"/>
    <col min="6437" max="6437" width="1" style="1" customWidth="1"/>
    <col min="6438" max="6656" width="6.85833333333333" style="1" customWidth="1"/>
    <col min="6657" max="6657" width="1.14166666666667" style="1" customWidth="1"/>
    <col min="6658" max="6658" width="9.85833333333333" style="1" customWidth="1"/>
    <col min="6659" max="6659" width="1.56666666666667" style="1" customWidth="1"/>
    <col min="6660" max="6660" width="1.28333333333333" style="1" customWidth="1"/>
    <col min="6661" max="6661" width="3" style="1" customWidth="1"/>
    <col min="6662" max="6662" width="4.425" style="1" customWidth="1"/>
    <col min="6663" max="6663" width="17.2833333333333" style="1" customWidth="1"/>
    <col min="6664" max="6664" width="3.56666666666667" style="1" customWidth="1"/>
    <col min="6665" max="6665" width="1.14166666666667" style="1" customWidth="1"/>
    <col min="6666" max="6666" width="6.56666666666667" style="1" customWidth="1"/>
    <col min="6667" max="6667" width="3.70833333333333" style="1" customWidth="1"/>
    <col min="6668" max="6668" width="2.85833333333333" style="1" customWidth="1"/>
    <col min="6669" max="6669" width="6.28333333333333" style="1" customWidth="1"/>
    <col min="6670" max="6671" width="2.28333333333333" style="1" customWidth="1"/>
    <col min="6672" max="6672" width="6.70833333333333" style="1" customWidth="1"/>
    <col min="6673" max="6673" width="1.28333333333333" style="1" customWidth="1"/>
    <col min="6674" max="6674" width="1.14166666666667" style="1" customWidth="1"/>
    <col min="6675" max="6675" width="11" style="1" customWidth="1"/>
    <col min="6676" max="6676" width="1.56666666666667" style="1" customWidth="1"/>
    <col min="6677" max="6677" width="9.14166666666667" style="1" customWidth="1"/>
    <col min="6678" max="6678" width="1.14166666666667" style="1" customWidth="1"/>
    <col min="6679" max="6679" width="9.14166666666667" style="1" customWidth="1"/>
    <col min="6680" max="6680" width="1.14166666666667" style="1" customWidth="1"/>
    <col min="6681" max="6681" width="2.85833333333333" style="1" customWidth="1"/>
    <col min="6682" max="6682" width="5.85833333333333" style="1" customWidth="1"/>
    <col min="6683" max="6683" width="1.56666666666667" style="1" customWidth="1"/>
    <col min="6684" max="6685" width="1.14166666666667" style="1" customWidth="1"/>
    <col min="6686" max="6686" width="3.14166666666667" style="1" customWidth="1"/>
    <col min="6687" max="6687" width="1.425" style="1" customWidth="1"/>
    <col min="6688" max="6688" width="2.28333333333333" style="1" customWidth="1"/>
    <col min="6689" max="6689" width="1.14166666666667" style="1" customWidth="1"/>
    <col min="6690" max="6691" width="2.28333333333333" style="1" customWidth="1"/>
    <col min="6692" max="6692" width="3.14166666666667" style="1" customWidth="1"/>
    <col min="6693" max="6693" width="1" style="1" customWidth="1"/>
    <col min="6694" max="6912" width="6.85833333333333" style="1" customWidth="1"/>
    <col min="6913" max="6913" width="1.14166666666667" style="1" customWidth="1"/>
    <col min="6914" max="6914" width="9.85833333333333" style="1" customWidth="1"/>
    <col min="6915" max="6915" width="1.56666666666667" style="1" customWidth="1"/>
    <col min="6916" max="6916" width="1.28333333333333" style="1" customWidth="1"/>
    <col min="6917" max="6917" width="3" style="1" customWidth="1"/>
    <col min="6918" max="6918" width="4.425" style="1" customWidth="1"/>
    <col min="6919" max="6919" width="17.2833333333333" style="1" customWidth="1"/>
    <col min="6920" max="6920" width="3.56666666666667" style="1" customWidth="1"/>
    <col min="6921" max="6921" width="1.14166666666667" style="1" customWidth="1"/>
    <col min="6922" max="6922" width="6.56666666666667" style="1" customWidth="1"/>
    <col min="6923" max="6923" width="3.70833333333333" style="1" customWidth="1"/>
    <col min="6924" max="6924" width="2.85833333333333" style="1" customWidth="1"/>
    <col min="6925" max="6925" width="6.28333333333333" style="1" customWidth="1"/>
    <col min="6926" max="6927" width="2.28333333333333" style="1" customWidth="1"/>
    <col min="6928" max="6928" width="6.70833333333333" style="1" customWidth="1"/>
    <col min="6929" max="6929" width="1.28333333333333" style="1" customWidth="1"/>
    <col min="6930" max="6930" width="1.14166666666667" style="1" customWidth="1"/>
    <col min="6931" max="6931" width="11" style="1" customWidth="1"/>
    <col min="6932" max="6932" width="1.56666666666667" style="1" customWidth="1"/>
    <col min="6933" max="6933" width="9.14166666666667" style="1" customWidth="1"/>
    <col min="6934" max="6934" width="1.14166666666667" style="1" customWidth="1"/>
    <col min="6935" max="6935" width="9.14166666666667" style="1" customWidth="1"/>
    <col min="6936" max="6936" width="1.14166666666667" style="1" customWidth="1"/>
    <col min="6937" max="6937" width="2.85833333333333" style="1" customWidth="1"/>
    <col min="6938" max="6938" width="5.85833333333333" style="1" customWidth="1"/>
    <col min="6939" max="6939" width="1.56666666666667" style="1" customWidth="1"/>
    <col min="6940" max="6941" width="1.14166666666667" style="1" customWidth="1"/>
    <col min="6942" max="6942" width="3.14166666666667" style="1" customWidth="1"/>
    <col min="6943" max="6943" width="1.425" style="1" customWidth="1"/>
    <col min="6944" max="6944" width="2.28333333333333" style="1" customWidth="1"/>
    <col min="6945" max="6945" width="1.14166666666667" style="1" customWidth="1"/>
    <col min="6946" max="6947" width="2.28333333333333" style="1" customWidth="1"/>
    <col min="6948" max="6948" width="3.14166666666667" style="1" customWidth="1"/>
    <col min="6949" max="6949" width="1" style="1" customWidth="1"/>
    <col min="6950" max="7168" width="6.85833333333333" style="1" customWidth="1"/>
    <col min="7169" max="7169" width="1.14166666666667" style="1" customWidth="1"/>
    <col min="7170" max="7170" width="9.85833333333333" style="1" customWidth="1"/>
    <col min="7171" max="7171" width="1.56666666666667" style="1" customWidth="1"/>
    <col min="7172" max="7172" width="1.28333333333333" style="1" customWidth="1"/>
    <col min="7173" max="7173" width="3" style="1" customWidth="1"/>
    <col min="7174" max="7174" width="4.425" style="1" customWidth="1"/>
    <col min="7175" max="7175" width="17.2833333333333" style="1" customWidth="1"/>
    <col min="7176" max="7176" width="3.56666666666667" style="1" customWidth="1"/>
    <col min="7177" max="7177" width="1.14166666666667" style="1" customWidth="1"/>
    <col min="7178" max="7178" width="6.56666666666667" style="1" customWidth="1"/>
    <col min="7179" max="7179" width="3.70833333333333" style="1" customWidth="1"/>
    <col min="7180" max="7180" width="2.85833333333333" style="1" customWidth="1"/>
    <col min="7181" max="7181" width="6.28333333333333" style="1" customWidth="1"/>
    <col min="7182" max="7183" width="2.28333333333333" style="1" customWidth="1"/>
    <col min="7184" max="7184" width="6.70833333333333" style="1" customWidth="1"/>
    <col min="7185" max="7185" width="1.28333333333333" style="1" customWidth="1"/>
    <col min="7186" max="7186" width="1.14166666666667" style="1" customWidth="1"/>
    <col min="7187" max="7187" width="11" style="1" customWidth="1"/>
    <col min="7188" max="7188" width="1.56666666666667" style="1" customWidth="1"/>
    <col min="7189" max="7189" width="9.14166666666667" style="1" customWidth="1"/>
    <col min="7190" max="7190" width="1.14166666666667" style="1" customWidth="1"/>
    <col min="7191" max="7191" width="9.14166666666667" style="1" customWidth="1"/>
    <col min="7192" max="7192" width="1.14166666666667" style="1" customWidth="1"/>
    <col min="7193" max="7193" width="2.85833333333333" style="1" customWidth="1"/>
    <col min="7194" max="7194" width="5.85833333333333" style="1" customWidth="1"/>
    <col min="7195" max="7195" width="1.56666666666667" style="1" customWidth="1"/>
    <col min="7196" max="7197" width="1.14166666666667" style="1" customWidth="1"/>
    <col min="7198" max="7198" width="3.14166666666667" style="1" customWidth="1"/>
    <col min="7199" max="7199" width="1.425" style="1" customWidth="1"/>
    <col min="7200" max="7200" width="2.28333333333333" style="1" customWidth="1"/>
    <col min="7201" max="7201" width="1.14166666666667" style="1" customWidth="1"/>
    <col min="7202" max="7203" width="2.28333333333333" style="1" customWidth="1"/>
    <col min="7204" max="7204" width="3.14166666666667" style="1" customWidth="1"/>
    <col min="7205" max="7205" width="1" style="1" customWidth="1"/>
    <col min="7206" max="7424" width="6.85833333333333" style="1" customWidth="1"/>
    <col min="7425" max="7425" width="1.14166666666667" style="1" customWidth="1"/>
    <col min="7426" max="7426" width="9.85833333333333" style="1" customWidth="1"/>
    <col min="7427" max="7427" width="1.56666666666667" style="1" customWidth="1"/>
    <col min="7428" max="7428" width="1.28333333333333" style="1" customWidth="1"/>
    <col min="7429" max="7429" width="3" style="1" customWidth="1"/>
    <col min="7430" max="7430" width="4.425" style="1" customWidth="1"/>
    <col min="7431" max="7431" width="17.2833333333333" style="1" customWidth="1"/>
    <col min="7432" max="7432" width="3.56666666666667" style="1" customWidth="1"/>
    <col min="7433" max="7433" width="1.14166666666667" style="1" customWidth="1"/>
    <col min="7434" max="7434" width="6.56666666666667" style="1" customWidth="1"/>
    <col min="7435" max="7435" width="3.70833333333333" style="1" customWidth="1"/>
    <col min="7436" max="7436" width="2.85833333333333" style="1" customWidth="1"/>
    <col min="7437" max="7437" width="6.28333333333333" style="1" customWidth="1"/>
    <col min="7438" max="7439" width="2.28333333333333" style="1" customWidth="1"/>
    <col min="7440" max="7440" width="6.70833333333333" style="1" customWidth="1"/>
    <col min="7441" max="7441" width="1.28333333333333" style="1" customWidth="1"/>
    <col min="7442" max="7442" width="1.14166666666667" style="1" customWidth="1"/>
    <col min="7443" max="7443" width="11" style="1" customWidth="1"/>
    <col min="7444" max="7444" width="1.56666666666667" style="1" customWidth="1"/>
    <col min="7445" max="7445" width="9.14166666666667" style="1" customWidth="1"/>
    <col min="7446" max="7446" width="1.14166666666667" style="1" customWidth="1"/>
    <col min="7447" max="7447" width="9.14166666666667" style="1" customWidth="1"/>
    <col min="7448" max="7448" width="1.14166666666667" style="1" customWidth="1"/>
    <col min="7449" max="7449" width="2.85833333333333" style="1" customWidth="1"/>
    <col min="7450" max="7450" width="5.85833333333333" style="1" customWidth="1"/>
    <col min="7451" max="7451" width="1.56666666666667" style="1" customWidth="1"/>
    <col min="7452" max="7453" width="1.14166666666667" style="1" customWidth="1"/>
    <col min="7454" max="7454" width="3.14166666666667" style="1" customWidth="1"/>
    <col min="7455" max="7455" width="1.425" style="1" customWidth="1"/>
    <col min="7456" max="7456" width="2.28333333333333" style="1" customWidth="1"/>
    <col min="7457" max="7457" width="1.14166666666667" style="1" customWidth="1"/>
    <col min="7458" max="7459" width="2.28333333333333" style="1" customWidth="1"/>
    <col min="7460" max="7460" width="3.14166666666667" style="1" customWidth="1"/>
    <col min="7461" max="7461" width="1" style="1" customWidth="1"/>
    <col min="7462" max="7680" width="6.85833333333333" style="1" customWidth="1"/>
    <col min="7681" max="7681" width="1.14166666666667" style="1" customWidth="1"/>
    <col min="7682" max="7682" width="9.85833333333333" style="1" customWidth="1"/>
    <col min="7683" max="7683" width="1.56666666666667" style="1" customWidth="1"/>
    <col min="7684" max="7684" width="1.28333333333333" style="1" customWidth="1"/>
    <col min="7685" max="7685" width="3" style="1" customWidth="1"/>
    <col min="7686" max="7686" width="4.425" style="1" customWidth="1"/>
    <col min="7687" max="7687" width="17.2833333333333" style="1" customWidth="1"/>
    <col min="7688" max="7688" width="3.56666666666667" style="1" customWidth="1"/>
    <col min="7689" max="7689" width="1.14166666666667" style="1" customWidth="1"/>
    <col min="7690" max="7690" width="6.56666666666667" style="1" customWidth="1"/>
    <col min="7691" max="7691" width="3.70833333333333" style="1" customWidth="1"/>
    <col min="7692" max="7692" width="2.85833333333333" style="1" customWidth="1"/>
    <col min="7693" max="7693" width="6.28333333333333" style="1" customWidth="1"/>
    <col min="7694" max="7695" width="2.28333333333333" style="1" customWidth="1"/>
    <col min="7696" max="7696" width="6.70833333333333" style="1" customWidth="1"/>
    <col min="7697" max="7697" width="1.28333333333333" style="1" customWidth="1"/>
    <col min="7698" max="7698" width="1.14166666666667" style="1" customWidth="1"/>
    <col min="7699" max="7699" width="11" style="1" customWidth="1"/>
    <col min="7700" max="7700" width="1.56666666666667" style="1" customWidth="1"/>
    <col min="7701" max="7701" width="9.14166666666667" style="1" customWidth="1"/>
    <col min="7702" max="7702" width="1.14166666666667" style="1" customWidth="1"/>
    <col min="7703" max="7703" width="9.14166666666667" style="1" customWidth="1"/>
    <col min="7704" max="7704" width="1.14166666666667" style="1" customWidth="1"/>
    <col min="7705" max="7705" width="2.85833333333333" style="1" customWidth="1"/>
    <col min="7706" max="7706" width="5.85833333333333" style="1" customWidth="1"/>
    <col min="7707" max="7707" width="1.56666666666667" style="1" customWidth="1"/>
    <col min="7708" max="7709" width="1.14166666666667" style="1" customWidth="1"/>
    <col min="7710" max="7710" width="3.14166666666667" style="1" customWidth="1"/>
    <col min="7711" max="7711" width="1.425" style="1" customWidth="1"/>
    <col min="7712" max="7712" width="2.28333333333333" style="1" customWidth="1"/>
    <col min="7713" max="7713" width="1.14166666666667" style="1" customWidth="1"/>
    <col min="7714" max="7715" width="2.28333333333333" style="1" customWidth="1"/>
    <col min="7716" max="7716" width="3.14166666666667" style="1" customWidth="1"/>
    <col min="7717" max="7717" width="1" style="1" customWidth="1"/>
    <col min="7718" max="7936" width="6.85833333333333" style="1" customWidth="1"/>
    <col min="7937" max="7937" width="1.14166666666667" style="1" customWidth="1"/>
    <col min="7938" max="7938" width="9.85833333333333" style="1" customWidth="1"/>
    <col min="7939" max="7939" width="1.56666666666667" style="1" customWidth="1"/>
    <col min="7940" max="7940" width="1.28333333333333" style="1" customWidth="1"/>
    <col min="7941" max="7941" width="3" style="1" customWidth="1"/>
    <col min="7942" max="7942" width="4.425" style="1" customWidth="1"/>
    <col min="7943" max="7943" width="17.2833333333333" style="1" customWidth="1"/>
    <col min="7944" max="7944" width="3.56666666666667" style="1" customWidth="1"/>
    <col min="7945" max="7945" width="1.14166666666667" style="1" customWidth="1"/>
    <col min="7946" max="7946" width="6.56666666666667" style="1" customWidth="1"/>
    <col min="7947" max="7947" width="3.70833333333333" style="1" customWidth="1"/>
    <col min="7948" max="7948" width="2.85833333333333" style="1" customWidth="1"/>
    <col min="7949" max="7949" width="6.28333333333333" style="1" customWidth="1"/>
    <col min="7950" max="7951" width="2.28333333333333" style="1" customWidth="1"/>
    <col min="7952" max="7952" width="6.70833333333333" style="1" customWidth="1"/>
    <col min="7953" max="7953" width="1.28333333333333" style="1" customWidth="1"/>
    <col min="7954" max="7954" width="1.14166666666667" style="1" customWidth="1"/>
    <col min="7955" max="7955" width="11" style="1" customWidth="1"/>
    <col min="7956" max="7956" width="1.56666666666667" style="1" customWidth="1"/>
    <col min="7957" max="7957" width="9.14166666666667" style="1" customWidth="1"/>
    <col min="7958" max="7958" width="1.14166666666667" style="1" customWidth="1"/>
    <col min="7959" max="7959" width="9.14166666666667" style="1" customWidth="1"/>
    <col min="7960" max="7960" width="1.14166666666667" style="1" customWidth="1"/>
    <col min="7961" max="7961" width="2.85833333333333" style="1" customWidth="1"/>
    <col min="7962" max="7962" width="5.85833333333333" style="1" customWidth="1"/>
    <col min="7963" max="7963" width="1.56666666666667" style="1" customWidth="1"/>
    <col min="7964" max="7965" width="1.14166666666667" style="1" customWidth="1"/>
    <col min="7966" max="7966" width="3.14166666666667" style="1" customWidth="1"/>
    <col min="7967" max="7967" width="1.425" style="1" customWidth="1"/>
    <col min="7968" max="7968" width="2.28333333333333" style="1" customWidth="1"/>
    <col min="7969" max="7969" width="1.14166666666667" style="1" customWidth="1"/>
    <col min="7970" max="7971" width="2.28333333333333" style="1" customWidth="1"/>
    <col min="7972" max="7972" width="3.14166666666667" style="1" customWidth="1"/>
    <col min="7973" max="7973" width="1" style="1" customWidth="1"/>
    <col min="7974" max="8192" width="6.85833333333333" style="1" customWidth="1"/>
    <col min="8193" max="8193" width="1.14166666666667" style="1" customWidth="1"/>
    <col min="8194" max="8194" width="9.85833333333333" style="1" customWidth="1"/>
    <col min="8195" max="8195" width="1.56666666666667" style="1" customWidth="1"/>
    <col min="8196" max="8196" width="1.28333333333333" style="1" customWidth="1"/>
    <col min="8197" max="8197" width="3" style="1" customWidth="1"/>
    <col min="8198" max="8198" width="4.425" style="1" customWidth="1"/>
    <col min="8199" max="8199" width="17.2833333333333" style="1" customWidth="1"/>
    <col min="8200" max="8200" width="3.56666666666667" style="1" customWidth="1"/>
    <col min="8201" max="8201" width="1.14166666666667" style="1" customWidth="1"/>
    <col min="8202" max="8202" width="6.56666666666667" style="1" customWidth="1"/>
    <col min="8203" max="8203" width="3.70833333333333" style="1" customWidth="1"/>
    <col min="8204" max="8204" width="2.85833333333333" style="1" customWidth="1"/>
    <col min="8205" max="8205" width="6.28333333333333" style="1" customWidth="1"/>
    <col min="8206" max="8207" width="2.28333333333333" style="1" customWidth="1"/>
    <col min="8208" max="8208" width="6.70833333333333" style="1" customWidth="1"/>
    <col min="8209" max="8209" width="1.28333333333333" style="1" customWidth="1"/>
    <col min="8210" max="8210" width="1.14166666666667" style="1" customWidth="1"/>
    <col min="8211" max="8211" width="11" style="1" customWidth="1"/>
    <col min="8212" max="8212" width="1.56666666666667" style="1" customWidth="1"/>
    <col min="8213" max="8213" width="9.14166666666667" style="1" customWidth="1"/>
    <col min="8214" max="8214" width="1.14166666666667" style="1" customWidth="1"/>
    <col min="8215" max="8215" width="9.14166666666667" style="1" customWidth="1"/>
    <col min="8216" max="8216" width="1.14166666666667" style="1" customWidth="1"/>
    <col min="8217" max="8217" width="2.85833333333333" style="1" customWidth="1"/>
    <col min="8218" max="8218" width="5.85833333333333" style="1" customWidth="1"/>
    <col min="8219" max="8219" width="1.56666666666667" style="1" customWidth="1"/>
    <col min="8220" max="8221" width="1.14166666666667" style="1" customWidth="1"/>
    <col min="8222" max="8222" width="3.14166666666667" style="1" customWidth="1"/>
    <col min="8223" max="8223" width="1.425" style="1" customWidth="1"/>
    <col min="8224" max="8224" width="2.28333333333333" style="1" customWidth="1"/>
    <col min="8225" max="8225" width="1.14166666666667" style="1" customWidth="1"/>
    <col min="8226" max="8227" width="2.28333333333333" style="1" customWidth="1"/>
    <col min="8228" max="8228" width="3.14166666666667" style="1" customWidth="1"/>
    <col min="8229" max="8229" width="1" style="1" customWidth="1"/>
    <col min="8230" max="8448" width="6.85833333333333" style="1" customWidth="1"/>
    <col min="8449" max="8449" width="1.14166666666667" style="1" customWidth="1"/>
    <col min="8450" max="8450" width="9.85833333333333" style="1" customWidth="1"/>
    <col min="8451" max="8451" width="1.56666666666667" style="1" customWidth="1"/>
    <col min="8452" max="8452" width="1.28333333333333" style="1" customWidth="1"/>
    <col min="8453" max="8453" width="3" style="1" customWidth="1"/>
    <col min="8454" max="8454" width="4.425" style="1" customWidth="1"/>
    <col min="8455" max="8455" width="17.2833333333333" style="1" customWidth="1"/>
    <col min="8456" max="8456" width="3.56666666666667" style="1" customWidth="1"/>
    <col min="8457" max="8457" width="1.14166666666667" style="1" customWidth="1"/>
    <col min="8458" max="8458" width="6.56666666666667" style="1" customWidth="1"/>
    <col min="8459" max="8459" width="3.70833333333333" style="1" customWidth="1"/>
    <col min="8460" max="8460" width="2.85833333333333" style="1" customWidth="1"/>
    <col min="8461" max="8461" width="6.28333333333333" style="1" customWidth="1"/>
    <col min="8462" max="8463" width="2.28333333333333" style="1" customWidth="1"/>
    <col min="8464" max="8464" width="6.70833333333333" style="1" customWidth="1"/>
    <col min="8465" max="8465" width="1.28333333333333" style="1" customWidth="1"/>
    <col min="8466" max="8466" width="1.14166666666667" style="1" customWidth="1"/>
    <col min="8467" max="8467" width="11" style="1" customWidth="1"/>
    <col min="8468" max="8468" width="1.56666666666667" style="1" customWidth="1"/>
    <col min="8469" max="8469" width="9.14166666666667" style="1" customWidth="1"/>
    <col min="8470" max="8470" width="1.14166666666667" style="1" customWidth="1"/>
    <col min="8471" max="8471" width="9.14166666666667" style="1" customWidth="1"/>
    <col min="8472" max="8472" width="1.14166666666667" style="1" customWidth="1"/>
    <col min="8473" max="8473" width="2.85833333333333" style="1" customWidth="1"/>
    <col min="8474" max="8474" width="5.85833333333333" style="1" customWidth="1"/>
    <col min="8475" max="8475" width="1.56666666666667" style="1" customWidth="1"/>
    <col min="8476" max="8477" width="1.14166666666667" style="1" customWidth="1"/>
    <col min="8478" max="8478" width="3.14166666666667" style="1" customWidth="1"/>
    <col min="8479" max="8479" width="1.425" style="1" customWidth="1"/>
    <col min="8480" max="8480" width="2.28333333333333" style="1" customWidth="1"/>
    <col min="8481" max="8481" width="1.14166666666667" style="1" customWidth="1"/>
    <col min="8482" max="8483" width="2.28333333333333" style="1" customWidth="1"/>
    <col min="8484" max="8484" width="3.14166666666667" style="1" customWidth="1"/>
    <col min="8485" max="8485" width="1" style="1" customWidth="1"/>
    <col min="8486" max="8704" width="6.85833333333333" style="1" customWidth="1"/>
    <col min="8705" max="8705" width="1.14166666666667" style="1" customWidth="1"/>
    <col min="8706" max="8706" width="9.85833333333333" style="1" customWidth="1"/>
    <col min="8707" max="8707" width="1.56666666666667" style="1" customWidth="1"/>
    <col min="8708" max="8708" width="1.28333333333333" style="1" customWidth="1"/>
    <col min="8709" max="8709" width="3" style="1" customWidth="1"/>
    <col min="8710" max="8710" width="4.425" style="1" customWidth="1"/>
    <col min="8711" max="8711" width="17.2833333333333" style="1" customWidth="1"/>
    <col min="8712" max="8712" width="3.56666666666667" style="1" customWidth="1"/>
    <col min="8713" max="8713" width="1.14166666666667" style="1" customWidth="1"/>
    <col min="8714" max="8714" width="6.56666666666667" style="1" customWidth="1"/>
    <col min="8715" max="8715" width="3.70833333333333" style="1" customWidth="1"/>
    <col min="8716" max="8716" width="2.85833333333333" style="1" customWidth="1"/>
    <col min="8717" max="8717" width="6.28333333333333" style="1" customWidth="1"/>
    <col min="8718" max="8719" width="2.28333333333333" style="1" customWidth="1"/>
    <col min="8720" max="8720" width="6.70833333333333" style="1" customWidth="1"/>
    <col min="8721" max="8721" width="1.28333333333333" style="1" customWidth="1"/>
    <col min="8722" max="8722" width="1.14166666666667" style="1" customWidth="1"/>
    <col min="8723" max="8723" width="11" style="1" customWidth="1"/>
    <col min="8724" max="8724" width="1.56666666666667" style="1" customWidth="1"/>
    <col min="8725" max="8725" width="9.14166666666667" style="1" customWidth="1"/>
    <col min="8726" max="8726" width="1.14166666666667" style="1" customWidth="1"/>
    <col min="8727" max="8727" width="9.14166666666667" style="1" customWidth="1"/>
    <col min="8728" max="8728" width="1.14166666666667" style="1" customWidth="1"/>
    <col min="8729" max="8729" width="2.85833333333333" style="1" customWidth="1"/>
    <col min="8730" max="8730" width="5.85833333333333" style="1" customWidth="1"/>
    <col min="8731" max="8731" width="1.56666666666667" style="1" customWidth="1"/>
    <col min="8732" max="8733" width="1.14166666666667" style="1" customWidth="1"/>
    <col min="8734" max="8734" width="3.14166666666667" style="1" customWidth="1"/>
    <col min="8735" max="8735" width="1.425" style="1" customWidth="1"/>
    <col min="8736" max="8736" width="2.28333333333333" style="1" customWidth="1"/>
    <col min="8737" max="8737" width="1.14166666666667" style="1" customWidth="1"/>
    <col min="8738" max="8739" width="2.28333333333333" style="1" customWidth="1"/>
    <col min="8740" max="8740" width="3.14166666666667" style="1" customWidth="1"/>
    <col min="8741" max="8741" width="1" style="1" customWidth="1"/>
    <col min="8742" max="8960" width="6.85833333333333" style="1" customWidth="1"/>
    <col min="8961" max="8961" width="1.14166666666667" style="1" customWidth="1"/>
    <col min="8962" max="8962" width="9.85833333333333" style="1" customWidth="1"/>
    <col min="8963" max="8963" width="1.56666666666667" style="1" customWidth="1"/>
    <col min="8964" max="8964" width="1.28333333333333" style="1" customWidth="1"/>
    <col min="8965" max="8965" width="3" style="1" customWidth="1"/>
    <col min="8966" max="8966" width="4.425" style="1" customWidth="1"/>
    <col min="8967" max="8967" width="17.2833333333333" style="1" customWidth="1"/>
    <col min="8968" max="8968" width="3.56666666666667" style="1" customWidth="1"/>
    <col min="8969" max="8969" width="1.14166666666667" style="1" customWidth="1"/>
    <col min="8970" max="8970" width="6.56666666666667" style="1" customWidth="1"/>
    <col min="8971" max="8971" width="3.70833333333333" style="1" customWidth="1"/>
    <col min="8972" max="8972" width="2.85833333333333" style="1" customWidth="1"/>
    <col min="8973" max="8973" width="6.28333333333333" style="1" customWidth="1"/>
    <col min="8974" max="8975" width="2.28333333333333" style="1" customWidth="1"/>
    <col min="8976" max="8976" width="6.70833333333333" style="1" customWidth="1"/>
    <col min="8977" max="8977" width="1.28333333333333" style="1" customWidth="1"/>
    <col min="8978" max="8978" width="1.14166666666667" style="1" customWidth="1"/>
    <col min="8979" max="8979" width="11" style="1" customWidth="1"/>
    <col min="8980" max="8980" width="1.56666666666667" style="1" customWidth="1"/>
    <col min="8981" max="8981" width="9.14166666666667" style="1" customWidth="1"/>
    <col min="8982" max="8982" width="1.14166666666667" style="1" customWidth="1"/>
    <col min="8983" max="8983" width="9.14166666666667" style="1" customWidth="1"/>
    <col min="8984" max="8984" width="1.14166666666667" style="1" customWidth="1"/>
    <col min="8985" max="8985" width="2.85833333333333" style="1" customWidth="1"/>
    <col min="8986" max="8986" width="5.85833333333333" style="1" customWidth="1"/>
    <col min="8987" max="8987" width="1.56666666666667" style="1" customWidth="1"/>
    <col min="8988" max="8989" width="1.14166666666667" style="1" customWidth="1"/>
    <col min="8990" max="8990" width="3.14166666666667" style="1" customWidth="1"/>
    <col min="8991" max="8991" width="1.425" style="1" customWidth="1"/>
    <col min="8992" max="8992" width="2.28333333333333" style="1" customWidth="1"/>
    <col min="8993" max="8993" width="1.14166666666667" style="1" customWidth="1"/>
    <col min="8994" max="8995" width="2.28333333333333" style="1" customWidth="1"/>
    <col min="8996" max="8996" width="3.14166666666667" style="1" customWidth="1"/>
    <col min="8997" max="8997" width="1" style="1" customWidth="1"/>
    <col min="8998" max="9216" width="6.85833333333333" style="1" customWidth="1"/>
    <col min="9217" max="9217" width="1.14166666666667" style="1" customWidth="1"/>
    <col min="9218" max="9218" width="9.85833333333333" style="1" customWidth="1"/>
    <col min="9219" max="9219" width="1.56666666666667" style="1" customWidth="1"/>
    <col min="9220" max="9220" width="1.28333333333333" style="1" customWidth="1"/>
    <col min="9221" max="9221" width="3" style="1" customWidth="1"/>
    <col min="9222" max="9222" width="4.425" style="1" customWidth="1"/>
    <col min="9223" max="9223" width="17.2833333333333" style="1" customWidth="1"/>
    <col min="9224" max="9224" width="3.56666666666667" style="1" customWidth="1"/>
    <col min="9225" max="9225" width="1.14166666666667" style="1" customWidth="1"/>
    <col min="9226" max="9226" width="6.56666666666667" style="1" customWidth="1"/>
    <col min="9227" max="9227" width="3.70833333333333" style="1" customWidth="1"/>
    <col min="9228" max="9228" width="2.85833333333333" style="1" customWidth="1"/>
    <col min="9229" max="9229" width="6.28333333333333" style="1" customWidth="1"/>
    <col min="9230" max="9231" width="2.28333333333333" style="1" customWidth="1"/>
    <col min="9232" max="9232" width="6.70833333333333" style="1" customWidth="1"/>
    <col min="9233" max="9233" width="1.28333333333333" style="1" customWidth="1"/>
    <col min="9234" max="9234" width="1.14166666666667" style="1" customWidth="1"/>
    <col min="9235" max="9235" width="11" style="1" customWidth="1"/>
    <col min="9236" max="9236" width="1.56666666666667" style="1" customWidth="1"/>
    <col min="9237" max="9237" width="9.14166666666667" style="1" customWidth="1"/>
    <col min="9238" max="9238" width="1.14166666666667" style="1" customWidth="1"/>
    <col min="9239" max="9239" width="9.14166666666667" style="1" customWidth="1"/>
    <col min="9240" max="9240" width="1.14166666666667" style="1" customWidth="1"/>
    <col min="9241" max="9241" width="2.85833333333333" style="1" customWidth="1"/>
    <col min="9242" max="9242" width="5.85833333333333" style="1" customWidth="1"/>
    <col min="9243" max="9243" width="1.56666666666667" style="1" customWidth="1"/>
    <col min="9244" max="9245" width="1.14166666666667" style="1" customWidth="1"/>
    <col min="9246" max="9246" width="3.14166666666667" style="1" customWidth="1"/>
    <col min="9247" max="9247" width="1.425" style="1" customWidth="1"/>
    <col min="9248" max="9248" width="2.28333333333333" style="1" customWidth="1"/>
    <col min="9249" max="9249" width="1.14166666666667" style="1" customWidth="1"/>
    <col min="9250" max="9251" width="2.28333333333333" style="1" customWidth="1"/>
    <col min="9252" max="9252" width="3.14166666666667" style="1" customWidth="1"/>
    <col min="9253" max="9253" width="1" style="1" customWidth="1"/>
    <col min="9254" max="9472" width="6.85833333333333" style="1" customWidth="1"/>
    <col min="9473" max="9473" width="1.14166666666667" style="1" customWidth="1"/>
    <col min="9474" max="9474" width="9.85833333333333" style="1" customWidth="1"/>
    <col min="9475" max="9475" width="1.56666666666667" style="1" customWidth="1"/>
    <col min="9476" max="9476" width="1.28333333333333" style="1" customWidth="1"/>
    <col min="9477" max="9477" width="3" style="1" customWidth="1"/>
    <col min="9478" max="9478" width="4.425" style="1" customWidth="1"/>
    <col min="9479" max="9479" width="17.2833333333333" style="1" customWidth="1"/>
    <col min="9480" max="9480" width="3.56666666666667" style="1" customWidth="1"/>
    <col min="9481" max="9481" width="1.14166666666667" style="1" customWidth="1"/>
    <col min="9482" max="9482" width="6.56666666666667" style="1" customWidth="1"/>
    <col min="9483" max="9483" width="3.70833333333333" style="1" customWidth="1"/>
    <col min="9484" max="9484" width="2.85833333333333" style="1" customWidth="1"/>
    <col min="9485" max="9485" width="6.28333333333333" style="1" customWidth="1"/>
    <col min="9486" max="9487" width="2.28333333333333" style="1" customWidth="1"/>
    <col min="9488" max="9488" width="6.70833333333333" style="1" customWidth="1"/>
    <col min="9489" max="9489" width="1.28333333333333" style="1" customWidth="1"/>
    <col min="9490" max="9490" width="1.14166666666667" style="1" customWidth="1"/>
    <col min="9491" max="9491" width="11" style="1" customWidth="1"/>
    <col min="9492" max="9492" width="1.56666666666667" style="1" customWidth="1"/>
    <col min="9493" max="9493" width="9.14166666666667" style="1" customWidth="1"/>
    <col min="9494" max="9494" width="1.14166666666667" style="1" customWidth="1"/>
    <col min="9495" max="9495" width="9.14166666666667" style="1" customWidth="1"/>
    <col min="9496" max="9496" width="1.14166666666667" style="1" customWidth="1"/>
    <col min="9497" max="9497" width="2.85833333333333" style="1" customWidth="1"/>
    <col min="9498" max="9498" width="5.85833333333333" style="1" customWidth="1"/>
    <col min="9499" max="9499" width="1.56666666666667" style="1" customWidth="1"/>
    <col min="9500" max="9501" width="1.14166666666667" style="1" customWidth="1"/>
    <col min="9502" max="9502" width="3.14166666666667" style="1" customWidth="1"/>
    <col min="9503" max="9503" width="1.425" style="1" customWidth="1"/>
    <col min="9504" max="9504" width="2.28333333333333" style="1" customWidth="1"/>
    <col min="9505" max="9505" width="1.14166666666667" style="1" customWidth="1"/>
    <col min="9506" max="9507" width="2.28333333333333" style="1" customWidth="1"/>
    <col min="9508" max="9508" width="3.14166666666667" style="1" customWidth="1"/>
    <col min="9509" max="9509" width="1" style="1" customWidth="1"/>
    <col min="9510" max="9728" width="6.85833333333333" style="1" customWidth="1"/>
    <col min="9729" max="9729" width="1.14166666666667" style="1" customWidth="1"/>
    <col min="9730" max="9730" width="9.85833333333333" style="1" customWidth="1"/>
    <col min="9731" max="9731" width="1.56666666666667" style="1" customWidth="1"/>
    <col min="9732" max="9732" width="1.28333333333333" style="1" customWidth="1"/>
    <col min="9733" max="9733" width="3" style="1" customWidth="1"/>
    <col min="9734" max="9734" width="4.425" style="1" customWidth="1"/>
    <col min="9735" max="9735" width="17.2833333333333" style="1" customWidth="1"/>
    <col min="9736" max="9736" width="3.56666666666667" style="1" customWidth="1"/>
    <col min="9737" max="9737" width="1.14166666666667" style="1" customWidth="1"/>
    <col min="9738" max="9738" width="6.56666666666667" style="1" customWidth="1"/>
    <col min="9739" max="9739" width="3.70833333333333" style="1" customWidth="1"/>
    <col min="9740" max="9740" width="2.85833333333333" style="1" customWidth="1"/>
    <col min="9741" max="9741" width="6.28333333333333" style="1" customWidth="1"/>
    <col min="9742" max="9743" width="2.28333333333333" style="1" customWidth="1"/>
    <col min="9744" max="9744" width="6.70833333333333" style="1" customWidth="1"/>
    <col min="9745" max="9745" width="1.28333333333333" style="1" customWidth="1"/>
    <col min="9746" max="9746" width="1.14166666666667" style="1" customWidth="1"/>
    <col min="9747" max="9747" width="11" style="1" customWidth="1"/>
    <col min="9748" max="9748" width="1.56666666666667" style="1" customWidth="1"/>
    <col min="9749" max="9749" width="9.14166666666667" style="1" customWidth="1"/>
    <col min="9750" max="9750" width="1.14166666666667" style="1" customWidth="1"/>
    <col min="9751" max="9751" width="9.14166666666667" style="1" customWidth="1"/>
    <col min="9752" max="9752" width="1.14166666666667" style="1" customWidth="1"/>
    <col min="9753" max="9753" width="2.85833333333333" style="1" customWidth="1"/>
    <col min="9754" max="9754" width="5.85833333333333" style="1" customWidth="1"/>
    <col min="9755" max="9755" width="1.56666666666667" style="1" customWidth="1"/>
    <col min="9756" max="9757" width="1.14166666666667" style="1" customWidth="1"/>
    <col min="9758" max="9758" width="3.14166666666667" style="1" customWidth="1"/>
    <col min="9759" max="9759" width="1.425" style="1" customWidth="1"/>
    <col min="9760" max="9760" width="2.28333333333333" style="1" customWidth="1"/>
    <col min="9761" max="9761" width="1.14166666666667" style="1" customWidth="1"/>
    <col min="9762" max="9763" width="2.28333333333333" style="1" customWidth="1"/>
    <col min="9764" max="9764" width="3.14166666666667" style="1" customWidth="1"/>
    <col min="9765" max="9765" width="1" style="1" customWidth="1"/>
    <col min="9766" max="9984" width="6.85833333333333" style="1" customWidth="1"/>
    <col min="9985" max="9985" width="1.14166666666667" style="1" customWidth="1"/>
    <col min="9986" max="9986" width="9.85833333333333" style="1" customWidth="1"/>
    <col min="9987" max="9987" width="1.56666666666667" style="1" customWidth="1"/>
    <col min="9988" max="9988" width="1.28333333333333" style="1" customWidth="1"/>
    <col min="9989" max="9989" width="3" style="1" customWidth="1"/>
    <col min="9990" max="9990" width="4.425" style="1" customWidth="1"/>
    <col min="9991" max="9991" width="17.2833333333333" style="1" customWidth="1"/>
    <col min="9992" max="9992" width="3.56666666666667" style="1" customWidth="1"/>
    <col min="9993" max="9993" width="1.14166666666667" style="1" customWidth="1"/>
    <col min="9994" max="9994" width="6.56666666666667" style="1" customWidth="1"/>
    <col min="9995" max="9995" width="3.70833333333333" style="1" customWidth="1"/>
    <col min="9996" max="9996" width="2.85833333333333" style="1" customWidth="1"/>
    <col min="9997" max="9997" width="6.28333333333333" style="1" customWidth="1"/>
    <col min="9998" max="9999" width="2.28333333333333" style="1" customWidth="1"/>
    <col min="10000" max="10000" width="6.70833333333333" style="1" customWidth="1"/>
    <col min="10001" max="10001" width="1.28333333333333" style="1" customWidth="1"/>
    <col min="10002" max="10002" width="1.14166666666667" style="1" customWidth="1"/>
    <col min="10003" max="10003" width="11" style="1" customWidth="1"/>
    <col min="10004" max="10004" width="1.56666666666667" style="1" customWidth="1"/>
    <col min="10005" max="10005" width="9.14166666666667" style="1" customWidth="1"/>
    <col min="10006" max="10006" width="1.14166666666667" style="1" customWidth="1"/>
    <col min="10007" max="10007" width="9.14166666666667" style="1" customWidth="1"/>
    <col min="10008" max="10008" width="1.14166666666667" style="1" customWidth="1"/>
    <col min="10009" max="10009" width="2.85833333333333" style="1" customWidth="1"/>
    <col min="10010" max="10010" width="5.85833333333333" style="1" customWidth="1"/>
    <col min="10011" max="10011" width="1.56666666666667" style="1" customWidth="1"/>
    <col min="10012" max="10013" width="1.14166666666667" style="1" customWidth="1"/>
    <col min="10014" max="10014" width="3.14166666666667" style="1" customWidth="1"/>
    <col min="10015" max="10015" width="1.425" style="1" customWidth="1"/>
    <col min="10016" max="10016" width="2.28333333333333" style="1" customWidth="1"/>
    <col min="10017" max="10017" width="1.14166666666667" style="1" customWidth="1"/>
    <col min="10018" max="10019" width="2.28333333333333" style="1" customWidth="1"/>
    <col min="10020" max="10020" width="3.14166666666667" style="1" customWidth="1"/>
    <col min="10021" max="10021" width="1" style="1" customWidth="1"/>
    <col min="10022" max="10240" width="6.85833333333333" style="1" customWidth="1"/>
    <col min="10241" max="10241" width="1.14166666666667" style="1" customWidth="1"/>
    <col min="10242" max="10242" width="9.85833333333333" style="1" customWidth="1"/>
    <col min="10243" max="10243" width="1.56666666666667" style="1" customWidth="1"/>
    <col min="10244" max="10244" width="1.28333333333333" style="1" customWidth="1"/>
    <col min="10245" max="10245" width="3" style="1" customWidth="1"/>
    <col min="10246" max="10246" width="4.425" style="1" customWidth="1"/>
    <col min="10247" max="10247" width="17.2833333333333" style="1" customWidth="1"/>
    <col min="10248" max="10248" width="3.56666666666667" style="1" customWidth="1"/>
    <col min="10249" max="10249" width="1.14166666666667" style="1" customWidth="1"/>
    <col min="10250" max="10250" width="6.56666666666667" style="1" customWidth="1"/>
    <col min="10251" max="10251" width="3.70833333333333" style="1" customWidth="1"/>
    <col min="10252" max="10252" width="2.85833333333333" style="1" customWidth="1"/>
    <col min="10253" max="10253" width="6.28333333333333" style="1" customWidth="1"/>
    <col min="10254" max="10255" width="2.28333333333333" style="1" customWidth="1"/>
    <col min="10256" max="10256" width="6.70833333333333" style="1" customWidth="1"/>
    <col min="10257" max="10257" width="1.28333333333333" style="1" customWidth="1"/>
    <col min="10258" max="10258" width="1.14166666666667" style="1" customWidth="1"/>
    <col min="10259" max="10259" width="11" style="1" customWidth="1"/>
    <col min="10260" max="10260" width="1.56666666666667" style="1" customWidth="1"/>
    <col min="10261" max="10261" width="9.14166666666667" style="1" customWidth="1"/>
    <col min="10262" max="10262" width="1.14166666666667" style="1" customWidth="1"/>
    <col min="10263" max="10263" width="9.14166666666667" style="1" customWidth="1"/>
    <col min="10264" max="10264" width="1.14166666666667" style="1" customWidth="1"/>
    <col min="10265" max="10265" width="2.85833333333333" style="1" customWidth="1"/>
    <col min="10266" max="10266" width="5.85833333333333" style="1" customWidth="1"/>
    <col min="10267" max="10267" width="1.56666666666667" style="1" customWidth="1"/>
    <col min="10268" max="10269" width="1.14166666666667" style="1" customWidth="1"/>
    <col min="10270" max="10270" width="3.14166666666667" style="1" customWidth="1"/>
    <col min="10271" max="10271" width="1.425" style="1" customWidth="1"/>
    <col min="10272" max="10272" width="2.28333333333333" style="1" customWidth="1"/>
    <col min="10273" max="10273" width="1.14166666666667" style="1" customWidth="1"/>
    <col min="10274" max="10275" width="2.28333333333333" style="1" customWidth="1"/>
    <col min="10276" max="10276" width="3.14166666666667" style="1" customWidth="1"/>
    <col min="10277" max="10277" width="1" style="1" customWidth="1"/>
    <col min="10278" max="10496" width="6.85833333333333" style="1" customWidth="1"/>
    <col min="10497" max="10497" width="1.14166666666667" style="1" customWidth="1"/>
    <col min="10498" max="10498" width="9.85833333333333" style="1" customWidth="1"/>
    <col min="10499" max="10499" width="1.56666666666667" style="1" customWidth="1"/>
    <col min="10500" max="10500" width="1.28333333333333" style="1" customWidth="1"/>
    <col min="10501" max="10501" width="3" style="1" customWidth="1"/>
    <col min="10502" max="10502" width="4.425" style="1" customWidth="1"/>
    <col min="10503" max="10503" width="17.2833333333333" style="1" customWidth="1"/>
    <col min="10504" max="10504" width="3.56666666666667" style="1" customWidth="1"/>
    <col min="10505" max="10505" width="1.14166666666667" style="1" customWidth="1"/>
    <col min="10506" max="10506" width="6.56666666666667" style="1" customWidth="1"/>
    <col min="10507" max="10507" width="3.70833333333333" style="1" customWidth="1"/>
    <col min="10508" max="10508" width="2.85833333333333" style="1" customWidth="1"/>
    <col min="10509" max="10509" width="6.28333333333333" style="1" customWidth="1"/>
    <col min="10510" max="10511" width="2.28333333333333" style="1" customWidth="1"/>
    <col min="10512" max="10512" width="6.70833333333333" style="1" customWidth="1"/>
    <col min="10513" max="10513" width="1.28333333333333" style="1" customWidth="1"/>
    <col min="10514" max="10514" width="1.14166666666667" style="1" customWidth="1"/>
    <col min="10515" max="10515" width="11" style="1" customWidth="1"/>
    <col min="10516" max="10516" width="1.56666666666667" style="1" customWidth="1"/>
    <col min="10517" max="10517" width="9.14166666666667" style="1" customWidth="1"/>
    <col min="10518" max="10518" width="1.14166666666667" style="1" customWidth="1"/>
    <col min="10519" max="10519" width="9.14166666666667" style="1" customWidth="1"/>
    <col min="10520" max="10520" width="1.14166666666667" style="1" customWidth="1"/>
    <col min="10521" max="10521" width="2.85833333333333" style="1" customWidth="1"/>
    <col min="10522" max="10522" width="5.85833333333333" style="1" customWidth="1"/>
    <col min="10523" max="10523" width="1.56666666666667" style="1" customWidth="1"/>
    <col min="10524" max="10525" width="1.14166666666667" style="1" customWidth="1"/>
    <col min="10526" max="10526" width="3.14166666666667" style="1" customWidth="1"/>
    <col min="10527" max="10527" width="1.425" style="1" customWidth="1"/>
    <col min="10528" max="10528" width="2.28333333333333" style="1" customWidth="1"/>
    <col min="10529" max="10529" width="1.14166666666667" style="1" customWidth="1"/>
    <col min="10530" max="10531" width="2.28333333333333" style="1" customWidth="1"/>
    <col min="10532" max="10532" width="3.14166666666667" style="1" customWidth="1"/>
    <col min="10533" max="10533" width="1" style="1" customWidth="1"/>
    <col min="10534" max="10752" width="6.85833333333333" style="1" customWidth="1"/>
    <col min="10753" max="10753" width="1.14166666666667" style="1" customWidth="1"/>
    <col min="10754" max="10754" width="9.85833333333333" style="1" customWidth="1"/>
    <col min="10755" max="10755" width="1.56666666666667" style="1" customWidth="1"/>
    <col min="10756" max="10756" width="1.28333333333333" style="1" customWidth="1"/>
    <col min="10757" max="10757" width="3" style="1" customWidth="1"/>
    <col min="10758" max="10758" width="4.425" style="1" customWidth="1"/>
    <col min="10759" max="10759" width="17.2833333333333" style="1" customWidth="1"/>
    <col min="10760" max="10760" width="3.56666666666667" style="1" customWidth="1"/>
    <col min="10761" max="10761" width="1.14166666666667" style="1" customWidth="1"/>
    <col min="10762" max="10762" width="6.56666666666667" style="1" customWidth="1"/>
    <col min="10763" max="10763" width="3.70833333333333" style="1" customWidth="1"/>
    <col min="10764" max="10764" width="2.85833333333333" style="1" customWidth="1"/>
    <col min="10765" max="10765" width="6.28333333333333" style="1" customWidth="1"/>
    <col min="10766" max="10767" width="2.28333333333333" style="1" customWidth="1"/>
    <col min="10768" max="10768" width="6.70833333333333" style="1" customWidth="1"/>
    <col min="10769" max="10769" width="1.28333333333333" style="1" customWidth="1"/>
    <col min="10770" max="10770" width="1.14166666666667" style="1" customWidth="1"/>
    <col min="10771" max="10771" width="11" style="1" customWidth="1"/>
    <col min="10772" max="10772" width="1.56666666666667" style="1" customWidth="1"/>
    <col min="10773" max="10773" width="9.14166666666667" style="1" customWidth="1"/>
    <col min="10774" max="10774" width="1.14166666666667" style="1" customWidth="1"/>
    <col min="10775" max="10775" width="9.14166666666667" style="1" customWidth="1"/>
    <col min="10776" max="10776" width="1.14166666666667" style="1" customWidth="1"/>
    <col min="10777" max="10777" width="2.85833333333333" style="1" customWidth="1"/>
    <col min="10778" max="10778" width="5.85833333333333" style="1" customWidth="1"/>
    <col min="10779" max="10779" width="1.56666666666667" style="1" customWidth="1"/>
    <col min="10780" max="10781" width="1.14166666666667" style="1" customWidth="1"/>
    <col min="10782" max="10782" width="3.14166666666667" style="1" customWidth="1"/>
    <col min="10783" max="10783" width="1.425" style="1" customWidth="1"/>
    <col min="10784" max="10784" width="2.28333333333333" style="1" customWidth="1"/>
    <col min="10785" max="10785" width="1.14166666666667" style="1" customWidth="1"/>
    <col min="10786" max="10787" width="2.28333333333333" style="1" customWidth="1"/>
    <col min="10788" max="10788" width="3.14166666666667" style="1" customWidth="1"/>
    <col min="10789" max="10789" width="1" style="1" customWidth="1"/>
    <col min="10790" max="11008" width="6.85833333333333" style="1" customWidth="1"/>
    <col min="11009" max="11009" width="1.14166666666667" style="1" customWidth="1"/>
    <col min="11010" max="11010" width="9.85833333333333" style="1" customWidth="1"/>
    <col min="11011" max="11011" width="1.56666666666667" style="1" customWidth="1"/>
    <col min="11012" max="11012" width="1.28333333333333" style="1" customWidth="1"/>
    <col min="11013" max="11013" width="3" style="1" customWidth="1"/>
    <col min="11014" max="11014" width="4.425" style="1" customWidth="1"/>
    <col min="11015" max="11015" width="17.2833333333333" style="1" customWidth="1"/>
    <col min="11016" max="11016" width="3.56666666666667" style="1" customWidth="1"/>
    <col min="11017" max="11017" width="1.14166666666667" style="1" customWidth="1"/>
    <col min="11018" max="11018" width="6.56666666666667" style="1" customWidth="1"/>
    <col min="11019" max="11019" width="3.70833333333333" style="1" customWidth="1"/>
    <col min="11020" max="11020" width="2.85833333333333" style="1" customWidth="1"/>
    <col min="11021" max="11021" width="6.28333333333333" style="1" customWidth="1"/>
    <col min="11022" max="11023" width="2.28333333333333" style="1" customWidth="1"/>
    <col min="11024" max="11024" width="6.70833333333333" style="1" customWidth="1"/>
    <col min="11025" max="11025" width="1.28333333333333" style="1" customWidth="1"/>
    <col min="11026" max="11026" width="1.14166666666667" style="1" customWidth="1"/>
    <col min="11027" max="11027" width="11" style="1" customWidth="1"/>
    <col min="11028" max="11028" width="1.56666666666667" style="1" customWidth="1"/>
    <col min="11029" max="11029" width="9.14166666666667" style="1" customWidth="1"/>
    <col min="11030" max="11030" width="1.14166666666667" style="1" customWidth="1"/>
    <col min="11031" max="11031" width="9.14166666666667" style="1" customWidth="1"/>
    <col min="11032" max="11032" width="1.14166666666667" style="1" customWidth="1"/>
    <col min="11033" max="11033" width="2.85833333333333" style="1" customWidth="1"/>
    <col min="11034" max="11034" width="5.85833333333333" style="1" customWidth="1"/>
    <col min="11035" max="11035" width="1.56666666666667" style="1" customWidth="1"/>
    <col min="11036" max="11037" width="1.14166666666667" style="1" customWidth="1"/>
    <col min="11038" max="11038" width="3.14166666666667" style="1" customWidth="1"/>
    <col min="11039" max="11039" width="1.425" style="1" customWidth="1"/>
    <col min="11040" max="11040" width="2.28333333333333" style="1" customWidth="1"/>
    <col min="11041" max="11041" width="1.14166666666667" style="1" customWidth="1"/>
    <col min="11042" max="11043" width="2.28333333333333" style="1" customWidth="1"/>
    <col min="11044" max="11044" width="3.14166666666667" style="1" customWidth="1"/>
    <col min="11045" max="11045" width="1" style="1" customWidth="1"/>
    <col min="11046" max="11264" width="6.85833333333333" style="1" customWidth="1"/>
    <col min="11265" max="11265" width="1.14166666666667" style="1" customWidth="1"/>
    <col min="11266" max="11266" width="9.85833333333333" style="1" customWidth="1"/>
    <col min="11267" max="11267" width="1.56666666666667" style="1" customWidth="1"/>
    <col min="11268" max="11268" width="1.28333333333333" style="1" customWidth="1"/>
    <col min="11269" max="11269" width="3" style="1" customWidth="1"/>
    <col min="11270" max="11270" width="4.425" style="1" customWidth="1"/>
    <col min="11271" max="11271" width="17.2833333333333" style="1" customWidth="1"/>
    <col min="11272" max="11272" width="3.56666666666667" style="1" customWidth="1"/>
    <col min="11273" max="11273" width="1.14166666666667" style="1" customWidth="1"/>
    <col min="11274" max="11274" width="6.56666666666667" style="1" customWidth="1"/>
    <col min="11275" max="11275" width="3.70833333333333" style="1" customWidth="1"/>
    <col min="11276" max="11276" width="2.85833333333333" style="1" customWidth="1"/>
    <col min="11277" max="11277" width="6.28333333333333" style="1" customWidth="1"/>
    <col min="11278" max="11279" width="2.28333333333333" style="1" customWidth="1"/>
    <col min="11280" max="11280" width="6.70833333333333" style="1" customWidth="1"/>
    <col min="11281" max="11281" width="1.28333333333333" style="1" customWidth="1"/>
    <col min="11282" max="11282" width="1.14166666666667" style="1" customWidth="1"/>
    <col min="11283" max="11283" width="11" style="1" customWidth="1"/>
    <col min="11284" max="11284" width="1.56666666666667" style="1" customWidth="1"/>
    <col min="11285" max="11285" width="9.14166666666667" style="1" customWidth="1"/>
    <col min="11286" max="11286" width="1.14166666666667" style="1" customWidth="1"/>
    <col min="11287" max="11287" width="9.14166666666667" style="1" customWidth="1"/>
    <col min="11288" max="11288" width="1.14166666666667" style="1" customWidth="1"/>
    <col min="11289" max="11289" width="2.85833333333333" style="1" customWidth="1"/>
    <col min="11290" max="11290" width="5.85833333333333" style="1" customWidth="1"/>
    <col min="11291" max="11291" width="1.56666666666667" style="1" customWidth="1"/>
    <col min="11292" max="11293" width="1.14166666666667" style="1" customWidth="1"/>
    <col min="11294" max="11294" width="3.14166666666667" style="1" customWidth="1"/>
    <col min="11295" max="11295" width="1.425" style="1" customWidth="1"/>
    <col min="11296" max="11296" width="2.28333333333333" style="1" customWidth="1"/>
    <col min="11297" max="11297" width="1.14166666666667" style="1" customWidth="1"/>
    <col min="11298" max="11299" width="2.28333333333333" style="1" customWidth="1"/>
    <col min="11300" max="11300" width="3.14166666666667" style="1" customWidth="1"/>
    <col min="11301" max="11301" width="1" style="1" customWidth="1"/>
    <col min="11302" max="11520" width="6.85833333333333" style="1" customWidth="1"/>
    <col min="11521" max="11521" width="1.14166666666667" style="1" customWidth="1"/>
    <col min="11522" max="11522" width="9.85833333333333" style="1" customWidth="1"/>
    <col min="11523" max="11523" width="1.56666666666667" style="1" customWidth="1"/>
    <col min="11524" max="11524" width="1.28333333333333" style="1" customWidth="1"/>
    <col min="11525" max="11525" width="3" style="1" customWidth="1"/>
    <col min="11526" max="11526" width="4.425" style="1" customWidth="1"/>
    <col min="11527" max="11527" width="17.2833333333333" style="1" customWidth="1"/>
    <col min="11528" max="11528" width="3.56666666666667" style="1" customWidth="1"/>
    <col min="11529" max="11529" width="1.14166666666667" style="1" customWidth="1"/>
    <col min="11530" max="11530" width="6.56666666666667" style="1" customWidth="1"/>
    <col min="11531" max="11531" width="3.70833333333333" style="1" customWidth="1"/>
    <col min="11532" max="11532" width="2.85833333333333" style="1" customWidth="1"/>
    <col min="11533" max="11533" width="6.28333333333333" style="1" customWidth="1"/>
    <col min="11534" max="11535" width="2.28333333333333" style="1" customWidth="1"/>
    <col min="11536" max="11536" width="6.70833333333333" style="1" customWidth="1"/>
    <col min="11537" max="11537" width="1.28333333333333" style="1" customWidth="1"/>
    <col min="11538" max="11538" width="1.14166666666667" style="1" customWidth="1"/>
    <col min="11539" max="11539" width="11" style="1" customWidth="1"/>
    <col min="11540" max="11540" width="1.56666666666667" style="1" customWidth="1"/>
    <col min="11541" max="11541" width="9.14166666666667" style="1" customWidth="1"/>
    <col min="11542" max="11542" width="1.14166666666667" style="1" customWidth="1"/>
    <col min="11543" max="11543" width="9.14166666666667" style="1" customWidth="1"/>
    <col min="11544" max="11544" width="1.14166666666667" style="1" customWidth="1"/>
    <col min="11545" max="11545" width="2.85833333333333" style="1" customWidth="1"/>
    <col min="11546" max="11546" width="5.85833333333333" style="1" customWidth="1"/>
    <col min="11547" max="11547" width="1.56666666666667" style="1" customWidth="1"/>
    <col min="11548" max="11549" width="1.14166666666667" style="1" customWidth="1"/>
    <col min="11550" max="11550" width="3.14166666666667" style="1" customWidth="1"/>
    <col min="11551" max="11551" width="1.425" style="1" customWidth="1"/>
    <col min="11552" max="11552" width="2.28333333333333" style="1" customWidth="1"/>
    <col min="11553" max="11553" width="1.14166666666667" style="1" customWidth="1"/>
    <col min="11554" max="11555" width="2.28333333333333" style="1" customWidth="1"/>
    <col min="11556" max="11556" width="3.14166666666667" style="1" customWidth="1"/>
    <col min="11557" max="11557" width="1" style="1" customWidth="1"/>
    <col min="11558" max="11776" width="6.85833333333333" style="1" customWidth="1"/>
    <col min="11777" max="11777" width="1.14166666666667" style="1" customWidth="1"/>
    <col min="11778" max="11778" width="9.85833333333333" style="1" customWidth="1"/>
    <col min="11779" max="11779" width="1.56666666666667" style="1" customWidth="1"/>
    <col min="11780" max="11780" width="1.28333333333333" style="1" customWidth="1"/>
    <col min="11781" max="11781" width="3" style="1" customWidth="1"/>
    <col min="11782" max="11782" width="4.425" style="1" customWidth="1"/>
    <col min="11783" max="11783" width="17.2833333333333" style="1" customWidth="1"/>
    <col min="11784" max="11784" width="3.56666666666667" style="1" customWidth="1"/>
    <col min="11785" max="11785" width="1.14166666666667" style="1" customWidth="1"/>
    <col min="11786" max="11786" width="6.56666666666667" style="1" customWidth="1"/>
    <col min="11787" max="11787" width="3.70833333333333" style="1" customWidth="1"/>
    <col min="11788" max="11788" width="2.85833333333333" style="1" customWidth="1"/>
    <col min="11789" max="11789" width="6.28333333333333" style="1" customWidth="1"/>
    <col min="11790" max="11791" width="2.28333333333333" style="1" customWidth="1"/>
    <col min="11792" max="11792" width="6.70833333333333" style="1" customWidth="1"/>
    <col min="11793" max="11793" width="1.28333333333333" style="1" customWidth="1"/>
    <col min="11794" max="11794" width="1.14166666666667" style="1" customWidth="1"/>
    <col min="11795" max="11795" width="11" style="1" customWidth="1"/>
    <col min="11796" max="11796" width="1.56666666666667" style="1" customWidth="1"/>
    <col min="11797" max="11797" width="9.14166666666667" style="1" customWidth="1"/>
    <col min="11798" max="11798" width="1.14166666666667" style="1" customWidth="1"/>
    <col min="11799" max="11799" width="9.14166666666667" style="1" customWidth="1"/>
    <col min="11800" max="11800" width="1.14166666666667" style="1" customWidth="1"/>
    <col min="11801" max="11801" width="2.85833333333333" style="1" customWidth="1"/>
    <col min="11802" max="11802" width="5.85833333333333" style="1" customWidth="1"/>
    <col min="11803" max="11803" width="1.56666666666667" style="1" customWidth="1"/>
    <col min="11804" max="11805" width="1.14166666666667" style="1" customWidth="1"/>
    <col min="11806" max="11806" width="3.14166666666667" style="1" customWidth="1"/>
    <col min="11807" max="11807" width="1.425" style="1" customWidth="1"/>
    <col min="11808" max="11808" width="2.28333333333333" style="1" customWidth="1"/>
    <col min="11809" max="11809" width="1.14166666666667" style="1" customWidth="1"/>
    <col min="11810" max="11811" width="2.28333333333333" style="1" customWidth="1"/>
    <col min="11812" max="11812" width="3.14166666666667" style="1" customWidth="1"/>
    <col min="11813" max="11813" width="1" style="1" customWidth="1"/>
    <col min="11814" max="12032" width="6.85833333333333" style="1" customWidth="1"/>
    <col min="12033" max="12033" width="1.14166666666667" style="1" customWidth="1"/>
    <col min="12034" max="12034" width="9.85833333333333" style="1" customWidth="1"/>
    <col min="12035" max="12035" width="1.56666666666667" style="1" customWidth="1"/>
    <col min="12036" max="12036" width="1.28333333333333" style="1" customWidth="1"/>
    <col min="12037" max="12037" width="3" style="1" customWidth="1"/>
    <col min="12038" max="12038" width="4.425" style="1" customWidth="1"/>
    <col min="12039" max="12039" width="17.2833333333333" style="1" customWidth="1"/>
    <col min="12040" max="12040" width="3.56666666666667" style="1" customWidth="1"/>
    <col min="12041" max="12041" width="1.14166666666667" style="1" customWidth="1"/>
    <col min="12042" max="12042" width="6.56666666666667" style="1" customWidth="1"/>
    <col min="12043" max="12043" width="3.70833333333333" style="1" customWidth="1"/>
    <col min="12044" max="12044" width="2.85833333333333" style="1" customWidth="1"/>
    <col min="12045" max="12045" width="6.28333333333333" style="1" customWidth="1"/>
    <col min="12046" max="12047" width="2.28333333333333" style="1" customWidth="1"/>
    <col min="12048" max="12048" width="6.70833333333333" style="1" customWidth="1"/>
    <col min="12049" max="12049" width="1.28333333333333" style="1" customWidth="1"/>
    <col min="12050" max="12050" width="1.14166666666667" style="1" customWidth="1"/>
    <col min="12051" max="12051" width="11" style="1" customWidth="1"/>
    <col min="12052" max="12052" width="1.56666666666667" style="1" customWidth="1"/>
    <col min="12053" max="12053" width="9.14166666666667" style="1" customWidth="1"/>
    <col min="12054" max="12054" width="1.14166666666667" style="1" customWidth="1"/>
    <col min="12055" max="12055" width="9.14166666666667" style="1" customWidth="1"/>
    <col min="12056" max="12056" width="1.14166666666667" style="1" customWidth="1"/>
    <col min="12057" max="12057" width="2.85833333333333" style="1" customWidth="1"/>
    <col min="12058" max="12058" width="5.85833333333333" style="1" customWidth="1"/>
    <col min="12059" max="12059" width="1.56666666666667" style="1" customWidth="1"/>
    <col min="12060" max="12061" width="1.14166666666667" style="1" customWidth="1"/>
    <col min="12062" max="12062" width="3.14166666666667" style="1" customWidth="1"/>
    <col min="12063" max="12063" width="1.425" style="1" customWidth="1"/>
    <col min="12064" max="12064" width="2.28333333333333" style="1" customWidth="1"/>
    <col min="12065" max="12065" width="1.14166666666667" style="1" customWidth="1"/>
    <col min="12066" max="12067" width="2.28333333333333" style="1" customWidth="1"/>
    <col min="12068" max="12068" width="3.14166666666667" style="1" customWidth="1"/>
    <col min="12069" max="12069" width="1" style="1" customWidth="1"/>
    <col min="12070" max="12288" width="6.85833333333333" style="1" customWidth="1"/>
    <col min="12289" max="12289" width="1.14166666666667" style="1" customWidth="1"/>
    <col min="12290" max="12290" width="9.85833333333333" style="1" customWidth="1"/>
    <col min="12291" max="12291" width="1.56666666666667" style="1" customWidth="1"/>
    <col min="12292" max="12292" width="1.28333333333333" style="1" customWidth="1"/>
    <col min="12293" max="12293" width="3" style="1" customWidth="1"/>
    <col min="12294" max="12294" width="4.425" style="1" customWidth="1"/>
    <col min="12295" max="12295" width="17.2833333333333" style="1" customWidth="1"/>
    <col min="12296" max="12296" width="3.56666666666667" style="1" customWidth="1"/>
    <col min="12297" max="12297" width="1.14166666666667" style="1" customWidth="1"/>
    <col min="12298" max="12298" width="6.56666666666667" style="1" customWidth="1"/>
    <col min="12299" max="12299" width="3.70833333333333" style="1" customWidth="1"/>
    <col min="12300" max="12300" width="2.85833333333333" style="1" customWidth="1"/>
    <col min="12301" max="12301" width="6.28333333333333" style="1" customWidth="1"/>
    <col min="12302" max="12303" width="2.28333333333333" style="1" customWidth="1"/>
    <col min="12304" max="12304" width="6.70833333333333" style="1" customWidth="1"/>
    <col min="12305" max="12305" width="1.28333333333333" style="1" customWidth="1"/>
    <col min="12306" max="12306" width="1.14166666666667" style="1" customWidth="1"/>
    <col min="12307" max="12307" width="11" style="1" customWidth="1"/>
    <col min="12308" max="12308" width="1.56666666666667" style="1" customWidth="1"/>
    <col min="12309" max="12309" width="9.14166666666667" style="1" customWidth="1"/>
    <col min="12310" max="12310" width="1.14166666666667" style="1" customWidth="1"/>
    <col min="12311" max="12311" width="9.14166666666667" style="1" customWidth="1"/>
    <col min="12312" max="12312" width="1.14166666666667" style="1" customWidth="1"/>
    <col min="12313" max="12313" width="2.85833333333333" style="1" customWidth="1"/>
    <col min="12314" max="12314" width="5.85833333333333" style="1" customWidth="1"/>
    <col min="12315" max="12315" width="1.56666666666667" style="1" customWidth="1"/>
    <col min="12316" max="12317" width="1.14166666666667" style="1" customWidth="1"/>
    <col min="12318" max="12318" width="3.14166666666667" style="1" customWidth="1"/>
    <col min="12319" max="12319" width="1.425" style="1" customWidth="1"/>
    <col min="12320" max="12320" width="2.28333333333333" style="1" customWidth="1"/>
    <col min="12321" max="12321" width="1.14166666666667" style="1" customWidth="1"/>
    <col min="12322" max="12323" width="2.28333333333333" style="1" customWidth="1"/>
    <col min="12324" max="12324" width="3.14166666666667" style="1" customWidth="1"/>
    <col min="12325" max="12325" width="1" style="1" customWidth="1"/>
    <col min="12326" max="12544" width="6.85833333333333" style="1" customWidth="1"/>
    <col min="12545" max="12545" width="1.14166666666667" style="1" customWidth="1"/>
    <col min="12546" max="12546" width="9.85833333333333" style="1" customWidth="1"/>
    <col min="12547" max="12547" width="1.56666666666667" style="1" customWidth="1"/>
    <col min="12548" max="12548" width="1.28333333333333" style="1" customWidth="1"/>
    <col min="12549" max="12549" width="3" style="1" customWidth="1"/>
    <col min="12550" max="12550" width="4.425" style="1" customWidth="1"/>
    <col min="12551" max="12551" width="17.2833333333333" style="1" customWidth="1"/>
    <col min="12552" max="12552" width="3.56666666666667" style="1" customWidth="1"/>
    <col min="12553" max="12553" width="1.14166666666667" style="1" customWidth="1"/>
    <col min="12554" max="12554" width="6.56666666666667" style="1" customWidth="1"/>
    <col min="12555" max="12555" width="3.70833333333333" style="1" customWidth="1"/>
    <col min="12556" max="12556" width="2.85833333333333" style="1" customWidth="1"/>
    <col min="12557" max="12557" width="6.28333333333333" style="1" customWidth="1"/>
    <col min="12558" max="12559" width="2.28333333333333" style="1" customWidth="1"/>
    <col min="12560" max="12560" width="6.70833333333333" style="1" customWidth="1"/>
    <col min="12561" max="12561" width="1.28333333333333" style="1" customWidth="1"/>
    <col min="12562" max="12562" width="1.14166666666667" style="1" customWidth="1"/>
    <col min="12563" max="12563" width="11" style="1" customWidth="1"/>
    <col min="12564" max="12564" width="1.56666666666667" style="1" customWidth="1"/>
    <col min="12565" max="12565" width="9.14166666666667" style="1" customWidth="1"/>
    <col min="12566" max="12566" width="1.14166666666667" style="1" customWidth="1"/>
    <col min="12567" max="12567" width="9.14166666666667" style="1" customWidth="1"/>
    <col min="12568" max="12568" width="1.14166666666667" style="1" customWidth="1"/>
    <col min="12569" max="12569" width="2.85833333333333" style="1" customWidth="1"/>
    <col min="12570" max="12570" width="5.85833333333333" style="1" customWidth="1"/>
    <col min="12571" max="12571" width="1.56666666666667" style="1" customWidth="1"/>
    <col min="12572" max="12573" width="1.14166666666667" style="1" customWidth="1"/>
    <col min="12574" max="12574" width="3.14166666666667" style="1" customWidth="1"/>
    <col min="12575" max="12575" width="1.425" style="1" customWidth="1"/>
    <col min="12576" max="12576" width="2.28333333333333" style="1" customWidth="1"/>
    <col min="12577" max="12577" width="1.14166666666667" style="1" customWidth="1"/>
    <col min="12578" max="12579" width="2.28333333333333" style="1" customWidth="1"/>
    <col min="12580" max="12580" width="3.14166666666667" style="1" customWidth="1"/>
    <col min="12581" max="12581" width="1" style="1" customWidth="1"/>
    <col min="12582" max="12800" width="6.85833333333333" style="1" customWidth="1"/>
    <col min="12801" max="12801" width="1.14166666666667" style="1" customWidth="1"/>
    <col min="12802" max="12802" width="9.85833333333333" style="1" customWidth="1"/>
    <col min="12803" max="12803" width="1.56666666666667" style="1" customWidth="1"/>
    <col min="12804" max="12804" width="1.28333333333333" style="1" customWidth="1"/>
    <col min="12805" max="12805" width="3" style="1" customWidth="1"/>
    <col min="12806" max="12806" width="4.425" style="1" customWidth="1"/>
    <col min="12807" max="12807" width="17.2833333333333" style="1" customWidth="1"/>
    <col min="12808" max="12808" width="3.56666666666667" style="1" customWidth="1"/>
    <col min="12809" max="12809" width="1.14166666666667" style="1" customWidth="1"/>
    <col min="12810" max="12810" width="6.56666666666667" style="1" customWidth="1"/>
    <col min="12811" max="12811" width="3.70833333333333" style="1" customWidth="1"/>
    <col min="12812" max="12812" width="2.85833333333333" style="1" customWidth="1"/>
    <col min="12813" max="12813" width="6.28333333333333" style="1" customWidth="1"/>
    <col min="12814" max="12815" width="2.28333333333333" style="1" customWidth="1"/>
    <col min="12816" max="12816" width="6.70833333333333" style="1" customWidth="1"/>
    <col min="12817" max="12817" width="1.28333333333333" style="1" customWidth="1"/>
    <col min="12818" max="12818" width="1.14166666666667" style="1" customWidth="1"/>
    <col min="12819" max="12819" width="11" style="1" customWidth="1"/>
    <col min="12820" max="12820" width="1.56666666666667" style="1" customWidth="1"/>
    <col min="12821" max="12821" width="9.14166666666667" style="1" customWidth="1"/>
    <col min="12822" max="12822" width="1.14166666666667" style="1" customWidth="1"/>
    <col min="12823" max="12823" width="9.14166666666667" style="1" customWidth="1"/>
    <col min="12824" max="12824" width="1.14166666666667" style="1" customWidth="1"/>
    <col min="12825" max="12825" width="2.85833333333333" style="1" customWidth="1"/>
    <col min="12826" max="12826" width="5.85833333333333" style="1" customWidth="1"/>
    <col min="12827" max="12827" width="1.56666666666667" style="1" customWidth="1"/>
    <col min="12828" max="12829" width="1.14166666666667" style="1" customWidth="1"/>
    <col min="12830" max="12830" width="3.14166666666667" style="1" customWidth="1"/>
    <col min="12831" max="12831" width="1.425" style="1" customWidth="1"/>
    <col min="12832" max="12832" width="2.28333333333333" style="1" customWidth="1"/>
    <col min="12833" max="12833" width="1.14166666666667" style="1" customWidth="1"/>
    <col min="12834" max="12835" width="2.28333333333333" style="1" customWidth="1"/>
    <col min="12836" max="12836" width="3.14166666666667" style="1" customWidth="1"/>
    <col min="12837" max="12837" width="1" style="1" customWidth="1"/>
    <col min="12838" max="13056" width="6.85833333333333" style="1" customWidth="1"/>
    <col min="13057" max="13057" width="1.14166666666667" style="1" customWidth="1"/>
    <col min="13058" max="13058" width="9.85833333333333" style="1" customWidth="1"/>
    <col min="13059" max="13059" width="1.56666666666667" style="1" customWidth="1"/>
    <col min="13060" max="13060" width="1.28333333333333" style="1" customWidth="1"/>
    <col min="13061" max="13061" width="3" style="1" customWidth="1"/>
    <col min="13062" max="13062" width="4.425" style="1" customWidth="1"/>
    <col min="13063" max="13063" width="17.2833333333333" style="1" customWidth="1"/>
    <col min="13064" max="13064" width="3.56666666666667" style="1" customWidth="1"/>
    <col min="13065" max="13065" width="1.14166666666667" style="1" customWidth="1"/>
    <col min="13066" max="13066" width="6.56666666666667" style="1" customWidth="1"/>
    <col min="13067" max="13067" width="3.70833333333333" style="1" customWidth="1"/>
    <col min="13068" max="13068" width="2.85833333333333" style="1" customWidth="1"/>
    <col min="13069" max="13069" width="6.28333333333333" style="1" customWidth="1"/>
    <col min="13070" max="13071" width="2.28333333333333" style="1" customWidth="1"/>
    <col min="13072" max="13072" width="6.70833333333333" style="1" customWidth="1"/>
    <col min="13073" max="13073" width="1.28333333333333" style="1" customWidth="1"/>
    <col min="13074" max="13074" width="1.14166666666667" style="1" customWidth="1"/>
    <col min="13075" max="13075" width="11" style="1" customWidth="1"/>
    <col min="13076" max="13076" width="1.56666666666667" style="1" customWidth="1"/>
    <col min="13077" max="13077" width="9.14166666666667" style="1" customWidth="1"/>
    <col min="13078" max="13078" width="1.14166666666667" style="1" customWidth="1"/>
    <col min="13079" max="13079" width="9.14166666666667" style="1" customWidth="1"/>
    <col min="13080" max="13080" width="1.14166666666667" style="1" customWidth="1"/>
    <col min="13081" max="13081" width="2.85833333333333" style="1" customWidth="1"/>
    <col min="13082" max="13082" width="5.85833333333333" style="1" customWidth="1"/>
    <col min="13083" max="13083" width="1.56666666666667" style="1" customWidth="1"/>
    <col min="13084" max="13085" width="1.14166666666667" style="1" customWidth="1"/>
    <col min="13086" max="13086" width="3.14166666666667" style="1" customWidth="1"/>
    <col min="13087" max="13087" width="1.425" style="1" customWidth="1"/>
    <col min="13088" max="13088" width="2.28333333333333" style="1" customWidth="1"/>
    <col min="13089" max="13089" width="1.14166666666667" style="1" customWidth="1"/>
    <col min="13090" max="13091" width="2.28333333333333" style="1" customWidth="1"/>
    <col min="13092" max="13092" width="3.14166666666667" style="1" customWidth="1"/>
    <col min="13093" max="13093" width="1" style="1" customWidth="1"/>
    <col min="13094" max="13312" width="6.85833333333333" style="1" customWidth="1"/>
    <col min="13313" max="13313" width="1.14166666666667" style="1" customWidth="1"/>
    <col min="13314" max="13314" width="9.85833333333333" style="1" customWidth="1"/>
    <col min="13315" max="13315" width="1.56666666666667" style="1" customWidth="1"/>
    <col min="13316" max="13316" width="1.28333333333333" style="1" customWidth="1"/>
    <col min="13317" max="13317" width="3" style="1" customWidth="1"/>
    <col min="13318" max="13318" width="4.425" style="1" customWidth="1"/>
    <col min="13319" max="13319" width="17.2833333333333" style="1" customWidth="1"/>
    <col min="13320" max="13320" width="3.56666666666667" style="1" customWidth="1"/>
    <col min="13321" max="13321" width="1.14166666666667" style="1" customWidth="1"/>
    <col min="13322" max="13322" width="6.56666666666667" style="1" customWidth="1"/>
    <col min="13323" max="13323" width="3.70833333333333" style="1" customWidth="1"/>
    <col min="13324" max="13324" width="2.85833333333333" style="1" customWidth="1"/>
    <col min="13325" max="13325" width="6.28333333333333" style="1" customWidth="1"/>
    <col min="13326" max="13327" width="2.28333333333333" style="1" customWidth="1"/>
    <col min="13328" max="13328" width="6.70833333333333" style="1" customWidth="1"/>
    <col min="13329" max="13329" width="1.28333333333333" style="1" customWidth="1"/>
    <col min="13330" max="13330" width="1.14166666666667" style="1" customWidth="1"/>
    <col min="13331" max="13331" width="11" style="1" customWidth="1"/>
    <col min="13332" max="13332" width="1.56666666666667" style="1" customWidth="1"/>
    <col min="13333" max="13333" width="9.14166666666667" style="1" customWidth="1"/>
    <col min="13334" max="13334" width="1.14166666666667" style="1" customWidth="1"/>
    <col min="13335" max="13335" width="9.14166666666667" style="1" customWidth="1"/>
    <col min="13336" max="13336" width="1.14166666666667" style="1" customWidth="1"/>
    <col min="13337" max="13337" width="2.85833333333333" style="1" customWidth="1"/>
    <col min="13338" max="13338" width="5.85833333333333" style="1" customWidth="1"/>
    <col min="13339" max="13339" width="1.56666666666667" style="1" customWidth="1"/>
    <col min="13340" max="13341" width="1.14166666666667" style="1" customWidth="1"/>
    <col min="13342" max="13342" width="3.14166666666667" style="1" customWidth="1"/>
    <col min="13343" max="13343" width="1.425" style="1" customWidth="1"/>
    <col min="13344" max="13344" width="2.28333333333333" style="1" customWidth="1"/>
    <col min="13345" max="13345" width="1.14166666666667" style="1" customWidth="1"/>
    <col min="13346" max="13347" width="2.28333333333333" style="1" customWidth="1"/>
    <col min="13348" max="13348" width="3.14166666666667" style="1" customWidth="1"/>
    <col min="13349" max="13349" width="1" style="1" customWidth="1"/>
    <col min="13350" max="13568" width="6.85833333333333" style="1" customWidth="1"/>
    <col min="13569" max="13569" width="1.14166666666667" style="1" customWidth="1"/>
    <col min="13570" max="13570" width="9.85833333333333" style="1" customWidth="1"/>
    <col min="13571" max="13571" width="1.56666666666667" style="1" customWidth="1"/>
    <col min="13572" max="13572" width="1.28333333333333" style="1" customWidth="1"/>
    <col min="13573" max="13573" width="3" style="1" customWidth="1"/>
    <col min="13574" max="13574" width="4.425" style="1" customWidth="1"/>
    <col min="13575" max="13575" width="17.2833333333333" style="1" customWidth="1"/>
    <col min="13576" max="13576" width="3.56666666666667" style="1" customWidth="1"/>
    <col min="13577" max="13577" width="1.14166666666667" style="1" customWidth="1"/>
    <col min="13578" max="13578" width="6.56666666666667" style="1" customWidth="1"/>
    <col min="13579" max="13579" width="3.70833333333333" style="1" customWidth="1"/>
    <col min="13580" max="13580" width="2.85833333333333" style="1" customWidth="1"/>
    <col min="13581" max="13581" width="6.28333333333333" style="1" customWidth="1"/>
    <col min="13582" max="13583" width="2.28333333333333" style="1" customWidth="1"/>
    <col min="13584" max="13584" width="6.70833333333333" style="1" customWidth="1"/>
    <col min="13585" max="13585" width="1.28333333333333" style="1" customWidth="1"/>
    <col min="13586" max="13586" width="1.14166666666667" style="1" customWidth="1"/>
    <col min="13587" max="13587" width="11" style="1" customWidth="1"/>
    <col min="13588" max="13588" width="1.56666666666667" style="1" customWidth="1"/>
    <col min="13589" max="13589" width="9.14166666666667" style="1" customWidth="1"/>
    <col min="13590" max="13590" width="1.14166666666667" style="1" customWidth="1"/>
    <col min="13591" max="13591" width="9.14166666666667" style="1" customWidth="1"/>
    <col min="13592" max="13592" width="1.14166666666667" style="1" customWidth="1"/>
    <col min="13593" max="13593" width="2.85833333333333" style="1" customWidth="1"/>
    <col min="13594" max="13594" width="5.85833333333333" style="1" customWidth="1"/>
    <col min="13595" max="13595" width="1.56666666666667" style="1" customWidth="1"/>
    <col min="13596" max="13597" width="1.14166666666667" style="1" customWidth="1"/>
    <col min="13598" max="13598" width="3.14166666666667" style="1" customWidth="1"/>
    <col min="13599" max="13599" width="1.425" style="1" customWidth="1"/>
    <col min="13600" max="13600" width="2.28333333333333" style="1" customWidth="1"/>
    <col min="13601" max="13601" width="1.14166666666667" style="1" customWidth="1"/>
    <col min="13602" max="13603" width="2.28333333333333" style="1" customWidth="1"/>
    <col min="13604" max="13604" width="3.14166666666667" style="1" customWidth="1"/>
    <col min="13605" max="13605" width="1" style="1" customWidth="1"/>
    <col min="13606" max="13824" width="6.85833333333333" style="1" customWidth="1"/>
    <col min="13825" max="13825" width="1.14166666666667" style="1" customWidth="1"/>
    <col min="13826" max="13826" width="9.85833333333333" style="1" customWidth="1"/>
    <col min="13827" max="13827" width="1.56666666666667" style="1" customWidth="1"/>
    <col min="13828" max="13828" width="1.28333333333333" style="1" customWidth="1"/>
    <col min="13829" max="13829" width="3" style="1" customWidth="1"/>
    <col min="13830" max="13830" width="4.425" style="1" customWidth="1"/>
    <col min="13831" max="13831" width="17.2833333333333" style="1" customWidth="1"/>
    <col min="13832" max="13832" width="3.56666666666667" style="1" customWidth="1"/>
    <col min="13833" max="13833" width="1.14166666666667" style="1" customWidth="1"/>
    <col min="13834" max="13834" width="6.56666666666667" style="1" customWidth="1"/>
    <col min="13835" max="13835" width="3.70833333333333" style="1" customWidth="1"/>
    <col min="13836" max="13836" width="2.85833333333333" style="1" customWidth="1"/>
    <col min="13837" max="13837" width="6.28333333333333" style="1" customWidth="1"/>
    <col min="13838" max="13839" width="2.28333333333333" style="1" customWidth="1"/>
    <col min="13840" max="13840" width="6.70833333333333" style="1" customWidth="1"/>
    <col min="13841" max="13841" width="1.28333333333333" style="1" customWidth="1"/>
    <col min="13842" max="13842" width="1.14166666666667" style="1" customWidth="1"/>
    <col min="13843" max="13843" width="11" style="1" customWidth="1"/>
    <col min="13844" max="13844" width="1.56666666666667" style="1" customWidth="1"/>
    <col min="13845" max="13845" width="9.14166666666667" style="1" customWidth="1"/>
    <col min="13846" max="13846" width="1.14166666666667" style="1" customWidth="1"/>
    <col min="13847" max="13847" width="9.14166666666667" style="1" customWidth="1"/>
    <col min="13848" max="13848" width="1.14166666666667" style="1" customWidth="1"/>
    <col min="13849" max="13849" width="2.85833333333333" style="1" customWidth="1"/>
    <col min="13850" max="13850" width="5.85833333333333" style="1" customWidth="1"/>
    <col min="13851" max="13851" width="1.56666666666667" style="1" customWidth="1"/>
    <col min="13852" max="13853" width="1.14166666666667" style="1" customWidth="1"/>
    <col min="13854" max="13854" width="3.14166666666667" style="1" customWidth="1"/>
    <col min="13855" max="13855" width="1.425" style="1" customWidth="1"/>
    <col min="13856" max="13856" width="2.28333333333333" style="1" customWidth="1"/>
    <col min="13857" max="13857" width="1.14166666666667" style="1" customWidth="1"/>
    <col min="13858" max="13859" width="2.28333333333333" style="1" customWidth="1"/>
    <col min="13860" max="13860" width="3.14166666666667" style="1" customWidth="1"/>
    <col min="13861" max="13861" width="1" style="1" customWidth="1"/>
    <col min="13862" max="14080" width="6.85833333333333" style="1" customWidth="1"/>
    <col min="14081" max="14081" width="1.14166666666667" style="1" customWidth="1"/>
    <col min="14082" max="14082" width="9.85833333333333" style="1" customWidth="1"/>
    <col min="14083" max="14083" width="1.56666666666667" style="1" customWidth="1"/>
    <col min="14084" max="14084" width="1.28333333333333" style="1" customWidth="1"/>
    <col min="14085" max="14085" width="3" style="1" customWidth="1"/>
    <col min="14086" max="14086" width="4.425" style="1" customWidth="1"/>
    <col min="14087" max="14087" width="17.2833333333333" style="1" customWidth="1"/>
    <col min="14088" max="14088" width="3.56666666666667" style="1" customWidth="1"/>
    <col min="14089" max="14089" width="1.14166666666667" style="1" customWidth="1"/>
    <col min="14090" max="14090" width="6.56666666666667" style="1" customWidth="1"/>
    <col min="14091" max="14091" width="3.70833333333333" style="1" customWidth="1"/>
    <col min="14092" max="14092" width="2.85833333333333" style="1" customWidth="1"/>
    <col min="14093" max="14093" width="6.28333333333333" style="1" customWidth="1"/>
    <col min="14094" max="14095" width="2.28333333333333" style="1" customWidth="1"/>
    <col min="14096" max="14096" width="6.70833333333333" style="1" customWidth="1"/>
    <col min="14097" max="14097" width="1.28333333333333" style="1" customWidth="1"/>
    <col min="14098" max="14098" width="1.14166666666667" style="1" customWidth="1"/>
    <col min="14099" max="14099" width="11" style="1" customWidth="1"/>
    <col min="14100" max="14100" width="1.56666666666667" style="1" customWidth="1"/>
    <col min="14101" max="14101" width="9.14166666666667" style="1" customWidth="1"/>
    <col min="14102" max="14102" width="1.14166666666667" style="1" customWidth="1"/>
    <col min="14103" max="14103" width="9.14166666666667" style="1" customWidth="1"/>
    <col min="14104" max="14104" width="1.14166666666667" style="1" customWidth="1"/>
    <col min="14105" max="14105" width="2.85833333333333" style="1" customWidth="1"/>
    <col min="14106" max="14106" width="5.85833333333333" style="1" customWidth="1"/>
    <col min="14107" max="14107" width="1.56666666666667" style="1" customWidth="1"/>
    <col min="14108" max="14109" width="1.14166666666667" style="1" customWidth="1"/>
    <col min="14110" max="14110" width="3.14166666666667" style="1" customWidth="1"/>
    <col min="14111" max="14111" width="1.425" style="1" customWidth="1"/>
    <col min="14112" max="14112" width="2.28333333333333" style="1" customWidth="1"/>
    <col min="14113" max="14113" width="1.14166666666667" style="1" customWidth="1"/>
    <col min="14114" max="14115" width="2.28333333333333" style="1" customWidth="1"/>
    <col min="14116" max="14116" width="3.14166666666667" style="1" customWidth="1"/>
    <col min="14117" max="14117" width="1" style="1" customWidth="1"/>
    <col min="14118" max="14336" width="6.85833333333333" style="1" customWidth="1"/>
    <col min="14337" max="14337" width="1.14166666666667" style="1" customWidth="1"/>
    <col min="14338" max="14338" width="9.85833333333333" style="1" customWidth="1"/>
    <col min="14339" max="14339" width="1.56666666666667" style="1" customWidth="1"/>
    <col min="14340" max="14340" width="1.28333333333333" style="1" customWidth="1"/>
    <col min="14341" max="14341" width="3" style="1" customWidth="1"/>
    <col min="14342" max="14342" width="4.425" style="1" customWidth="1"/>
    <col min="14343" max="14343" width="17.2833333333333" style="1" customWidth="1"/>
    <col min="14344" max="14344" width="3.56666666666667" style="1" customWidth="1"/>
    <col min="14345" max="14345" width="1.14166666666667" style="1" customWidth="1"/>
    <col min="14346" max="14346" width="6.56666666666667" style="1" customWidth="1"/>
    <col min="14347" max="14347" width="3.70833333333333" style="1" customWidth="1"/>
    <col min="14348" max="14348" width="2.85833333333333" style="1" customWidth="1"/>
    <col min="14349" max="14349" width="6.28333333333333" style="1" customWidth="1"/>
    <col min="14350" max="14351" width="2.28333333333333" style="1" customWidth="1"/>
    <col min="14352" max="14352" width="6.70833333333333" style="1" customWidth="1"/>
    <col min="14353" max="14353" width="1.28333333333333" style="1" customWidth="1"/>
    <col min="14354" max="14354" width="1.14166666666667" style="1" customWidth="1"/>
    <col min="14355" max="14355" width="11" style="1" customWidth="1"/>
    <col min="14356" max="14356" width="1.56666666666667" style="1" customWidth="1"/>
    <col min="14357" max="14357" width="9.14166666666667" style="1" customWidth="1"/>
    <col min="14358" max="14358" width="1.14166666666667" style="1" customWidth="1"/>
    <col min="14359" max="14359" width="9.14166666666667" style="1" customWidth="1"/>
    <col min="14360" max="14360" width="1.14166666666667" style="1" customWidth="1"/>
    <col min="14361" max="14361" width="2.85833333333333" style="1" customWidth="1"/>
    <col min="14362" max="14362" width="5.85833333333333" style="1" customWidth="1"/>
    <col min="14363" max="14363" width="1.56666666666667" style="1" customWidth="1"/>
    <col min="14364" max="14365" width="1.14166666666667" style="1" customWidth="1"/>
    <col min="14366" max="14366" width="3.14166666666667" style="1" customWidth="1"/>
    <col min="14367" max="14367" width="1.425" style="1" customWidth="1"/>
    <col min="14368" max="14368" width="2.28333333333333" style="1" customWidth="1"/>
    <col min="14369" max="14369" width="1.14166666666667" style="1" customWidth="1"/>
    <col min="14370" max="14371" width="2.28333333333333" style="1" customWidth="1"/>
    <col min="14372" max="14372" width="3.14166666666667" style="1" customWidth="1"/>
    <col min="14373" max="14373" width="1" style="1" customWidth="1"/>
    <col min="14374" max="14592" width="6.85833333333333" style="1" customWidth="1"/>
    <col min="14593" max="14593" width="1.14166666666667" style="1" customWidth="1"/>
    <col min="14594" max="14594" width="9.85833333333333" style="1" customWidth="1"/>
    <col min="14595" max="14595" width="1.56666666666667" style="1" customWidth="1"/>
    <col min="14596" max="14596" width="1.28333333333333" style="1" customWidth="1"/>
    <col min="14597" max="14597" width="3" style="1" customWidth="1"/>
    <col min="14598" max="14598" width="4.425" style="1" customWidth="1"/>
    <col min="14599" max="14599" width="17.2833333333333" style="1" customWidth="1"/>
    <col min="14600" max="14600" width="3.56666666666667" style="1" customWidth="1"/>
    <col min="14601" max="14601" width="1.14166666666667" style="1" customWidth="1"/>
    <col min="14602" max="14602" width="6.56666666666667" style="1" customWidth="1"/>
    <col min="14603" max="14603" width="3.70833333333333" style="1" customWidth="1"/>
    <col min="14604" max="14604" width="2.85833333333333" style="1" customWidth="1"/>
    <col min="14605" max="14605" width="6.28333333333333" style="1" customWidth="1"/>
    <col min="14606" max="14607" width="2.28333333333333" style="1" customWidth="1"/>
    <col min="14608" max="14608" width="6.70833333333333" style="1" customWidth="1"/>
    <col min="14609" max="14609" width="1.28333333333333" style="1" customWidth="1"/>
    <col min="14610" max="14610" width="1.14166666666667" style="1" customWidth="1"/>
    <col min="14611" max="14611" width="11" style="1" customWidth="1"/>
    <col min="14612" max="14612" width="1.56666666666667" style="1" customWidth="1"/>
    <col min="14613" max="14613" width="9.14166666666667" style="1" customWidth="1"/>
    <col min="14614" max="14614" width="1.14166666666667" style="1" customWidth="1"/>
    <col min="14615" max="14615" width="9.14166666666667" style="1" customWidth="1"/>
    <col min="14616" max="14616" width="1.14166666666667" style="1" customWidth="1"/>
    <col min="14617" max="14617" width="2.85833333333333" style="1" customWidth="1"/>
    <col min="14618" max="14618" width="5.85833333333333" style="1" customWidth="1"/>
    <col min="14619" max="14619" width="1.56666666666667" style="1" customWidth="1"/>
    <col min="14620" max="14621" width="1.14166666666667" style="1" customWidth="1"/>
    <col min="14622" max="14622" width="3.14166666666667" style="1" customWidth="1"/>
    <col min="14623" max="14623" width="1.425" style="1" customWidth="1"/>
    <col min="14624" max="14624" width="2.28333333333333" style="1" customWidth="1"/>
    <col min="14625" max="14625" width="1.14166666666667" style="1" customWidth="1"/>
    <col min="14626" max="14627" width="2.28333333333333" style="1" customWidth="1"/>
    <col min="14628" max="14628" width="3.14166666666667" style="1" customWidth="1"/>
    <col min="14629" max="14629" width="1" style="1" customWidth="1"/>
    <col min="14630" max="14848" width="6.85833333333333" style="1" customWidth="1"/>
    <col min="14849" max="14849" width="1.14166666666667" style="1" customWidth="1"/>
    <col min="14850" max="14850" width="9.85833333333333" style="1" customWidth="1"/>
    <col min="14851" max="14851" width="1.56666666666667" style="1" customWidth="1"/>
    <col min="14852" max="14852" width="1.28333333333333" style="1" customWidth="1"/>
    <col min="14853" max="14853" width="3" style="1" customWidth="1"/>
    <col min="14854" max="14854" width="4.425" style="1" customWidth="1"/>
    <col min="14855" max="14855" width="17.2833333333333" style="1" customWidth="1"/>
    <col min="14856" max="14856" width="3.56666666666667" style="1" customWidth="1"/>
    <col min="14857" max="14857" width="1.14166666666667" style="1" customWidth="1"/>
    <col min="14858" max="14858" width="6.56666666666667" style="1" customWidth="1"/>
    <col min="14859" max="14859" width="3.70833333333333" style="1" customWidth="1"/>
    <col min="14860" max="14860" width="2.85833333333333" style="1" customWidth="1"/>
    <col min="14861" max="14861" width="6.28333333333333" style="1" customWidth="1"/>
    <col min="14862" max="14863" width="2.28333333333333" style="1" customWidth="1"/>
    <col min="14864" max="14864" width="6.70833333333333" style="1" customWidth="1"/>
    <col min="14865" max="14865" width="1.28333333333333" style="1" customWidth="1"/>
    <col min="14866" max="14866" width="1.14166666666667" style="1" customWidth="1"/>
    <col min="14867" max="14867" width="11" style="1" customWidth="1"/>
    <col min="14868" max="14868" width="1.56666666666667" style="1" customWidth="1"/>
    <col min="14869" max="14869" width="9.14166666666667" style="1" customWidth="1"/>
    <col min="14870" max="14870" width="1.14166666666667" style="1" customWidth="1"/>
    <col min="14871" max="14871" width="9.14166666666667" style="1" customWidth="1"/>
    <col min="14872" max="14872" width="1.14166666666667" style="1" customWidth="1"/>
    <col min="14873" max="14873" width="2.85833333333333" style="1" customWidth="1"/>
    <col min="14874" max="14874" width="5.85833333333333" style="1" customWidth="1"/>
    <col min="14875" max="14875" width="1.56666666666667" style="1" customWidth="1"/>
    <col min="14876" max="14877" width="1.14166666666667" style="1" customWidth="1"/>
    <col min="14878" max="14878" width="3.14166666666667" style="1" customWidth="1"/>
    <col min="14879" max="14879" width="1.425" style="1" customWidth="1"/>
    <col min="14880" max="14880" width="2.28333333333333" style="1" customWidth="1"/>
    <col min="14881" max="14881" width="1.14166666666667" style="1" customWidth="1"/>
    <col min="14882" max="14883" width="2.28333333333333" style="1" customWidth="1"/>
    <col min="14884" max="14884" width="3.14166666666667" style="1" customWidth="1"/>
    <col min="14885" max="14885" width="1" style="1" customWidth="1"/>
    <col min="14886" max="15104" width="6.85833333333333" style="1" customWidth="1"/>
    <col min="15105" max="15105" width="1.14166666666667" style="1" customWidth="1"/>
    <col min="15106" max="15106" width="9.85833333333333" style="1" customWidth="1"/>
    <col min="15107" max="15107" width="1.56666666666667" style="1" customWidth="1"/>
    <col min="15108" max="15108" width="1.28333333333333" style="1" customWidth="1"/>
    <col min="15109" max="15109" width="3" style="1" customWidth="1"/>
    <col min="15110" max="15110" width="4.425" style="1" customWidth="1"/>
    <col min="15111" max="15111" width="17.2833333333333" style="1" customWidth="1"/>
    <col min="15112" max="15112" width="3.56666666666667" style="1" customWidth="1"/>
    <col min="15113" max="15113" width="1.14166666666667" style="1" customWidth="1"/>
    <col min="15114" max="15114" width="6.56666666666667" style="1" customWidth="1"/>
    <col min="15115" max="15115" width="3.70833333333333" style="1" customWidth="1"/>
    <col min="15116" max="15116" width="2.85833333333333" style="1" customWidth="1"/>
    <col min="15117" max="15117" width="6.28333333333333" style="1" customWidth="1"/>
    <col min="15118" max="15119" width="2.28333333333333" style="1" customWidth="1"/>
    <col min="15120" max="15120" width="6.70833333333333" style="1" customWidth="1"/>
    <col min="15121" max="15121" width="1.28333333333333" style="1" customWidth="1"/>
    <col min="15122" max="15122" width="1.14166666666667" style="1" customWidth="1"/>
    <col min="15123" max="15123" width="11" style="1" customWidth="1"/>
    <col min="15124" max="15124" width="1.56666666666667" style="1" customWidth="1"/>
    <col min="15125" max="15125" width="9.14166666666667" style="1" customWidth="1"/>
    <col min="15126" max="15126" width="1.14166666666667" style="1" customWidth="1"/>
    <col min="15127" max="15127" width="9.14166666666667" style="1" customWidth="1"/>
    <col min="15128" max="15128" width="1.14166666666667" style="1" customWidth="1"/>
    <col min="15129" max="15129" width="2.85833333333333" style="1" customWidth="1"/>
    <col min="15130" max="15130" width="5.85833333333333" style="1" customWidth="1"/>
    <col min="15131" max="15131" width="1.56666666666667" style="1" customWidth="1"/>
    <col min="15132" max="15133" width="1.14166666666667" style="1" customWidth="1"/>
    <col min="15134" max="15134" width="3.14166666666667" style="1" customWidth="1"/>
    <col min="15135" max="15135" width="1.425" style="1" customWidth="1"/>
    <col min="15136" max="15136" width="2.28333333333333" style="1" customWidth="1"/>
    <col min="15137" max="15137" width="1.14166666666667" style="1" customWidth="1"/>
    <col min="15138" max="15139" width="2.28333333333333" style="1" customWidth="1"/>
    <col min="15140" max="15140" width="3.14166666666667" style="1" customWidth="1"/>
    <col min="15141" max="15141" width="1" style="1" customWidth="1"/>
    <col min="15142" max="15360" width="6.85833333333333" style="1" customWidth="1"/>
    <col min="15361" max="15361" width="1.14166666666667" style="1" customWidth="1"/>
    <col min="15362" max="15362" width="9.85833333333333" style="1" customWidth="1"/>
    <col min="15363" max="15363" width="1.56666666666667" style="1" customWidth="1"/>
    <col min="15364" max="15364" width="1.28333333333333" style="1" customWidth="1"/>
    <col min="15365" max="15365" width="3" style="1" customWidth="1"/>
    <col min="15366" max="15366" width="4.425" style="1" customWidth="1"/>
    <col min="15367" max="15367" width="17.2833333333333" style="1" customWidth="1"/>
    <col min="15368" max="15368" width="3.56666666666667" style="1" customWidth="1"/>
    <col min="15369" max="15369" width="1.14166666666667" style="1" customWidth="1"/>
    <col min="15370" max="15370" width="6.56666666666667" style="1" customWidth="1"/>
    <col min="15371" max="15371" width="3.70833333333333" style="1" customWidth="1"/>
    <col min="15372" max="15372" width="2.85833333333333" style="1" customWidth="1"/>
    <col min="15373" max="15373" width="6.28333333333333" style="1" customWidth="1"/>
    <col min="15374" max="15375" width="2.28333333333333" style="1" customWidth="1"/>
    <col min="15376" max="15376" width="6.70833333333333" style="1" customWidth="1"/>
    <col min="15377" max="15377" width="1.28333333333333" style="1" customWidth="1"/>
    <col min="15378" max="15378" width="1.14166666666667" style="1" customWidth="1"/>
    <col min="15379" max="15379" width="11" style="1" customWidth="1"/>
    <col min="15380" max="15380" width="1.56666666666667" style="1" customWidth="1"/>
    <col min="15381" max="15381" width="9.14166666666667" style="1" customWidth="1"/>
    <col min="15382" max="15382" width="1.14166666666667" style="1" customWidth="1"/>
    <col min="15383" max="15383" width="9.14166666666667" style="1" customWidth="1"/>
    <col min="15384" max="15384" width="1.14166666666667" style="1" customWidth="1"/>
    <col min="15385" max="15385" width="2.85833333333333" style="1" customWidth="1"/>
    <col min="15386" max="15386" width="5.85833333333333" style="1" customWidth="1"/>
    <col min="15387" max="15387" width="1.56666666666667" style="1" customWidth="1"/>
    <col min="15388" max="15389" width="1.14166666666667" style="1" customWidth="1"/>
    <col min="15390" max="15390" width="3.14166666666667" style="1" customWidth="1"/>
    <col min="15391" max="15391" width="1.425" style="1" customWidth="1"/>
    <col min="15392" max="15392" width="2.28333333333333" style="1" customWidth="1"/>
    <col min="15393" max="15393" width="1.14166666666667" style="1" customWidth="1"/>
    <col min="15394" max="15395" width="2.28333333333333" style="1" customWidth="1"/>
    <col min="15396" max="15396" width="3.14166666666667" style="1" customWidth="1"/>
    <col min="15397" max="15397" width="1" style="1" customWidth="1"/>
    <col min="15398" max="15616" width="6.85833333333333" style="1" customWidth="1"/>
    <col min="15617" max="15617" width="1.14166666666667" style="1" customWidth="1"/>
    <col min="15618" max="15618" width="9.85833333333333" style="1" customWidth="1"/>
    <col min="15619" max="15619" width="1.56666666666667" style="1" customWidth="1"/>
    <col min="15620" max="15620" width="1.28333333333333" style="1" customWidth="1"/>
    <col min="15621" max="15621" width="3" style="1" customWidth="1"/>
    <col min="15622" max="15622" width="4.425" style="1" customWidth="1"/>
    <col min="15623" max="15623" width="17.2833333333333" style="1" customWidth="1"/>
    <col min="15624" max="15624" width="3.56666666666667" style="1" customWidth="1"/>
    <col min="15625" max="15625" width="1.14166666666667" style="1" customWidth="1"/>
    <col min="15626" max="15626" width="6.56666666666667" style="1" customWidth="1"/>
    <col min="15627" max="15627" width="3.70833333333333" style="1" customWidth="1"/>
    <col min="15628" max="15628" width="2.85833333333333" style="1" customWidth="1"/>
    <col min="15629" max="15629" width="6.28333333333333" style="1" customWidth="1"/>
    <col min="15630" max="15631" width="2.28333333333333" style="1" customWidth="1"/>
    <col min="15632" max="15632" width="6.70833333333333" style="1" customWidth="1"/>
    <col min="15633" max="15633" width="1.28333333333333" style="1" customWidth="1"/>
    <col min="15634" max="15634" width="1.14166666666667" style="1" customWidth="1"/>
    <col min="15635" max="15635" width="11" style="1" customWidth="1"/>
    <col min="15636" max="15636" width="1.56666666666667" style="1" customWidth="1"/>
    <col min="15637" max="15637" width="9.14166666666667" style="1" customWidth="1"/>
    <col min="15638" max="15638" width="1.14166666666667" style="1" customWidth="1"/>
    <col min="15639" max="15639" width="9.14166666666667" style="1" customWidth="1"/>
    <col min="15640" max="15640" width="1.14166666666667" style="1" customWidth="1"/>
    <col min="15641" max="15641" width="2.85833333333333" style="1" customWidth="1"/>
    <col min="15642" max="15642" width="5.85833333333333" style="1" customWidth="1"/>
    <col min="15643" max="15643" width="1.56666666666667" style="1" customWidth="1"/>
    <col min="15644" max="15645" width="1.14166666666667" style="1" customWidth="1"/>
    <col min="15646" max="15646" width="3.14166666666667" style="1" customWidth="1"/>
    <col min="15647" max="15647" width="1.425" style="1" customWidth="1"/>
    <col min="15648" max="15648" width="2.28333333333333" style="1" customWidth="1"/>
    <col min="15649" max="15649" width="1.14166666666667" style="1" customWidth="1"/>
    <col min="15650" max="15651" width="2.28333333333333" style="1" customWidth="1"/>
    <col min="15652" max="15652" width="3.14166666666667" style="1" customWidth="1"/>
    <col min="15653" max="15653" width="1" style="1" customWidth="1"/>
    <col min="15654" max="15872" width="6.85833333333333" style="1" customWidth="1"/>
    <col min="15873" max="15873" width="1.14166666666667" style="1" customWidth="1"/>
    <col min="15874" max="15874" width="9.85833333333333" style="1" customWidth="1"/>
    <col min="15875" max="15875" width="1.56666666666667" style="1" customWidth="1"/>
    <col min="15876" max="15876" width="1.28333333333333" style="1" customWidth="1"/>
    <col min="15877" max="15877" width="3" style="1" customWidth="1"/>
    <col min="15878" max="15878" width="4.425" style="1" customWidth="1"/>
    <col min="15879" max="15879" width="17.2833333333333" style="1" customWidth="1"/>
    <col min="15880" max="15880" width="3.56666666666667" style="1" customWidth="1"/>
    <col min="15881" max="15881" width="1.14166666666667" style="1" customWidth="1"/>
    <col min="15882" max="15882" width="6.56666666666667" style="1" customWidth="1"/>
    <col min="15883" max="15883" width="3.70833333333333" style="1" customWidth="1"/>
    <col min="15884" max="15884" width="2.85833333333333" style="1" customWidth="1"/>
    <col min="15885" max="15885" width="6.28333333333333" style="1" customWidth="1"/>
    <col min="15886" max="15887" width="2.28333333333333" style="1" customWidth="1"/>
    <col min="15888" max="15888" width="6.70833333333333" style="1" customWidth="1"/>
    <col min="15889" max="15889" width="1.28333333333333" style="1" customWidth="1"/>
    <col min="15890" max="15890" width="1.14166666666667" style="1" customWidth="1"/>
    <col min="15891" max="15891" width="11" style="1" customWidth="1"/>
    <col min="15892" max="15892" width="1.56666666666667" style="1" customWidth="1"/>
    <col min="15893" max="15893" width="9.14166666666667" style="1" customWidth="1"/>
    <col min="15894" max="15894" width="1.14166666666667" style="1" customWidth="1"/>
    <col min="15895" max="15895" width="9.14166666666667" style="1" customWidth="1"/>
    <col min="15896" max="15896" width="1.14166666666667" style="1" customWidth="1"/>
    <col min="15897" max="15897" width="2.85833333333333" style="1" customWidth="1"/>
    <col min="15898" max="15898" width="5.85833333333333" style="1" customWidth="1"/>
    <col min="15899" max="15899" width="1.56666666666667" style="1" customWidth="1"/>
    <col min="15900" max="15901" width="1.14166666666667" style="1" customWidth="1"/>
    <col min="15902" max="15902" width="3.14166666666667" style="1" customWidth="1"/>
    <col min="15903" max="15903" width="1.425" style="1" customWidth="1"/>
    <col min="15904" max="15904" width="2.28333333333333" style="1" customWidth="1"/>
    <col min="15905" max="15905" width="1.14166666666667" style="1" customWidth="1"/>
    <col min="15906" max="15907" width="2.28333333333333" style="1" customWidth="1"/>
    <col min="15908" max="15908" width="3.14166666666667" style="1" customWidth="1"/>
    <col min="15909" max="15909" width="1" style="1" customWidth="1"/>
    <col min="15910" max="16128" width="6.85833333333333" style="1" customWidth="1"/>
    <col min="16129" max="16129" width="1.14166666666667" style="1" customWidth="1"/>
    <col min="16130" max="16130" width="9.85833333333333" style="1" customWidth="1"/>
    <col min="16131" max="16131" width="1.56666666666667" style="1" customWidth="1"/>
    <col min="16132" max="16132" width="1.28333333333333" style="1" customWidth="1"/>
    <col min="16133" max="16133" width="3" style="1" customWidth="1"/>
    <col min="16134" max="16134" width="4.425" style="1" customWidth="1"/>
    <col min="16135" max="16135" width="17.2833333333333" style="1" customWidth="1"/>
    <col min="16136" max="16136" width="3.56666666666667" style="1" customWidth="1"/>
    <col min="16137" max="16137" width="1.14166666666667" style="1" customWidth="1"/>
    <col min="16138" max="16138" width="6.56666666666667" style="1" customWidth="1"/>
    <col min="16139" max="16139" width="3.70833333333333" style="1" customWidth="1"/>
    <col min="16140" max="16140" width="2.85833333333333" style="1" customWidth="1"/>
    <col min="16141" max="16141" width="6.28333333333333" style="1" customWidth="1"/>
    <col min="16142" max="16143" width="2.28333333333333" style="1" customWidth="1"/>
    <col min="16144" max="16144" width="6.70833333333333" style="1" customWidth="1"/>
    <col min="16145" max="16145" width="1.28333333333333" style="1" customWidth="1"/>
    <col min="16146" max="16146" width="1.14166666666667" style="1" customWidth="1"/>
    <col min="16147" max="16147" width="11" style="1" customWidth="1"/>
    <col min="16148" max="16148" width="1.56666666666667" style="1" customWidth="1"/>
    <col min="16149" max="16149" width="9.14166666666667" style="1" customWidth="1"/>
    <col min="16150" max="16150" width="1.14166666666667" style="1" customWidth="1"/>
    <col min="16151" max="16151" width="9.14166666666667" style="1" customWidth="1"/>
    <col min="16152" max="16152" width="1.14166666666667" style="1" customWidth="1"/>
    <col min="16153" max="16153" width="2.85833333333333" style="1" customWidth="1"/>
    <col min="16154" max="16154" width="5.85833333333333" style="1" customWidth="1"/>
    <col min="16155" max="16155" width="1.56666666666667" style="1" customWidth="1"/>
    <col min="16156" max="16157" width="1.14166666666667" style="1" customWidth="1"/>
    <col min="16158" max="16158" width="3.14166666666667" style="1" customWidth="1"/>
    <col min="16159" max="16159" width="1.425" style="1" customWidth="1"/>
    <col min="16160" max="16160" width="2.28333333333333" style="1" customWidth="1"/>
    <col min="16161" max="16161" width="1.14166666666667" style="1" customWidth="1"/>
    <col min="16162" max="16163" width="2.28333333333333" style="1" customWidth="1"/>
    <col min="16164" max="16164" width="3.14166666666667" style="1" customWidth="1"/>
    <col min="16165" max="16165" width="1" style="1" customWidth="1"/>
    <col min="16166" max="16384" width="6.85833333333333" style="1" customWidth="1"/>
  </cols>
  <sheetData>
    <row r="1" ht="12" customHeight="1" spans="6:36">
      <c r="F1" s="2" t="s">
        <v>5479</v>
      </c>
      <c r="G1" s="2"/>
      <c r="Z1" s="8" t="s">
        <v>5480</v>
      </c>
      <c r="AE1" s="10" t="s">
        <v>121</v>
      </c>
      <c r="AF1" s="10"/>
      <c r="AG1" s="10"/>
      <c r="AH1" s="10"/>
      <c r="AI1" s="10"/>
      <c r="AJ1" s="10"/>
    </row>
    <row r="2" ht="1.5" customHeight="1" spans="6:36">
      <c r="F2" s="2"/>
      <c r="G2" s="2"/>
      <c r="Z2" s="8"/>
      <c r="AE2" s="10"/>
      <c r="AF2" s="10"/>
      <c r="AG2" s="10"/>
      <c r="AH2" s="10"/>
      <c r="AI2" s="10"/>
      <c r="AJ2" s="10"/>
    </row>
    <row r="3" ht="14.25" customHeight="1" spans="6:36">
      <c r="F3" s="4" t="s">
        <v>5481</v>
      </c>
      <c r="G3" s="4"/>
      <c r="H3" s="4"/>
      <c r="I3" s="4"/>
      <c r="J3" s="4"/>
      <c r="Z3" s="8" t="s">
        <v>5482</v>
      </c>
      <c r="AD3" s="11">
        <v>1</v>
      </c>
      <c r="AE3" s="11"/>
      <c r="AH3" s="8" t="s">
        <v>5483</v>
      </c>
      <c r="AI3" s="11">
        <v>2</v>
      </c>
      <c r="AJ3" s="11"/>
    </row>
    <row r="4" ht="12" customHeight="1"/>
    <row r="5" ht="0.75" customHeight="1" spans="6:38">
      <c r="F5" s="2" t="s">
        <v>5484</v>
      </c>
      <c r="G5" s="4" t="s">
        <v>3387</v>
      </c>
      <c r="Z5" s="8" t="s">
        <v>5485</v>
      </c>
      <c r="AC5" s="12">
        <v>46209</v>
      </c>
      <c r="AD5" s="12"/>
      <c r="AE5" s="12"/>
      <c r="AF5" s="12"/>
      <c r="AG5" s="13">
        <v>0.615902777777778</v>
      </c>
      <c r="AH5" s="13"/>
      <c r="AI5" s="13"/>
      <c r="AJ5" s="13"/>
      <c r="AK5" s="13"/>
      <c r="AL5" s="13"/>
    </row>
    <row r="6" ht="17.25" customHeight="1" spans="6:38">
      <c r="F6" s="2"/>
      <c r="G6" s="4"/>
      <c r="Z6" s="8"/>
      <c r="AC6" s="12"/>
      <c r="AD6" s="12"/>
      <c r="AE6" s="12"/>
      <c r="AF6" s="12"/>
      <c r="AG6" s="13"/>
      <c r="AH6" s="13"/>
      <c r="AI6" s="13"/>
      <c r="AJ6" s="13"/>
      <c r="AK6" s="13"/>
      <c r="AL6" s="13"/>
    </row>
    <row r="7" ht="15" customHeight="1" spans="6:35">
      <c r="F7" s="5" t="s">
        <v>5486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8.25" customHeight="1" spans="6:35">
      <c r="F8" s="6" t="s">
        <v>5487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6" customHeight="1" spans="6:35"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7.5" customHeight="1"/>
    <row r="11" ht="29.25" customHeight="1"/>
    <row r="12" ht="14.25" customHeight="1" spans="2:37">
      <c r="B12" s="2" t="s">
        <v>3840</v>
      </c>
      <c r="D12" s="2" t="s">
        <v>5488</v>
      </c>
      <c r="E12" s="2"/>
      <c r="F12" s="2"/>
      <c r="G12" s="2"/>
      <c r="H12" s="2"/>
      <c r="J12" s="2" t="s">
        <v>5489</v>
      </c>
      <c r="K12" s="2"/>
      <c r="M12" s="2" t="s">
        <v>5490</v>
      </c>
      <c r="N12" s="2"/>
      <c r="P12" s="2" t="s">
        <v>5471</v>
      </c>
      <c r="S12" s="8" t="s">
        <v>5491</v>
      </c>
      <c r="U12" s="8" t="s">
        <v>5492</v>
      </c>
      <c r="W12" s="8" t="s">
        <v>5493</v>
      </c>
      <c r="Y12" s="8" t="s">
        <v>5494</v>
      </c>
      <c r="Z12" s="8"/>
      <c r="AB12" s="8" t="s">
        <v>5495</v>
      </c>
      <c r="AC12" s="8"/>
      <c r="AD12" s="8"/>
      <c r="AE12" s="8"/>
      <c r="AF12" s="8"/>
      <c r="AH12" s="8" t="s">
        <v>5496</v>
      </c>
      <c r="AI12" s="8"/>
      <c r="AJ12" s="8"/>
      <c r="AK12" s="8"/>
    </row>
    <row r="13" ht="6" customHeight="1" spans="2:16">
      <c r="B13" s="2"/>
      <c r="D13" s="2"/>
      <c r="E13" s="2"/>
      <c r="F13" s="2"/>
      <c r="G13" s="2"/>
      <c r="H13" s="2"/>
      <c r="J13" s="2"/>
      <c r="K13" s="2"/>
      <c r="M13" s="2"/>
      <c r="N13" s="2"/>
      <c r="P13" s="2"/>
    </row>
    <row r="14" ht="15" customHeight="1" spans="2:37">
      <c r="B14" s="3" t="s">
        <v>2010</v>
      </c>
      <c r="D14" s="3" t="s">
        <v>2011</v>
      </c>
      <c r="E14" s="3"/>
      <c r="F14" s="3"/>
      <c r="G14" s="3"/>
      <c r="H14" s="3"/>
      <c r="J14" s="3" t="s">
        <v>5497</v>
      </c>
      <c r="K14" s="3"/>
      <c r="L14" s="3"/>
      <c r="M14" s="3" t="s">
        <v>5498</v>
      </c>
      <c r="N14" s="3"/>
      <c r="P14" s="7">
        <v>46174.5013888889</v>
      </c>
      <c r="Q14" s="7"/>
      <c r="S14" s="9">
        <v>66531.12</v>
      </c>
      <c r="U14" s="9">
        <v>10644.98</v>
      </c>
      <c r="W14" s="9">
        <v>0</v>
      </c>
      <c r="Y14" s="9">
        <v>66531.12</v>
      </c>
      <c r="Z14" s="9"/>
      <c r="AB14" s="9">
        <v>77176.1</v>
      </c>
      <c r="AC14" s="9"/>
      <c r="AD14" s="9"/>
      <c r="AE14" s="9"/>
      <c r="AF14" s="9"/>
      <c r="AH14" s="9">
        <v>0</v>
      </c>
      <c r="AI14" s="9"/>
      <c r="AJ14" s="9"/>
      <c r="AK14" s="9"/>
    </row>
    <row r="15" ht="15" customHeight="1" spans="2:37">
      <c r="B15" s="3" t="s">
        <v>695</v>
      </c>
      <c r="D15" s="3" t="s">
        <v>696</v>
      </c>
      <c r="E15" s="3"/>
      <c r="F15" s="3"/>
      <c r="G15" s="3"/>
      <c r="H15" s="3"/>
      <c r="J15" s="3" t="s">
        <v>5497</v>
      </c>
      <c r="K15" s="3"/>
      <c r="L15" s="3"/>
      <c r="M15" s="3" t="s">
        <v>5499</v>
      </c>
      <c r="N15" s="3"/>
      <c r="P15" s="7">
        <v>46174.5041666667</v>
      </c>
      <c r="Q15" s="7"/>
      <c r="S15" s="9">
        <v>199482.4</v>
      </c>
      <c r="U15" s="9">
        <v>31917.18</v>
      </c>
      <c r="W15" s="9">
        <v>0</v>
      </c>
      <c r="Y15" s="9">
        <v>199482.4</v>
      </c>
      <c r="Z15" s="9"/>
      <c r="AB15" s="9">
        <v>231399.58</v>
      </c>
      <c r="AC15" s="9"/>
      <c r="AD15" s="9"/>
      <c r="AE15" s="9"/>
      <c r="AF15" s="9"/>
      <c r="AH15" s="9">
        <v>0</v>
      </c>
      <c r="AI15" s="9"/>
      <c r="AJ15" s="9"/>
      <c r="AK15" s="9"/>
    </row>
    <row r="16" ht="15" customHeight="1" spans="2:37">
      <c r="B16" s="3" t="s">
        <v>3800</v>
      </c>
      <c r="D16" s="3" t="s">
        <v>3801</v>
      </c>
      <c r="E16" s="3"/>
      <c r="F16" s="3"/>
      <c r="G16" s="3"/>
      <c r="H16" s="3"/>
      <c r="J16" s="3" t="s">
        <v>5497</v>
      </c>
      <c r="K16" s="3"/>
      <c r="L16" s="3"/>
      <c r="M16" s="3" t="s">
        <v>5500</v>
      </c>
      <c r="N16" s="3"/>
      <c r="P16" s="7">
        <v>46175.5777777778</v>
      </c>
      <c r="Q16" s="7"/>
      <c r="S16" s="9">
        <v>281994.52</v>
      </c>
      <c r="U16" s="9">
        <v>45119.12</v>
      </c>
      <c r="W16" s="9">
        <v>0</v>
      </c>
      <c r="Y16" s="9">
        <v>281994.52</v>
      </c>
      <c r="Z16" s="9"/>
      <c r="AB16" s="9">
        <v>327113.64</v>
      </c>
      <c r="AC16" s="9"/>
      <c r="AD16" s="9"/>
      <c r="AE16" s="9"/>
      <c r="AF16" s="9"/>
      <c r="AH16" s="9">
        <v>0</v>
      </c>
      <c r="AI16" s="9"/>
      <c r="AJ16" s="9"/>
      <c r="AK16" s="9"/>
    </row>
    <row r="17" ht="15" customHeight="1" spans="2:37">
      <c r="B17" s="3" t="s">
        <v>3058</v>
      </c>
      <c r="D17" s="3" t="s">
        <v>3059</v>
      </c>
      <c r="E17" s="3"/>
      <c r="F17" s="3"/>
      <c r="G17" s="3"/>
      <c r="H17" s="3"/>
      <c r="J17" s="3" t="s">
        <v>5497</v>
      </c>
      <c r="K17" s="3"/>
      <c r="L17" s="3"/>
      <c r="M17" s="3" t="s">
        <v>5501</v>
      </c>
      <c r="N17" s="3"/>
      <c r="P17" s="7">
        <v>46175.6520833333</v>
      </c>
      <c r="Q17" s="7"/>
      <c r="S17" s="9">
        <v>582524.97</v>
      </c>
      <c r="U17" s="9">
        <v>93204</v>
      </c>
      <c r="W17" s="9">
        <v>0</v>
      </c>
      <c r="Y17" s="9">
        <v>582524.97</v>
      </c>
      <c r="Z17" s="9"/>
      <c r="AB17" s="9">
        <v>693204.72</v>
      </c>
      <c r="AC17" s="9"/>
      <c r="AD17" s="9"/>
      <c r="AE17" s="9"/>
      <c r="AF17" s="9"/>
      <c r="AH17" s="9">
        <v>0</v>
      </c>
      <c r="AI17" s="9"/>
      <c r="AJ17" s="9"/>
      <c r="AK17" s="9"/>
    </row>
    <row r="18" ht="15" customHeight="1" spans="2:37">
      <c r="B18" s="3" t="s">
        <v>3056</v>
      </c>
      <c r="D18" s="3" t="s">
        <v>3057</v>
      </c>
      <c r="E18" s="3"/>
      <c r="F18" s="3"/>
      <c r="G18" s="3"/>
      <c r="H18" s="3"/>
      <c r="J18" s="3" t="s">
        <v>5497</v>
      </c>
      <c r="K18" s="3"/>
      <c r="L18" s="3"/>
      <c r="M18" s="3" t="s">
        <v>5502</v>
      </c>
      <c r="N18" s="3"/>
      <c r="P18" s="7">
        <v>46175.6548611111</v>
      </c>
      <c r="Q18" s="7"/>
      <c r="S18" s="9">
        <v>582524.97</v>
      </c>
      <c r="U18" s="9">
        <v>93204</v>
      </c>
      <c r="W18" s="9">
        <v>0</v>
      </c>
      <c r="Y18" s="9">
        <v>582524.97</v>
      </c>
      <c r="Z18" s="9"/>
      <c r="AB18" s="9">
        <v>693204.72</v>
      </c>
      <c r="AC18" s="9"/>
      <c r="AD18" s="9"/>
      <c r="AE18" s="9"/>
      <c r="AF18" s="9"/>
      <c r="AH18" s="9">
        <v>0</v>
      </c>
      <c r="AI18" s="9"/>
      <c r="AJ18" s="9"/>
      <c r="AK18" s="9"/>
    </row>
    <row r="19" ht="15" customHeight="1" spans="2:37">
      <c r="B19" s="3" t="s">
        <v>162</v>
      </c>
      <c r="D19" s="3" t="s">
        <v>163</v>
      </c>
      <c r="E19" s="3"/>
      <c r="F19" s="3"/>
      <c r="G19" s="3"/>
      <c r="H19" s="3"/>
      <c r="J19" s="3" t="s">
        <v>5497</v>
      </c>
      <c r="K19" s="3"/>
      <c r="L19" s="3"/>
      <c r="M19" s="3" t="s">
        <v>5503</v>
      </c>
      <c r="N19" s="3"/>
      <c r="P19" s="7">
        <v>46176.6777777778</v>
      </c>
      <c r="Q19" s="7"/>
      <c r="S19" s="9">
        <v>377190.5</v>
      </c>
      <c r="U19" s="9">
        <v>60350.48</v>
      </c>
      <c r="W19" s="9">
        <v>0</v>
      </c>
      <c r="Y19" s="9">
        <v>377190.5</v>
      </c>
      <c r="Z19" s="9"/>
      <c r="AB19" s="9">
        <v>437540.98</v>
      </c>
      <c r="AC19" s="9"/>
      <c r="AD19" s="9"/>
      <c r="AE19" s="9"/>
      <c r="AF19" s="9"/>
      <c r="AH19" s="9">
        <v>2.89</v>
      </c>
      <c r="AI19" s="9"/>
      <c r="AJ19" s="9"/>
      <c r="AK19" s="9"/>
    </row>
    <row r="20" ht="15" customHeight="1" spans="2:37">
      <c r="B20" s="3" t="s">
        <v>975</v>
      </c>
      <c r="D20" s="3" t="s">
        <v>976</v>
      </c>
      <c r="E20" s="3"/>
      <c r="F20" s="3"/>
      <c r="G20" s="3"/>
      <c r="H20" s="3"/>
      <c r="J20" s="3" t="s">
        <v>5497</v>
      </c>
      <c r="K20" s="3"/>
      <c r="L20" s="3"/>
      <c r="M20" s="3" t="s">
        <v>5504</v>
      </c>
      <c r="N20" s="3"/>
      <c r="P20" s="7">
        <v>46176.6840277778</v>
      </c>
      <c r="Q20" s="7"/>
      <c r="S20" s="9">
        <v>354850.42</v>
      </c>
      <c r="U20" s="9">
        <v>56776.07</v>
      </c>
      <c r="W20" s="9">
        <v>0</v>
      </c>
      <c r="Y20" s="9">
        <v>354850.42</v>
      </c>
      <c r="Z20" s="9"/>
      <c r="AB20" s="9">
        <v>411626.49</v>
      </c>
      <c r="AC20" s="9"/>
      <c r="AD20" s="9"/>
      <c r="AE20" s="9"/>
      <c r="AF20" s="9"/>
      <c r="AH20" s="9">
        <v>0</v>
      </c>
      <c r="AI20" s="9"/>
      <c r="AJ20" s="9"/>
      <c r="AK20" s="9"/>
    </row>
    <row r="21" ht="15" customHeight="1" spans="2:37">
      <c r="B21" s="3" t="s">
        <v>3305</v>
      </c>
      <c r="D21" s="3" t="s">
        <v>3306</v>
      </c>
      <c r="E21" s="3"/>
      <c r="F21" s="3"/>
      <c r="G21" s="3"/>
      <c r="H21" s="3"/>
      <c r="J21" s="3" t="s">
        <v>5497</v>
      </c>
      <c r="K21" s="3"/>
      <c r="L21" s="3"/>
      <c r="M21" s="3" t="s">
        <v>5505</v>
      </c>
      <c r="N21" s="3"/>
      <c r="P21" s="7">
        <v>46176.6875</v>
      </c>
      <c r="Q21" s="7"/>
      <c r="S21" s="9">
        <v>125326.11</v>
      </c>
      <c r="U21" s="9">
        <v>20052.18</v>
      </c>
      <c r="W21" s="9">
        <v>0</v>
      </c>
      <c r="Y21" s="9">
        <v>125326.11</v>
      </c>
      <c r="Z21" s="9"/>
      <c r="AB21" s="9">
        <v>145378.29</v>
      </c>
      <c r="AC21" s="9"/>
      <c r="AD21" s="9"/>
      <c r="AE21" s="9"/>
      <c r="AF21" s="9"/>
      <c r="AH21" s="9">
        <v>0</v>
      </c>
      <c r="AI21" s="9"/>
      <c r="AJ21" s="9"/>
      <c r="AK21" s="9"/>
    </row>
    <row r="22" ht="15" customHeight="1" spans="2:37">
      <c r="B22" s="3" t="s">
        <v>1534</v>
      </c>
      <c r="D22" s="3" t="s">
        <v>1535</v>
      </c>
      <c r="E22" s="3"/>
      <c r="F22" s="3"/>
      <c r="G22" s="3"/>
      <c r="H22" s="3"/>
      <c r="J22" s="3" t="s">
        <v>5497</v>
      </c>
      <c r="K22" s="3"/>
      <c r="L22" s="3"/>
      <c r="M22" s="3" t="s">
        <v>5506</v>
      </c>
      <c r="N22" s="3"/>
      <c r="P22" s="7">
        <v>46177.5388888889</v>
      </c>
      <c r="Q22" s="7"/>
      <c r="S22" s="9">
        <v>327259.18</v>
      </c>
      <c r="U22" s="9">
        <v>52361.47</v>
      </c>
      <c r="W22" s="9">
        <v>0</v>
      </c>
      <c r="Y22" s="9">
        <v>327259.18</v>
      </c>
      <c r="Z22" s="9"/>
      <c r="AB22" s="9">
        <v>379620.65</v>
      </c>
      <c r="AC22" s="9"/>
      <c r="AD22" s="9"/>
      <c r="AE22" s="9"/>
      <c r="AF22" s="9"/>
      <c r="AH22" s="9">
        <v>0</v>
      </c>
      <c r="AI22" s="9"/>
      <c r="AJ22" s="9"/>
      <c r="AK22" s="9"/>
    </row>
    <row r="23" ht="15" customHeight="1" spans="2:37">
      <c r="B23" s="3" t="s">
        <v>367</v>
      </c>
      <c r="D23" s="3" t="s">
        <v>368</v>
      </c>
      <c r="E23" s="3"/>
      <c r="F23" s="3"/>
      <c r="G23" s="3"/>
      <c r="H23" s="3"/>
      <c r="J23" s="3" t="s">
        <v>5497</v>
      </c>
      <c r="K23" s="3"/>
      <c r="L23" s="3"/>
      <c r="M23" s="3" t="s">
        <v>5507</v>
      </c>
      <c r="N23" s="3"/>
      <c r="P23" s="7">
        <v>46177.5430555556</v>
      </c>
      <c r="Q23" s="7"/>
      <c r="S23" s="9">
        <v>49021.62</v>
      </c>
      <c r="U23" s="9">
        <v>7843.46</v>
      </c>
      <c r="W23" s="9">
        <v>0</v>
      </c>
      <c r="Y23" s="9">
        <v>49021.62</v>
      </c>
      <c r="Z23" s="9"/>
      <c r="AB23" s="9">
        <v>56865.08</v>
      </c>
      <c r="AC23" s="9"/>
      <c r="AD23" s="9"/>
      <c r="AE23" s="9"/>
      <c r="AF23" s="9"/>
      <c r="AH23" s="9">
        <v>0</v>
      </c>
      <c r="AI23" s="9"/>
      <c r="AJ23" s="9"/>
      <c r="AK23" s="9"/>
    </row>
    <row r="24" ht="15" customHeight="1" spans="2:37">
      <c r="B24" s="3" t="s">
        <v>297</v>
      </c>
      <c r="D24" s="3" t="s">
        <v>298</v>
      </c>
      <c r="E24" s="3"/>
      <c r="F24" s="3"/>
      <c r="G24" s="3"/>
      <c r="H24" s="3"/>
      <c r="J24" s="3" t="s">
        <v>5497</v>
      </c>
      <c r="K24" s="3"/>
      <c r="L24" s="3"/>
      <c r="M24" s="3" t="s">
        <v>5508</v>
      </c>
      <c r="N24" s="3"/>
      <c r="P24" s="7">
        <v>46177.6951388889</v>
      </c>
      <c r="Q24" s="7"/>
      <c r="S24" s="9">
        <v>488843.4</v>
      </c>
      <c r="U24" s="9">
        <v>78214.94</v>
      </c>
      <c r="W24" s="9">
        <v>0</v>
      </c>
      <c r="Y24" s="9">
        <v>488843.4</v>
      </c>
      <c r="Z24" s="9"/>
      <c r="AB24" s="9">
        <v>567058.34</v>
      </c>
      <c r="AC24" s="9"/>
      <c r="AD24" s="9"/>
      <c r="AE24" s="9"/>
      <c r="AF24" s="9"/>
      <c r="AH24" s="9">
        <v>19553.73</v>
      </c>
      <c r="AI24" s="9"/>
      <c r="AJ24" s="9"/>
      <c r="AK24" s="9"/>
    </row>
    <row r="25" ht="15" customHeight="1" spans="2:37">
      <c r="B25" s="3" t="s">
        <v>297</v>
      </c>
      <c r="D25" s="3" t="s">
        <v>298</v>
      </c>
      <c r="E25" s="3"/>
      <c r="F25" s="3"/>
      <c r="G25" s="3"/>
      <c r="H25" s="3"/>
      <c r="J25" s="3" t="s">
        <v>5497</v>
      </c>
      <c r="K25" s="3"/>
      <c r="L25" s="3"/>
      <c r="M25" s="3" t="s">
        <v>5509</v>
      </c>
      <c r="N25" s="3"/>
      <c r="P25" s="7">
        <v>46177.6909722222</v>
      </c>
      <c r="Q25" s="7"/>
      <c r="S25" s="9">
        <v>488843.4</v>
      </c>
      <c r="U25" s="9">
        <v>78214.94</v>
      </c>
      <c r="W25" s="9">
        <v>0</v>
      </c>
      <c r="Y25" s="9">
        <v>488843.4</v>
      </c>
      <c r="Z25" s="9"/>
      <c r="AB25" s="9">
        <v>567058.34</v>
      </c>
      <c r="AC25" s="9"/>
      <c r="AD25" s="9"/>
      <c r="AE25" s="9"/>
      <c r="AF25" s="9"/>
      <c r="AH25" s="9">
        <v>0</v>
      </c>
      <c r="AI25" s="9"/>
      <c r="AJ25" s="9"/>
      <c r="AK25" s="9"/>
    </row>
    <row r="26" ht="15" customHeight="1" spans="2:37">
      <c r="B26" s="3" t="s">
        <v>297</v>
      </c>
      <c r="D26" s="3" t="s">
        <v>298</v>
      </c>
      <c r="E26" s="3"/>
      <c r="F26" s="3"/>
      <c r="G26" s="3"/>
      <c r="H26" s="3"/>
      <c r="J26" s="3" t="s">
        <v>5510</v>
      </c>
      <c r="K26" s="3"/>
      <c r="L26" s="3"/>
      <c r="M26" s="3" t="s">
        <v>5511</v>
      </c>
      <c r="N26" s="3"/>
      <c r="P26" s="7">
        <v>46177.6944444444</v>
      </c>
      <c r="Q26" s="7"/>
      <c r="S26" s="9">
        <v>488843.4</v>
      </c>
      <c r="U26" s="9">
        <v>-78214.94</v>
      </c>
      <c r="W26" s="9">
        <v>0</v>
      </c>
      <c r="Y26" s="9">
        <v>-488843.4</v>
      </c>
      <c r="Z26" s="9"/>
      <c r="AB26" s="9">
        <v>-567058.34</v>
      </c>
      <c r="AC26" s="9"/>
      <c r="AD26" s="9"/>
      <c r="AE26" s="9"/>
      <c r="AF26" s="9"/>
      <c r="AH26" s="9">
        <v>0</v>
      </c>
      <c r="AI26" s="9"/>
      <c r="AJ26" s="9"/>
      <c r="AK26" s="9"/>
    </row>
    <row r="27" ht="15" customHeight="1" spans="2:37">
      <c r="B27" s="3" t="s">
        <v>1645</v>
      </c>
      <c r="D27" s="3" t="s">
        <v>1646</v>
      </c>
      <c r="E27" s="3"/>
      <c r="F27" s="3"/>
      <c r="G27" s="3"/>
      <c r="H27" s="3"/>
      <c r="J27" s="3" t="s">
        <v>5497</v>
      </c>
      <c r="K27" s="3"/>
      <c r="L27" s="3"/>
      <c r="M27" s="3" t="s">
        <v>5512</v>
      </c>
      <c r="N27" s="3"/>
      <c r="P27" s="7">
        <v>46178.4145833333</v>
      </c>
      <c r="Q27" s="7"/>
      <c r="S27" s="9">
        <v>254775.7</v>
      </c>
      <c r="U27" s="9">
        <v>40764.11</v>
      </c>
      <c r="W27" s="9">
        <v>0</v>
      </c>
      <c r="Y27" s="9">
        <v>254775.7</v>
      </c>
      <c r="Z27" s="9"/>
      <c r="AB27" s="9">
        <v>303178.01</v>
      </c>
      <c r="AC27" s="9"/>
      <c r="AD27" s="9"/>
      <c r="AE27" s="9"/>
      <c r="AF27" s="9"/>
      <c r="AH27" s="9">
        <v>48571.29</v>
      </c>
      <c r="AI27" s="9"/>
      <c r="AJ27" s="9"/>
      <c r="AK27" s="9"/>
    </row>
    <row r="28" ht="15" customHeight="1" spans="2:37">
      <c r="B28" s="3" t="s">
        <v>1260</v>
      </c>
      <c r="D28" s="3" t="s">
        <v>5513</v>
      </c>
      <c r="E28" s="3"/>
      <c r="F28" s="3"/>
      <c r="G28" s="3"/>
      <c r="H28" s="3"/>
      <c r="J28" s="3" t="s">
        <v>5497</v>
      </c>
      <c r="K28" s="3"/>
      <c r="L28" s="3"/>
      <c r="M28" s="3" t="s">
        <v>5514</v>
      </c>
      <c r="N28" s="3"/>
      <c r="P28" s="7">
        <v>46178.41875</v>
      </c>
      <c r="Q28" s="7"/>
      <c r="S28" s="9">
        <v>745411.88</v>
      </c>
      <c r="U28" s="9">
        <v>119265.9</v>
      </c>
      <c r="W28" s="9">
        <v>0</v>
      </c>
      <c r="Y28" s="9">
        <v>745411.88</v>
      </c>
      <c r="Z28" s="9"/>
      <c r="AB28" s="9">
        <v>864677.78</v>
      </c>
      <c r="AC28" s="9"/>
      <c r="AD28" s="9"/>
      <c r="AE28" s="9"/>
      <c r="AF28" s="9"/>
      <c r="AH28" s="9">
        <v>0</v>
      </c>
      <c r="AI28" s="9"/>
      <c r="AJ28" s="9"/>
      <c r="AK28" s="9"/>
    </row>
    <row r="29" ht="15" customHeight="1" spans="2:37">
      <c r="B29" s="3" t="s">
        <v>201</v>
      </c>
      <c r="D29" s="3" t="s">
        <v>202</v>
      </c>
      <c r="E29" s="3"/>
      <c r="F29" s="3"/>
      <c r="G29" s="3"/>
      <c r="H29" s="3"/>
      <c r="J29" s="3" t="s">
        <v>5497</v>
      </c>
      <c r="K29" s="3"/>
      <c r="L29" s="3"/>
      <c r="M29" s="3" t="s">
        <v>5515</v>
      </c>
      <c r="N29" s="3"/>
      <c r="P29" s="7">
        <v>46178.4458333333</v>
      </c>
      <c r="Q29" s="7"/>
      <c r="S29" s="9">
        <v>112094.6</v>
      </c>
      <c r="U29" s="9">
        <v>17935.14</v>
      </c>
      <c r="W29" s="9">
        <v>0</v>
      </c>
      <c r="Y29" s="9">
        <v>112094.6</v>
      </c>
      <c r="Z29" s="9"/>
      <c r="AB29" s="9">
        <v>133392.58</v>
      </c>
      <c r="AC29" s="9"/>
      <c r="AD29" s="9"/>
      <c r="AE29" s="9"/>
      <c r="AF29" s="9"/>
      <c r="AH29" s="9">
        <v>0</v>
      </c>
      <c r="AI29" s="9"/>
      <c r="AJ29" s="9"/>
      <c r="AK29" s="9"/>
    </row>
    <row r="30" ht="15" customHeight="1" spans="2:37">
      <c r="B30" s="3" t="s">
        <v>395</v>
      </c>
      <c r="D30" s="3" t="s">
        <v>396</v>
      </c>
      <c r="E30" s="3"/>
      <c r="F30" s="3"/>
      <c r="G30" s="3"/>
      <c r="H30" s="3"/>
      <c r="J30" s="3" t="s">
        <v>5497</v>
      </c>
      <c r="K30" s="3"/>
      <c r="L30" s="3"/>
      <c r="M30" s="3" t="s">
        <v>5516</v>
      </c>
      <c r="N30" s="3"/>
      <c r="P30" s="7">
        <v>46178.6277777778</v>
      </c>
      <c r="Q30" s="7"/>
      <c r="S30" s="9">
        <v>222763.97</v>
      </c>
      <c r="U30" s="9">
        <v>35642.24</v>
      </c>
      <c r="W30" s="9">
        <v>0</v>
      </c>
      <c r="Y30" s="9">
        <v>222763.97</v>
      </c>
      <c r="Z30" s="9"/>
      <c r="AB30" s="9">
        <v>258406.21</v>
      </c>
      <c r="AC30" s="9"/>
      <c r="AD30" s="9"/>
      <c r="AE30" s="9"/>
      <c r="AF30" s="9"/>
      <c r="AH30" s="9">
        <v>0</v>
      </c>
      <c r="AI30" s="9"/>
      <c r="AJ30" s="9"/>
      <c r="AK30" s="9"/>
    </row>
    <row r="31" ht="15" customHeight="1" spans="2:37">
      <c r="B31" s="3" t="s">
        <v>3182</v>
      </c>
      <c r="D31" s="3" t="s">
        <v>3183</v>
      </c>
      <c r="E31" s="3"/>
      <c r="F31" s="3"/>
      <c r="G31" s="3"/>
      <c r="H31" s="3"/>
      <c r="J31" s="3" t="s">
        <v>5497</v>
      </c>
      <c r="K31" s="3"/>
      <c r="L31" s="3"/>
      <c r="M31" s="3" t="s">
        <v>5517</v>
      </c>
      <c r="N31" s="3"/>
      <c r="P31" s="7">
        <v>46178.6381944444</v>
      </c>
      <c r="Q31" s="7"/>
      <c r="S31" s="9">
        <v>211796.75</v>
      </c>
      <c r="U31" s="9">
        <v>33887.48</v>
      </c>
      <c r="W31" s="9">
        <v>0</v>
      </c>
      <c r="Y31" s="9">
        <v>211796.75</v>
      </c>
      <c r="Z31" s="9"/>
      <c r="AB31" s="9">
        <v>252038.13</v>
      </c>
      <c r="AC31" s="9"/>
      <c r="AD31" s="9"/>
      <c r="AE31" s="9"/>
      <c r="AF31" s="9"/>
      <c r="AH31" s="9">
        <v>40241.39</v>
      </c>
      <c r="AI31" s="9"/>
      <c r="AJ31" s="9"/>
      <c r="AK31" s="9"/>
    </row>
    <row r="32" ht="15" customHeight="1" spans="2:37">
      <c r="B32" s="3" t="s">
        <v>3446</v>
      </c>
      <c r="D32" s="3" t="s">
        <v>3447</v>
      </c>
      <c r="E32" s="3"/>
      <c r="F32" s="3"/>
      <c r="G32" s="3"/>
      <c r="H32" s="3"/>
      <c r="J32" s="3" t="s">
        <v>5497</v>
      </c>
      <c r="K32" s="3"/>
      <c r="L32" s="3"/>
      <c r="M32" s="3" t="s">
        <v>5518</v>
      </c>
      <c r="N32" s="3"/>
      <c r="P32" s="7">
        <v>46178.7986111111</v>
      </c>
      <c r="Q32" s="7"/>
      <c r="S32" s="9">
        <v>25685.98</v>
      </c>
      <c r="U32" s="9">
        <v>4109.76</v>
      </c>
      <c r="W32" s="9">
        <v>0</v>
      </c>
      <c r="Y32" s="9">
        <v>25685.98</v>
      </c>
      <c r="Z32" s="9"/>
      <c r="AB32" s="9">
        <v>29795.74</v>
      </c>
      <c r="AC32" s="9"/>
      <c r="AD32" s="9"/>
      <c r="AE32" s="9"/>
      <c r="AF32" s="9"/>
      <c r="AH32" s="9">
        <v>0</v>
      </c>
      <c r="AI32" s="9"/>
      <c r="AJ32" s="9"/>
      <c r="AK32" s="9"/>
    </row>
    <row r="33" ht="15" customHeight="1" spans="2:37">
      <c r="B33" s="3" t="s">
        <v>2958</v>
      </c>
      <c r="D33" s="3" t="s">
        <v>2959</v>
      </c>
      <c r="E33" s="3"/>
      <c r="F33" s="3"/>
      <c r="G33" s="3"/>
      <c r="H33" s="3"/>
      <c r="J33" s="3" t="s">
        <v>5497</v>
      </c>
      <c r="K33" s="3"/>
      <c r="L33" s="3"/>
      <c r="M33" s="3" t="s">
        <v>5519</v>
      </c>
      <c r="N33" s="3"/>
      <c r="P33" s="7">
        <v>46181.7416666667</v>
      </c>
      <c r="Q33" s="7"/>
      <c r="S33" s="9">
        <v>33748.74</v>
      </c>
      <c r="U33" s="9">
        <v>5399.8</v>
      </c>
      <c r="W33" s="9">
        <v>0</v>
      </c>
      <c r="Y33" s="9">
        <v>33748.74</v>
      </c>
      <c r="Z33" s="9"/>
      <c r="AB33" s="9">
        <v>39148.54</v>
      </c>
      <c r="AC33" s="9"/>
      <c r="AD33" s="9"/>
      <c r="AE33" s="9"/>
      <c r="AF33" s="9"/>
      <c r="AH33" s="9">
        <v>39148.54</v>
      </c>
      <c r="AI33" s="9"/>
      <c r="AJ33" s="9"/>
      <c r="AK33" s="9"/>
    </row>
    <row r="34" ht="15" customHeight="1" spans="2:37">
      <c r="B34" s="3" t="s">
        <v>2958</v>
      </c>
      <c r="D34" s="3" t="s">
        <v>2959</v>
      </c>
      <c r="E34" s="3"/>
      <c r="F34" s="3"/>
      <c r="G34" s="3"/>
      <c r="H34" s="3"/>
      <c r="J34" s="3" t="s">
        <v>5497</v>
      </c>
      <c r="K34" s="3"/>
      <c r="L34" s="3"/>
      <c r="M34" s="3" t="s">
        <v>5520</v>
      </c>
      <c r="N34" s="3"/>
      <c r="P34" s="7">
        <v>46181.74375</v>
      </c>
      <c r="Q34" s="7"/>
      <c r="S34" s="9">
        <v>399109.39</v>
      </c>
      <c r="U34" s="9">
        <v>63857.52</v>
      </c>
      <c r="W34" s="9">
        <v>0</v>
      </c>
      <c r="Y34" s="9">
        <v>399109.39</v>
      </c>
      <c r="Z34" s="9"/>
      <c r="AB34" s="9">
        <v>462966.91</v>
      </c>
      <c r="AC34" s="9"/>
      <c r="AD34" s="9"/>
      <c r="AE34" s="9"/>
      <c r="AF34" s="9"/>
      <c r="AH34" s="9">
        <v>54134.56</v>
      </c>
      <c r="AI34" s="9"/>
      <c r="AJ34" s="9"/>
      <c r="AK34" s="9"/>
    </row>
    <row r="35" ht="15" customHeight="1" spans="2:37">
      <c r="B35" s="3" t="s">
        <v>2619</v>
      </c>
      <c r="D35" s="3" t="s">
        <v>2620</v>
      </c>
      <c r="E35" s="3"/>
      <c r="F35" s="3"/>
      <c r="G35" s="3"/>
      <c r="H35" s="3"/>
      <c r="J35" s="3" t="s">
        <v>5497</v>
      </c>
      <c r="K35" s="3"/>
      <c r="L35" s="3"/>
      <c r="M35" s="3" t="s">
        <v>5521</v>
      </c>
      <c r="N35" s="3"/>
      <c r="P35" s="7">
        <v>46182.5520833333</v>
      </c>
      <c r="Q35" s="7"/>
      <c r="S35" s="9">
        <v>705058.56</v>
      </c>
      <c r="U35" s="9">
        <v>112809.37</v>
      </c>
      <c r="W35" s="9">
        <v>0</v>
      </c>
      <c r="Y35" s="9">
        <v>705058.56</v>
      </c>
      <c r="Z35" s="9"/>
      <c r="AB35" s="9">
        <v>817867.93</v>
      </c>
      <c r="AC35" s="9"/>
      <c r="AD35" s="9"/>
      <c r="AE35" s="9"/>
      <c r="AF35" s="9"/>
      <c r="AH35" s="9">
        <v>0</v>
      </c>
      <c r="AI35" s="9"/>
      <c r="AJ35" s="9"/>
      <c r="AK35" s="9"/>
    </row>
    <row r="36" ht="15" customHeight="1" spans="2:37">
      <c r="B36" s="3" t="s">
        <v>2453</v>
      </c>
      <c r="D36" s="3" t="s">
        <v>2454</v>
      </c>
      <c r="E36" s="3"/>
      <c r="F36" s="3"/>
      <c r="G36" s="3"/>
      <c r="H36" s="3"/>
      <c r="J36" s="3" t="s">
        <v>5497</v>
      </c>
      <c r="K36" s="3"/>
      <c r="L36" s="3"/>
      <c r="M36" s="3" t="s">
        <v>5522</v>
      </c>
      <c r="N36" s="3"/>
      <c r="P36" s="7">
        <v>46182.55625</v>
      </c>
      <c r="Q36" s="7"/>
      <c r="S36" s="9">
        <v>58493.74</v>
      </c>
      <c r="U36" s="9">
        <v>9359</v>
      </c>
      <c r="W36" s="9">
        <v>0</v>
      </c>
      <c r="Y36" s="9">
        <v>58493.74</v>
      </c>
      <c r="Z36" s="9"/>
      <c r="AB36" s="9">
        <v>67852.74</v>
      </c>
      <c r="AC36" s="9"/>
      <c r="AD36" s="9"/>
      <c r="AE36" s="9"/>
      <c r="AF36" s="9"/>
      <c r="AH36" s="9">
        <v>0</v>
      </c>
      <c r="AI36" s="9"/>
      <c r="AJ36" s="9"/>
      <c r="AK36" s="9"/>
    </row>
    <row r="37" ht="15" customHeight="1" spans="2:37">
      <c r="B37" s="3" t="s">
        <v>2929</v>
      </c>
      <c r="D37" s="3" t="s">
        <v>2930</v>
      </c>
      <c r="E37" s="3"/>
      <c r="F37" s="3"/>
      <c r="G37" s="3"/>
      <c r="H37" s="3"/>
      <c r="J37" s="3" t="s">
        <v>5497</v>
      </c>
      <c r="K37" s="3"/>
      <c r="L37" s="3"/>
      <c r="M37" s="3" t="s">
        <v>5523</v>
      </c>
      <c r="N37" s="3"/>
      <c r="P37" s="7">
        <v>46182.5569444444</v>
      </c>
      <c r="Q37" s="7"/>
      <c r="S37" s="9">
        <v>199255.68</v>
      </c>
      <c r="U37" s="9">
        <v>31880.91</v>
      </c>
      <c r="W37" s="9">
        <v>0</v>
      </c>
      <c r="Y37" s="9">
        <v>199255.68</v>
      </c>
      <c r="Z37" s="9"/>
      <c r="AB37" s="9">
        <v>231136.59</v>
      </c>
      <c r="AC37" s="9"/>
      <c r="AD37" s="9"/>
      <c r="AE37" s="9"/>
      <c r="AF37" s="9"/>
      <c r="AH37" s="9">
        <v>0</v>
      </c>
      <c r="AI37" s="9"/>
      <c r="AJ37" s="9"/>
      <c r="AK37" s="9"/>
    </row>
    <row r="38" ht="15" customHeight="1" spans="2:37">
      <c r="B38" s="3" t="s">
        <v>861</v>
      </c>
      <c r="D38" s="3" t="s">
        <v>862</v>
      </c>
      <c r="E38" s="3"/>
      <c r="F38" s="3"/>
      <c r="G38" s="3"/>
      <c r="H38" s="3"/>
      <c r="J38" s="3" t="s">
        <v>5497</v>
      </c>
      <c r="K38" s="3"/>
      <c r="L38" s="3"/>
      <c r="M38" s="3" t="s">
        <v>5524</v>
      </c>
      <c r="N38" s="3"/>
      <c r="P38" s="7">
        <v>46182.5618055556</v>
      </c>
      <c r="Q38" s="7"/>
      <c r="S38" s="9">
        <v>45414.4</v>
      </c>
      <c r="U38" s="9">
        <v>7266.31</v>
      </c>
      <c r="W38" s="9">
        <v>0</v>
      </c>
      <c r="Y38" s="9">
        <v>45414.4</v>
      </c>
      <c r="Z38" s="9"/>
      <c r="AB38" s="9">
        <v>52680.71</v>
      </c>
      <c r="AC38" s="9"/>
      <c r="AD38" s="9"/>
      <c r="AE38" s="9"/>
      <c r="AF38" s="9"/>
      <c r="AH38" s="9">
        <v>0</v>
      </c>
      <c r="AI38" s="9"/>
      <c r="AJ38" s="9"/>
      <c r="AK38" s="9"/>
    </row>
    <row r="39" ht="15" customHeight="1" spans="2:37">
      <c r="B39" s="3" t="s">
        <v>2467</v>
      </c>
      <c r="D39" s="3" t="s">
        <v>2468</v>
      </c>
      <c r="E39" s="3"/>
      <c r="F39" s="3"/>
      <c r="G39" s="3"/>
      <c r="H39" s="3"/>
      <c r="J39" s="3" t="s">
        <v>5497</v>
      </c>
      <c r="K39" s="3"/>
      <c r="L39" s="3"/>
      <c r="M39" s="3" t="s">
        <v>5525</v>
      </c>
      <c r="N39" s="3"/>
      <c r="P39" s="7">
        <v>46182.5645833333</v>
      </c>
      <c r="Q39" s="7"/>
      <c r="S39" s="9">
        <v>199255.68</v>
      </c>
      <c r="U39" s="9">
        <v>31880.91</v>
      </c>
      <c r="W39" s="9">
        <v>0</v>
      </c>
      <c r="Y39" s="9">
        <v>199255.68</v>
      </c>
      <c r="Z39" s="9"/>
      <c r="AB39" s="9">
        <v>231136.59</v>
      </c>
      <c r="AC39" s="9"/>
      <c r="AD39" s="9"/>
      <c r="AE39" s="9"/>
      <c r="AF39" s="9"/>
      <c r="AH39" s="9">
        <v>0</v>
      </c>
      <c r="AI39" s="9"/>
      <c r="AJ39" s="9"/>
      <c r="AK39" s="9"/>
    </row>
    <row r="40" ht="15" customHeight="1" spans="2:37">
      <c r="B40" s="3" t="s">
        <v>1984</v>
      </c>
      <c r="D40" s="3" t="s">
        <v>1985</v>
      </c>
      <c r="E40" s="3"/>
      <c r="F40" s="3"/>
      <c r="G40" s="3"/>
      <c r="H40" s="3"/>
      <c r="J40" s="3" t="s">
        <v>5497</v>
      </c>
      <c r="K40" s="3"/>
      <c r="L40" s="3"/>
      <c r="M40" s="3" t="s">
        <v>5526</v>
      </c>
      <c r="N40" s="3"/>
      <c r="P40" s="7">
        <v>46182.6104166667</v>
      </c>
      <c r="Q40" s="7"/>
      <c r="S40" s="9">
        <v>285009.42</v>
      </c>
      <c r="U40" s="9">
        <v>45601.51</v>
      </c>
      <c r="W40" s="9">
        <v>0</v>
      </c>
      <c r="Y40" s="9">
        <v>285009.42</v>
      </c>
      <c r="Z40" s="9"/>
      <c r="AB40" s="9">
        <v>330610.93</v>
      </c>
      <c r="AC40" s="9"/>
      <c r="AD40" s="9"/>
      <c r="AE40" s="9"/>
      <c r="AF40" s="9"/>
      <c r="AH40" s="9">
        <v>0</v>
      </c>
      <c r="AI40" s="9"/>
      <c r="AJ40" s="9"/>
      <c r="AK40" s="9"/>
    </row>
    <row r="41" ht="15" customHeight="1" spans="2:37">
      <c r="B41" s="3" t="s">
        <v>1006</v>
      </c>
      <c r="D41" s="3" t="s">
        <v>1007</v>
      </c>
      <c r="E41" s="3"/>
      <c r="F41" s="3"/>
      <c r="G41" s="3"/>
      <c r="H41" s="3"/>
      <c r="J41" s="3" t="s">
        <v>5497</v>
      </c>
      <c r="K41" s="3"/>
      <c r="L41" s="3"/>
      <c r="M41" s="3" t="s">
        <v>5527</v>
      </c>
      <c r="N41" s="3"/>
      <c r="P41" s="7">
        <v>46182.6125</v>
      </c>
      <c r="Q41" s="7"/>
      <c r="S41" s="9">
        <v>206635.52</v>
      </c>
      <c r="U41" s="9">
        <v>33061.68</v>
      </c>
      <c r="W41" s="9">
        <v>0</v>
      </c>
      <c r="Y41" s="9">
        <v>206635.52</v>
      </c>
      <c r="Z41" s="9"/>
      <c r="AB41" s="9">
        <v>239697.2</v>
      </c>
      <c r="AC41" s="9"/>
      <c r="AD41" s="9"/>
      <c r="AE41" s="9"/>
      <c r="AF41" s="9"/>
      <c r="AH41" s="9">
        <v>0</v>
      </c>
      <c r="AI41" s="9"/>
      <c r="AJ41" s="9"/>
      <c r="AK41" s="9"/>
    </row>
    <row r="42" ht="15" customHeight="1" spans="2:37">
      <c r="B42" s="3" t="s">
        <v>2339</v>
      </c>
      <c r="D42" s="3" t="s">
        <v>2340</v>
      </c>
      <c r="E42" s="3"/>
      <c r="F42" s="3"/>
      <c r="G42" s="3"/>
      <c r="H42" s="3"/>
      <c r="J42" s="3" t="s">
        <v>5497</v>
      </c>
      <c r="K42" s="3"/>
      <c r="L42" s="3"/>
      <c r="M42" s="3" t="s">
        <v>5528</v>
      </c>
      <c r="N42" s="3"/>
      <c r="P42" s="7">
        <v>46183.4805555556</v>
      </c>
      <c r="Q42" s="7"/>
      <c r="S42" s="9">
        <v>324823.16</v>
      </c>
      <c r="U42" s="9">
        <v>51971.71</v>
      </c>
      <c r="W42" s="9">
        <v>0</v>
      </c>
      <c r="Y42" s="9">
        <v>324823.16</v>
      </c>
      <c r="Z42" s="9"/>
      <c r="AB42" s="9">
        <v>386536.13</v>
      </c>
      <c r="AC42" s="9"/>
      <c r="AD42" s="9"/>
      <c r="AE42" s="9"/>
      <c r="AF42" s="9"/>
      <c r="AH42" s="9">
        <v>0</v>
      </c>
      <c r="AI42" s="9"/>
      <c r="AJ42" s="9"/>
      <c r="AK42" s="9"/>
    </row>
    <row r="43" ht="15" customHeight="1" spans="2:37">
      <c r="B43" s="3" t="s">
        <v>1006</v>
      </c>
      <c r="D43" s="3" t="s">
        <v>1007</v>
      </c>
      <c r="E43" s="3"/>
      <c r="F43" s="3"/>
      <c r="G43" s="3"/>
      <c r="H43" s="3"/>
      <c r="J43" s="3" t="s">
        <v>5497</v>
      </c>
      <c r="K43" s="3"/>
      <c r="L43" s="3"/>
      <c r="M43" s="3" t="s">
        <v>5529</v>
      </c>
      <c r="N43" s="3"/>
      <c r="P43" s="7">
        <v>46185.4736111111</v>
      </c>
      <c r="Q43" s="7"/>
      <c r="S43" s="9">
        <v>216176.59</v>
      </c>
      <c r="U43" s="9">
        <v>34588.25</v>
      </c>
      <c r="W43" s="9">
        <v>0</v>
      </c>
      <c r="Y43" s="9">
        <v>216176.59</v>
      </c>
      <c r="Z43" s="9"/>
      <c r="AB43" s="9">
        <v>250764.84</v>
      </c>
      <c r="AC43" s="9"/>
      <c r="AD43" s="9"/>
      <c r="AE43" s="9"/>
      <c r="AF43" s="9"/>
      <c r="AH43" s="9">
        <v>0</v>
      </c>
      <c r="AI43" s="9"/>
      <c r="AJ43" s="9"/>
      <c r="AK43" s="9"/>
    </row>
    <row r="44" ht="15" customHeight="1" spans="2:37">
      <c r="B44" s="3" t="s">
        <v>367</v>
      </c>
      <c r="D44" s="3" t="s">
        <v>368</v>
      </c>
      <c r="E44" s="3"/>
      <c r="F44" s="3"/>
      <c r="G44" s="3"/>
      <c r="H44" s="3"/>
      <c r="J44" s="3" t="s">
        <v>5497</v>
      </c>
      <c r="K44" s="3"/>
      <c r="L44" s="3"/>
      <c r="M44" s="3" t="s">
        <v>5530</v>
      </c>
      <c r="N44" s="3"/>
      <c r="P44" s="7">
        <v>46185.4756944444</v>
      </c>
      <c r="Q44" s="7"/>
      <c r="S44" s="9">
        <v>190899.65</v>
      </c>
      <c r="U44" s="9">
        <v>30543.94</v>
      </c>
      <c r="W44" s="9">
        <v>0</v>
      </c>
      <c r="Y44" s="9">
        <v>190899.65</v>
      </c>
      <c r="Z44" s="9"/>
      <c r="AB44" s="9">
        <v>221443.59</v>
      </c>
      <c r="AC44" s="9"/>
      <c r="AD44" s="9"/>
      <c r="AE44" s="9"/>
      <c r="AF44" s="9"/>
      <c r="AH44" s="9">
        <v>0</v>
      </c>
      <c r="AI44" s="9"/>
      <c r="AJ44" s="9"/>
      <c r="AK44" s="9"/>
    </row>
    <row r="45" ht="15" customHeight="1" spans="2:37">
      <c r="B45" s="3" t="s">
        <v>297</v>
      </c>
      <c r="D45" s="3" t="s">
        <v>298</v>
      </c>
      <c r="E45" s="3"/>
      <c r="F45" s="3"/>
      <c r="G45" s="3"/>
      <c r="H45" s="3"/>
      <c r="J45" s="3" t="s">
        <v>5497</v>
      </c>
      <c r="K45" s="3"/>
      <c r="L45" s="3"/>
      <c r="M45" s="3" t="s">
        <v>5531</v>
      </c>
      <c r="N45" s="3"/>
      <c r="P45" s="7">
        <v>46185.5743055556</v>
      </c>
      <c r="Q45" s="7"/>
      <c r="S45" s="9">
        <v>53088.54</v>
      </c>
      <c r="U45" s="9">
        <v>8494.17</v>
      </c>
      <c r="W45" s="9">
        <v>0</v>
      </c>
      <c r="Y45" s="9">
        <v>53088.54</v>
      </c>
      <c r="Z45" s="9"/>
      <c r="AB45" s="9">
        <v>61582.71</v>
      </c>
      <c r="AC45" s="9"/>
      <c r="AD45" s="9"/>
      <c r="AE45" s="9"/>
      <c r="AF45" s="9"/>
      <c r="AH45" s="9">
        <v>0</v>
      </c>
      <c r="AI45" s="9"/>
      <c r="AJ45" s="9"/>
      <c r="AK45" s="9"/>
    </row>
    <row r="46" ht="15" customHeight="1" spans="2:37">
      <c r="B46" s="3" t="s">
        <v>1055</v>
      </c>
      <c r="D46" s="3" t="s">
        <v>1056</v>
      </c>
      <c r="E46" s="3"/>
      <c r="F46" s="3"/>
      <c r="G46" s="3"/>
      <c r="H46" s="3"/>
      <c r="J46" s="3" t="s">
        <v>5497</v>
      </c>
      <c r="K46" s="3"/>
      <c r="L46" s="3"/>
      <c r="M46" s="3" t="s">
        <v>5532</v>
      </c>
      <c r="N46" s="3"/>
      <c r="P46" s="7">
        <v>46188.4666666667</v>
      </c>
      <c r="Q46" s="7"/>
      <c r="S46" s="9">
        <v>104893.07</v>
      </c>
      <c r="U46" s="9">
        <v>16782.89</v>
      </c>
      <c r="W46" s="9">
        <v>0</v>
      </c>
      <c r="Y46" s="9">
        <v>104893.07</v>
      </c>
      <c r="Z46" s="9"/>
      <c r="AB46" s="9">
        <v>121675.96</v>
      </c>
      <c r="AC46" s="9"/>
      <c r="AD46" s="9"/>
      <c r="AE46" s="9"/>
      <c r="AF46" s="9"/>
      <c r="AH46" s="9">
        <v>0</v>
      </c>
      <c r="AI46" s="9"/>
      <c r="AJ46" s="9"/>
      <c r="AK46" s="9"/>
    </row>
    <row r="47" ht="15" customHeight="1" spans="2:37">
      <c r="B47" s="3" t="s">
        <v>2494</v>
      </c>
      <c r="D47" s="3" t="s">
        <v>2495</v>
      </c>
      <c r="E47" s="3"/>
      <c r="F47" s="3"/>
      <c r="G47" s="3"/>
      <c r="H47" s="3"/>
      <c r="J47" s="3" t="s">
        <v>5497</v>
      </c>
      <c r="K47" s="3"/>
      <c r="L47" s="3"/>
      <c r="M47" s="3" t="s">
        <v>5533</v>
      </c>
      <c r="N47" s="3"/>
      <c r="P47" s="7">
        <v>46188.5215277778</v>
      </c>
      <c r="Q47" s="7"/>
      <c r="S47" s="9">
        <v>282542.24</v>
      </c>
      <c r="U47" s="9">
        <v>45206.76</v>
      </c>
      <c r="W47" s="9">
        <v>0</v>
      </c>
      <c r="Y47" s="9">
        <v>282542.24</v>
      </c>
      <c r="Z47" s="9"/>
      <c r="AB47" s="9">
        <v>336225.27</v>
      </c>
      <c r="AC47" s="9"/>
      <c r="AD47" s="9"/>
      <c r="AE47" s="9"/>
      <c r="AF47" s="9"/>
      <c r="AH47" s="9">
        <v>0</v>
      </c>
      <c r="AI47" s="9"/>
      <c r="AJ47" s="9"/>
      <c r="AK47" s="9"/>
    </row>
    <row r="48" ht="15" customHeight="1" spans="2:37">
      <c r="B48" s="3" t="s">
        <v>2196</v>
      </c>
      <c r="D48" s="3" t="s">
        <v>2197</v>
      </c>
      <c r="E48" s="3"/>
      <c r="F48" s="3"/>
      <c r="G48" s="3"/>
      <c r="H48" s="3"/>
      <c r="J48" s="3" t="s">
        <v>5497</v>
      </c>
      <c r="K48" s="3"/>
      <c r="L48" s="3"/>
      <c r="M48" s="3" t="s">
        <v>5534</v>
      </c>
      <c r="N48" s="3"/>
      <c r="P48" s="7">
        <v>46188.5243055556</v>
      </c>
      <c r="Q48" s="7"/>
      <c r="S48" s="9">
        <v>162124.03</v>
      </c>
      <c r="U48" s="9">
        <v>25939.84</v>
      </c>
      <c r="W48" s="9">
        <v>0</v>
      </c>
      <c r="Y48" s="9">
        <v>162124.03</v>
      </c>
      <c r="Z48" s="9"/>
      <c r="AB48" s="9">
        <v>188063.87</v>
      </c>
      <c r="AC48" s="9"/>
      <c r="AD48" s="9"/>
      <c r="AE48" s="9"/>
      <c r="AF48" s="9"/>
      <c r="AH48" s="9">
        <v>19454.88</v>
      </c>
      <c r="AI48" s="9"/>
      <c r="AJ48" s="9"/>
      <c r="AK48" s="9"/>
    </row>
    <row r="49" ht="15" customHeight="1" spans="2:37">
      <c r="B49" s="3" t="s">
        <v>3130</v>
      </c>
      <c r="D49" s="3" t="s">
        <v>3131</v>
      </c>
      <c r="E49" s="3"/>
      <c r="F49" s="3"/>
      <c r="G49" s="3"/>
      <c r="H49" s="3"/>
      <c r="J49" s="3" t="s">
        <v>5497</v>
      </c>
      <c r="K49" s="3"/>
      <c r="L49" s="3"/>
      <c r="M49" s="3" t="s">
        <v>5535</v>
      </c>
      <c r="N49" s="3"/>
      <c r="P49" s="7">
        <v>46188.7118055556</v>
      </c>
      <c r="Q49" s="7"/>
      <c r="S49" s="9">
        <v>142504.68</v>
      </c>
      <c r="U49" s="9">
        <v>22800.75</v>
      </c>
      <c r="W49" s="9">
        <v>0</v>
      </c>
      <c r="Y49" s="9">
        <v>142504.68</v>
      </c>
      <c r="Z49" s="9"/>
      <c r="AB49" s="9">
        <v>169587.62</v>
      </c>
      <c r="AC49" s="9"/>
      <c r="AD49" s="9"/>
      <c r="AE49" s="9"/>
      <c r="AF49" s="9"/>
      <c r="AH49" s="9">
        <v>0</v>
      </c>
      <c r="AI49" s="9"/>
      <c r="AJ49" s="9"/>
      <c r="AK49" s="9"/>
    </row>
    <row r="50" ht="15" customHeight="1" spans="2:37">
      <c r="B50" s="3" t="s">
        <v>2619</v>
      </c>
      <c r="D50" s="3" t="s">
        <v>2620</v>
      </c>
      <c r="E50" s="3"/>
      <c r="F50" s="3"/>
      <c r="G50" s="3"/>
      <c r="H50" s="3"/>
      <c r="J50" s="3" t="s">
        <v>5497</v>
      </c>
      <c r="K50" s="3"/>
      <c r="L50" s="3"/>
      <c r="M50" s="3" t="s">
        <v>5536</v>
      </c>
      <c r="N50" s="3"/>
      <c r="P50" s="7">
        <v>46189.4916666667</v>
      </c>
      <c r="Q50" s="7"/>
      <c r="S50" s="9">
        <v>135093.72</v>
      </c>
      <c r="U50" s="9">
        <v>21615</v>
      </c>
      <c r="W50" s="9">
        <v>0</v>
      </c>
      <c r="Y50" s="9">
        <v>135093.72</v>
      </c>
      <c r="Z50" s="9"/>
      <c r="AB50" s="9">
        <v>156708.72</v>
      </c>
      <c r="AC50" s="9"/>
      <c r="AD50" s="9"/>
      <c r="AE50" s="9"/>
      <c r="AF50" s="9"/>
      <c r="AH50" s="9">
        <v>16211.25</v>
      </c>
      <c r="AI50" s="9"/>
      <c r="AJ50" s="9"/>
      <c r="AK50" s="9"/>
    </row>
    <row r="51" ht="15" customHeight="1" spans="2:37">
      <c r="B51" s="3" t="s">
        <v>1008</v>
      </c>
      <c r="D51" s="3" t="s">
        <v>1009</v>
      </c>
      <c r="E51" s="3"/>
      <c r="F51" s="3"/>
      <c r="G51" s="3"/>
      <c r="H51" s="3"/>
      <c r="J51" s="3" t="s">
        <v>5497</v>
      </c>
      <c r="K51" s="3"/>
      <c r="L51" s="3"/>
      <c r="M51" s="3" t="s">
        <v>5537</v>
      </c>
      <c r="N51" s="3"/>
      <c r="P51" s="7">
        <v>46189.6736111111</v>
      </c>
      <c r="Q51" s="7"/>
      <c r="S51" s="9">
        <v>263918.59</v>
      </c>
      <c r="U51" s="9">
        <v>42226.99</v>
      </c>
      <c r="W51" s="9">
        <v>0</v>
      </c>
      <c r="Y51" s="9">
        <v>263918.59</v>
      </c>
      <c r="Z51" s="9"/>
      <c r="AB51" s="9">
        <v>306145.58</v>
      </c>
      <c r="AC51" s="9"/>
      <c r="AD51" s="9"/>
      <c r="AE51" s="9"/>
      <c r="AF51" s="9"/>
      <c r="AH51" s="9">
        <v>0</v>
      </c>
      <c r="AI51" s="9"/>
      <c r="AJ51" s="9"/>
      <c r="AK51" s="9"/>
    </row>
    <row r="52" ht="15" customHeight="1" spans="2:37">
      <c r="B52" s="3" t="s">
        <v>2919</v>
      </c>
      <c r="D52" s="3" t="s">
        <v>2920</v>
      </c>
      <c r="E52" s="3"/>
      <c r="F52" s="3"/>
      <c r="G52" s="3"/>
      <c r="H52" s="3"/>
      <c r="J52" s="3" t="s">
        <v>5497</v>
      </c>
      <c r="K52" s="3"/>
      <c r="L52" s="3"/>
      <c r="M52" s="3" t="s">
        <v>5538</v>
      </c>
      <c r="N52" s="3"/>
      <c r="P52" s="7">
        <v>46190.4895833333</v>
      </c>
      <c r="Q52" s="7"/>
      <c r="S52" s="9">
        <v>106298.88</v>
      </c>
      <c r="U52" s="9">
        <v>17007.82</v>
      </c>
      <c r="W52" s="9">
        <v>0</v>
      </c>
      <c r="Y52" s="9">
        <v>106298.88</v>
      </c>
      <c r="Z52" s="9"/>
      <c r="AB52" s="9">
        <v>123306.7</v>
      </c>
      <c r="AC52" s="9"/>
      <c r="AD52" s="9"/>
      <c r="AE52" s="9"/>
      <c r="AF52" s="9"/>
      <c r="AH52" s="9">
        <v>0</v>
      </c>
      <c r="AI52" s="9"/>
      <c r="AJ52" s="9"/>
      <c r="AK52" s="9"/>
    </row>
    <row r="53" ht="15" customHeight="1" spans="2:37">
      <c r="B53" s="3" t="s">
        <v>2470</v>
      </c>
      <c r="D53" s="3" t="s">
        <v>2471</v>
      </c>
      <c r="E53" s="3"/>
      <c r="F53" s="3"/>
      <c r="G53" s="3"/>
      <c r="H53" s="3"/>
      <c r="J53" s="3" t="s">
        <v>5497</v>
      </c>
      <c r="K53" s="3"/>
      <c r="L53" s="3"/>
      <c r="M53" s="3" t="s">
        <v>5539</v>
      </c>
      <c r="N53" s="3"/>
      <c r="P53" s="7">
        <v>46190.6208333333</v>
      </c>
      <c r="Q53" s="7"/>
      <c r="S53" s="9">
        <v>1697845.93</v>
      </c>
      <c r="U53" s="9">
        <v>271655.34</v>
      </c>
      <c r="W53" s="9">
        <v>0</v>
      </c>
      <c r="Y53" s="9">
        <v>1697845.93</v>
      </c>
      <c r="Z53" s="9"/>
      <c r="AB53" s="9">
        <v>1969501.27</v>
      </c>
      <c r="AC53" s="9"/>
      <c r="AD53" s="9"/>
      <c r="AE53" s="9"/>
      <c r="AF53" s="9"/>
      <c r="AH53" s="9">
        <v>0</v>
      </c>
      <c r="AI53" s="9"/>
      <c r="AJ53" s="9"/>
      <c r="AK53" s="9"/>
    </row>
    <row r="54" ht="15" customHeight="1" spans="2:37">
      <c r="B54" s="3" t="s">
        <v>5540</v>
      </c>
      <c r="D54" s="3" t="s">
        <v>2920</v>
      </c>
      <c r="E54" s="3"/>
      <c r="F54" s="3"/>
      <c r="G54" s="3"/>
      <c r="H54" s="3"/>
      <c r="J54" s="3" t="s">
        <v>5497</v>
      </c>
      <c r="K54" s="3"/>
      <c r="L54" s="3"/>
      <c r="M54" s="3" t="s">
        <v>5541</v>
      </c>
      <c r="N54" s="3"/>
      <c r="P54" s="7">
        <v>46190.4131944444</v>
      </c>
      <c r="Q54" s="7"/>
      <c r="S54" s="9">
        <v>77283.32</v>
      </c>
      <c r="U54" s="9">
        <v>12365.33</v>
      </c>
      <c r="W54" s="9">
        <v>0</v>
      </c>
      <c r="Y54" s="9">
        <v>77283.32</v>
      </c>
      <c r="Z54" s="9"/>
      <c r="AB54" s="9">
        <v>89648.65</v>
      </c>
      <c r="AC54" s="9"/>
      <c r="AD54" s="9"/>
      <c r="AE54" s="9"/>
      <c r="AF54" s="9"/>
      <c r="AH54" s="9">
        <v>0</v>
      </c>
      <c r="AI54" s="9"/>
      <c r="AJ54" s="9"/>
      <c r="AK54" s="9"/>
    </row>
    <row r="55" ht="15" customHeight="1" spans="2:37">
      <c r="B55" s="3" t="s">
        <v>5540</v>
      </c>
      <c r="D55" s="3" t="s">
        <v>2920</v>
      </c>
      <c r="E55" s="3"/>
      <c r="F55" s="3"/>
      <c r="G55" s="3"/>
      <c r="H55" s="3"/>
      <c r="J55" s="3" t="s">
        <v>5510</v>
      </c>
      <c r="K55" s="3"/>
      <c r="L55" s="3"/>
      <c r="M55" s="3" t="s">
        <v>5542</v>
      </c>
      <c r="N55" s="3"/>
      <c r="P55" s="7">
        <v>46190.4840277778</v>
      </c>
      <c r="Q55" s="7"/>
      <c r="S55" s="9">
        <v>77283.32</v>
      </c>
      <c r="U55" s="9">
        <v>-12365.33</v>
      </c>
      <c r="W55" s="9">
        <v>0</v>
      </c>
      <c r="Y55" s="9">
        <v>-77283.32</v>
      </c>
      <c r="Z55" s="9"/>
      <c r="AB55" s="9">
        <v>-89648.65</v>
      </c>
      <c r="AC55" s="9"/>
      <c r="AD55" s="9"/>
      <c r="AE55" s="9"/>
      <c r="AF55" s="9"/>
      <c r="AH55" s="9">
        <v>0</v>
      </c>
      <c r="AI55" s="9"/>
      <c r="AJ55" s="9"/>
      <c r="AK55" s="9"/>
    </row>
    <row r="56" ht="15" customHeight="1" spans="2:37">
      <c r="B56" s="3" t="s">
        <v>3206</v>
      </c>
      <c r="D56" s="3" t="s">
        <v>3207</v>
      </c>
      <c r="E56" s="3"/>
      <c r="F56" s="3"/>
      <c r="G56" s="3"/>
      <c r="H56" s="3"/>
      <c r="J56" s="3" t="s">
        <v>5497</v>
      </c>
      <c r="K56" s="3"/>
      <c r="L56" s="3"/>
      <c r="M56" s="3" t="s">
        <v>5543</v>
      </c>
      <c r="N56" s="3"/>
      <c r="P56" s="7">
        <v>46191.5944444444</v>
      </c>
      <c r="Q56" s="7"/>
      <c r="S56" s="9">
        <v>32827.1</v>
      </c>
      <c r="U56" s="9">
        <v>5252.34</v>
      </c>
      <c r="W56" s="9">
        <v>0</v>
      </c>
      <c r="Y56" s="9">
        <v>32827.1</v>
      </c>
      <c r="Z56" s="9"/>
      <c r="AB56" s="9">
        <v>39073.29</v>
      </c>
      <c r="AC56" s="9"/>
      <c r="AD56" s="9"/>
      <c r="AE56" s="9"/>
      <c r="AF56" s="9"/>
      <c r="AH56" s="9">
        <v>0</v>
      </c>
      <c r="AI56" s="9"/>
      <c r="AJ56" s="9"/>
      <c r="AK56" s="9"/>
    </row>
    <row r="57" ht="15" customHeight="1" spans="2:37">
      <c r="B57" s="3" t="s">
        <v>2675</v>
      </c>
      <c r="D57" s="3" t="s">
        <v>5544</v>
      </c>
      <c r="E57" s="3"/>
      <c r="F57" s="3"/>
      <c r="G57" s="3"/>
      <c r="H57" s="3"/>
      <c r="J57" s="3" t="s">
        <v>5497</v>
      </c>
      <c r="K57" s="3"/>
      <c r="L57" s="3"/>
      <c r="M57" s="3" t="s">
        <v>5545</v>
      </c>
      <c r="N57" s="3"/>
      <c r="P57" s="7">
        <v>46191.6076388889</v>
      </c>
      <c r="Q57" s="7"/>
      <c r="S57" s="9">
        <v>556175.7</v>
      </c>
      <c r="U57" s="9">
        <v>88988.11</v>
      </c>
      <c r="W57" s="9">
        <v>0</v>
      </c>
      <c r="Y57" s="9">
        <v>556175.7</v>
      </c>
      <c r="Z57" s="9"/>
      <c r="AB57" s="9">
        <v>645163.81</v>
      </c>
      <c r="AC57" s="9"/>
      <c r="AD57" s="9"/>
      <c r="AE57" s="9"/>
      <c r="AF57" s="9"/>
      <c r="AH57" s="9">
        <v>0</v>
      </c>
      <c r="AI57" s="9"/>
      <c r="AJ57" s="9"/>
      <c r="AK57" s="9"/>
    </row>
    <row r="58" ht="15" customHeight="1" spans="2:37">
      <c r="B58" s="3" t="s">
        <v>2582</v>
      </c>
      <c r="D58" s="3" t="s">
        <v>2583</v>
      </c>
      <c r="E58" s="3"/>
      <c r="F58" s="3"/>
      <c r="G58" s="3"/>
      <c r="H58" s="3"/>
      <c r="J58" s="3" t="s">
        <v>5497</v>
      </c>
      <c r="K58" s="3"/>
      <c r="L58" s="3"/>
      <c r="M58" s="3" t="s">
        <v>5546</v>
      </c>
      <c r="N58" s="3"/>
      <c r="P58" s="7">
        <v>46191.6152777778</v>
      </c>
      <c r="Q58" s="7"/>
      <c r="S58" s="9">
        <v>57221.58</v>
      </c>
      <c r="U58" s="9">
        <v>9155.45</v>
      </c>
      <c r="W58" s="9">
        <v>0</v>
      </c>
      <c r="Y58" s="9">
        <v>57221.58</v>
      </c>
      <c r="Z58" s="9"/>
      <c r="AB58" s="9">
        <v>66377.03</v>
      </c>
      <c r="AC58" s="9"/>
      <c r="AD58" s="9"/>
      <c r="AE58" s="9"/>
      <c r="AF58" s="9"/>
      <c r="AH58" s="9">
        <v>6866.59</v>
      </c>
      <c r="AI58" s="9"/>
      <c r="AJ58" s="9"/>
      <c r="AK58" s="9"/>
    </row>
    <row r="59" ht="15" customHeight="1" spans="2:37">
      <c r="B59" s="3" t="s">
        <v>2227</v>
      </c>
      <c r="D59" s="3" t="s">
        <v>5547</v>
      </c>
      <c r="E59" s="3"/>
      <c r="F59" s="3"/>
      <c r="G59" s="3"/>
      <c r="H59" s="3"/>
      <c r="J59" s="3" t="s">
        <v>5497</v>
      </c>
      <c r="K59" s="3"/>
      <c r="L59" s="3"/>
      <c r="M59" s="3" t="s">
        <v>5548</v>
      </c>
      <c r="N59" s="3"/>
      <c r="P59" s="7">
        <v>46192.4847222222</v>
      </c>
      <c r="Q59" s="7"/>
      <c r="S59" s="9">
        <v>208821.32</v>
      </c>
      <c r="U59" s="9">
        <v>33411.41</v>
      </c>
      <c r="W59" s="9">
        <v>0</v>
      </c>
      <c r="Y59" s="9">
        <v>208821.32</v>
      </c>
      <c r="Z59" s="9"/>
      <c r="AB59" s="9">
        <v>248428.13</v>
      </c>
      <c r="AC59" s="9"/>
      <c r="AD59" s="9"/>
      <c r="AE59" s="9"/>
      <c r="AF59" s="9"/>
      <c r="AH59" s="9">
        <v>0</v>
      </c>
      <c r="AI59" s="9"/>
      <c r="AJ59" s="9"/>
      <c r="AK59" s="9"/>
    </row>
    <row r="60" ht="15" customHeight="1" spans="2:37">
      <c r="B60" s="3" t="s">
        <v>2521</v>
      </c>
      <c r="D60" s="3" t="s">
        <v>2522</v>
      </c>
      <c r="E60" s="3"/>
      <c r="F60" s="3"/>
      <c r="G60" s="3"/>
      <c r="H60" s="3"/>
      <c r="J60" s="3" t="s">
        <v>5497</v>
      </c>
      <c r="K60" s="3"/>
      <c r="L60" s="3"/>
      <c r="M60" s="3" t="s">
        <v>5549</v>
      </c>
      <c r="N60" s="3"/>
      <c r="P60" s="7">
        <v>46192.5340277778</v>
      </c>
      <c r="Q60" s="7"/>
      <c r="S60" s="9">
        <v>1816101.3</v>
      </c>
      <c r="U60" s="9">
        <v>290576.21</v>
      </c>
      <c r="W60" s="9">
        <v>0</v>
      </c>
      <c r="Y60" s="9">
        <v>1816101.3</v>
      </c>
      <c r="Z60" s="9"/>
      <c r="AB60" s="9">
        <v>2161160.56</v>
      </c>
      <c r="AC60" s="9"/>
      <c r="AD60" s="9"/>
      <c r="AE60" s="9"/>
      <c r="AF60" s="9"/>
      <c r="AH60" s="9">
        <v>2161160.56</v>
      </c>
      <c r="AI60" s="9"/>
      <c r="AJ60" s="9"/>
      <c r="AK60" s="9"/>
    </row>
    <row r="61" ht="15" customHeight="1" spans="2:37">
      <c r="B61" s="3" t="s">
        <v>2826</v>
      </c>
      <c r="D61" s="3" t="s">
        <v>2827</v>
      </c>
      <c r="E61" s="3"/>
      <c r="F61" s="3"/>
      <c r="G61" s="3"/>
      <c r="H61" s="3"/>
      <c r="J61" s="3" t="s">
        <v>5497</v>
      </c>
      <c r="K61" s="3"/>
      <c r="L61" s="3"/>
      <c r="M61" s="3" t="s">
        <v>5550</v>
      </c>
      <c r="N61" s="3"/>
      <c r="P61" s="7">
        <v>46195.3722222222</v>
      </c>
      <c r="Q61" s="7"/>
      <c r="S61" s="9">
        <v>1963889.38</v>
      </c>
      <c r="U61" s="9">
        <v>314222.31</v>
      </c>
      <c r="W61" s="9">
        <v>0</v>
      </c>
      <c r="Y61" s="9">
        <v>1963889.38</v>
      </c>
      <c r="Z61" s="9"/>
      <c r="AB61" s="9">
        <v>2337033.89</v>
      </c>
      <c r="AC61" s="9"/>
      <c r="AD61" s="9"/>
      <c r="AE61" s="9"/>
      <c r="AF61" s="9"/>
      <c r="AH61" s="9">
        <v>7293.89</v>
      </c>
      <c r="AI61" s="9"/>
      <c r="AJ61" s="9"/>
      <c r="AK61" s="9"/>
    </row>
    <row r="62" ht="15" customHeight="1" spans="2:37">
      <c r="B62" s="3" t="s">
        <v>3584</v>
      </c>
      <c r="D62" s="3" t="s">
        <v>3585</v>
      </c>
      <c r="E62" s="3"/>
      <c r="F62" s="3"/>
      <c r="G62" s="3"/>
      <c r="H62" s="3"/>
      <c r="J62" s="3" t="s">
        <v>5497</v>
      </c>
      <c r="K62" s="3"/>
      <c r="L62" s="3"/>
      <c r="M62" s="3" t="s">
        <v>5551</v>
      </c>
      <c r="N62" s="3"/>
      <c r="P62" s="7">
        <v>46196.4736111111</v>
      </c>
      <c r="Q62" s="7"/>
      <c r="S62" s="9">
        <v>91163.52</v>
      </c>
      <c r="U62" s="9">
        <v>14586.17</v>
      </c>
      <c r="W62" s="9">
        <v>0</v>
      </c>
      <c r="Y62" s="9">
        <v>91163.52</v>
      </c>
      <c r="Z62" s="9"/>
      <c r="AB62" s="9">
        <v>105749.69</v>
      </c>
      <c r="AC62" s="9"/>
      <c r="AD62" s="9"/>
      <c r="AE62" s="9"/>
      <c r="AF62" s="9"/>
      <c r="AH62" s="9">
        <v>0</v>
      </c>
      <c r="AI62" s="9"/>
      <c r="AJ62" s="9"/>
      <c r="AK62" s="9"/>
    </row>
    <row r="63" ht="15" customHeight="1" spans="2:37">
      <c r="B63" s="3" t="s">
        <v>2380</v>
      </c>
      <c r="D63" s="3" t="s">
        <v>2381</v>
      </c>
      <c r="E63" s="3"/>
      <c r="F63" s="3"/>
      <c r="G63" s="3"/>
      <c r="H63" s="3"/>
      <c r="J63" s="3" t="s">
        <v>5497</v>
      </c>
      <c r="K63" s="3"/>
      <c r="L63" s="3"/>
      <c r="M63" s="3" t="s">
        <v>5552</v>
      </c>
      <c r="N63" s="3"/>
      <c r="P63" s="7">
        <v>46196.6034722222</v>
      </c>
      <c r="Q63" s="7"/>
      <c r="S63" s="9">
        <v>107963.26</v>
      </c>
      <c r="U63" s="9">
        <v>17274.13</v>
      </c>
      <c r="W63" s="9">
        <v>0</v>
      </c>
      <c r="Y63" s="9">
        <v>107963.26</v>
      </c>
      <c r="Z63" s="9"/>
      <c r="AB63" s="9">
        <v>128479.99</v>
      </c>
      <c r="AC63" s="9"/>
      <c r="AD63" s="9"/>
      <c r="AE63" s="9"/>
      <c r="AF63" s="9"/>
      <c r="AH63" s="9">
        <v>0</v>
      </c>
      <c r="AI63" s="9"/>
      <c r="AJ63" s="9"/>
      <c r="AK63" s="9"/>
    </row>
    <row r="64" ht="15" customHeight="1" spans="2:37">
      <c r="B64" s="3" t="s">
        <v>2380</v>
      </c>
      <c r="D64" s="3" t="s">
        <v>2381</v>
      </c>
      <c r="E64" s="3"/>
      <c r="F64" s="3"/>
      <c r="G64" s="3"/>
      <c r="H64" s="3"/>
      <c r="J64" s="3" t="s">
        <v>5497</v>
      </c>
      <c r="K64" s="3"/>
      <c r="L64" s="3"/>
      <c r="M64" s="3" t="s">
        <v>5553</v>
      </c>
      <c r="N64" s="3"/>
      <c r="P64" s="7">
        <v>46196.6173611111</v>
      </c>
      <c r="Q64" s="7"/>
      <c r="S64" s="9">
        <v>151445.03</v>
      </c>
      <c r="U64" s="9">
        <v>24231.2</v>
      </c>
      <c r="W64" s="9">
        <v>0</v>
      </c>
      <c r="Y64" s="9">
        <v>151445.03</v>
      </c>
      <c r="Z64" s="9"/>
      <c r="AB64" s="9">
        <v>180234.4</v>
      </c>
      <c r="AC64" s="9"/>
      <c r="AD64" s="9"/>
      <c r="AE64" s="9"/>
      <c r="AF64" s="9"/>
      <c r="AH64" s="9">
        <v>0</v>
      </c>
      <c r="AI64" s="9"/>
      <c r="AJ64" s="9"/>
      <c r="AK64" s="9"/>
    </row>
    <row r="65" ht="15" customHeight="1" spans="2:37">
      <c r="B65" s="3" t="s">
        <v>2380</v>
      </c>
      <c r="D65" s="3" t="s">
        <v>2381</v>
      </c>
      <c r="E65" s="3"/>
      <c r="F65" s="3"/>
      <c r="G65" s="3"/>
      <c r="H65" s="3"/>
      <c r="J65" s="3" t="s">
        <v>5497</v>
      </c>
      <c r="K65" s="3"/>
      <c r="L65" s="3"/>
      <c r="M65" s="3" t="s">
        <v>5554</v>
      </c>
      <c r="N65" s="3"/>
      <c r="P65" s="7">
        <v>46196.6201388889</v>
      </c>
      <c r="Q65" s="7"/>
      <c r="S65" s="9">
        <v>120439.57</v>
      </c>
      <c r="U65" s="9">
        <v>19270.33</v>
      </c>
      <c r="W65" s="9">
        <v>0</v>
      </c>
      <c r="Y65" s="9">
        <v>120439.57</v>
      </c>
      <c r="Z65" s="9"/>
      <c r="AB65" s="9">
        <v>143323.09</v>
      </c>
      <c r="AC65" s="9"/>
      <c r="AD65" s="9"/>
      <c r="AE65" s="9"/>
      <c r="AF65" s="9"/>
      <c r="AH65" s="9">
        <v>0</v>
      </c>
      <c r="AI65" s="9"/>
      <c r="AJ65" s="9"/>
      <c r="AK65" s="9"/>
    </row>
    <row r="66" ht="15" customHeight="1" spans="2:37">
      <c r="B66" s="3" t="s">
        <v>2380</v>
      </c>
      <c r="D66" s="3" t="s">
        <v>2381</v>
      </c>
      <c r="E66" s="3"/>
      <c r="F66" s="3"/>
      <c r="G66" s="3"/>
      <c r="H66" s="3"/>
      <c r="J66" s="3" t="s">
        <v>5497</v>
      </c>
      <c r="K66" s="3"/>
      <c r="L66" s="3"/>
      <c r="M66" s="3" t="s">
        <v>5555</v>
      </c>
      <c r="N66" s="3"/>
      <c r="P66" s="7">
        <v>46196.6215277778</v>
      </c>
      <c r="Q66" s="7"/>
      <c r="S66" s="9">
        <v>136374.66</v>
      </c>
      <c r="U66" s="9">
        <v>21819.95</v>
      </c>
      <c r="W66" s="9">
        <v>0</v>
      </c>
      <c r="Y66" s="9">
        <v>136374.66</v>
      </c>
      <c r="Z66" s="9"/>
      <c r="AB66" s="9">
        <v>162289.56</v>
      </c>
      <c r="AC66" s="9"/>
      <c r="AD66" s="9"/>
      <c r="AE66" s="9"/>
      <c r="AF66" s="9"/>
      <c r="AH66" s="9">
        <v>0</v>
      </c>
      <c r="AI66" s="9"/>
      <c r="AJ66" s="9"/>
      <c r="AK66" s="9"/>
    </row>
    <row r="67" ht="15" customHeight="1" spans="2:37">
      <c r="B67" s="3" t="s">
        <v>2749</v>
      </c>
      <c r="D67" s="3" t="s">
        <v>5556</v>
      </c>
      <c r="E67" s="3"/>
      <c r="F67" s="3"/>
      <c r="G67" s="3"/>
      <c r="H67" s="3"/>
      <c r="J67" s="3" t="s">
        <v>5497</v>
      </c>
      <c r="K67" s="3"/>
      <c r="L67" s="3"/>
      <c r="M67" s="3" t="s">
        <v>5557</v>
      </c>
      <c r="N67" s="3"/>
      <c r="P67" s="7">
        <v>46203.4923611111</v>
      </c>
      <c r="Q67" s="7"/>
      <c r="S67" s="9">
        <v>65417.1</v>
      </c>
      <c r="U67" s="9">
        <v>10466.74</v>
      </c>
      <c r="W67" s="9">
        <v>0</v>
      </c>
      <c r="Y67" s="9">
        <v>65417.1</v>
      </c>
      <c r="Z67" s="9"/>
      <c r="AB67" s="9">
        <v>77846.35</v>
      </c>
      <c r="AC67" s="9"/>
      <c r="AD67" s="9"/>
      <c r="AE67" s="9"/>
      <c r="AF67" s="9"/>
      <c r="AH67" s="9">
        <v>7850.06</v>
      </c>
      <c r="AI67" s="9"/>
      <c r="AJ67" s="9"/>
      <c r="AK67" s="9"/>
    </row>
    <row r="68" ht="15" customHeight="1" spans="2:37">
      <c r="B68" s="3" t="s">
        <v>395</v>
      </c>
      <c r="D68" s="3" t="s">
        <v>396</v>
      </c>
      <c r="E68" s="3"/>
      <c r="F68" s="3"/>
      <c r="G68" s="3"/>
      <c r="H68" s="3"/>
      <c r="J68" s="3" t="s">
        <v>5497</v>
      </c>
      <c r="K68" s="3"/>
      <c r="L68" s="3"/>
      <c r="M68" s="3" t="s">
        <v>5558</v>
      </c>
      <c r="N68" s="3"/>
      <c r="P68" s="7">
        <v>46203.4951388889</v>
      </c>
      <c r="Q68" s="7"/>
      <c r="S68" s="9">
        <v>236834.81</v>
      </c>
      <c r="U68" s="9">
        <v>37893.57</v>
      </c>
      <c r="W68" s="9">
        <v>0</v>
      </c>
      <c r="Y68" s="9">
        <v>236834.81</v>
      </c>
      <c r="Z68" s="9"/>
      <c r="AB68" s="9">
        <v>274728.38</v>
      </c>
      <c r="AC68" s="9"/>
      <c r="AD68" s="9"/>
      <c r="AE68" s="9"/>
      <c r="AF68" s="9"/>
      <c r="AH68" s="9">
        <v>0</v>
      </c>
      <c r="AI68" s="9"/>
      <c r="AJ68" s="9"/>
      <c r="AK68" s="9"/>
    </row>
    <row r="69" ht="15" customHeight="1" spans="2:37">
      <c r="B69" s="3" t="s">
        <v>395</v>
      </c>
      <c r="D69" s="3" t="s">
        <v>396</v>
      </c>
      <c r="E69" s="3"/>
      <c r="F69" s="3"/>
      <c r="G69" s="3"/>
      <c r="H69" s="3"/>
      <c r="J69" s="3" t="s">
        <v>5497</v>
      </c>
      <c r="K69" s="3"/>
      <c r="L69" s="3"/>
      <c r="M69" s="3" t="s">
        <v>5559</v>
      </c>
      <c r="N69" s="3"/>
      <c r="P69" s="7">
        <v>46203.5736111111</v>
      </c>
      <c r="Q69" s="7"/>
      <c r="S69" s="9">
        <v>75204.74</v>
      </c>
      <c r="U69" s="9">
        <v>12032.75</v>
      </c>
      <c r="W69" s="9">
        <v>0</v>
      </c>
      <c r="Y69" s="9">
        <v>75204.74</v>
      </c>
      <c r="Z69" s="9"/>
      <c r="AB69" s="9">
        <v>87237.49</v>
      </c>
      <c r="AC69" s="9"/>
      <c r="AD69" s="9"/>
      <c r="AE69" s="9"/>
      <c r="AF69" s="9"/>
      <c r="AH69" s="9">
        <v>0</v>
      </c>
      <c r="AI69" s="9"/>
      <c r="AJ69" s="9"/>
      <c r="AK69" s="9"/>
    </row>
    <row r="70" ht="6" customHeight="1"/>
    <row r="71" ht="13.5" customHeight="1" spans="14:37">
      <c r="N71" s="14" t="s">
        <v>5560</v>
      </c>
      <c r="O71" s="14"/>
      <c r="P71" s="14"/>
      <c r="Q71" s="14"/>
      <c r="S71" s="15">
        <v>17572400.81</v>
      </c>
      <c r="U71" s="15">
        <v>2630423.65</v>
      </c>
      <c r="W71" s="15">
        <v>0</v>
      </c>
      <c r="Y71" s="15">
        <v>16440147.37</v>
      </c>
      <c r="Z71" s="15"/>
      <c r="AB71" s="15">
        <v>19283443.1</v>
      </c>
      <c r="AC71" s="15"/>
      <c r="AD71" s="15"/>
      <c r="AE71" s="15"/>
      <c r="AF71" s="15"/>
      <c r="AH71" s="15">
        <v>2420489.63</v>
      </c>
      <c r="AI71" s="15"/>
      <c r="AJ71" s="15"/>
      <c r="AK71" s="15"/>
    </row>
    <row r="72" ht="5.25" customHeight="1"/>
    <row r="73" ht="87.75" customHeight="1"/>
  </sheetData>
  <mergeCells count="417">
    <mergeCell ref="F3:J3"/>
    <mergeCell ref="AD3:AE3"/>
    <mergeCell ref="AI3:AJ3"/>
    <mergeCell ref="F7:AI7"/>
    <mergeCell ref="Y12:Z12"/>
    <mergeCell ref="AB12:AF12"/>
    <mergeCell ref="AH12:AK12"/>
    <mergeCell ref="D14:H14"/>
    <mergeCell ref="J14:L14"/>
    <mergeCell ref="M14:N14"/>
    <mergeCell ref="P14:Q14"/>
    <mergeCell ref="Y14:Z14"/>
    <mergeCell ref="AB14:AF14"/>
    <mergeCell ref="AH14:AK14"/>
    <mergeCell ref="D15:H15"/>
    <mergeCell ref="J15:L15"/>
    <mergeCell ref="M15:N15"/>
    <mergeCell ref="P15:Q15"/>
    <mergeCell ref="Y15:Z15"/>
    <mergeCell ref="AB15:AF15"/>
    <mergeCell ref="AH15:AK15"/>
    <mergeCell ref="D16:H16"/>
    <mergeCell ref="J16:L16"/>
    <mergeCell ref="M16:N16"/>
    <mergeCell ref="P16:Q16"/>
    <mergeCell ref="Y16:Z16"/>
    <mergeCell ref="AB16:AF16"/>
    <mergeCell ref="AH16:AK16"/>
    <mergeCell ref="D17:H17"/>
    <mergeCell ref="J17:L17"/>
    <mergeCell ref="M17:N17"/>
    <mergeCell ref="P17:Q17"/>
    <mergeCell ref="Y17:Z17"/>
    <mergeCell ref="AB17:AF17"/>
    <mergeCell ref="AH17:AK17"/>
    <mergeCell ref="D18:H18"/>
    <mergeCell ref="J18:L18"/>
    <mergeCell ref="M18:N18"/>
    <mergeCell ref="P18:Q18"/>
    <mergeCell ref="Y18:Z18"/>
    <mergeCell ref="AB18:AF18"/>
    <mergeCell ref="AH18:AK18"/>
    <mergeCell ref="D19:H19"/>
    <mergeCell ref="J19:L19"/>
    <mergeCell ref="M19:N19"/>
    <mergeCell ref="P19:Q19"/>
    <mergeCell ref="Y19:Z19"/>
    <mergeCell ref="AB19:AF19"/>
    <mergeCell ref="AH19:AK19"/>
    <mergeCell ref="D20:H20"/>
    <mergeCell ref="J20:L20"/>
    <mergeCell ref="M20:N20"/>
    <mergeCell ref="P20:Q20"/>
    <mergeCell ref="Y20:Z20"/>
    <mergeCell ref="AB20:AF20"/>
    <mergeCell ref="AH20:AK20"/>
    <mergeCell ref="D21:H21"/>
    <mergeCell ref="J21:L21"/>
    <mergeCell ref="M21:N21"/>
    <mergeCell ref="P21:Q21"/>
    <mergeCell ref="Y21:Z21"/>
    <mergeCell ref="AB21:AF21"/>
    <mergeCell ref="AH21:AK21"/>
    <mergeCell ref="D22:H22"/>
    <mergeCell ref="J22:L22"/>
    <mergeCell ref="M22:N22"/>
    <mergeCell ref="P22:Q22"/>
    <mergeCell ref="Y22:Z22"/>
    <mergeCell ref="AB22:AF22"/>
    <mergeCell ref="AH22:AK22"/>
    <mergeCell ref="D23:H23"/>
    <mergeCell ref="J23:L23"/>
    <mergeCell ref="M23:N23"/>
    <mergeCell ref="P23:Q23"/>
    <mergeCell ref="Y23:Z23"/>
    <mergeCell ref="AB23:AF23"/>
    <mergeCell ref="AH23:AK23"/>
    <mergeCell ref="D24:H24"/>
    <mergeCell ref="J24:L24"/>
    <mergeCell ref="M24:N24"/>
    <mergeCell ref="P24:Q24"/>
    <mergeCell ref="Y24:Z24"/>
    <mergeCell ref="AB24:AF24"/>
    <mergeCell ref="AH24:AK24"/>
    <mergeCell ref="D25:H25"/>
    <mergeCell ref="J25:L25"/>
    <mergeCell ref="M25:N25"/>
    <mergeCell ref="P25:Q25"/>
    <mergeCell ref="Y25:Z25"/>
    <mergeCell ref="AB25:AF25"/>
    <mergeCell ref="AH25:AK25"/>
    <mergeCell ref="D26:H26"/>
    <mergeCell ref="J26:L26"/>
    <mergeCell ref="M26:N26"/>
    <mergeCell ref="P26:Q26"/>
    <mergeCell ref="Y26:Z26"/>
    <mergeCell ref="AB26:AF26"/>
    <mergeCell ref="AH26:AK26"/>
    <mergeCell ref="D27:H27"/>
    <mergeCell ref="J27:L27"/>
    <mergeCell ref="M27:N27"/>
    <mergeCell ref="P27:Q27"/>
    <mergeCell ref="Y27:Z27"/>
    <mergeCell ref="AB27:AF27"/>
    <mergeCell ref="AH27:AK27"/>
    <mergeCell ref="D28:H28"/>
    <mergeCell ref="J28:L28"/>
    <mergeCell ref="M28:N28"/>
    <mergeCell ref="P28:Q28"/>
    <mergeCell ref="Y28:Z28"/>
    <mergeCell ref="AB28:AF28"/>
    <mergeCell ref="AH28:AK28"/>
    <mergeCell ref="D29:H29"/>
    <mergeCell ref="J29:L29"/>
    <mergeCell ref="M29:N29"/>
    <mergeCell ref="P29:Q29"/>
    <mergeCell ref="Y29:Z29"/>
    <mergeCell ref="AB29:AF29"/>
    <mergeCell ref="AH29:AK29"/>
    <mergeCell ref="D30:H30"/>
    <mergeCell ref="J30:L30"/>
    <mergeCell ref="M30:N30"/>
    <mergeCell ref="P30:Q30"/>
    <mergeCell ref="Y30:Z30"/>
    <mergeCell ref="AB30:AF30"/>
    <mergeCell ref="AH30:AK30"/>
    <mergeCell ref="D31:H31"/>
    <mergeCell ref="J31:L31"/>
    <mergeCell ref="M31:N31"/>
    <mergeCell ref="P31:Q31"/>
    <mergeCell ref="Y31:Z31"/>
    <mergeCell ref="AB31:AF31"/>
    <mergeCell ref="AH31:AK31"/>
    <mergeCell ref="D32:H32"/>
    <mergeCell ref="J32:L32"/>
    <mergeCell ref="M32:N32"/>
    <mergeCell ref="P32:Q32"/>
    <mergeCell ref="Y32:Z32"/>
    <mergeCell ref="AB32:AF32"/>
    <mergeCell ref="AH32:AK32"/>
    <mergeCell ref="D33:H33"/>
    <mergeCell ref="J33:L33"/>
    <mergeCell ref="M33:N33"/>
    <mergeCell ref="P33:Q33"/>
    <mergeCell ref="Y33:Z33"/>
    <mergeCell ref="AB33:AF33"/>
    <mergeCell ref="AH33:AK33"/>
    <mergeCell ref="D34:H34"/>
    <mergeCell ref="J34:L34"/>
    <mergeCell ref="M34:N34"/>
    <mergeCell ref="P34:Q34"/>
    <mergeCell ref="Y34:Z34"/>
    <mergeCell ref="AB34:AF34"/>
    <mergeCell ref="AH34:AK34"/>
    <mergeCell ref="D35:H35"/>
    <mergeCell ref="J35:L35"/>
    <mergeCell ref="M35:N35"/>
    <mergeCell ref="P35:Q35"/>
    <mergeCell ref="Y35:Z35"/>
    <mergeCell ref="AB35:AF35"/>
    <mergeCell ref="AH35:AK35"/>
    <mergeCell ref="D36:H36"/>
    <mergeCell ref="J36:L36"/>
    <mergeCell ref="M36:N36"/>
    <mergeCell ref="P36:Q36"/>
    <mergeCell ref="Y36:Z36"/>
    <mergeCell ref="AB36:AF36"/>
    <mergeCell ref="AH36:AK36"/>
    <mergeCell ref="D37:H37"/>
    <mergeCell ref="J37:L37"/>
    <mergeCell ref="M37:N37"/>
    <mergeCell ref="P37:Q37"/>
    <mergeCell ref="Y37:Z37"/>
    <mergeCell ref="AB37:AF37"/>
    <mergeCell ref="AH37:AK37"/>
    <mergeCell ref="D38:H38"/>
    <mergeCell ref="J38:L38"/>
    <mergeCell ref="M38:N38"/>
    <mergeCell ref="P38:Q38"/>
    <mergeCell ref="Y38:Z38"/>
    <mergeCell ref="AB38:AF38"/>
    <mergeCell ref="AH38:AK38"/>
    <mergeCell ref="D39:H39"/>
    <mergeCell ref="J39:L39"/>
    <mergeCell ref="M39:N39"/>
    <mergeCell ref="P39:Q39"/>
    <mergeCell ref="Y39:Z39"/>
    <mergeCell ref="AB39:AF39"/>
    <mergeCell ref="AH39:AK39"/>
    <mergeCell ref="D40:H40"/>
    <mergeCell ref="J40:L40"/>
    <mergeCell ref="M40:N40"/>
    <mergeCell ref="P40:Q40"/>
    <mergeCell ref="Y40:Z40"/>
    <mergeCell ref="AB40:AF40"/>
    <mergeCell ref="AH40:AK40"/>
    <mergeCell ref="D41:H41"/>
    <mergeCell ref="J41:L41"/>
    <mergeCell ref="M41:N41"/>
    <mergeCell ref="P41:Q41"/>
    <mergeCell ref="Y41:Z41"/>
    <mergeCell ref="AB41:AF41"/>
    <mergeCell ref="AH41:AK41"/>
    <mergeCell ref="D42:H42"/>
    <mergeCell ref="J42:L42"/>
    <mergeCell ref="M42:N42"/>
    <mergeCell ref="P42:Q42"/>
    <mergeCell ref="Y42:Z42"/>
    <mergeCell ref="AB42:AF42"/>
    <mergeCell ref="AH42:AK42"/>
    <mergeCell ref="D43:H43"/>
    <mergeCell ref="J43:L43"/>
    <mergeCell ref="M43:N43"/>
    <mergeCell ref="P43:Q43"/>
    <mergeCell ref="Y43:Z43"/>
    <mergeCell ref="AB43:AF43"/>
    <mergeCell ref="AH43:AK43"/>
    <mergeCell ref="D44:H44"/>
    <mergeCell ref="J44:L44"/>
    <mergeCell ref="M44:N44"/>
    <mergeCell ref="P44:Q44"/>
    <mergeCell ref="Y44:Z44"/>
    <mergeCell ref="AB44:AF44"/>
    <mergeCell ref="AH44:AK44"/>
    <mergeCell ref="D45:H45"/>
    <mergeCell ref="J45:L45"/>
    <mergeCell ref="M45:N45"/>
    <mergeCell ref="P45:Q45"/>
    <mergeCell ref="Y45:Z45"/>
    <mergeCell ref="AB45:AF45"/>
    <mergeCell ref="AH45:AK45"/>
    <mergeCell ref="D46:H46"/>
    <mergeCell ref="J46:L46"/>
    <mergeCell ref="M46:N46"/>
    <mergeCell ref="P46:Q46"/>
    <mergeCell ref="Y46:Z46"/>
    <mergeCell ref="AB46:AF46"/>
    <mergeCell ref="AH46:AK46"/>
    <mergeCell ref="D47:H47"/>
    <mergeCell ref="J47:L47"/>
    <mergeCell ref="M47:N47"/>
    <mergeCell ref="P47:Q47"/>
    <mergeCell ref="Y47:Z47"/>
    <mergeCell ref="AB47:AF47"/>
    <mergeCell ref="AH47:AK47"/>
    <mergeCell ref="D48:H48"/>
    <mergeCell ref="J48:L48"/>
    <mergeCell ref="M48:N48"/>
    <mergeCell ref="P48:Q48"/>
    <mergeCell ref="Y48:Z48"/>
    <mergeCell ref="AB48:AF48"/>
    <mergeCell ref="AH48:AK48"/>
    <mergeCell ref="D49:H49"/>
    <mergeCell ref="J49:L49"/>
    <mergeCell ref="M49:N49"/>
    <mergeCell ref="P49:Q49"/>
    <mergeCell ref="Y49:Z49"/>
    <mergeCell ref="AB49:AF49"/>
    <mergeCell ref="AH49:AK49"/>
    <mergeCell ref="D50:H50"/>
    <mergeCell ref="J50:L50"/>
    <mergeCell ref="M50:N50"/>
    <mergeCell ref="P50:Q50"/>
    <mergeCell ref="Y50:Z50"/>
    <mergeCell ref="AB50:AF50"/>
    <mergeCell ref="AH50:AK50"/>
    <mergeCell ref="D51:H51"/>
    <mergeCell ref="J51:L51"/>
    <mergeCell ref="M51:N51"/>
    <mergeCell ref="P51:Q51"/>
    <mergeCell ref="Y51:Z51"/>
    <mergeCell ref="AB51:AF51"/>
    <mergeCell ref="AH51:AK51"/>
    <mergeCell ref="D52:H52"/>
    <mergeCell ref="J52:L52"/>
    <mergeCell ref="M52:N52"/>
    <mergeCell ref="P52:Q52"/>
    <mergeCell ref="Y52:Z52"/>
    <mergeCell ref="AB52:AF52"/>
    <mergeCell ref="AH52:AK52"/>
    <mergeCell ref="D53:H53"/>
    <mergeCell ref="J53:L53"/>
    <mergeCell ref="M53:N53"/>
    <mergeCell ref="P53:Q53"/>
    <mergeCell ref="Y53:Z53"/>
    <mergeCell ref="AB53:AF53"/>
    <mergeCell ref="AH53:AK53"/>
    <mergeCell ref="D54:H54"/>
    <mergeCell ref="J54:L54"/>
    <mergeCell ref="M54:N54"/>
    <mergeCell ref="P54:Q54"/>
    <mergeCell ref="Y54:Z54"/>
    <mergeCell ref="AB54:AF54"/>
    <mergeCell ref="AH54:AK54"/>
    <mergeCell ref="D55:H55"/>
    <mergeCell ref="J55:L55"/>
    <mergeCell ref="M55:N55"/>
    <mergeCell ref="P55:Q55"/>
    <mergeCell ref="Y55:Z55"/>
    <mergeCell ref="AB55:AF55"/>
    <mergeCell ref="AH55:AK55"/>
    <mergeCell ref="D56:H56"/>
    <mergeCell ref="J56:L56"/>
    <mergeCell ref="M56:N56"/>
    <mergeCell ref="P56:Q56"/>
    <mergeCell ref="Y56:Z56"/>
    <mergeCell ref="AB56:AF56"/>
    <mergeCell ref="AH56:AK56"/>
    <mergeCell ref="D57:H57"/>
    <mergeCell ref="J57:L57"/>
    <mergeCell ref="M57:N57"/>
    <mergeCell ref="P57:Q57"/>
    <mergeCell ref="Y57:Z57"/>
    <mergeCell ref="AB57:AF57"/>
    <mergeCell ref="AH57:AK57"/>
    <mergeCell ref="D58:H58"/>
    <mergeCell ref="J58:L58"/>
    <mergeCell ref="M58:N58"/>
    <mergeCell ref="P58:Q58"/>
    <mergeCell ref="Y58:Z58"/>
    <mergeCell ref="AB58:AF58"/>
    <mergeCell ref="AH58:AK58"/>
    <mergeCell ref="D59:H59"/>
    <mergeCell ref="J59:L59"/>
    <mergeCell ref="M59:N59"/>
    <mergeCell ref="P59:Q59"/>
    <mergeCell ref="Y59:Z59"/>
    <mergeCell ref="AB59:AF59"/>
    <mergeCell ref="AH59:AK59"/>
    <mergeCell ref="D60:H60"/>
    <mergeCell ref="J60:L60"/>
    <mergeCell ref="M60:N60"/>
    <mergeCell ref="P60:Q60"/>
    <mergeCell ref="Y60:Z60"/>
    <mergeCell ref="AB60:AF60"/>
    <mergeCell ref="AH60:AK60"/>
    <mergeCell ref="D61:H61"/>
    <mergeCell ref="J61:L61"/>
    <mergeCell ref="M61:N61"/>
    <mergeCell ref="P61:Q61"/>
    <mergeCell ref="Y61:Z61"/>
    <mergeCell ref="AB61:AF61"/>
    <mergeCell ref="AH61:AK61"/>
    <mergeCell ref="D62:H62"/>
    <mergeCell ref="J62:L62"/>
    <mergeCell ref="M62:N62"/>
    <mergeCell ref="P62:Q62"/>
    <mergeCell ref="Y62:Z62"/>
    <mergeCell ref="AB62:AF62"/>
    <mergeCell ref="AH62:AK62"/>
    <mergeCell ref="D63:H63"/>
    <mergeCell ref="J63:L63"/>
    <mergeCell ref="M63:N63"/>
    <mergeCell ref="P63:Q63"/>
    <mergeCell ref="Y63:Z63"/>
    <mergeCell ref="AB63:AF63"/>
    <mergeCell ref="AH63:AK63"/>
    <mergeCell ref="D64:H64"/>
    <mergeCell ref="J64:L64"/>
    <mergeCell ref="M64:N64"/>
    <mergeCell ref="P64:Q64"/>
    <mergeCell ref="Y64:Z64"/>
    <mergeCell ref="AB64:AF64"/>
    <mergeCell ref="AH64:AK64"/>
    <mergeCell ref="D65:H65"/>
    <mergeCell ref="J65:L65"/>
    <mergeCell ref="M65:N65"/>
    <mergeCell ref="P65:Q65"/>
    <mergeCell ref="Y65:Z65"/>
    <mergeCell ref="AB65:AF65"/>
    <mergeCell ref="AH65:AK65"/>
    <mergeCell ref="D66:H66"/>
    <mergeCell ref="J66:L66"/>
    <mergeCell ref="M66:N66"/>
    <mergeCell ref="P66:Q66"/>
    <mergeCell ref="Y66:Z66"/>
    <mergeCell ref="AB66:AF66"/>
    <mergeCell ref="AH66:AK66"/>
    <mergeCell ref="D67:H67"/>
    <mergeCell ref="J67:L67"/>
    <mergeCell ref="M67:N67"/>
    <mergeCell ref="P67:Q67"/>
    <mergeCell ref="Y67:Z67"/>
    <mergeCell ref="AB67:AF67"/>
    <mergeCell ref="AH67:AK67"/>
    <mergeCell ref="D68:H68"/>
    <mergeCell ref="J68:L68"/>
    <mergeCell ref="M68:N68"/>
    <mergeCell ref="P68:Q68"/>
    <mergeCell ref="Y68:Z68"/>
    <mergeCell ref="AB68:AF68"/>
    <mergeCell ref="AH68:AK68"/>
    <mergeCell ref="D69:H69"/>
    <mergeCell ref="J69:L69"/>
    <mergeCell ref="M69:N69"/>
    <mergeCell ref="P69:Q69"/>
    <mergeCell ref="Y69:Z69"/>
    <mergeCell ref="AB69:AF69"/>
    <mergeCell ref="AH69:AK69"/>
    <mergeCell ref="N71:Q71"/>
    <mergeCell ref="Y71:Z71"/>
    <mergeCell ref="AB71:AF71"/>
    <mergeCell ref="AH71:AK71"/>
    <mergeCell ref="B12:B13"/>
    <mergeCell ref="F5:F6"/>
    <mergeCell ref="G5:G6"/>
    <mergeCell ref="P12:P13"/>
    <mergeCell ref="Z1:Z2"/>
    <mergeCell ref="Z5:Z6"/>
    <mergeCell ref="F8:AI9"/>
    <mergeCell ref="D12:H13"/>
    <mergeCell ref="J12:K13"/>
    <mergeCell ref="M12:N13"/>
    <mergeCell ref="AC5:AF6"/>
    <mergeCell ref="AG5:AL6"/>
    <mergeCell ref="F1:G2"/>
    <mergeCell ref="AE1:AJ2"/>
  </mergeCells>
  <pageMargins left="0.39375" right="0.39375" top="0.39375" bottom="0.39375" header="0" footer="0"/>
  <pageSetup paperSize="9" fitToWidth="0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Tablas</vt:lpstr>
      <vt:lpstr>Cobros</vt:lpstr>
      <vt:lpstr>Pago de Comisiones</vt:lpstr>
      <vt:lpstr>Facturas Papel</vt:lpstr>
      <vt:lpstr>FACTURA FISCAL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10SUPRICOM021</dc:creator>
  <cp:lastModifiedBy>aecas</cp:lastModifiedBy>
  <dcterms:created xsi:type="dcterms:W3CDTF">2025-04-11T14:59:00Z</dcterms:created>
  <cp:lastPrinted>2026-01-13T14:24:00Z</cp:lastPrinted>
  <dcterms:modified xsi:type="dcterms:W3CDTF">2026-08-12T22:19:07Z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