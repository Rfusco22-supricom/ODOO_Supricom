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ricom\Desktop\"/>
    </mc:Choice>
  </mc:AlternateContent>
  <xr:revisionPtr revIDLastSave="0" documentId="8_{7B751180-2DB0-4D26-BD54-4AE95C2FB57C}" xr6:coauthVersionLast="47" xr6:coauthVersionMax="47" xr10:uidLastSave="{00000000-0000-0000-0000-000000000000}"/>
  <bookViews>
    <workbookView xWindow="-108" yWindow="-108" windowWidth="23256" windowHeight="12456" xr2:uid="{75AC5CD0-3E5F-4734-8234-5739BB3AD2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1" l="1"/>
  <c r="B18" i="1"/>
  <c r="B17" i="1"/>
  <c r="B16" i="1"/>
  <c r="B15" i="1"/>
  <c r="B20" i="1" s="1"/>
  <c r="C20" i="1" s="1"/>
  <c r="E24" i="1" l="1"/>
</calcChain>
</file>

<file path=xl/sharedStrings.xml><?xml version="1.0" encoding="utf-8"?>
<sst xmlns="http://schemas.openxmlformats.org/spreadsheetml/2006/main" count="21" uniqueCount="21">
  <si>
    <t>PRIMERA PARTIDA DE XIII MES AÑO 2026</t>
  </si>
  <si>
    <t>Nombre:  Yulixa Caballero</t>
  </si>
  <si>
    <t>Cedula: 4-725-785</t>
  </si>
  <si>
    <t>Sueldo Mensual:</t>
  </si>
  <si>
    <t>B/. 977.50</t>
  </si>
  <si>
    <t>Fecha de Ingreso:    19/03/2018</t>
  </si>
  <si>
    <r>
      <rPr>
        <b/>
        <sz val="12"/>
        <rFont val="Arial"/>
        <family val="2"/>
      </rPr>
      <t>Cargo:</t>
    </r>
    <r>
      <rPr>
        <sz val="12"/>
        <rFont val="Arial"/>
        <family val="2"/>
      </rPr>
      <t xml:space="preserve">  Ejecutivo de Ventas</t>
    </r>
  </si>
  <si>
    <t>Sueldos + comisiones devengados</t>
  </si>
  <si>
    <t>Montos $</t>
  </si>
  <si>
    <t>XIII MES</t>
  </si>
  <si>
    <t>Deducciones</t>
  </si>
  <si>
    <t>Saldo</t>
  </si>
  <si>
    <t>2da quincena diciembre 2025</t>
  </si>
  <si>
    <t>Mes enero</t>
  </si>
  <si>
    <t>Mes febrero</t>
  </si>
  <si>
    <t>Mes marzo</t>
  </si>
  <si>
    <t xml:space="preserve">1ra quincena abril </t>
  </si>
  <si>
    <t>Seguro Social</t>
  </si>
  <si>
    <t>ISR</t>
  </si>
  <si>
    <t>TOTAL</t>
  </si>
  <si>
    <t>Recibi Conforme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</si>
</sst>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_-* #,##0.00\ _€_-;\-* #,##0.00\ _€_-;_-* &quot;-&quot;??\ _€_-;_-@_-"/>
    <numFmt numFmtId="166" formatCode="#,##0.00_ ;\-#,##0.00\ "/>
    <numFmt numFmtId="167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theme="1"/>
      <name val="Arial 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5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4" fillId="0" borderId="0" xfId="1" applyFont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49" fontId="4" fillId="0" borderId="0" xfId="0" applyNumberFormat="1" applyFont="1" applyAlignment="1">
      <alignment horizontal="center"/>
    </xf>
    <xf numFmtId="2" fontId="6" fillId="0" borderId="0" xfId="0" applyNumberFormat="1" applyFont="1"/>
    <xf numFmtId="49" fontId="6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49" fontId="6" fillId="0" borderId="0" xfId="0" applyNumberFormat="1" applyFont="1"/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7" fillId="0" borderId="0" xfId="0" applyFont="1"/>
    <xf numFmtId="4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right"/>
    </xf>
    <xf numFmtId="166" fontId="6" fillId="0" borderId="0" xfId="2" applyNumberFormat="1" applyFont="1" applyBorder="1" applyAlignment="1">
      <alignment horizontal="right"/>
    </xf>
    <xf numFmtId="4" fontId="8" fillId="0" borderId="5" xfId="0" applyNumberFormat="1" applyFont="1" applyBorder="1" applyAlignment="1">
      <alignment horizontal="center"/>
    </xf>
    <xf numFmtId="4" fontId="6" fillId="0" borderId="0" xfId="2" applyNumberFormat="1" applyFont="1" applyBorder="1" applyAlignment="1">
      <alignment horizontal="center" vertical="top"/>
    </xf>
    <xf numFmtId="4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right"/>
    </xf>
    <xf numFmtId="0" fontId="6" fillId="0" borderId="5" xfId="0" applyFont="1" applyBorder="1"/>
    <xf numFmtId="4" fontId="6" fillId="0" borderId="5" xfId="0" applyNumberFormat="1" applyFont="1" applyBorder="1"/>
    <xf numFmtId="4" fontId="4" fillId="0" borderId="5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right"/>
    </xf>
    <xf numFmtId="4" fontId="6" fillId="0" borderId="0" xfId="0" applyNumberFormat="1" applyFont="1"/>
    <xf numFmtId="4" fontId="4" fillId="0" borderId="0" xfId="0" applyNumberFormat="1" applyFont="1"/>
    <xf numFmtId="0" fontId="2" fillId="0" borderId="6" xfId="0" applyFont="1" applyBorder="1"/>
  </cellXfs>
  <cellStyles count="3">
    <cellStyle name="Millares 3" xfId="2" xr:uid="{E73169A8-628F-40C5-A8AD-FAF9C5DE1EDF}"/>
    <cellStyle name="Normal" xfId="0" builtinId="0"/>
    <cellStyle name="Normal 2" xfId="1" xr:uid="{574CFE81-A3C9-4FC3-84EC-27801A072A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28574</xdr:colOff>
      <xdr:row>0</xdr:row>
      <xdr:rowOff>171449</xdr:rowOff>
    </xdr:from>
    <xdr:ext cx="2809875" cy="619125"/>
    <xdr:pic>
      <xdr:nvPicPr>
        <xdr:cNvPr id="2" name="Imagen 2">
          <a:extLst>
            <a:ext uri="{FF2B5EF4-FFF2-40B4-BE49-F238E27FC236}">
              <a16:creationId xmlns:a16="http://schemas.microsoft.com/office/drawing/2014/main" id="{C2C544FB-CEBC-4AA3-87C8-9D1F41177D3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71449"/>
          <a:ext cx="2809875" cy="619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F178-00C1-4743-B877-6BB8A63A5435}">
  <dimension ref="A1:E33"/>
  <sheetViews>
    <sheetView tabSelected="1" topLeftCell="A10" workbookViewId="0">
      <selection activeCell="F17" sqref="F17"/>
    </sheetView>
  </sheetViews>
  <sheetFormatPr baseColWidth="10" defaultRowHeight="14.4"/>
  <cols>
    <col min="1" max="1" width="29.88671875" bestFit="1" customWidth="1"/>
    <col min="4" max="4" width="34.109375" bestFit="1" customWidth="1"/>
  </cols>
  <sheetData>
    <row r="1" spans="1:5" ht="15.6">
      <c r="A1" s="1"/>
      <c r="B1" s="1"/>
      <c r="C1" s="1"/>
      <c r="D1" s="1"/>
      <c r="E1" s="1"/>
    </row>
    <row r="2" spans="1:5" ht="15.6">
      <c r="A2" s="1"/>
      <c r="B2" s="1"/>
      <c r="C2" s="1"/>
      <c r="D2" s="1"/>
      <c r="E2" s="1"/>
    </row>
    <row r="3" spans="1:5" ht="15.6">
      <c r="A3" s="1"/>
      <c r="B3" s="1"/>
      <c r="C3" s="1"/>
      <c r="D3" s="1"/>
      <c r="E3" s="1"/>
    </row>
    <row r="4" spans="1:5" ht="15.6">
      <c r="A4" s="1"/>
      <c r="B4" s="1"/>
      <c r="C4" s="1"/>
      <c r="D4" s="1"/>
      <c r="E4" s="1"/>
    </row>
    <row r="5" spans="1:5" ht="15.6">
      <c r="A5" s="1"/>
      <c r="B5" s="1"/>
      <c r="C5" s="1"/>
      <c r="D5" s="1"/>
      <c r="E5" s="1"/>
    </row>
    <row r="6" spans="1:5" ht="15.6">
      <c r="A6" s="2"/>
      <c r="B6" s="2"/>
      <c r="C6" s="2"/>
      <c r="D6" s="2"/>
      <c r="E6" s="2"/>
    </row>
    <row r="7" spans="1:5" ht="15.6">
      <c r="A7" s="3" t="s">
        <v>0</v>
      </c>
      <c r="B7" s="4"/>
      <c r="C7" s="4"/>
      <c r="D7" s="4"/>
      <c r="E7" s="5"/>
    </row>
    <row r="8" spans="1:5" ht="15.6">
      <c r="A8" s="1"/>
      <c r="B8" s="1"/>
      <c r="C8" s="1"/>
      <c r="D8" s="1"/>
      <c r="E8" s="1"/>
    </row>
    <row r="9" spans="1:5" ht="15.6">
      <c r="A9" s="6" t="s">
        <v>1</v>
      </c>
      <c r="B9" s="7"/>
      <c r="C9" s="8"/>
      <c r="D9" s="7" t="s">
        <v>2</v>
      </c>
      <c r="E9" s="8"/>
    </row>
    <row r="10" spans="1:5" ht="15.6">
      <c r="A10" s="7"/>
      <c r="B10" s="1"/>
      <c r="C10" s="8"/>
      <c r="D10" s="7" t="s">
        <v>3</v>
      </c>
      <c r="E10" s="9" t="s">
        <v>4</v>
      </c>
    </row>
    <row r="11" spans="1:5" ht="15.6">
      <c r="A11" s="1"/>
      <c r="B11" s="8"/>
      <c r="C11" s="8"/>
      <c r="D11" s="7" t="s">
        <v>5</v>
      </c>
      <c r="E11" s="10"/>
    </row>
    <row r="12" spans="1:5" ht="15.6">
      <c r="A12" s="8" t="s">
        <v>6</v>
      </c>
      <c r="B12" s="8"/>
      <c r="C12" s="8"/>
      <c r="D12" s="7"/>
      <c r="E12" s="11"/>
    </row>
    <row r="13" spans="1:5" ht="15.6">
      <c r="A13" s="12"/>
      <c r="B13" s="12"/>
      <c r="C13" s="8"/>
      <c r="D13" s="8"/>
      <c r="E13" s="13"/>
    </row>
    <row r="14" spans="1:5" ht="78">
      <c r="A14" s="14" t="s">
        <v>7</v>
      </c>
      <c r="B14" s="15" t="s">
        <v>8</v>
      </c>
      <c r="C14" s="15" t="s">
        <v>9</v>
      </c>
      <c r="D14" s="15" t="s">
        <v>10</v>
      </c>
      <c r="E14" s="15" t="s">
        <v>11</v>
      </c>
    </row>
    <row r="15" spans="1:5" ht="15.6">
      <c r="A15" s="16" t="s">
        <v>12</v>
      </c>
      <c r="B15" s="17">
        <f>228.08+631.42+636.12</f>
        <v>1495.62</v>
      </c>
      <c r="C15" s="18"/>
      <c r="D15" s="19"/>
      <c r="E15" s="20"/>
    </row>
    <row r="16" spans="1:5" ht="15.6">
      <c r="A16" s="8" t="s">
        <v>13</v>
      </c>
      <c r="B16" s="17">
        <f>847.17+849.13</f>
        <v>1696.3</v>
      </c>
      <c r="C16" s="18"/>
      <c r="D16" s="19"/>
      <c r="E16" s="21"/>
    </row>
    <row r="17" spans="1:5" ht="15.6">
      <c r="A17" s="8" t="s">
        <v>14</v>
      </c>
      <c r="B17" s="17">
        <f>488.75+488.75+418.87</f>
        <v>1396.37</v>
      </c>
      <c r="C17" s="18"/>
      <c r="D17" s="19"/>
      <c r="E17" s="21"/>
    </row>
    <row r="18" spans="1:5" ht="15.6">
      <c r="A18" s="8" t="s">
        <v>15</v>
      </c>
      <c r="B18" s="17">
        <f>488.75+488.75+797.38</f>
        <v>1774.88</v>
      </c>
      <c r="C18" s="18"/>
      <c r="D18" s="19"/>
      <c r="E18" s="21"/>
    </row>
    <row r="19" spans="1:5" ht="16.2" thickBot="1">
      <c r="A19" s="8" t="s">
        <v>16</v>
      </c>
      <c r="B19" s="22">
        <v>488.75</v>
      </c>
      <c r="C19" s="18"/>
      <c r="D19" s="19"/>
      <c r="E19" s="21"/>
    </row>
    <row r="20" spans="1:5" ht="16.2" thickTop="1">
      <c r="A20" s="8"/>
      <c r="B20" s="19">
        <f>SUM(B15:B19)</f>
        <v>6851.92</v>
      </c>
      <c r="C20" s="23">
        <f>B20/12</f>
        <v>570.99333333333334</v>
      </c>
      <c r="D20" s="19"/>
      <c r="E20" s="21"/>
    </row>
    <row r="21" spans="1:5" ht="15.6">
      <c r="A21" s="8" t="s">
        <v>17</v>
      </c>
      <c r="B21" s="19"/>
      <c r="C21" s="23"/>
      <c r="D21" s="19">
        <f>C20*7.25%</f>
        <v>41.397016666666666</v>
      </c>
      <c r="E21" s="21"/>
    </row>
    <row r="22" spans="1:5" ht="15.6">
      <c r="A22" s="8" t="s">
        <v>18</v>
      </c>
      <c r="B22" s="19"/>
      <c r="C22" s="23"/>
      <c r="D22" s="19"/>
      <c r="E22" s="21"/>
    </row>
    <row r="23" spans="1:5" ht="15.6">
      <c r="A23" s="7"/>
      <c r="B23" s="19"/>
      <c r="C23" s="19"/>
      <c r="D23" s="24"/>
      <c r="E23" s="25"/>
    </row>
    <row r="24" spans="1:5" ht="16.2" thickBot="1">
      <c r="A24" s="26"/>
      <c r="B24" s="27"/>
      <c r="C24" s="27"/>
      <c r="D24" s="28" t="s">
        <v>19</v>
      </c>
      <c r="E24" s="29">
        <f>C20-D21-D22</f>
        <v>529.59631666666667</v>
      </c>
    </row>
    <row r="25" spans="1:5" ht="16.2" thickTop="1">
      <c r="A25" s="8"/>
      <c r="B25" s="30"/>
      <c r="C25" s="8"/>
      <c r="D25" s="30"/>
      <c r="E25" s="31"/>
    </row>
    <row r="26" spans="1:5" ht="15.6">
      <c r="A26" s="1"/>
      <c r="B26" s="1"/>
      <c r="C26" s="1"/>
      <c r="D26" s="1"/>
      <c r="E26" s="1"/>
    </row>
    <row r="27" spans="1:5" ht="15.6">
      <c r="A27" s="1" t="s">
        <v>20</v>
      </c>
      <c r="B27" s="1"/>
      <c r="C27" s="1"/>
      <c r="D27" s="1"/>
      <c r="E27" s="1"/>
    </row>
    <row r="28" spans="1:5" ht="15.6">
      <c r="A28" s="1"/>
      <c r="B28" s="1"/>
      <c r="C28" s="1"/>
      <c r="D28" s="1"/>
      <c r="E28" s="1"/>
    </row>
    <row r="29" spans="1:5" ht="15.6">
      <c r="A29" s="32"/>
      <c r="B29" s="1"/>
      <c r="C29" s="1"/>
      <c r="D29" s="1"/>
      <c r="E29" s="1"/>
    </row>
    <row r="30" spans="1:5" ht="15.6">
      <c r="A30" s="1"/>
      <c r="B30" s="1"/>
      <c r="C30" s="1"/>
      <c r="D30" s="1"/>
      <c r="E30" s="1"/>
    </row>
    <row r="31" spans="1:5" ht="15.6">
      <c r="A31" s="1"/>
      <c r="B31" s="1"/>
      <c r="C31" s="1"/>
      <c r="D31" s="1"/>
      <c r="E31" s="1"/>
    </row>
    <row r="32" spans="1:5" ht="15.6">
      <c r="A32" s="1"/>
      <c r="B32" s="1"/>
      <c r="C32" s="1"/>
      <c r="D32" s="1"/>
      <c r="E32" s="1"/>
    </row>
    <row r="33" spans="1:5" ht="15.6">
      <c r="A33" s="1"/>
      <c r="B33" s="1"/>
      <c r="C33" s="1"/>
      <c r="D33" s="1"/>
      <c r="E33" s="1"/>
    </row>
  </sheetData>
  <mergeCells count="2">
    <mergeCell ref="A7:E7"/>
    <mergeCell ref="A13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Supricom</dc:creator>
  <cp:lastModifiedBy>Supricom</cp:lastModifiedBy>
  <dcterms:created xsi:type="dcterms:W3CDTF">2026-07-24T17:42:18Z</dcterms:created>
  <dcterms:modified xsi:type="dcterms:W3CDTF">2026-07-24T17:43:02Z</dcterms:modified>
</cp:coreProperties>
</file>